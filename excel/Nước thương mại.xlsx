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gentic-AI\Doing\QLBanHang-main\QLBanHang\excel\"/>
    </mc:Choice>
  </mc:AlternateContent>
  <xr:revisionPtr revIDLastSave="0" documentId="13_ncr:1_{EC1E2F9E-9325-4A8E-B6EE-DB9DE60FF774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foxz" sheetId="1" state="hidden" r:id="rId1"/>
    <sheet name="Báo cáo" sheetId="3" r:id="rId2"/>
  </sheets>
  <definedNames>
    <definedName name="_xlnm.Print_Area" localSheetId="1">'Báo cáo'!$A$1:$O$24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3" l="1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O12" i="3"/>
  <c r="N12" i="3"/>
  <c r="O11" i="3"/>
  <c r="N11" i="3"/>
  <c r="M11" i="3"/>
  <c r="K11" i="3"/>
  <c r="I11" i="3"/>
  <c r="C11" i="3"/>
</calcChain>
</file>

<file path=xl/sharedStrings.xml><?xml version="1.0" encoding="utf-8"?>
<sst xmlns="http://schemas.openxmlformats.org/spreadsheetml/2006/main" count="45" uniqueCount="26">
  <si>
    <t>XÍ NGHIỆP NƯỚC HỒNG GAI</t>
  </si>
  <si>
    <t>Tổng cộng</t>
  </si>
  <si>
    <t>Lương Minh Hương</t>
  </si>
  <si>
    <t>Vũ Thị Mai Huệ</t>
  </si>
  <si>
    <t>CÔNG TY CP NƯỚC SẠCH QUẢNG NINH</t>
  </si>
  <si>
    <t>CỘNG HÒA XÃ HỘI CHỦ NGHĨA VIỆT NAM</t>
  </si>
  <si>
    <t>Độc lập - Tự do - Hạnh phúc</t>
  </si>
  <si>
    <t xml:space="preserve">BÁO CÁO THƯƠNG MẠI NƯỚC ION KIỀM QAROMI </t>
  </si>
  <si>
    <t>Tháng 08/2026</t>
  </si>
  <si>
    <t>Đơn vị</t>
  </si>
  <si>
    <t>Vỉ 24 chai 350ml ion kiềm</t>
  </si>
  <si>
    <t>Hộp 24 chai 350ml ion kiềm</t>
  </si>
  <si>
    <t>Vỉ 24 chai 500ml ion kiềm</t>
  </si>
  <si>
    <t>Hộp 24 chai 500ml ion kiềm</t>
  </si>
  <si>
    <t>Bình 5 gallon ion kiềm</t>
  </si>
  <si>
    <t>Bình 5 gallon tinh khiết</t>
  </si>
  <si>
    <t>SL</t>
  </si>
  <si>
    <t>DT</t>
  </si>
  <si>
    <t>I. Thực hiện tháng</t>
  </si>
  <si>
    <t>Tổng</t>
  </si>
  <si>
    <t>XNN Hồng Gai</t>
  </si>
  <si>
    <t xml:space="preserve">II. Lũy kế </t>
  </si>
  <si>
    <t>LẬP BIỂU</t>
  </si>
  <si>
    <t>BP. KINH DOANH</t>
  </si>
  <si>
    <t>LÃNH ĐẠO ĐƠN VỊ</t>
  </si>
  <si>
    <t>Phạm Phương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</si>
</sst>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-* #,##0_-;\-* #,##0_-;_-* \-??_-;_-@_-"/>
  </numFmts>
  <fonts count="11" x14ac:knownFonts="1">
    <font>
      <sz val="11"/>
      <color theme="1"/>
      <name val="Calibri"/>
      <family val="2"/>
      <charset val="1"/>
    </font>
    <font>
      <b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sz val="12"/>
      <color theme="0"/>
      <name val="Times New Roman"/>
      <family val="2"/>
      <charset val="1"/>
    </font>
    <font>
      <b/>
      <sz val="8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Tahoma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4" fontId="10" fillId="0" borderId="0" applyBorder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5" fillId="2" borderId="0" xfId="0" applyFont="1" applyFill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wrapText="1"/>
    </xf>
    <xf numFmtId="165" fontId="7" fillId="0" borderId="1" xfId="1" applyNumberFormat="1" applyFont="1" applyBorder="1" applyAlignment="1" applyProtection="1">
      <alignment horizontal="right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wrapText="1"/>
    </xf>
    <xf numFmtId="165" fontId="8" fillId="0" borderId="1" xfId="1" applyNumberFormat="1" applyFont="1" applyBorder="1" applyAlignment="1" applyProtection="1">
      <alignment horizontal="right" wrapText="1"/>
    </xf>
    <xf numFmtId="0" fontId="4" fillId="0" borderId="0" xfId="0" applyFont="1" applyAlignment="1">
      <alignment vertical="center"/>
    </xf>
    <xf numFmtId="0" fontId="9" fillId="0" borderId="0" xfId="0" applyFont="1"/>
    <xf numFmtId="0" fontId="7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165" fontId="8" fillId="0" borderId="1" xfId="1" applyNumberFormat="1" applyFont="1" applyBorder="1" applyAlignment="1" applyProtection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2</xdr:row>
      <xdr:rowOff>0</xdr:rowOff>
    </xdr:from>
    <xdr:to>
      <xdr:col>2</xdr:col>
      <xdr:colOff>782640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807200" y="425520"/>
          <a:ext cx="73728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9</xdr:col>
      <xdr:colOff>250920</xdr:colOff>
      <xdr:row>2</xdr:row>
      <xdr:rowOff>0</xdr:rowOff>
    </xdr:from>
    <xdr:to>
      <xdr:col>12</xdr:col>
      <xdr:colOff>699840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7029720" y="425520"/>
          <a:ext cx="22183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ColWidth="8.554687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tabSelected="1" zoomScaleNormal="100" workbookViewId="0">
      <selection activeCell="A6" sqref="A6"/>
    </sheetView>
  </sheetViews>
  <sheetFormatPr defaultColWidth="8.5546875" defaultRowHeight="14.4" x14ac:dyDescent="0.3"/>
  <cols>
    <col min="1" max="1" width="15.6640625" customWidth="1"/>
    <col min="2" max="2" width="6.33203125" customWidth="1"/>
    <col min="3" max="3" width="11.44140625" customWidth="1"/>
    <col min="4" max="4" width="6.5546875" customWidth="1"/>
    <col min="5" max="5" width="10.109375" customWidth="1"/>
    <col min="6" max="6" width="6.44140625" customWidth="1"/>
    <col min="7" max="7" width="11.77734375" bestFit="1" customWidth="1"/>
    <col min="8" max="8" width="5.44140625" customWidth="1"/>
    <col min="9" max="9" width="11.21875" customWidth="1"/>
    <col min="10" max="10" width="5.6640625" customWidth="1"/>
    <col min="11" max="11" width="10.6640625" customWidth="1"/>
    <col min="12" max="12" width="5.6640625" customWidth="1"/>
    <col min="13" max="13" width="10.77734375" bestFit="1" customWidth="1"/>
    <col min="15" max="15" width="12.33203125" customWidth="1"/>
  </cols>
  <sheetData>
    <row r="1" spans="1:16" ht="16.8" x14ac:dyDescent="0.3">
      <c r="A1" s="10" t="s">
        <v>4</v>
      </c>
      <c r="B1" s="10"/>
      <c r="C1" s="10"/>
      <c r="D1" s="10"/>
      <c r="E1" s="10"/>
      <c r="F1" s="10"/>
      <c r="G1" s="12"/>
      <c r="H1" s="9" t="s">
        <v>5</v>
      </c>
      <c r="I1" s="9"/>
      <c r="J1" s="9"/>
      <c r="K1" s="9"/>
      <c r="L1" s="9"/>
      <c r="M1" s="9"/>
      <c r="N1" s="9"/>
      <c r="O1" s="9"/>
    </row>
    <row r="2" spans="1:16" ht="17.399999999999999" x14ac:dyDescent="0.3">
      <c r="A2" s="9" t="s">
        <v>0</v>
      </c>
      <c r="B2" s="9"/>
      <c r="C2" s="9"/>
      <c r="D2" s="9"/>
      <c r="E2" s="9"/>
      <c r="F2" s="9"/>
      <c r="G2" s="12"/>
      <c r="H2" s="8" t="s">
        <v>6</v>
      </c>
      <c r="I2" s="8"/>
      <c r="J2" s="8"/>
      <c r="K2" s="8"/>
      <c r="L2" s="8"/>
      <c r="M2" s="8"/>
      <c r="N2" s="8"/>
      <c r="O2" s="8"/>
    </row>
    <row r="4" spans="1:16" ht="17.399999999999999" x14ac:dyDescent="0.3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6" ht="16.8" x14ac:dyDescent="0.3">
      <c r="A5" s="6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ht="15.6" x14ac:dyDescent="0.3">
      <c r="A6" s="13"/>
      <c r="B6" s="13"/>
      <c r="C6" s="13">
        <v>78704</v>
      </c>
      <c r="D6" s="13"/>
      <c r="E6" s="13">
        <v>86111</v>
      </c>
      <c r="F6" s="13"/>
      <c r="G6" s="13">
        <v>90741</v>
      </c>
      <c r="H6" s="13"/>
      <c r="I6" s="13">
        <v>98149</v>
      </c>
      <c r="J6" s="13"/>
      <c r="K6" s="13">
        <v>48148</v>
      </c>
      <c r="L6" s="13"/>
      <c r="M6" s="13">
        <v>44444</v>
      </c>
      <c r="N6" s="13"/>
      <c r="O6" s="13"/>
    </row>
    <row r="7" spans="1:16" ht="15" customHeight="1" x14ac:dyDescent="0.3">
      <c r="A7" s="5" t="s">
        <v>9</v>
      </c>
      <c r="B7" s="4" t="s">
        <v>10</v>
      </c>
      <c r="C7" s="4"/>
      <c r="D7" s="4" t="s">
        <v>11</v>
      </c>
      <c r="E7" s="4"/>
      <c r="F7" s="4" t="s">
        <v>12</v>
      </c>
      <c r="G7" s="4"/>
      <c r="H7" s="4" t="s">
        <v>13</v>
      </c>
      <c r="I7" s="4"/>
      <c r="J7" s="4" t="s">
        <v>14</v>
      </c>
      <c r="K7" s="4"/>
      <c r="L7" s="4" t="s">
        <v>15</v>
      </c>
      <c r="M7" s="4"/>
      <c r="N7" s="4" t="s">
        <v>1</v>
      </c>
      <c r="O7" s="4"/>
      <c r="P7" s="3"/>
    </row>
    <row r="8" spans="1:16" x14ac:dyDescent="0.3">
      <c r="A8" s="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"/>
    </row>
    <row r="9" spans="1:16" x14ac:dyDescent="0.3">
      <c r="A9" s="5"/>
      <c r="B9" s="14" t="s">
        <v>16</v>
      </c>
      <c r="C9" s="14" t="s">
        <v>17</v>
      </c>
      <c r="D9" s="14" t="s">
        <v>16</v>
      </c>
      <c r="E9" s="14" t="s">
        <v>17</v>
      </c>
      <c r="F9" s="14" t="s">
        <v>16</v>
      </c>
      <c r="G9" s="14" t="s">
        <v>17</v>
      </c>
      <c r="H9" s="14" t="s">
        <v>16</v>
      </c>
      <c r="I9" s="14" t="s">
        <v>17</v>
      </c>
      <c r="J9" s="14" t="s">
        <v>16</v>
      </c>
      <c r="K9" s="14" t="s">
        <v>17</v>
      </c>
      <c r="L9" s="14" t="s">
        <v>16</v>
      </c>
      <c r="M9" s="14" t="s">
        <v>17</v>
      </c>
      <c r="N9" s="14" t="s">
        <v>16</v>
      </c>
      <c r="O9" s="14" t="s">
        <v>17</v>
      </c>
    </row>
    <row r="10" spans="1:16" x14ac:dyDescent="0.3">
      <c r="A10" s="2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" x14ac:dyDescent="0.3">
      <c r="A11" s="16" t="s">
        <v>19</v>
      </c>
      <c r="B11" s="17">
        <v>401</v>
      </c>
      <c r="C11" s="18">
        <f>B11*C6</f>
        <v>31560304</v>
      </c>
      <c r="D11" s="18">
        <v>0</v>
      </c>
      <c r="E11" s="18">
        <v>0</v>
      </c>
      <c r="F11" s="18">
        <v>2082</v>
      </c>
      <c r="G11" s="18">
        <f>F11*G6</f>
        <v>188922762</v>
      </c>
      <c r="H11" s="18">
        <v>5</v>
      </c>
      <c r="I11" s="18">
        <f>H11*I6</f>
        <v>490745</v>
      </c>
      <c r="J11" s="18">
        <v>103</v>
      </c>
      <c r="K11" s="18">
        <f>J11*K6</f>
        <v>4959244</v>
      </c>
      <c r="L11" s="18">
        <v>133</v>
      </c>
      <c r="M11" s="18">
        <f>L11*M6</f>
        <v>5911052</v>
      </c>
      <c r="N11" s="18">
        <f>B11+D11+F11+H11+J11+L11</f>
        <v>2724</v>
      </c>
      <c r="O11" s="18">
        <f>C11+E11+G11+I11+K11+M11</f>
        <v>231844107</v>
      </c>
    </row>
    <row r="12" spans="1:16" x14ac:dyDescent="0.3">
      <c r="A12" s="19" t="s">
        <v>20</v>
      </c>
      <c r="B12" s="20">
        <v>401</v>
      </c>
      <c r="C12" s="18">
        <v>31560304</v>
      </c>
      <c r="D12" s="21">
        <v>0</v>
      </c>
      <c r="E12" s="21">
        <v>0</v>
      </c>
      <c r="F12" s="21">
        <v>2082</v>
      </c>
      <c r="G12" s="21">
        <v>188922762</v>
      </c>
      <c r="H12" s="21">
        <v>5</v>
      </c>
      <c r="I12" s="21">
        <v>490745</v>
      </c>
      <c r="J12" s="21">
        <v>103</v>
      </c>
      <c r="K12" s="21">
        <v>4959244</v>
      </c>
      <c r="L12" s="21">
        <v>133</v>
      </c>
      <c r="M12" s="21">
        <v>5911052</v>
      </c>
      <c r="N12" s="21">
        <f>B12+D12+F12+H12+J12+L12</f>
        <v>2724</v>
      </c>
      <c r="O12" s="21">
        <f>C12+E12+G12+I12+K12+M12</f>
        <v>231844107</v>
      </c>
    </row>
    <row r="13" spans="1:16" x14ac:dyDescent="0.3">
      <c r="A13" s="2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" x14ac:dyDescent="0.3">
      <c r="A14" s="16" t="s">
        <v>19</v>
      </c>
      <c r="B14" s="17">
        <f t="shared" ref="B14:O14" si="0">B12+B30</f>
        <v>1053</v>
      </c>
      <c r="C14" s="18">
        <f t="shared" si="0"/>
        <v>82875312</v>
      </c>
      <c r="D14" s="18">
        <f t="shared" si="0"/>
        <v>89</v>
      </c>
      <c r="E14" s="18">
        <f t="shared" si="0"/>
        <v>7663879</v>
      </c>
      <c r="F14" s="18">
        <f t="shared" si="0"/>
        <v>9236</v>
      </c>
      <c r="G14" s="18">
        <f t="shared" si="0"/>
        <v>838083876</v>
      </c>
      <c r="H14" s="18">
        <f t="shared" si="0"/>
        <v>289</v>
      </c>
      <c r="I14" s="18">
        <f t="shared" si="0"/>
        <v>28365061</v>
      </c>
      <c r="J14" s="18">
        <f t="shared" si="0"/>
        <v>393</v>
      </c>
      <c r="K14" s="18">
        <f t="shared" si="0"/>
        <v>18922164</v>
      </c>
      <c r="L14" s="18">
        <f t="shared" si="0"/>
        <v>474</v>
      </c>
      <c r="M14" s="18">
        <f t="shared" si="0"/>
        <v>21066456</v>
      </c>
      <c r="N14" s="18">
        <f t="shared" si="0"/>
        <v>11534</v>
      </c>
      <c r="O14" s="18">
        <f t="shared" si="0"/>
        <v>996976748</v>
      </c>
    </row>
    <row r="15" spans="1:16" x14ac:dyDescent="0.3">
      <c r="A15" s="19" t="s">
        <v>20</v>
      </c>
      <c r="B15" s="20">
        <v>652</v>
      </c>
      <c r="C15" s="18">
        <v>51315008</v>
      </c>
      <c r="D15" s="21">
        <v>89</v>
      </c>
      <c r="E15" s="21">
        <v>7663879</v>
      </c>
      <c r="F15" s="21">
        <v>7154</v>
      </c>
      <c r="G15" s="21">
        <v>649161114</v>
      </c>
      <c r="H15" s="21">
        <v>284</v>
      </c>
      <c r="I15" s="21">
        <v>27874316</v>
      </c>
      <c r="J15" s="21">
        <v>290</v>
      </c>
      <c r="K15" s="21">
        <v>13962920</v>
      </c>
      <c r="L15" s="21">
        <v>341</v>
      </c>
      <c r="M15" s="21">
        <v>15155404</v>
      </c>
      <c r="N15" s="21">
        <v>8810</v>
      </c>
      <c r="O15" s="21">
        <v>765132641</v>
      </c>
    </row>
    <row r="16" spans="1:16" ht="15.6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6" x14ac:dyDescent="0.3">
      <c r="A17" s="1" t="s">
        <v>22</v>
      </c>
      <c r="B17" s="1"/>
      <c r="C17" s="1"/>
      <c r="D17" s="1"/>
      <c r="E17" s="11"/>
      <c r="F17" s="1" t="s">
        <v>23</v>
      </c>
      <c r="G17" s="1"/>
      <c r="H17" s="1"/>
      <c r="I17" s="1"/>
      <c r="J17" s="11"/>
      <c r="K17" s="11"/>
      <c r="L17" s="1" t="s">
        <v>24</v>
      </c>
      <c r="M17" s="1"/>
      <c r="N17" s="1"/>
      <c r="O17" s="1"/>
    </row>
    <row r="18" spans="1:15" ht="17.399999999999999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5" ht="17.399999999999999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ht="17.399999999999999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2" spans="1:15" ht="18.75" customHeight="1" x14ac:dyDescent="0.3">
      <c r="A22" s="9" t="s">
        <v>2</v>
      </c>
      <c r="B22" s="9"/>
      <c r="C22" s="9"/>
      <c r="D22" s="9"/>
      <c r="E22" s="23"/>
      <c r="F22" s="9" t="s">
        <v>25</v>
      </c>
      <c r="G22" s="9"/>
      <c r="H22" s="9"/>
      <c r="I22" s="9"/>
      <c r="J22" s="23"/>
      <c r="K22" s="23"/>
      <c r="L22" s="9" t="s">
        <v>3</v>
      </c>
      <c r="M22" s="9"/>
      <c r="N22" s="9"/>
      <c r="O22" s="9"/>
    </row>
    <row r="26" spans="1:15" x14ac:dyDescent="0.3">
      <c r="A26" s="16" t="s">
        <v>19</v>
      </c>
      <c r="B26" s="17">
        <v>63</v>
      </c>
      <c r="C26" s="18">
        <v>4958352</v>
      </c>
      <c r="D26" s="18">
        <v>0</v>
      </c>
      <c r="E26" s="18">
        <v>0</v>
      </c>
      <c r="F26" s="18">
        <v>982</v>
      </c>
      <c r="G26" s="18">
        <v>89107662</v>
      </c>
      <c r="H26" s="18">
        <v>20</v>
      </c>
      <c r="I26" s="18">
        <v>1962980</v>
      </c>
      <c r="J26" s="18">
        <v>36</v>
      </c>
      <c r="K26" s="18">
        <v>1733328</v>
      </c>
      <c r="L26" s="18">
        <v>61</v>
      </c>
      <c r="M26" s="18">
        <v>2711084</v>
      </c>
      <c r="N26" s="18">
        <v>1162</v>
      </c>
      <c r="O26" s="18">
        <v>100473406</v>
      </c>
    </row>
    <row r="27" spans="1:15" x14ac:dyDescent="0.3">
      <c r="A27" s="19" t="s">
        <v>20</v>
      </c>
      <c r="B27" s="20">
        <v>63</v>
      </c>
      <c r="C27" s="21">
        <v>4958352</v>
      </c>
      <c r="D27" s="21">
        <v>0</v>
      </c>
      <c r="E27" s="21">
        <v>0</v>
      </c>
      <c r="F27" s="21">
        <v>982</v>
      </c>
      <c r="G27" s="21">
        <v>89107662</v>
      </c>
      <c r="H27" s="21">
        <v>20</v>
      </c>
      <c r="I27" s="21">
        <v>1962980</v>
      </c>
      <c r="J27" s="21">
        <v>36</v>
      </c>
      <c r="K27" s="21">
        <v>1733328</v>
      </c>
      <c r="L27" s="21">
        <v>61</v>
      </c>
      <c r="M27" s="21">
        <v>2711084</v>
      </c>
      <c r="N27" s="21">
        <v>1162</v>
      </c>
      <c r="O27" s="21">
        <v>100473406</v>
      </c>
    </row>
    <row r="28" spans="1:15" x14ac:dyDescent="0.3">
      <c r="A28" s="15" t="s">
        <v>21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3">
      <c r="A29" s="16" t="s">
        <v>19</v>
      </c>
      <c r="B29" s="17">
        <v>126</v>
      </c>
      <c r="C29" s="18">
        <v>4958352</v>
      </c>
      <c r="D29" s="18">
        <v>0</v>
      </c>
      <c r="E29" s="18">
        <v>0</v>
      </c>
      <c r="F29" s="18">
        <v>1964</v>
      </c>
      <c r="G29" s="18">
        <v>89107662</v>
      </c>
      <c r="H29" s="18">
        <v>40</v>
      </c>
      <c r="I29" s="18">
        <v>1962980</v>
      </c>
      <c r="J29" s="18">
        <v>72</v>
      </c>
      <c r="K29" s="18">
        <v>1733328</v>
      </c>
      <c r="L29" s="18">
        <v>122</v>
      </c>
      <c r="M29" s="18">
        <v>2711084</v>
      </c>
      <c r="N29" s="18">
        <v>2324</v>
      </c>
      <c r="O29" s="18">
        <v>100473406</v>
      </c>
    </row>
    <row r="30" spans="1:15" x14ac:dyDescent="0.3">
      <c r="A30" s="19" t="s">
        <v>20</v>
      </c>
      <c r="B30" s="20">
        <v>652</v>
      </c>
      <c r="C30" s="21">
        <v>51315008</v>
      </c>
      <c r="D30" s="21">
        <v>89</v>
      </c>
      <c r="E30" s="21">
        <v>7663879</v>
      </c>
      <c r="F30" s="21">
        <v>7154</v>
      </c>
      <c r="G30" s="21">
        <v>649161114</v>
      </c>
      <c r="H30" s="21">
        <v>284</v>
      </c>
      <c r="I30" s="21">
        <v>27874316</v>
      </c>
      <c r="J30" s="21">
        <v>290</v>
      </c>
      <c r="K30" s="21">
        <v>13962920</v>
      </c>
      <c r="L30" s="21">
        <v>341</v>
      </c>
      <c r="M30" s="21">
        <v>15155404</v>
      </c>
      <c r="N30" s="21">
        <v>8810</v>
      </c>
      <c r="O30" s="21">
        <v>765132641</v>
      </c>
    </row>
    <row r="31" spans="1:15" x14ac:dyDescent="0.3">
      <c r="B31" s="24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x14ac:dyDescent="0.3">
      <c r="B32" s="25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2:15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x14ac:dyDescent="0.3"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</sheetData>
  <mergeCells count="23">
    <mergeCell ref="A22:D22"/>
    <mergeCell ref="F22:I22"/>
    <mergeCell ref="L22:O22"/>
    <mergeCell ref="P7:P8"/>
    <mergeCell ref="A10:O10"/>
    <mergeCell ref="A13:O13"/>
    <mergeCell ref="A17:D17"/>
    <mergeCell ref="F17:I17"/>
    <mergeCell ref="L17:O17"/>
    <mergeCell ref="A5:O5"/>
    <mergeCell ref="A7:A9"/>
    <mergeCell ref="B7:C8"/>
    <mergeCell ref="D7:E8"/>
    <mergeCell ref="F7:G8"/>
    <mergeCell ref="H7:I8"/>
    <mergeCell ref="J7:K8"/>
    <mergeCell ref="L7:M8"/>
    <mergeCell ref="N7:O8"/>
    <mergeCell ref="A1:F1"/>
    <mergeCell ref="H1:O1"/>
    <mergeCell ref="A2:F2"/>
    <mergeCell ref="H2:O2"/>
    <mergeCell ref="A4:O4"/>
  </mergeCells>
  <pageMargins left="0.29027777777777802" right="0.17013888888888901" top="0.25972222222222202" bottom="0.75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foxz</vt:lpstr>
      <vt:lpstr>Báo cáo</vt:lpstr>
      <vt:lpstr>'Báo cáo'!Print_Area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long pham</cp:lastModifiedBy>
  <cp:revision>3</cp:revision>
  <cp:lastPrinted>2026-08-03T14:41:03Z</cp:lastPrinted>
  <dcterms:created xsi:type="dcterms:W3CDTF">2006-09-16T00:00:00Z</dcterms:created>
  <dcterms:modified xsi:type="dcterms:W3CDTF">2026-09-14T07:01:06Z</dcterms:modified>
  <dc:language>vi-VN</dc:language>
</cp:coreProperties>
</file>
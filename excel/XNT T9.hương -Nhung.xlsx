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HUNG\NƯỚC LỌC\"/>
    </mc:Choice>
  </mc:AlternateContent>
  <xr:revisionPtr revIDLastSave="0" documentId="13_ncr:1_{A39CD4C0-2B47-403C-A191-57CD47ABFD30}" xr6:coauthVersionLast="47" xr6:coauthVersionMax="47" xr10:uidLastSave="{00000000-0000-0000-0000-000000000000}"/>
  <bookViews>
    <workbookView xWindow="-108" yWindow="-108" windowWidth="23256" windowHeight="12456" tabRatio="500" firstSheet="1" activeTab="8" xr2:uid="{00000000-000D-0000-FFFF-FFFF00000000}"/>
  </bookViews>
  <sheets>
    <sheet name="foxz" sheetId="1" state="hidden" r:id="rId1"/>
    <sheet name="XNT" sheetId="2" r:id="rId2"/>
    <sheet name="KHO TỔNG" sheetId="3" r:id="rId3"/>
    <sheet name="Lại Lan" sheetId="4" r:id="rId4"/>
    <sheet name="Huế" sheetId="6" r:id="rId5"/>
    <sheet name="Xe điện" sheetId="5" r:id="rId6"/>
    <sheet name="Theo dõi vỏ bình" sheetId="7" state="hidden" r:id="rId7"/>
    <sheet name="Đá Trắng" sheetId="8" r:id="rId8"/>
    <sheet name="VB T9" sheetId="14" r:id="rId9"/>
    <sheet name="VB T8" sheetId="13" r:id="rId10"/>
    <sheet name="DATA" sheetId="12" r:id="rId11"/>
  </sheets>
  <externalReferences>
    <externalReference r:id="rId12"/>
  </externalReferences>
  <definedNames>
    <definedName name="_xlnm._FilterDatabase" localSheetId="10" hidden="1">DATA!$B$1:$B$452</definedName>
    <definedName name="_xlnm._FilterDatabase" localSheetId="2" hidden="1">'KHO TỔNG'!$B$1:$AG$135</definedName>
    <definedName name="_xlnm._FilterDatabase" localSheetId="9" hidden="1">'VB T8'!$A$1:$O$96</definedName>
    <definedName name="_xlnm._FilterDatabase" localSheetId="8" hidden="1">'VB T9'!$A$1:$O$94</definedName>
    <definedName name="Bùi_Bích_Phương">DATA!$A:$A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2" l="1"/>
  <c r="T19" i="2" s="1"/>
  <c r="H24" i="2"/>
  <c r="X19" i="2" s="1"/>
  <c r="I24" i="2"/>
  <c r="Z19" i="2" s="1"/>
  <c r="F24" i="2"/>
  <c r="P19" i="2" s="1"/>
  <c r="M94" i="14" l="1"/>
  <c r="L94" i="14"/>
  <c r="K93" i="14"/>
  <c r="J93" i="14"/>
  <c r="K92" i="14"/>
  <c r="J92" i="14"/>
  <c r="K91" i="14"/>
  <c r="J91" i="14"/>
  <c r="K90" i="14"/>
  <c r="J90" i="14"/>
  <c r="K89" i="14"/>
  <c r="J89" i="14"/>
  <c r="K88" i="14"/>
  <c r="J88" i="14"/>
  <c r="K87" i="14"/>
  <c r="J87" i="14"/>
  <c r="K86" i="14"/>
  <c r="J86" i="14"/>
  <c r="K85" i="14"/>
  <c r="J85" i="14"/>
  <c r="K84" i="14"/>
  <c r="J84" i="14"/>
  <c r="K83" i="14"/>
  <c r="J83" i="14"/>
  <c r="K82" i="14"/>
  <c r="J82" i="14"/>
  <c r="K81" i="14"/>
  <c r="J81" i="14"/>
  <c r="K80" i="14"/>
  <c r="J80" i="14"/>
  <c r="K79" i="14"/>
  <c r="J79" i="14"/>
  <c r="K78" i="14"/>
  <c r="J78" i="14"/>
  <c r="K77" i="14"/>
  <c r="J77" i="14"/>
  <c r="K76" i="14"/>
  <c r="J76" i="14"/>
  <c r="K75" i="14"/>
  <c r="J75" i="14"/>
  <c r="K74" i="14"/>
  <c r="J74" i="14"/>
  <c r="K73" i="14"/>
  <c r="J73" i="14"/>
  <c r="K72" i="14"/>
  <c r="J72" i="14"/>
  <c r="K71" i="14"/>
  <c r="J71" i="14"/>
  <c r="K70" i="14"/>
  <c r="J70" i="14"/>
  <c r="K69" i="14"/>
  <c r="J69" i="14"/>
  <c r="K68" i="14"/>
  <c r="J68" i="14"/>
  <c r="K67" i="14"/>
  <c r="J67" i="14"/>
  <c r="K66" i="14"/>
  <c r="J66" i="14"/>
  <c r="K65" i="14"/>
  <c r="J65" i="14"/>
  <c r="K64" i="14"/>
  <c r="J64" i="14"/>
  <c r="K63" i="14"/>
  <c r="J63" i="14"/>
  <c r="K62" i="14"/>
  <c r="J62" i="14"/>
  <c r="K61" i="14"/>
  <c r="J61" i="14"/>
  <c r="K60" i="14"/>
  <c r="J60" i="14"/>
  <c r="K59" i="14"/>
  <c r="J59" i="14"/>
  <c r="K58" i="14"/>
  <c r="J58" i="14"/>
  <c r="K57" i="14"/>
  <c r="J57" i="14"/>
  <c r="K56" i="14"/>
  <c r="J56" i="14"/>
  <c r="K55" i="14"/>
  <c r="J55" i="14"/>
  <c r="K54" i="14"/>
  <c r="J54" i="14"/>
  <c r="K53" i="14"/>
  <c r="J53" i="14"/>
  <c r="K52" i="14"/>
  <c r="J52" i="14"/>
  <c r="K51" i="14"/>
  <c r="J51" i="14"/>
  <c r="K50" i="14"/>
  <c r="J50" i="14"/>
  <c r="K49" i="14"/>
  <c r="J49" i="14"/>
  <c r="K48" i="14"/>
  <c r="J48" i="14"/>
  <c r="K47" i="14"/>
  <c r="J47" i="14"/>
  <c r="K46" i="14"/>
  <c r="J46" i="14"/>
  <c r="K45" i="14"/>
  <c r="J45" i="14"/>
  <c r="K44" i="14"/>
  <c r="J44" i="14"/>
  <c r="K43" i="14"/>
  <c r="J43" i="14"/>
  <c r="K42" i="14"/>
  <c r="J42" i="14"/>
  <c r="K41" i="14"/>
  <c r="J41" i="14"/>
  <c r="K40" i="14"/>
  <c r="J40" i="14"/>
  <c r="K39" i="14"/>
  <c r="J39" i="14"/>
  <c r="K38" i="14"/>
  <c r="J38" i="14"/>
  <c r="K37" i="14"/>
  <c r="J37" i="14"/>
  <c r="K36" i="14"/>
  <c r="J36" i="14"/>
  <c r="K35" i="14"/>
  <c r="J35" i="14"/>
  <c r="K34" i="14"/>
  <c r="J34" i="14"/>
  <c r="K33" i="14"/>
  <c r="J33" i="14"/>
  <c r="K32" i="14"/>
  <c r="J32" i="14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J21" i="14"/>
  <c r="G21" i="14"/>
  <c r="K21" i="14" s="1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3" i="14"/>
  <c r="J3" i="14"/>
  <c r="K4" i="14" l="1"/>
  <c r="K5" i="14" s="1"/>
  <c r="J94" i="14"/>
  <c r="J4" i="14"/>
  <c r="J5" i="14" s="1"/>
  <c r="K94" i="14"/>
  <c r="I12" i="13"/>
  <c r="G23" i="13"/>
  <c r="K6" i="13" l="1"/>
  <c r="K8" i="13"/>
  <c r="K12" i="13"/>
  <c r="K15" i="13"/>
  <c r="J6" i="13"/>
  <c r="J8" i="13"/>
  <c r="J12" i="13"/>
  <c r="J15" i="13"/>
  <c r="J16" i="13"/>
  <c r="M96" i="13"/>
  <c r="L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7" i="13"/>
  <c r="J7" i="13"/>
  <c r="K28" i="13"/>
  <c r="J28" i="13"/>
  <c r="K32" i="13"/>
  <c r="J32" i="13"/>
  <c r="K42" i="13"/>
  <c r="J42" i="13"/>
  <c r="K41" i="13"/>
  <c r="J41" i="13"/>
  <c r="K40" i="13"/>
  <c r="J40" i="13"/>
  <c r="K39" i="13"/>
  <c r="J39" i="13"/>
  <c r="K38" i="13"/>
  <c r="J38" i="13"/>
  <c r="K11" i="13"/>
  <c r="J11" i="13"/>
  <c r="K10" i="13"/>
  <c r="J10" i="13"/>
  <c r="K43" i="13"/>
  <c r="J43" i="13"/>
  <c r="K21" i="13"/>
  <c r="J21" i="13"/>
  <c r="K37" i="13"/>
  <c r="J37" i="13"/>
  <c r="K36" i="13"/>
  <c r="J36" i="13"/>
  <c r="K35" i="13"/>
  <c r="J35" i="13"/>
  <c r="K34" i="13"/>
  <c r="J34" i="13"/>
  <c r="K33" i="13"/>
  <c r="J33" i="13"/>
  <c r="K31" i="13"/>
  <c r="J31" i="13"/>
  <c r="K30" i="13"/>
  <c r="J30" i="13"/>
  <c r="K9" i="13"/>
  <c r="J9" i="13"/>
  <c r="K27" i="13"/>
  <c r="J27" i="13"/>
  <c r="K26" i="13"/>
  <c r="J26" i="13"/>
  <c r="K14" i="13"/>
  <c r="J14" i="13"/>
  <c r="K13" i="13"/>
  <c r="J13" i="13"/>
  <c r="K25" i="13"/>
  <c r="J25" i="13"/>
  <c r="K29" i="13"/>
  <c r="J29" i="13"/>
  <c r="K24" i="13"/>
  <c r="J24" i="13"/>
  <c r="K23" i="13"/>
  <c r="J23" i="13"/>
  <c r="K22" i="13"/>
  <c r="J22" i="13"/>
  <c r="K20" i="13"/>
  <c r="J20" i="13"/>
  <c r="K19" i="13"/>
  <c r="J19" i="13"/>
  <c r="K18" i="13"/>
  <c r="J18" i="13"/>
  <c r="K17" i="13"/>
  <c r="J17" i="13"/>
  <c r="K16" i="13"/>
  <c r="K3" i="13"/>
  <c r="J3" i="13"/>
  <c r="K4" i="13" l="1"/>
  <c r="K5" i="13" s="1"/>
  <c r="J4" i="13"/>
  <c r="J5" i="13" s="1"/>
  <c r="K96" i="13"/>
  <c r="J96" i="13"/>
  <c r="AC102" i="8" l="1"/>
  <c r="AB102" i="8"/>
  <c r="AA102" i="8"/>
  <c r="Z102" i="8"/>
  <c r="Y102" i="8"/>
  <c r="X102" i="8"/>
  <c r="W102" i="8"/>
  <c r="V102" i="8"/>
  <c r="U102" i="8"/>
  <c r="T102" i="8"/>
  <c r="S102" i="8"/>
  <c r="R102" i="8"/>
  <c r="N102" i="8"/>
  <c r="AC103" i="8" s="1"/>
  <c r="M102" i="8"/>
  <c r="AB103" i="8" s="1"/>
  <c r="L102" i="8"/>
  <c r="AA103" i="8" s="1"/>
  <c r="K102" i="8"/>
  <c r="Z103" i="8" s="1"/>
  <c r="J102" i="8"/>
  <c r="Y103" i="8" s="1"/>
  <c r="I102" i="8"/>
  <c r="X103" i="8" s="1"/>
  <c r="H102" i="8"/>
  <c r="W103" i="8" s="1"/>
  <c r="G102" i="8"/>
  <c r="V103" i="8" s="1"/>
  <c r="F102" i="8"/>
  <c r="U103" i="8" s="1"/>
  <c r="E102" i="8"/>
  <c r="T103" i="8" s="1"/>
  <c r="D102" i="8"/>
  <c r="S103" i="8" s="1"/>
  <c r="C102" i="8"/>
  <c r="E69" i="7"/>
  <c r="D63" i="7"/>
  <c r="G60" i="7"/>
  <c r="E59" i="7"/>
  <c r="G59" i="7" s="1"/>
  <c r="G58" i="7"/>
  <c r="G57" i="7"/>
  <c r="G55" i="7"/>
  <c r="G54" i="7"/>
  <c r="G53" i="7"/>
  <c r="G52" i="7"/>
  <c r="G51" i="7"/>
  <c r="G50" i="7"/>
  <c r="G49" i="7"/>
  <c r="G48" i="7"/>
  <c r="M47" i="7"/>
  <c r="F47" i="7"/>
  <c r="F63" i="7" s="1"/>
  <c r="E47" i="7"/>
  <c r="E63" i="7" s="1"/>
  <c r="G46" i="7"/>
  <c r="G45" i="7"/>
  <c r="G44" i="7"/>
  <c r="G43" i="7"/>
  <c r="G42" i="7"/>
  <c r="G41" i="7"/>
  <c r="G40" i="7"/>
  <c r="D38" i="7"/>
  <c r="G37" i="7"/>
  <c r="G36" i="7"/>
  <c r="G35" i="7"/>
  <c r="F34" i="7"/>
  <c r="F38" i="7" s="1"/>
  <c r="E34" i="7"/>
  <c r="E38" i="7" s="1"/>
  <c r="G32" i="7"/>
  <c r="G31" i="7"/>
  <c r="G30" i="7"/>
  <c r="G29" i="7"/>
  <c r="G28" i="7"/>
  <c r="G27" i="7"/>
  <c r="G26" i="7"/>
  <c r="G23" i="7"/>
  <c r="G22" i="7"/>
  <c r="G21" i="7"/>
  <c r="G20" i="7"/>
  <c r="G19" i="7"/>
  <c r="G17" i="7"/>
  <c r="G16" i="7"/>
  <c r="G15" i="7"/>
  <c r="G14" i="7"/>
  <c r="G13" i="7"/>
  <c r="E10" i="7"/>
  <c r="D10" i="7"/>
  <c r="F10" i="7" s="1"/>
  <c r="AC102" i="6"/>
  <c r="AB102" i="6"/>
  <c r="AA102" i="6"/>
  <c r="Z102" i="6"/>
  <c r="Y102" i="6"/>
  <c r="X102" i="6"/>
  <c r="W102" i="6"/>
  <c r="V102" i="6"/>
  <c r="U102" i="6"/>
  <c r="T102" i="6"/>
  <c r="S102" i="6"/>
  <c r="R102" i="6"/>
  <c r="N102" i="6"/>
  <c r="AC103" i="6" s="1"/>
  <c r="M102" i="6"/>
  <c r="AB103" i="6" s="1"/>
  <c r="L102" i="6"/>
  <c r="AA103" i="6" s="1"/>
  <c r="K102" i="6"/>
  <c r="J102" i="6"/>
  <c r="Y103" i="6" s="1"/>
  <c r="I102" i="6"/>
  <c r="X103" i="6" s="1"/>
  <c r="H102" i="6"/>
  <c r="W103" i="6" s="1"/>
  <c r="G102" i="6"/>
  <c r="F102" i="6"/>
  <c r="U103" i="6" s="1"/>
  <c r="E102" i="6"/>
  <c r="D102" i="6"/>
  <c r="C102" i="6"/>
  <c r="AC101" i="5"/>
  <c r="AB101" i="5"/>
  <c r="AA101" i="5"/>
  <c r="Z101" i="5"/>
  <c r="Y101" i="5"/>
  <c r="X101" i="5"/>
  <c r="W101" i="5"/>
  <c r="V101" i="5"/>
  <c r="U101" i="5"/>
  <c r="T101" i="5"/>
  <c r="S101" i="5"/>
  <c r="R101" i="5"/>
  <c r="N101" i="5"/>
  <c r="AC102" i="5" s="1"/>
  <c r="M101" i="5"/>
  <c r="AB102" i="5" s="1"/>
  <c r="L101" i="5"/>
  <c r="AA102" i="5" s="1"/>
  <c r="K101" i="5"/>
  <c r="Z102" i="5" s="1"/>
  <c r="J101" i="5"/>
  <c r="Y102" i="5" s="1"/>
  <c r="I101" i="5"/>
  <c r="X102" i="5" s="1"/>
  <c r="H101" i="5"/>
  <c r="W102" i="5" s="1"/>
  <c r="G101" i="5"/>
  <c r="V102" i="5" s="1"/>
  <c r="F101" i="5"/>
  <c r="U102" i="5" s="1"/>
  <c r="E101" i="5"/>
  <c r="T102" i="5" s="1"/>
  <c r="D101" i="5"/>
  <c r="S102" i="5" s="1"/>
  <c r="C101" i="5"/>
  <c r="R102" i="5" s="1"/>
  <c r="N108" i="4"/>
  <c r="M108" i="4"/>
  <c r="L108" i="4"/>
  <c r="K108" i="4"/>
  <c r="J108" i="4"/>
  <c r="I108" i="4"/>
  <c r="H108" i="4"/>
  <c r="G108" i="4"/>
  <c r="F108" i="4"/>
  <c r="E108" i="4"/>
  <c r="D108" i="4"/>
  <c r="C108" i="4"/>
  <c r="AC53" i="4"/>
  <c r="AC54" i="4" s="1"/>
  <c r="AB53" i="4"/>
  <c r="AA53" i="4"/>
  <c r="Z53" i="4"/>
  <c r="Y53" i="4"/>
  <c r="Y54" i="4" s="1"/>
  <c r="X53" i="4"/>
  <c r="X54" i="4" s="1"/>
  <c r="W53" i="4"/>
  <c r="W54" i="4" s="1"/>
  <c r="V53" i="4"/>
  <c r="U53" i="4"/>
  <c r="T53" i="4"/>
  <c r="S53" i="4"/>
  <c r="S54" i="4" s="1"/>
  <c r="R53" i="4"/>
  <c r="AC133" i="3"/>
  <c r="AA5" i="2" s="1"/>
  <c r="AA8" i="2" s="1"/>
  <c r="AB133" i="3"/>
  <c r="Z5" i="2" s="1"/>
  <c r="Z8" i="2" s="1"/>
  <c r="AA133" i="3"/>
  <c r="Y5" i="2" s="1"/>
  <c r="Y8" i="2" s="1"/>
  <c r="Z133" i="3"/>
  <c r="X5" i="2" s="1"/>
  <c r="X8" i="2" s="1"/>
  <c r="Y133" i="3"/>
  <c r="W5" i="2" s="1"/>
  <c r="W8" i="2" s="1"/>
  <c r="X133" i="3"/>
  <c r="V5" i="2" s="1"/>
  <c r="V8" i="2" s="1"/>
  <c r="W133" i="3"/>
  <c r="U5" i="2" s="1"/>
  <c r="U8" i="2" s="1"/>
  <c r="V133" i="3"/>
  <c r="T5" i="2" s="1"/>
  <c r="T8" i="2" s="1"/>
  <c r="U133" i="3"/>
  <c r="S5" i="2" s="1"/>
  <c r="S8" i="2" s="1"/>
  <c r="T133" i="3"/>
  <c r="R5" i="2" s="1"/>
  <c r="R8" i="2" s="1"/>
  <c r="S133" i="3"/>
  <c r="Q5" i="2" s="1"/>
  <c r="Q8" i="2" s="1"/>
  <c r="R133" i="3"/>
  <c r="P5" i="2" s="1"/>
  <c r="P8" i="2" s="1"/>
  <c r="N133" i="3"/>
  <c r="N5" i="2" s="1"/>
  <c r="N8" i="2" s="1"/>
  <c r="M133" i="3"/>
  <c r="M5" i="2" s="1"/>
  <c r="M8" i="2" s="1"/>
  <c r="L133" i="3"/>
  <c r="K133" i="3"/>
  <c r="K5" i="2" s="1"/>
  <c r="K8" i="2" s="1"/>
  <c r="J133" i="3"/>
  <c r="I133" i="3"/>
  <c r="I5" i="2" s="1"/>
  <c r="I8" i="2" s="1"/>
  <c r="H133" i="3"/>
  <c r="H5" i="2" s="1"/>
  <c r="H8" i="2" s="1"/>
  <c r="G133" i="3"/>
  <c r="G5" i="2" s="1"/>
  <c r="G8" i="2" s="1"/>
  <c r="F133" i="3"/>
  <c r="U134" i="3" s="1"/>
  <c r="S9" i="2" s="1"/>
  <c r="E133" i="3"/>
  <c r="T134" i="3" s="1"/>
  <c r="R9" i="2" s="1"/>
  <c r="D133" i="3"/>
  <c r="D5" i="2" s="1"/>
  <c r="D8" i="2" s="1"/>
  <c r="C133" i="3"/>
  <c r="N4" i="2"/>
  <c r="M4" i="2"/>
  <c r="L4" i="2"/>
  <c r="K4" i="2"/>
  <c r="J4" i="2"/>
  <c r="I4" i="2"/>
  <c r="H4" i="2"/>
  <c r="G4" i="2"/>
  <c r="F4" i="2"/>
  <c r="E4" i="2"/>
  <c r="D4" i="2"/>
  <c r="C4" i="2"/>
  <c r="Y134" i="3" l="1"/>
  <c r="W9" i="2" s="1"/>
  <c r="G24" i="7"/>
  <c r="G38" i="7"/>
  <c r="G47" i="7"/>
  <c r="G63" i="7" s="1"/>
  <c r="T54" i="4"/>
  <c r="G18" i="7"/>
  <c r="R103" i="8"/>
  <c r="Z103" i="6"/>
  <c r="AA54" i="4"/>
  <c r="AA134" i="3"/>
  <c r="Y9" i="2" s="1"/>
  <c r="J5" i="2"/>
  <c r="J8" i="2" s="1"/>
  <c r="W12" i="2" s="1"/>
  <c r="L5" i="2"/>
  <c r="L8" i="2" s="1"/>
  <c r="Y12" i="2" s="1"/>
  <c r="X134" i="3"/>
  <c r="V9" i="2" s="1"/>
  <c r="W134" i="3"/>
  <c r="U9" i="2" s="1"/>
  <c r="S134" i="3"/>
  <c r="Q9" i="2" s="1"/>
  <c r="E5" i="2"/>
  <c r="E8" i="2" s="1"/>
  <c r="R12" i="2" s="1"/>
  <c r="F5" i="2"/>
  <c r="F8" i="2" s="1"/>
  <c r="S12" i="2" s="1"/>
  <c r="V103" i="6"/>
  <c r="R103" i="6"/>
  <c r="T103" i="6"/>
  <c r="S103" i="6"/>
  <c r="AB134" i="3"/>
  <c r="Z9" i="2" s="1"/>
  <c r="AB54" i="4"/>
  <c r="Z54" i="4"/>
  <c r="V54" i="4"/>
  <c r="U54" i="4"/>
  <c r="R54" i="4"/>
  <c r="AC134" i="3"/>
  <c r="AA9" i="2" s="1"/>
  <c r="Z12" i="2"/>
  <c r="X12" i="2"/>
  <c r="Q12" i="2"/>
  <c r="R134" i="3"/>
  <c r="P9" i="2" s="1"/>
  <c r="U12" i="2"/>
  <c r="T12" i="2"/>
  <c r="AA12" i="2"/>
  <c r="V12" i="2"/>
  <c r="V134" i="3"/>
  <c r="T9" i="2" s="1"/>
  <c r="Z134" i="3"/>
  <c r="X9" i="2" s="1"/>
  <c r="C5" i="2"/>
  <c r="V21" i="2" l="1"/>
  <c r="R21" i="2"/>
  <c r="Z21" i="2"/>
  <c r="C8" i="2"/>
  <c r="P12" i="2" s="1"/>
  <c r="P21" i="2" s="1"/>
  <c r="X21" i="2"/>
  <c r="T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Unknown Author</author>
  </authors>
  <commentList>
    <comment ref="V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2 vỉ tặng KH SCC + 1 vỉ Yến tặng Mỏ hóa chất</t>
        </r>
      </text>
    </comment>
    <comment ref="M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ÚP</t>
        </r>
      </text>
    </comment>
    <comment ref="P11" authorId="1" shapeId="0" xr:uid="{00000000-0006-0000-0200-000003000000}">
      <text>
        <r>
          <rPr>
            <sz val="10"/>
            <rFont val="Arial"/>
            <family val="2"/>
          </rPr>
          <t>Hóa chất mỏ</t>
        </r>
      </text>
    </comment>
    <comment ref="P13" authorId="1" shapeId="0" xr:uid="{00000000-0006-0000-0200-000004000000}">
      <text>
        <r>
          <rPr>
            <sz val="10"/>
            <rFont val="Arial"/>
            <family val="2"/>
          </rPr>
          <t>Hanet</t>
        </r>
      </text>
    </comment>
    <comment ref="R15" authorId="1" shapeId="0" xr:uid="{00000000-0006-0000-0200-000005000000}">
      <text>
        <r>
          <rPr>
            <sz val="10"/>
            <rFont val="Arial"/>
            <family val="2"/>
          </rPr>
          <t>Karaoke Diamond</t>
        </r>
      </text>
    </comment>
    <comment ref="R1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kho Thanh</t>
        </r>
      </text>
    </comment>
    <comment ref="R20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kho Thanh</t>
        </r>
      </text>
    </comment>
    <comment ref="R2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Hương biển-kho thanh</t>
        </r>
      </text>
    </comment>
    <comment ref="R2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kho Thanh</t>
        </r>
      </text>
    </comment>
    <comment ref="AB2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kho Thanh</t>
        </r>
      </text>
    </comment>
    <comment ref="R3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cưới hỏi</t>
        </r>
      </text>
    </comment>
    <comment ref="Z40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bà Liên-SCC</t>
        </r>
      </text>
    </comment>
    <comment ref="P4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TCT</t>
        </r>
      </text>
    </comment>
    <comment ref="P42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Phủi</t>
        </r>
      </text>
    </comment>
    <comment ref="P43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ship vào kho hà lầm</t>
        </r>
      </text>
    </comment>
    <comment ref="P4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Hạnh Hà cho</t>
        </r>
      </text>
    </comment>
    <comment ref="P48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Karoke Diamond</t>
        </r>
      </text>
    </comment>
    <comment ref="P4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minh Tuấn 3</t>
        </r>
      </text>
    </comment>
    <comment ref="P54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Hóa chất mỏ</t>
        </r>
      </text>
    </comment>
    <comment ref="P58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Vinacontrol</t>
        </r>
      </text>
    </comment>
    <comment ref="Q66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Minh Tuấn 3</t>
        </r>
      </text>
    </comment>
    <comment ref="Q67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Ruby</t>
        </r>
      </text>
    </comment>
    <comment ref="Q6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Ruby</t>
        </r>
      </text>
    </comment>
    <comment ref="R77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đơn BC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7" authorId="0" shapeId="0" xr:uid="{00000000-0006-0000-0300-000001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8" authorId="0" shapeId="0" xr:uid="{00000000-0006-0000-0300-000002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9" authorId="0" shapeId="0" xr:uid="{00000000-0006-0000-0300-000003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3/4: đơn yết kiêu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7" authorId="0" shapeId="0" xr:uid="{00000000-0006-0000-0400-000001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8" authorId="0" shapeId="0" xr:uid="{00000000-0006-0000-0400-000002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9" authorId="0" shapeId="0" xr:uid="{00000000-0006-0000-0400-000003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3/4: đơn yết kiêu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6" authorId="0" shapeId="0" xr:uid="{00000000-0006-0000-0500-000001000000}">
      <text>
        <r>
          <rPr>
            <sz val="10"/>
            <rFont val="Arial"/>
            <family val="2"/>
          </rPr>
          <t>số 14 cạnh phường yết kiêu</t>
        </r>
      </text>
    </comment>
    <comment ref="AF7" authorId="0" shapeId="0" xr:uid="{00000000-0006-0000-0500-000002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8" authorId="0" shapeId="0" xr:uid="{00000000-0006-0000-0500-000003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9" authorId="0" shapeId="0" xr:uid="{00000000-0006-0000-0500-000004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3/4: đơn yết kiêu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6" authorId="0" shapeId="0" xr:uid="{00000000-0006-0000-0700-000001000000}">
      <text>
        <r>
          <rPr>
            <sz val="10"/>
            <rFont val="Arial"/>
            <family val="2"/>
          </rPr>
          <t>số 14 cạnh phường yết kiêu</t>
        </r>
      </text>
    </comment>
    <comment ref="AF7" authorId="0" shapeId="0" xr:uid="{00000000-0006-0000-0700-000002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8" authorId="0" shapeId="0" xr:uid="{00000000-0006-0000-0700-000003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2/4</t>
        </r>
      </text>
    </comment>
    <comment ref="AF10" authorId="0" shapeId="0" xr:uid="{00000000-0006-0000-0700-000004000000}">
      <text>
        <r>
          <rPr>
            <sz val="10"/>
            <rFont val="Arial"/>
            <family val="2"/>
          </rPr>
          <t xml:space="preserve">Win10Pro:
</t>
        </r>
        <r>
          <rPr>
            <sz val="9"/>
            <color rgb="FF000000"/>
            <rFont val="Tahoma"/>
            <family val="2"/>
            <charset val="1"/>
          </rPr>
          <t>3/4: đơn yết kiêu</t>
        </r>
      </text>
    </comment>
  </commentList>
</comments>
</file>

<file path=xl/sharedStrings.xml><?xml version="1.0" encoding="utf-8"?>
<sst xmlns="http://schemas.openxmlformats.org/spreadsheetml/2006/main" count="1362" uniqueCount="725">
  <si>
    <t>NHẬP</t>
  </si>
  <si>
    <t>XUẤT</t>
  </si>
  <si>
    <t>Vỉ 500ml</t>
  </si>
  <si>
    <t>TẶNG Vỉ 500ml</t>
  </si>
  <si>
    <t>Thùng 500 ml</t>
  </si>
  <si>
    <t>TẶNG Thùng 500 ml</t>
  </si>
  <si>
    <t>Vỉ 350ml</t>
  </si>
  <si>
    <t>TẶNG Vỉ 350ml</t>
  </si>
  <si>
    <t>Thùng 350 ml</t>
  </si>
  <si>
    <t>TẶNG Thùng 350 ml</t>
  </si>
  <si>
    <t>Bình Ion</t>
  </si>
  <si>
    <t>TẶNG Bình Ion</t>
  </si>
  <si>
    <t>Bình RO</t>
  </si>
  <si>
    <t>TẶNG Bình RO</t>
  </si>
  <si>
    <t>Bộ phận</t>
  </si>
  <si>
    <t>Tồn Đầu kỳ</t>
  </si>
  <si>
    <t>KHO TỔNG</t>
  </si>
  <si>
    <t>TỔNG NHẬP</t>
  </si>
  <si>
    <t>TỔNG XUẤT</t>
  </si>
  <si>
    <t>KHO VP</t>
  </si>
  <si>
    <t>TỔNG TỒN CUỐI KỲ</t>
  </si>
  <si>
    <t>THỰC TẾ</t>
  </si>
  <si>
    <t>KHO HUẾ</t>
  </si>
  <si>
    <t>KHO ĐÁ TRẮNG</t>
  </si>
  <si>
    <t>CÔNG NỢ</t>
  </si>
  <si>
    <t xml:space="preserve">KHO </t>
  </si>
  <si>
    <t>CHÊNH LỆCH</t>
  </si>
  <si>
    <t>KH</t>
  </si>
  <si>
    <t>-</t>
  </si>
  <si>
    <t>THÀNH TIỀN</t>
  </si>
  <si>
    <t>TÌNH TRẠNG</t>
  </si>
  <si>
    <t>VẬN CHUYỂN</t>
  </si>
  <si>
    <t>THÔNG TIN KH</t>
  </si>
  <si>
    <t>Hộp 500 ml</t>
  </si>
  <si>
    <t>TẶNG Hộp 500 ml</t>
  </si>
  <si>
    <t>Hộp 350 ml</t>
  </si>
  <si>
    <t>TẶNG Hộp 350 ml</t>
  </si>
  <si>
    <t>HỌ VÀ TÊN</t>
  </si>
  <si>
    <t>BỘ PHẬN</t>
  </si>
  <si>
    <t>Hộp  350 ml</t>
  </si>
  <si>
    <t>Kho Huế</t>
  </si>
  <si>
    <t>Lương Minh Hương</t>
  </si>
  <si>
    <t>Văn Phòng</t>
  </si>
  <si>
    <t>Đinh Thu Huế</t>
  </si>
  <si>
    <t>Trương Thị Hải Yến</t>
  </si>
  <si>
    <t>Vũ Thị Tươi</t>
  </si>
  <si>
    <t>Đá Trắng</t>
  </si>
  <si>
    <t>Đỗ Thị Thanh Hà</t>
  </si>
  <si>
    <t>Hạ Long</t>
  </si>
  <si>
    <t xml:space="preserve">Phạm Thị Thu </t>
  </si>
  <si>
    <t>Chế Thùy Dung</t>
  </si>
  <si>
    <t>Phạm Vũ Quyền</t>
  </si>
  <si>
    <t xml:space="preserve"> </t>
  </si>
  <si>
    <t xml:space="preserve"> TẶNG Vỉ 500ml</t>
  </si>
  <si>
    <t xml:space="preserve"> Thùng 500 ml</t>
  </si>
  <si>
    <t xml:space="preserve"> TẶNG Thùng 500 ml</t>
  </si>
  <si>
    <t xml:space="preserve"> TẶNG Vỉ 350ml</t>
  </si>
  <si>
    <t xml:space="preserve"> TẶNG Thùng 350 ml</t>
  </si>
  <si>
    <t xml:space="preserve"> TẶNG Bình Ion</t>
  </si>
  <si>
    <t xml:space="preserve"> TẶNG Bình RO</t>
  </si>
  <si>
    <t>Họ tên</t>
  </si>
  <si>
    <t>sân Pick star</t>
  </si>
  <si>
    <t>Công ty</t>
  </si>
  <si>
    <t>Vũ Thị Thúy Phương</t>
  </si>
  <si>
    <t>trường LHP</t>
  </si>
  <si>
    <t>Bãi Cháy</t>
  </si>
  <si>
    <t>Trần Trọng Khoa</t>
  </si>
  <si>
    <t>Tồn Cuối Kỳ</t>
  </si>
  <si>
    <t>Lấy bình</t>
  </si>
  <si>
    <t>Trả Vỏ</t>
  </si>
  <si>
    <t>.../08/2025</t>
  </si>
  <si>
    <t>Thảo (KD)</t>
  </si>
  <si>
    <t>(Trả 10 vỏ lấy tháng 8 ngày 14/10/2025)</t>
  </si>
  <si>
    <t>17/9/2025</t>
  </si>
  <si>
    <t>VP Xí nghiệp</t>
  </si>
  <si>
    <t>Hiên - Kẹp chì</t>
  </si>
  <si>
    <t>22/9/2025</t>
  </si>
  <si>
    <t>Hồng Gai</t>
  </si>
  <si>
    <t>02/10/2025</t>
  </si>
  <si>
    <t>Chị Thu Yết Kiêu</t>
  </si>
  <si>
    <t>(10 bình ion)</t>
  </si>
  <si>
    <t>14/10/2025</t>
  </si>
  <si>
    <t>Quỳnh</t>
  </si>
  <si>
    <t>C Tươi</t>
  </si>
  <si>
    <t>Tổng cộng</t>
  </si>
  <si>
    <t>Nợ cũ</t>
  </si>
  <si>
    <t>Lấy mới</t>
  </si>
  <si>
    <t>Trả vỏ</t>
  </si>
  <si>
    <t>Còn nợ</t>
  </si>
  <si>
    <t>Tháng 11</t>
  </si>
  <si>
    <t>Hiên</t>
  </si>
  <si>
    <t>Thu</t>
  </si>
  <si>
    <t>Tổng nợ</t>
  </si>
  <si>
    <t>Tháng 12</t>
  </si>
  <si>
    <t>Tháng 1/2026</t>
  </si>
  <si>
    <t>Thơ</t>
  </si>
  <si>
    <t>Dung Cương</t>
  </si>
  <si>
    <t>VPXN</t>
  </si>
  <si>
    <t>Khoa</t>
  </si>
  <si>
    <t>Khoa trả trực tiếp cho xe CP</t>
  </si>
  <si>
    <t>Trả 4 vỏ từ VPXN (2 vỏ của Quỳnh + 2 vỏ thịt chó Long Bình)</t>
  </si>
  <si>
    <t>Yến KD</t>
  </si>
  <si>
    <t>Tháng 2/2026</t>
  </si>
  <si>
    <t>trả 4 bình Ro cho kho; Lệ VPCT vận nợ 4 bình</t>
  </si>
  <si>
    <t>Lệ nợ Hiền</t>
  </si>
  <si>
    <t>Thịt chó Long Bình</t>
  </si>
  <si>
    <t>Đã trả vỏ ngày 3/2 cho xe CP</t>
  </si>
  <si>
    <t>Hiền vay Chung 1 bình</t>
  </si>
  <si>
    <t>Số 3 Đông Hồ</t>
  </si>
  <si>
    <t>C Lan Bình</t>
  </si>
  <si>
    <t>C Tươi dốc bệnh viện (Khách của Dung P Kế toán)</t>
  </si>
  <si>
    <t xml:space="preserve">Đặng Văn Thơ </t>
  </si>
  <si>
    <t>Cao Xanh</t>
  </si>
  <si>
    <t>Lê Thịnh</t>
  </si>
  <si>
    <t>Cao Xanh (Nguyễn Thị Huy)</t>
  </si>
  <si>
    <t>Nguyễn Thị Hằng</t>
  </si>
  <si>
    <t>Tăng Thị Thơm</t>
  </si>
  <si>
    <t>C Huy Thu ngân</t>
  </si>
  <si>
    <t>Vũ Thị Thanh Thảo</t>
  </si>
  <si>
    <t>Vũ Thị Thanh Thảo Hạ Long</t>
  </si>
  <si>
    <t>Hành Chính</t>
  </si>
  <si>
    <t>Lệ VPCT</t>
  </si>
  <si>
    <t>Phạm Thu Quỳnh</t>
  </si>
  <si>
    <t>Nguyễn Thị Lan</t>
  </si>
  <si>
    <t>Hành chính</t>
  </si>
  <si>
    <t xml:space="preserve">Hồng Gai (Vũ Thị Mai Huệ) </t>
  </si>
  <si>
    <t>Vũ Thị Thuý Phương</t>
  </si>
  <si>
    <t>Kế toán</t>
  </si>
  <si>
    <t>Nguyễn Phương Thảo</t>
  </si>
  <si>
    <t>Kinh doanh</t>
  </si>
  <si>
    <t>Tồn kho Cao Xanh</t>
  </si>
  <si>
    <t>Tồn kho Hồng Hải</t>
  </si>
  <si>
    <t>Tồn kho VPXN</t>
  </si>
  <si>
    <t>THÔNG TIN</t>
  </si>
  <si>
    <t>KHÁCH HÀNG</t>
  </si>
  <si>
    <t>ĐT</t>
  </si>
  <si>
    <t>NỢ CŨ</t>
  </si>
  <si>
    <t>TRẢ VỎ</t>
  </si>
  <si>
    <t>NỢ VỎ MỚI</t>
  </si>
  <si>
    <t>Trả XN</t>
  </si>
  <si>
    <t xml:space="preserve">ĐẶT CỌC </t>
  </si>
  <si>
    <t>GHI CHÚ</t>
  </si>
  <si>
    <t>Vòi</t>
  </si>
  <si>
    <t>Phạm Thị Thanh Huyền</t>
  </si>
  <si>
    <t>0376984622</t>
  </si>
  <si>
    <t>Nguyễn Thị Thùy</t>
  </si>
  <si>
    <t>Lương Văn Thạnh</t>
  </si>
  <si>
    <t>0912155500</t>
  </si>
  <si>
    <t>TNHH Hà Linh 79 A12/12 Monbay</t>
  </si>
  <si>
    <t>0988221224</t>
  </si>
  <si>
    <t>Đàm Hưng</t>
  </si>
  <si>
    <t>090 4158188</t>
  </si>
  <si>
    <t>Nguyễn Thị Thu Hiên</t>
  </si>
  <si>
    <t>Phạm Tuyết Dung</t>
  </si>
  <si>
    <t>Đông Triều</t>
  </si>
  <si>
    <t>Hà Lầm</t>
  </si>
  <si>
    <t>C Huyền- XNN Đông Triều</t>
  </si>
  <si>
    <t>`</t>
  </si>
  <si>
    <t>Trần Lệ Hoa</t>
  </si>
  <si>
    <t>chung cư Cẩm Bình</t>
  </si>
  <si>
    <t>Trần Thị Ánh Nguyệt</t>
  </si>
  <si>
    <t>Hà Thị Hằng</t>
  </si>
  <si>
    <t>Nguyễn Thị Hồng Phương</t>
  </si>
  <si>
    <t>Nguyễn Thị Ngà</t>
  </si>
  <si>
    <t>4 vỏ trả 13/07</t>
  </si>
  <si>
    <t>Vũ Thị Mai Huệ</t>
  </si>
  <si>
    <t>Đỗ Thị Vượng</t>
  </si>
  <si>
    <t>Nguyễn Thị Mai Dung</t>
  </si>
  <si>
    <t>huế trả chung cư ruby</t>
  </si>
  <si>
    <t>trả diamond</t>
  </si>
  <si>
    <t>Vũ Thị Thu Vân</t>
  </si>
  <si>
    <t>CDC</t>
  </si>
  <si>
    <t>Nguyễn Thế Mạnh</t>
  </si>
  <si>
    <t>Trạm Cao Xanh</t>
  </si>
  <si>
    <t>Nguyễn Huy Toàn</t>
  </si>
  <si>
    <t>Bùi Thùy Dương</t>
  </si>
  <si>
    <t>Trần Thị Gấm</t>
  </si>
  <si>
    <t>Tô Thị Huệ</t>
  </si>
  <si>
    <t>Nguyễn Văn Thức</t>
  </si>
  <si>
    <t>Đỗ Thị Lan</t>
  </si>
  <si>
    <t>Trần Thị Tuyết Lan</t>
  </si>
  <si>
    <t>Nguyễn Thị Hiền Nương</t>
  </si>
  <si>
    <t>Nguyễn Thị Ngọc Anh</t>
  </si>
  <si>
    <t>Nguyễn Đại Quân</t>
  </si>
  <si>
    <t>Nguyễn Tùng Cương</t>
  </si>
  <si>
    <t>Vũ Đức Duy</t>
  </si>
  <si>
    <t>Phạm Thị Huyền</t>
  </si>
  <si>
    <t>Trạm Hà Lầm</t>
  </si>
  <si>
    <t>Tổ DV</t>
  </si>
  <si>
    <t>Phạm Thị Đan Thanh</t>
  </si>
  <si>
    <t>Đỗ Thị Liễu</t>
  </si>
  <si>
    <t>Khổng Thị Thu Trang</t>
  </si>
  <si>
    <t>Lại Thị Lan</t>
  </si>
  <si>
    <t>Mạc Anh Tuấn</t>
  </si>
  <si>
    <t>Phan Hồng Hạnh</t>
  </si>
  <si>
    <t>Nguyễn Thanh Xuyền</t>
  </si>
  <si>
    <t>Dương Thị Thu</t>
  </si>
  <si>
    <t>Lưu Hải Yến</t>
  </si>
  <si>
    <t>Nguyễn Thị Hiền</t>
  </si>
  <si>
    <t>Bùi Thị Diệu Linh</t>
  </si>
  <si>
    <t>Đỗ Thị Hiền</t>
  </si>
  <si>
    <t>Đỗ Thị Thu Hoàn</t>
  </si>
  <si>
    <t>Đoàn Thị Nhung</t>
  </si>
  <si>
    <t>Nguyễn Thị Huy</t>
  </si>
  <si>
    <t xml:space="preserve"> SCC</t>
  </si>
  <si>
    <t>Chưa thanh toán</t>
  </si>
  <si>
    <t>Đã thanh toán</t>
  </si>
  <si>
    <t>Ban An toàn</t>
  </si>
  <si>
    <t>Tình trạng</t>
  </si>
  <si>
    <t>BỐC HÀNG</t>
  </si>
  <si>
    <t>Ban kiểm soát</t>
  </si>
  <si>
    <t>Ban Lãnh đạo</t>
  </si>
  <si>
    <t>Ban QL</t>
  </si>
  <si>
    <t>BP Kế toán</t>
  </si>
  <si>
    <t>BP Kinh doanh</t>
  </si>
  <si>
    <t>BP Kỹ thuật</t>
  </si>
  <si>
    <t>BP Quản trị</t>
  </si>
  <si>
    <t>Bùi Bích Phương</t>
  </si>
  <si>
    <t>Cẩm Phả</t>
  </si>
  <si>
    <t>Bùi Diệu Ninh</t>
  </si>
  <si>
    <t>Bùi Đức Hoàng</t>
  </si>
  <si>
    <t>Miền Đông</t>
  </si>
  <si>
    <t>Bùi Hà Thu</t>
  </si>
  <si>
    <t>Móng Cái</t>
  </si>
  <si>
    <t>Bùi Hoàng Minh</t>
  </si>
  <si>
    <t>NMN DV</t>
  </si>
  <si>
    <t>Bùi Hồng Nhung</t>
  </si>
  <si>
    <t>Phòng Công nghệ</t>
  </si>
  <si>
    <t>Bùi Huy Hùng</t>
  </si>
  <si>
    <t>Phòng Kế hoạch</t>
  </si>
  <si>
    <t>Bùi Huyền Trang</t>
  </si>
  <si>
    <t>Phòng Kinh doanh</t>
  </si>
  <si>
    <t>Bùi Khắc Thuấn</t>
  </si>
  <si>
    <t>Phòng Kỹ thuật</t>
  </si>
  <si>
    <t>Bùi Khánh Ly</t>
  </si>
  <si>
    <t>Phòng Môi trường</t>
  </si>
  <si>
    <t>Bùi Minh Quang</t>
  </si>
  <si>
    <t>Phòng Quản trị</t>
  </si>
  <si>
    <t>Bùi Minh Thái</t>
  </si>
  <si>
    <t>Phòng Tài chính</t>
  </si>
  <si>
    <t>Bùi Ngọc Đàm</t>
  </si>
  <si>
    <t>Phòng Tuyến mạng</t>
  </si>
  <si>
    <t>Bùi Ngọc Mai</t>
  </si>
  <si>
    <t>Phòng Xây dựng</t>
  </si>
  <si>
    <t>Bùi Ngọc Nguyên</t>
  </si>
  <si>
    <t>Quảng Yên</t>
  </si>
  <si>
    <t>Bùi Phương Nhung</t>
  </si>
  <si>
    <t>Tổ Dịch vụ</t>
  </si>
  <si>
    <t>Bùi Quang Nga</t>
  </si>
  <si>
    <t>Tổ RD</t>
  </si>
  <si>
    <t>Bùi Sỹ Hoàng</t>
  </si>
  <si>
    <t>Bùi Thị Chang</t>
  </si>
  <si>
    <t>Trạm Đá Trắng</t>
  </si>
  <si>
    <t>Bùi Thị Lan Phương</t>
  </si>
  <si>
    <t>Trạm Hạ Long</t>
  </si>
  <si>
    <t>Bùi Thị Thu</t>
  </si>
  <si>
    <t>Trạm Hà Tu</t>
  </si>
  <si>
    <t>Bùi Thị Thu Minh</t>
  </si>
  <si>
    <t>Trạm Hồng Gai</t>
  </si>
  <si>
    <t>Bùi Thị Thùy Linh</t>
  </si>
  <si>
    <t>Uông Bí</t>
  </si>
  <si>
    <t>Bùi Thị Tuyết Vân</t>
  </si>
  <si>
    <t>Vân Đồn</t>
  </si>
  <si>
    <t>Bùi Thu Giang</t>
  </si>
  <si>
    <t>Bùi Văn Tình</t>
  </si>
  <si>
    <t>CẨM PHẢ</t>
  </si>
  <si>
    <t>Cao Trường Sơn</t>
  </si>
  <si>
    <t>Chu Hoài Nam</t>
  </si>
  <si>
    <t>Đặng Thanh Tùng</t>
  </si>
  <si>
    <t>Đặng Thế Anh</t>
  </si>
  <si>
    <t>Đặng Thị Hường</t>
  </si>
  <si>
    <t>Đặng Thu Huyền</t>
  </si>
  <si>
    <t>Đặng Văn Thơ</t>
  </si>
  <si>
    <t>Đào Duy Tùng</t>
  </si>
  <si>
    <t>Đào Thị Ngọc Anh</t>
  </si>
  <si>
    <t>Đào Thùy Mỵ</t>
  </si>
  <si>
    <t>Đinh Quang Toản</t>
  </si>
  <si>
    <t>Đinh Thư Tuyền</t>
  </si>
  <si>
    <t>Đinh Thùy Vân</t>
  </si>
  <si>
    <t>Đỗ Anh Ngọc</t>
  </si>
  <si>
    <t>Đỗ Hồng Thắm</t>
  </si>
  <si>
    <t>Đỗ Mạnh Linh</t>
  </si>
  <si>
    <t>Đỗ Minh Tân</t>
  </si>
  <si>
    <t>Đỗ Thị Huyền</t>
  </si>
  <si>
    <t>Đỗ Thị Kim Thư</t>
  </si>
  <si>
    <t>Đỗ Thị Ngọc Mai</t>
  </si>
  <si>
    <t>Đoàn Mạnh Dương</t>
  </si>
  <si>
    <t>Đoàn Sơn Tùng</t>
  </si>
  <si>
    <t>Đoàn Thị Cẩm Tuyến</t>
  </si>
  <si>
    <t>Đoàn Thị Thanh Tâm</t>
  </si>
  <si>
    <t>Đoàn Thị Thu Trang</t>
  </si>
  <si>
    <t>Đoàn Văn Quang</t>
  </si>
  <si>
    <t>Đoàn Việt Anh</t>
  </si>
  <si>
    <t>Dư Văn Cẩm</t>
  </si>
  <si>
    <t>Dương Công Tưởng</t>
  </si>
  <si>
    <t>Dương Thị Lương</t>
  </si>
  <si>
    <t>Dương Tuấn Anh</t>
  </si>
  <si>
    <t>Dương Văn Vy</t>
  </si>
  <si>
    <t>Giang Duy Phúc</t>
  </si>
  <si>
    <t>Hà Thanh Tùng A</t>
  </si>
  <si>
    <t>Hà Thanh Tùng B</t>
  </si>
  <si>
    <t>Hà Thị Luyến</t>
  </si>
  <si>
    <t>Hà Thị Yên</t>
  </si>
  <si>
    <t>Hồ Sĩ Hùng</t>
  </si>
  <si>
    <t>Hoàng Hồng Nhung</t>
  </si>
  <si>
    <t>Hoàng Mạnh Hùng</t>
  </si>
  <si>
    <t>Hoàng Ngọc Hà</t>
  </si>
  <si>
    <t>Hoàng Ngọc Toàn</t>
  </si>
  <si>
    <t>Hoàng Quang Huy</t>
  </si>
  <si>
    <t>Hoàng Quốc Hưng</t>
  </si>
  <si>
    <t>Hoàng Thị Dung</t>
  </si>
  <si>
    <t>Hoàng Thị Kim Ngân</t>
  </si>
  <si>
    <t>Hoàng Thị Lệ</t>
  </si>
  <si>
    <t>Hoàng Thị Mười</t>
  </si>
  <si>
    <t>Hoàng Thị Phương</t>
  </si>
  <si>
    <t>Hoàng Tiến Hiệp</t>
  </si>
  <si>
    <t>Hoàng Trường Giang</t>
  </si>
  <si>
    <t>Khổng Minh Tuấn</t>
  </si>
  <si>
    <t>Lại Thị Lập</t>
  </si>
  <si>
    <t>Lê Anh Đức</t>
  </si>
  <si>
    <t>Lê Hạnh Phúc</t>
  </si>
  <si>
    <t>Lê Hoàng Anh</t>
  </si>
  <si>
    <t>Lê Minh Đức</t>
  </si>
  <si>
    <t>Lê Như Hùng</t>
  </si>
  <si>
    <t>Lê Quang Dũng</t>
  </si>
  <si>
    <t>Lê Thị Bích Hà</t>
  </si>
  <si>
    <t>Lê Thị Hà Thu</t>
  </si>
  <si>
    <t>Lê Thị Hậu</t>
  </si>
  <si>
    <t>Lê Thị Như Quỳnh</t>
  </si>
  <si>
    <t>Lê Thị Lan Anh</t>
  </si>
  <si>
    <t>Lê Thị Sáu</t>
  </si>
  <si>
    <t>Lê Thị Tâm</t>
  </si>
  <si>
    <t>Lê Thị Thanh Xuân</t>
  </si>
  <si>
    <t>Lê Thị Thúy</t>
  </si>
  <si>
    <t>Lê Thùy Dung</t>
  </si>
  <si>
    <t>Lê Văn Cường</t>
  </si>
  <si>
    <t>Lê Văn Nghĩa</t>
  </si>
  <si>
    <t>Lê Việt Anh</t>
  </si>
  <si>
    <t>Lê Xuân Thảo</t>
  </si>
  <si>
    <t>Lương Chí Hiếu</t>
  </si>
  <si>
    <t>Lương Thị Hiền</t>
  </si>
  <si>
    <t>Lương Thị Mai Hiên</t>
  </si>
  <si>
    <t>Lương Thị Vân Mai</t>
  </si>
  <si>
    <t>Lương Văn Mạnh</t>
  </si>
  <si>
    <t>Lưu Hồng Phong</t>
  </si>
  <si>
    <t>Lưu Khánh Chi</t>
  </si>
  <si>
    <t>Lưu Thị Hiền</t>
  </si>
  <si>
    <t>Lưu Thị Phương</t>
  </si>
  <si>
    <t>Lý Ngọc Hồng</t>
  </si>
  <si>
    <t>Mạc Thị Huyền</t>
  </si>
  <si>
    <t>Mạc Thị Thanh Tú</t>
  </si>
  <si>
    <t>Mạc Văn Chung</t>
  </si>
  <si>
    <t>Mai Anh Dũng</t>
  </si>
  <si>
    <t>Mai Thị Hương</t>
  </si>
  <si>
    <t>Mai Thị Lụa</t>
  </si>
  <si>
    <t>Mai Viết Hoàng</t>
  </si>
  <si>
    <t>Nghiêm Xuân Hải</t>
  </si>
  <si>
    <t>Ngô Đông Hưng</t>
  </si>
  <si>
    <t>Ngô Thị Hải Oanh</t>
  </si>
  <si>
    <t>Ngô Thị Hồng Bích</t>
  </si>
  <si>
    <t>Ngô Thị Phương Thảo</t>
  </si>
  <si>
    <t>Ngô Thị Vân Anh</t>
  </si>
  <si>
    <t>Ngô Tôn Dũng</t>
  </si>
  <si>
    <t>Ngô Viết Hoàn</t>
  </si>
  <si>
    <t>Nguyễn Ánh Nguyệt</t>
  </si>
  <si>
    <t>Nguyễn Anh Tuấn</t>
  </si>
  <si>
    <t>Nguyễn Bảo Long</t>
  </si>
  <si>
    <t>Nguyễn Công Huy</t>
  </si>
  <si>
    <t>Nguyễn Đăng Hải</t>
  </si>
  <si>
    <t>Nguyễn Đức Nam</t>
  </si>
  <si>
    <t>Nguyễn Đức Thịnh</t>
  </si>
  <si>
    <t>Nguyễn Đức Toàn</t>
  </si>
  <si>
    <t>Nguyễn Duy Linh</t>
  </si>
  <si>
    <t>Nguyễn Hồng Nhung</t>
  </si>
  <si>
    <t>Nguyễn Huy Hoàng</t>
  </si>
  <si>
    <t>Nguyễn Huyền Thư</t>
  </si>
  <si>
    <t>Nguyễn Kim Dung</t>
  </si>
  <si>
    <t>Nguyễn Mạnh Hùng</t>
  </si>
  <si>
    <t>Nguyễn Mạnh Linh</t>
  </si>
  <si>
    <t>Nguyễn Mạnh Quang</t>
  </si>
  <si>
    <t>Nguyễn Minh Tân</t>
  </si>
  <si>
    <t>Nguyễn Ngọc Thắng</t>
  </si>
  <si>
    <t>Nguyễn Ngọc Tuấn</t>
  </si>
  <si>
    <t>Nguyễn Quang Cảnh</t>
  </si>
  <si>
    <t>Nguyễn Quang Hùng</t>
  </si>
  <si>
    <t>Nguyễn Quang Khải</t>
  </si>
  <si>
    <t>Nguyễn Quang Trung</t>
  </si>
  <si>
    <t>Nguyễn Quang Vinh</t>
  </si>
  <si>
    <t>Nguyễn Quốc Chinh</t>
  </si>
  <si>
    <t>Nguyễn Quốc Hưng</t>
  </si>
  <si>
    <t>Nguyễn Quốc Vinh</t>
  </si>
  <si>
    <t>Nguyễn Quỳnh Nga</t>
  </si>
  <si>
    <t>Nguyễn Thái Sơn</t>
  </si>
  <si>
    <t>Nguyễn Thanh Huyền</t>
  </si>
  <si>
    <t>Nguyễn Thanh Tùng</t>
  </si>
  <si>
    <t>Nguyễn Thế Đức</t>
  </si>
  <si>
    <t>Nguyễn Thế Trọng</t>
  </si>
  <si>
    <t>Nguyễn Thị Chi</t>
  </si>
  <si>
    <t>Nguyễn Thị Chinh</t>
  </si>
  <si>
    <t>Nguyễn Thị Chỉnh</t>
  </si>
  <si>
    <t>Nguyễn Thị Dịu</t>
  </si>
  <si>
    <t>Nguyễn Thị Dung</t>
  </si>
  <si>
    <t>Nguyễn Thị Hạnh</t>
  </si>
  <si>
    <t>Nguyễn Thị Hiếu</t>
  </si>
  <si>
    <t>Nguyễn Thị Hoàng Giang</t>
  </si>
  <si>
    <t>Nguyễn Thị Hồng</t>
  </si>
  <si>
    <t>Nguyễn Thị Hồng Hạnh</t>
  </si>
  <si>
    <t>Nguyễn Thị Hương</t>
  </si>
  <si>
    <t>Nguyễn Thị Hường</t>
  </si>
  <si>
    <t>Nguyễn Thị Kim Chi</t>
  </si>
  <si>
    <t>Nguyễn Thị Lan Anh</t>
  </si>
  <si>
    <t>Nguyễn Thị Mai</t>
  </si>
  <si>
    <t>Nguyễn Thị Mai Anh</t>
  </si>
  <si>
    <t>Nguyễn Thị Mai Hạnh</t>
  </si>
  <si>
    <t>Nguyễn Thị Mi</t>
  </si>
  <si>
    <t>Nguyễn Thị Ngọc Bích</t>
  </si>
  <si>
    <t>Nguyễn Thị Ngọc Chung</t>
  </si>
  <si>
    <t>Nguyễn Thị Ngọc Hà</t>
  </si>
  <si>
    <t>Nguyễn Thị Phương Thanh</t>
  </si>
  <si>
    <t>Nguyễn Thị Phương Thảo</t>
  </si>
  <si>
    <t>Nguyễn Thị Quỳnh</t>
  </si>
  <si>
    <t>Nguyễn Thị Sinh</t>
  </si>
  <si>
    <t>Nguyễn Thị Thanh</t>
  </si>
  <si>
    <t>Nguyễn Thị Thanh Dung</t>
  </si>
  <si>
    <t>Nguyễn Thị Thanh Huyền</t>
  </si>
  <si>
    <t>Nguyễn Thị Thu Hà</t>
  </si>
  <si>
    <t>Nguyễn Thị Thu Hiền</t>
  </si>
  <si>
    <t>Nguyễn Thị Thu Hương</t>
  </si>
  <si>
    <t>Nguyễn Thị Thu Quyên</t>
  </si>
  <si>
    <t>Nguyễn Thị Thu Thủy</t>
  </si>
  <si>
    <t>Nguyễn Thị Thu Trang</t>
  </si>
  <si>
    <t>Nguyễn Thị Thúy</t>
  </si>
  <si>
    <t>Nguyễn Thị Thủy</t>
  </si>
  <si>
    <t>Nguyễn Thị Thủy (B)</t>
  </si>
  <si>
    <t>Nguyễn Thị Thủy Chung</t>
  </si>
  <si>
    <t>Nguyễn Thị Thùy Dương</t>
  </si>
  <si>
    <t>Nguyễn Thị Thúy Hằng</t>
  </si>
  <si>
    <t>Nguyễn Thị Thùy Liên</t>
  </si>
  <si>
    <t>Nguyễn Thị Tình</t>
  </si>
  <si>
    <t>Nguyễn Thiện Hải</t>
  </si>
  <si>
    <t>Nguyễn Thiện Việt Đức</t>
  </si>
  <si>
    <t>Nguyễn Tiến Diện</t>
  </si>
  <si>
    <t>Nguyễn Tiến Hậu</t>
  </si>
  <si>
    <t>Nguyễn Tố Như</t>
  </si>
  <si>
    <t>Nguyễn Trọng Điệp</t>
  </si>
  <si>
    <t>Nguyễn Trung Kiên</t>
  </si>
  <si>
    <t>Nguyễn Trung Thắng</t>
  </si>
  <si>
    <t>Nguyễn Trường Xuân</t>
  </si>
  <si>
    <t>Nguyễn Tuấn Minh</t>
  </si>
  <si>
    <t>Nguyễn Tuyết Nhung</t>
  </si>
  <si>
    <t>Nguyễn Văn Bính</t>
  </si>
  <si>
    <t>Nguyễn Văn Chuyên</t>
  </si>
  <si>
    <t>Nguyễn Văn Hiếu</t>
  </si>
  <si>
    <t>Nguyễn Văn Hưng</t>
  </si>
  <si>
    <t>Nguyễn Văn Nhâm</t>
  </si>
  <si>
    <t>Nguyễn Văn Phúc</t>
  </si>
  <si>
    <t>Nguyễn Văn Sơn</t>
  </si>
  <si>
    <t>Nguyễn Văn Thụ</t>
  </si>
  <si>
    <t>Nguyễn Văn Thưa</t>
  </si>
  <si>
    <t>Nguyễn Văn Trường</t>
  </si>
  <si>
    <t>Nguyễn Văn Tuấn</t>
  </si>
  <si>
    <t>Nguyễn Văn Tùng</t>
  </si>
  <si>
    <t>Nguyễn Văn Tuyên</t>
  </si>
  <si>
    <t>Nguyễn Viết Tạo</t>
  </si>
  <si>
    <t>Nguyễn Vũ Khánh Linh</t>
  </si>
  <si>
    <t>Nguyễn Vũ Lệ</t>
  </si>
  <si>
    <t>Nguyễn Xuân Cường</t>
  </si>
  <si>
    <t>Nguyễn Xuân Hùng</t>
  </si>
  <si>
    <t>Nguyễn Xuân Minh</t>
  </si>
  <si>
    <t>Nguyễn Xuân Tuấn Anh</t>
  </si>
  <si>
    <t>Nguyễn Yến Ngọc</t>
  </si>
  <si>
    <t>Nông Thị Hạnh</t>
  </si>
  <si>
    <t>Phạm Cẩm Thúy</t>
  </si>
  <si>
    <t>Phạm Đắc Linh</t>
  </si>
  <si>
    <t>Phạm Đình Cương</t>
  </si>
  <si>
    <t>Phạm Đức Dũng</t>
  </si>
  <si>
    <t>Phạm Đức Long</t>
  </si>
  <si>
    <t>Phạm Đức Thương</t>
  </si>
  <si>
    <t>Phạm Duy Hiếu</t>
  </si>
  <si>
    <t>Phạm Duy Linh</t>
  </si>
  <si>
    <t>Phạm Hồng Văn</t>
  </si>
  <si>
    <t>Phạm Hùng Mạnh</t>
  </si>
  <si>
    <t>Phạm Lan Hương</t>
  </si>
  <si>
    <t>Phạm Lê Điềm</t>
  </si>
  <si>
    <t>Phạm Mạnh Hải</t>
  </si>
  <si>
    <t>Phạm Minh Hải</t>
  </si>
  <si>
    <t>Phạm Ngọc Thắng</t>
  </si>
  <si>
    <t>Phạm Phương Dung</t>
  </si>
  <si>
    <t>Phạm Quang Minh</t>
  </si>
  <si>
    <t>Phạm Quang Tâm</t>
  </si>
  <si>
    <t>Phạm Quốc Dũng</t>
  </si>
  <si>
    <t>Phạm Thái Sơn</t>
  </si>
  <si>
    <t>Phạm Thanh Phong</t>
  </si>
  <si>
    <t>Phạm Thanh Quang</t>
  </si>
  <si>
    <t>Phạm Thanh Trung</t>
  </si>
  <si>
    <t>Phạm Thanh Tuấn</t>
  </si>
  <si>
    <t>Phạm Thế Lương</t>
  </si>
  <si>
    <t>Phạm Thị Bích Hằng</t>
  </si>
  <si>
    <t>Phạm Thị Hoài Mai</t>
  </si>
  <si>
    <t>Phạm Thị Hồng Hạnh</t>
  </si>
  <si>
    <t>Phạm Thị Huệ</t>
  </si>
  <si>
    <t>Phạm Thị Huệ - BQL</t>
  </si>
  <si>
    <t>Phạm Thị Liên</t>
  </si>
  <si>
    <t>Phạm Thị Minh Hạnh</t>
  </si>
  <si>
    <t>Phạm Thị Ngân</t>
  </si>
  <si>
    <t>Phạm Thị Như Huệ</t>
  </si>
  <si>
    <t>Phạm Thị Quỳnh Trang</t>
  </si>
  <si>
    <t>Phạm Thị Thanh Hương</t>
  </si>
  <si>
    <t>Phạm Thị Thanh Tâm</t>
  </si>
  <si>
    <t>Phạm Thị Thu (B)</t>
  </si>
  <si>
    <t>Phạm Thị Thu Hà</t>
  </si>
  <si>
    <t>Phạm Thị Thúy Hường</t>
  </si>
  <si>
    <t>Phạm Thủy Điểm</t>
  </si>
  <si>
    <t>Phạm Thùy Dương</t>
  </si>
  <si>
    <t>Phạm Tiến Dũng</t>
  </si>
  <si>
    <t>Phạm Tiến Quỳnh</t>
  </si>
  <si>
    <t>Phạm Trung Thông</t>
  </si>
  <si>
    <t>Phạm Văn Dũng</t>
  </si>
  <si>
    <t>Phạm Văn Hiệp</t>
  </si>
  <si>
    <t>Phạm Văn Hùng</t>
  </si>
  <si>
    <t>Phạm Văn Phong</t>
  </si>
  <si>
    <t>Phạm Văn Trọng</t>
  </si>
  <si>
    <t>Phạm Xuân Hoàng</t>
  </si>
  <si>
    <t>Phan Thị Quý</t>
  </si>
  <si>
    <t>Phùng Thị Kim Phương</t>
  </si>
  <si>
    <t>Phùng Thị Phương Anh</t>
  </si>
  <si>
    <t>SCC</t>
  </si>
  <si>
    <t>Tạ Minh Hải</t>
  </si>
  <si>
    <t>Tăng Thị Cúc</t>
  </si>
  <si>
    <t>Tăng Thị Phương Thúy</t>
  </si>
  <si>
    <t>Thân Duy Oanh</t>
  </si>
  <si>
    <t>Tô Thị Hằng Nga</t>
  </si>
  <si>
    <t>Tô Thị Lan</t>
  </si>
  <si>
    <t>Tô Thị Phương</t>
  </si>
  <si>
    <t>Tô Việt Hiên</t>
  </si>
  <si>
    <t>Tống Thị Phương</t>
  </si>
  <si>
    <t>Trần Bích Ly</t>
  </si>
  <si>
    <t>Trần Hùng Mạnh</t>
  </si>
  <si>
    <t>Trần Hương Giang</t>
  </si>
  <si>
    <t>Trần Mạnh</t>
  </si>
  <si>
    <t>Trần Nam Trung</t>
  </si>
  <si>
    <t>Trần Nữ Thanh Loan</t>
  </si>
  <si>
    <t>Trần Quốc Cường</t>
  </si>
  <si>
    <t>Trần Quốc Toản</t>
  </si>
  <si>
    <t>Trần Thanh Hải</t>
  </si>
  <si>
    <t>Trần Thanh Khiêm</t>
  </si>
  <si>
    <t>Trần Thị Đan My</t>
  </si>
  <si>
    <t>Trần Thị Huệ</t>
  </si>
  <si>
    <t>Trần Thị Kim Dung</t>
  </si>
  <si>
    <t>Trần Thị Minh Hằng</t>
  </si>
  <si>
    <t>Trần Thị Nga</t>
  </si>
  <si>
    <t>Trần Thị Thắm</t>
  </si>
  <si>
    <t>Trần Thị Thu Huyền</t>
  </si>
  <si>
    <t>Trần Thị Thu Thảo</t>
  </si>
  <si>
    <t>Trần Thị Thúy An</t>
  </si>
  <si>
    <t>Trần Thị Trinh</t>
  </si>
  <si>
    <t>Trần Thị Xuyến</t>
  </si>
  <si>
    <t>Trần Thị Yến</t>
  </si>
  <si>
    <t>Trần Thùy Mai</t>
  </si>
  <si>
    <t>Trần Tiến Dũng</t>
  </si>
  <si>
    <t>Trần Văn Hoàng</t>
  </si>
  <si>
    <t>Trần Văn Hưng</t>
  </si>
  <si>
    <t>Trần Văn Nam</t>
  </si>
  <si>
    <t>Trần Việt Duy</t>
  </si>
  <si>
    <t>Trần Xuân Tường</t>
  </si>
  <si>
    <t>Trịnh Thị Nhung</t>
  </si>
  <si>
    <t>Trịnh Văn Bình</t>
  </si>
  <si>
    <t>Trịnh Văn Quang</t>
  </si>
  <si>
    <t>Trương Quốc Khánh</t>
  </si>
  <si>
    <t>Vi Đức Độ</t>
  </si>
  <si>
    <t>Vũ Đức Thắng</t>
  </si>
  <si>
    <t>Vũ Đức Toàn</t>
  </si>
  <si>
    <t>Vũ Đức Tuấn</t>
  </si>
  <si>
    <t>Vũ Hoàng Quyết</t>
  </si>
  <si>
    <t>Vũ Hồng Hà</t>
  </si>
  <si>
    <t>Vũ Hữu Long</t>
  </si>
  <si>
    <t>Vũ Mạnh Hà</t>
  </si>
  <si>
    <t>Vũ Mạnh Hùng</t>
  </si>
  <si>
    <t>Vũ Minh Huệ</t>
  </si>
  <si>
    <t>Vũ Ngọc Diệp</t>
  </si>
  <si>
    <t>Vũ Ngọc Minh</t>
  </si>
  <si>
    <t>Vũ Quang Tạo</t>
  </si>
  <si>
    <t>Vũ Quốc Hiếu</t>
  </si>
  <si>
    <t>Vũ Quốc Khánh</t>
  </si>
  <si>
    <t>Vũ Quỳnh Nhung</t>
  </si>
  <si>
    <t>Vũ Thị Anh</t>
  </si>
  <si>
    <t>Vũ Thị Đào</t>
  </si>
  <si>
    <t>Vũ Thị Hải</t>
  </si>
  <si>
    <t>Vũ Thị Khánh Huyền</t>
  </si>
  <si>
    <t>Vũ Thị Lan</t>
  </si>
  <si>
    <t>Vũ Thị Trang Nhã</t>
  </si>
  <si>
    <t>Vũ Thị Tư</t>
  </si>
  <si>
    <t>Vũ Thùy Chi</t>
  </si>
  <si>
    <t>Vũ Thùy Trang</t>
  </si>
  <si>
    <t>Vũ Trí Việt</t>
  </si>
  <si>
    <t>Vũ Trường Linh</t>
  </si>
  <si>
    <t>Vũ Văn Hách</t>
  </si>
  <si>
    <t>Vũ Văn Nguyễn</t>
  </si>
  <si>
    <t>Vũ Văn Thảo</t>
  </si>
  <si>
    <t>Vũ Văn Tuấn</t>
  </si>
  <si>
    <t>Vũ Việt Anh</t>
  </si>
  <si>
    <t>Vương Tuấn Anh</t>
  </si>
  <si>
    <t>Vương Tùng Hưng</t>
  </si>
  <si>
    <t>Vương Xuân Hùng</t>
  </si>
  <si>
    <t>Yên Tú Bân</t>
  </si>
  <si>
    <t>Nguyễn Hoàng Anh</t>
  </si>
  <si>
    <t>Huyền GS Hạ Long</t>
  </si>
  <si>
    <t>XN</t>
  </si>
  <si>
    <t>xe điện</t>
  </si>
  <si>
    <t>Mai ghi số</t>
  </si>
  <si>
    <t xml:space="preserve">a Thảo </t>
  </si>
  <si>
    <t>hương biển</t>
  </si>
  <si>
    <t>Thùy</t>
  </si>
  <si>
    <t>Huế đi ship</t>
  </si>
  <si>
    <t>Tuấn lấy nội bộ</t>
  </si>
  <si>
    <t>chi ship đơn CP</t>
  </si>
  <si>
    <t>Quỳnh lấy nội bộ</t>
  </si>
  <si>
    <t>sơn Hà tu</t>
  </si>
  <si>
    <t>Nhung</t>
  </si>
  <si>
    <t>c nhã nhà trẻ hoa hồng</t>
  </si>
  <si>
    <t>Thị Thu</t>
  </si>
  <si>
    <t xml:space="preserve">Úp </t>
  </si>
  <si>
    <t>Báo cáo chuẩn</t>
  </si>
  <si>
    <t>tổng</t>
  </si>
  <si>
    <t>chênh lệch</t>
  </si>
  <si>
    <t>Trạm y tế phường Cao Xanh</t>
  </si>
  <si>
    <t>Công ty Hanet</t>
  </si>
  <si>
    <t>Công ty du lịch Luxury</t>
  </si>
  <si>
    <t xml:space="preserve">Lê Thị Thanh Xuân </t>
  </si>
  <si>
    <t>Sở Dân tộc và Tôn giáo</t>
  </si>
  <si>
    <t>Công ty CP kinh doanh than miền Bắc Vinacomin</t>
  </si>
  <si>
    <t>Ngân hàng SHB- cột 8</t>
  </si>
  <si>
    <t>Công ty Công nghiệp Hóa chất mỏ Quảng Ninh</t>
  </si>
  <si>
    <t>Văn phòng Công chứng Hạ Long</t>
  </si>
  <si>
    <t>Nhà khách Tỉnh Quảng Ninh</t>
  </si>
  <si>
    <t>c Hằng-phố Nguyễn Lương Bằng</t>
  </si>
  <si>
    <t>Karaoke</t>
  </si>
  <si>
    <t>Cạnh Vinmart Monbay</t>
  </si>
  <si>
    <t>My Quawaco</t>
  </si>
  <si>
    <t>Nguyễn Ngọc- 755 Lê Thánh Tông</t>
  </si>
  <si>
    <t>0904306818</t>
  </si>
  <si>
    <t>Liên Ngõ 2, số 2 phố Hải Phong</t>
  </si>
  <si>
    <t>0856741990</t>
  </si>
  <si>
    <t>Văn Phòng Ủy ban nhân dân tỉnh Quảng Ninh</t>
  </si>
  <si>
    <t>KH đến mua trực tiếp</t>
  </si>
  <si>
    <t>nhà Hà Lầm</t>
  </si>
  <si>
    <t>Xí nghiệp thiết kế than Hòn Gai</t>
  </si>
  <si>
    <t>Công ty CP đầu tư nhà và hạ tầng -TKV</t>
  </si>
  <si>
    <t>chị Nghĩa -XNN Uông Bí</t>
  </si>
  <si>
    <t>0942008368</t>
  </si>
  <si>
    <t>cô Oanh</t>
  </si>
  <si>
    <t>0979913393</t>
  </si>
  <si>
    <t>KH đền vỏ</t>
  </si>
  <si>
    <t>nhà mẹ Đông Triều</t>
  </si>
  <si>
    <t>hộ gia đình</t>
  </si>
  <si>
    <t>Kh lẻ</t>
  </si>
  <si>
    <t>kh lẻ</t>
  </si>
  <si>
    <t>ngõ 1 Lê Thanh Nghị</t>
  </si>
  <si>
    <t>ngà</t>
  </si>
  <si>
    <t>liễu</t>
  </si>
  <si>
    <t>ngọc anh ship</t>
  </si>
  <si>
    <t>BC</t>
  </si>
  <si>
    <t>đỗ hà ship</t>
  </si>
  <si>
    <t>2 VỎ NB CỦA HƯƠNG</t>
  </si>
  <si>
    <t>HuƠng</t>
  </si>
  <si>
    <t>Hà Tu</t>
  </si>
  <si>
    <t>Huế bán</t>
  </si>
  <si>
    <t>sếp Tâm- vỉ km</t>
  </si>
  <si>
    <t>mạnh-cao xanh</t>
  </si>
  <si>
    <t>anh ngọc</t>
  </si>
  <si>
    <t>Quỳnh búp bê</t>
  </si>
  <si>
    <t>Dung tổ DV</t>
  </si>
  <si>
    <t>cây xăng hà trung</t>
  </si>
  <si>
    <t>Huế bán- Cưới hỏi</t>
  </si>
  <si>
    <t>sơn hà tu- the bay</t>
  </si>
  <si>
    <t>café lính</t>
  </si>
  <si>
    <t>cty</t>
  </si>
  <si>
    <t>vịt biển</t>
  </si>
  <si>
    <t>CP</t>
  </si>
  <si>
    <t>cẩm- HG</t>
  </si>
  <si>
    <t>a ngọc - CX</t>
  </si>
  <si>
    <t>FLC</t>
  </si>
  <si>
    <t>huế bán- Thái Nguyên 1</t>
  </si>
  <si>
    <t>mai anh- HG</t>
  </si>
  <si>
    <t>tuyết lan</t>
  </si>
  <si>
    <t>thuhà lầm</t>
  </si>
  <si>
    <t>KHO LẠI LAN</t>
  </si>
  <si>
    <t>XE ĐIỆN</t>
  </si>
  <si>
    <t>Tăng áp</t>
  </si>
  <si>
    <t>Viancontrol</t>
  </si>
  <si>
    <t>trả BC</t>
  </si>
  <si>
    <t>Khổng Trang</t>
  </si>
  <si>
    <t>đôi cây hk - thị thu</t>
  </si>
  <si>
    <t>Hạ Nguyên Anh</t>
  </si>
  <si>
    <t>vỉ 500ml</t>
  </si>
  <si>
    <t>vỉ 350ml</t>
  </si>
  <si>
    <t>RO</t>
  </si>
  <si>
    <t>Thanh</t>
  </si>
  <si>
    <t>nội bộ cty</t>
  </si>
  <si>
    <t>chi tiết</t>
  </si>
  <si>
    <t>QY</t>
  </si>
  <si>
    <t>MĐ</t>
  </si>
  <si>
    <t>MC</t>
  </si>
  <si>
    <t>CTY</t>
  </si>
  <si>
    <t>Phương- béo</t>
  </si>
  <si>
    <t xml:space="preserve">Nguyễn Thị Hồng Phương </t>
  </si>
  <si>
    <t>Ion</t>
  </si>
  <si>
    <t>còn lại của T8</t>
  </si>
  <si>
    <t>Nam vâu ?</t>
  </si>
  <si>
    <t>chi ship</t>
  </si>
  <si>
    <t>Xuân</t>
  </si>
  <si>
    <t>Xuất tặng</t>
  </si>
  <si>
    <t>Hằng Bảo vệ</t>
  </si>
  <si>
    <t>phương thủ kho</t>
  </si>
  <si>
    <t>nam ( vâu)</t>
  </si>
  <si>
    <t xml:space="preserve">thùy bảo vệ </t>
  </si>
  <si>
    <t>Thanh ship</t>
  </si>
  <si>
    <t>Sinh</t>
  </si>
  <si>
    <t>ub</t>
  </si>
  <si>
    <t>Hồng gai ship</t>
  </si>
  <si>
    <t>Nguyễn Đại Long</t>
  </si>
  <si>
    <t>đại long</t>
  </si>
  <si>
    <t>E tú ghi số lấy 11 vỉ 500 ship đơn ngõ 14 bãi muối</t>
  </si>
  <si>
    <t xml:space="preserve">đơn cp </t>
  </si>
  <si>
    <t>9/9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</si>
</sst>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dd/mm/yy"/>
    <numFmt numFmtId="166" formatCode="[$-42A]General"/>
  </numFmts>
  <fonts count="23" x14ac:knownFonts="1">
    <font>
      <sz val="14"/>
      <color theme="1"/>
      <name val="Times New Roman"/>
      <family val="2"/>
      <charset val="1"/>
    </font>
    <font>
      <sz val="10"/>
      <color theme="1"/>
      <name val="Times New Roman"/>
      <family val="2"/>
      <charset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sz val="14"/>
      <color rgb="FF000000"/>
      <name val="Times New Roman"/>
      <family val="1"/>
      <charset val="163"/>
    </font>
    <font>
      <sz val="10"/>
      <name val="Arial"/>
      <family val="2"/>
    </font>
    <font>
      <sz val="9"/>
      <color rgb="FF000000"/>
      <name val="Tahoma"/>
      <family val="2"/>
      <charset val="1"/>
    </font>
    <font>
      <i/>
      <sz val="14"/>
      <color theme="1"/>
      <name val="Times New Roman"/>
      <family val="1"/>
      <charset val="1"/>
    </font>
    <font>
      <i/>
      <sz val="14"/>
      <color rgb="FFFF0000"/>
      <name val="Times New Roman"/>
      <family val="1"/>
      <charset val="1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  <charset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81B3A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rgb="FFF7F7F7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theme="0"/>
        <bgColor rgb="FFF7F7F7"/>
      </patternFill>
    </fill>
    <fill>
      <patternFill patternType="solid">
        <fgColor theme="7" tint="0.39988402966399123"/>
        <bgColor rgb="FFFFEB9C"/>
      </patternFill>
    </fill>
    <fill>
      <patternFill patternType="solid">
        <fgColor rgb="FFFF0000"/>
        <bgColor rgb="FF9C0006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8" tint="0.79989013336588644"/>
        <bgColor rgb="FFDEEBF7"/>
      </patternFill>
    </fill>
    <fill>
      <patternFill patternType="solid">
        <fgColor rgb="FFFFFF00"/>
        <bgColor rgb="FFFFD966"/>
      </patternFill>
    </fill>
    <fill>
      <patternFill patternType="solid">
        <fgColor theme="2" tint="-9.9978637043366805E-2"/>
        <bgColor rgb="FFDAE3F3"/>
      </patternFill>
    </fill>
    <fill>
      <patternFill patternType="solid">
        <fgColor rgb="FFF7F7F7"/>
        <bgColor rgb="FFF2F2F2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7F7F7"/>
      </patternFill>
    </fill>
    <fill>
      <patternFill patternType="solid">
        <fgColor rgb="FFFF0000"/>
        <bgColor rgb="FFF7F7F7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5" fillId="6" borderId="3" xfId="0" applyFont="1" applyFill="1" applyBorder="1"/>
    <xf numFmtId="0" fontId="0" fillId="7" borderId="3" xfId="0" applyFill="1" applyBorder="1"/>
    <xf numFmtId="0" fontId="0" fillId="8" borderId="3" xfId="0" applyFill="1" applyBorder="1"/>
    <xf numFmtId="0" fontId="6" fillId="8" borderId="3" xfId="0" applyFont="1" applyFill="1" applyBorder="1"/>
    <xf numFmtId="0" fontId="0" fillId="9" borderId="3" xfId="0" applyFill="1" applyBorder="1"/>
    <xf numFmtId="3" fontId="0" fillId="9" borderId="3" xfId="0" applyNumberFormat="1" applyFill="1" applyBorder="1"/>
    <xf numFmtId="0" fontId="5" fillId="8" borderId="3" xfId="0" applyFont="1" applyFill="1" applyBorder="1"/>
    <xf numFmtId="0" fontId="7" fillId="0" borderId="0" xfId="0" applyFont="1"/>
    <xf numFmtId="0" fontId="7" fillId="0" borderId="3" xfId="0" applyFont="1" applyBorder="1"/>
    <xf numFmtId="3" fontId="7" fillId="0" borderId="3" xfId="0" applyNumberFormat="1" applyFont="1" applyBorder="1"/>
    <xf numFmtId="0" fontId="0" fillId="10" borderId="1" xfId="0" applyFill="1" applyBorder="1" applyAlignment="1">
      <alignment horizontal="left"/>
    </xf>
    <xf numFmtId="3" fontId="7" fillId="10" borderId="3" xfId="0" applyNumberFormat="1" applyFont="1" applyFill="1" applyBorder="1"/>
    <xf numFmtId="3" fontId="7" fillId="10" borderId="1" xfId="0" applyNumberFormat="1" applyFont="1" applyFill="1" applyBorder="1"/>
    <xf numFmtId="3" fontId="7" fillId="0" borderId="1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10" borderId="3" xfId="0" applyFill="1" applyBorder="1"/>
    <xf numFmtId="164" fontId="0" fillId="0" borderId="0" xfId="0" applyNumberFormat="1"/>
    <xf numFmtId="164" fontId="2" fillId="2" borderId="1" xfId="0" applyNumberFormat="1" applyFont="1" applyFill="1" applyBorder="1"/>
    <xf numFmtId="164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0" fillId="0" borderId="3" xfId="0" applyNumberFormat="1" applyBorder="1"/>
    <xf numFmtId="0" fontId="6" fillId="3" borderId="3" xfId="0" applyFont="1" applyFill="1" applyBorder="1"/>
    <xf numFmtId="164" fontId="6" fillId="3" borderId="3" xfId="0" applyNumberFormat="1" applyFont="1" applyFill="1" applyBorder="1"/>
    <xf numFmtId="3" fontId="1" fillId="7" borderId="3" xfId="0" applyNumberFormat="1" applyFont="1" applyFill="1" applyBorder="1"/>
    <xf numFmtId="3" fontId="0" fillId="0" borderId="0" xfId="0" applyNumberFormat="1"/>
    <xf numFmtId="164" fontId="6" fillId="5" borderId="1" xfId="0" applyNumberFormat="1" applyFont="1" applyFill="1" applyBorder="1" applyAlignment="1">
      <alignment horizontal="left"/>
    </xf>
    <xf numFmtId="0" fontId="0" fillId="5" borderId="3" xfId="0" applyFill="1" applyBorder="1"/>
    <xf numFmtId="164" fontId="0" fillId="5" borderId="3" xfId="0" applyNumberFormat="1" applyFill="1" applyBorder="1"/>
    <xf numFmtId="0" fontId="5" fillId="5" borderId="3" xfId="0" applyFont="1" applyFill="1" applyBorder="1"/>
    <xf numFmtId="0" fontId="8" fillId="5" borderId="3" xfId="0" applyFont="1" applyFill="1" applyBorder="1" applyAlignment="1">
      <alignment horizontal="right"/>
    </xf>
    <xf numFmtId="164" fontId="6" fillId="5" borderId="3" xfId="0" applyNumberFormat="1" applyFont="1" applyFill="1" applyBorder="1"/>
    <xf numFmtId="0" fontId="8" fillId="5" borderId="3" xfId="0" applyFont="1" applyFill="1" applyBorder="1" applyAlignment="1">
      <alignment horizontal="right" vertical="center"/>
    </xf>
    <xf numFmtId="164" fontId="6" fillId="5" borderId="3" xfId="0" applyNumberFormat="1" applyFont="1" applyFill="1" applyBorder="1" applyAlignment="1">
      <alignment horizontal="left"/>
    </xf>
    <xf numFmtId="0" fontId="5" fillId="7" borderId="3" xfId="0" applyFont="1" applyFill="1" applyBorder="1"/>
    <xf numFmtId="0" fontId="0" fillId="5" borderId="0" xfId="0" applyFill="1"/>
    <xf numFmtId="0" fontId="8" fillId="5" borderId="3" xfId="0" applyFont="1" applyFill="1" applyBorder="1"/>
    <xf numFmtId="164" fontId="7" fillId="5" borderId="3" xfId="0" applyNumberFormat="1" applyFont="1" applyFill="1" applyBorder="1" applyAlignment="1">
      <alignment horizontal="left"/>
    </xf>
    <xf numFmtId="0" fontId="5" fillId="5" borderId="3" xfId="0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left"/>
    </xf>
    <xf numFmtId="0" fontId="5" fillId="5" borderId="3" xfId="0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horizontal="right"/>
    </xf>
    <xf numFmtId="16" fontId="0" fillId="5" borderId="3" xfId="0" applyNumberFormat="1" applyFill="1" applyBorder="1"/>
    <xf numFmtId="164" fontId="0" fillId="5" borderId="0" xfId="0" applyNumberFormat="1" applyFill="1"/>
    <xf numFmtId="0" fontId="5" fillId="5" borderId="6" xfId="0" applyFont="1" applyFill="1" applyBorder="1"/>
    <xf numFmtId="0" fontId="8" fillId="5" borderId="6" xfId="0" applyFont="1" applyFill="1" applyBorder="1"/>
    <xf numFmtId="0" fontId="6" fillId="5" borderId="3" xfId="0" applyFont="1" applyFill="1" applyBorder="1"/>
    <xf numFmtId="0" fontId="9" fillId="5" borderId="3" xfId="0" applyFont="1" applyFill="1" applyBorder="1"/>
    <xf numFmtId="166" fontId="8" fillId="5" borderId="3" xfId="0" applyNumberFormat="1" applyFont="1" applyFill="1" applyBorder="1"/>
    <xf numFmtId="164" fontId="0" fillId="0" borderId="3" xfId="0" applyNumberFormat="1" applyBorder="1" applyAlignment="1">
      <alignment wrapText="1"/>
    </xf>
    <xf numFmtId="3" fontId="0" fillId="0" borderId="3" xfId="0" applyNumberFormat="1" applyBorder="1"/>
    <xf numFmtId="3" fontId="0" fillId="11" borderId="3" xfId="0" applyNumberFormat="1" applyFill="1" applyBorder="1"/>
    <xf numFmtId="0" fontId="5" fillId="5" borderId="0" xfId="0" applyFont="1" applyFill="1" applyAlignment="1">
      <alignment horizontal="right"/>
    </xf>
    <xf numFmtId="0" fontId="3" fillId="2" borderId="3" xfId="0" applyFont="1" applyFill="1" applyBorder="1" applyAlignment="1">
      <alignment horizontal="center" vertical="top" wrapText="1"/>
    </xf>
    <xf numFmtId="0" fontId="6" fillId="7" borderId="3" xfId="0" applyFont="1" applyFill="1" applyBorder="1"/>
    <xf numFmtId="165" fontId="0" fillId="0" borderId="3" xfId="0" applyNumberFormat="1" applyBorder="1"/>
    <xf numFmtId="0" fontId="0" fillId="0" borderId="3" xfId="0" applyBorder="1" applyAlignment="1">
      <alignment wrapText="1"/>
    </xf>
    <xf numFmtId="0" fontId="0" fillId="11" borderId="3" xfId="0" applyFill="1" applyBorder="1"/>
    <xf numFmtId="164" fontId="0" fillId="0" borderId="3" xfId="0" applyNumberFormat="1" applyBorder="1" applyAlignment="1">
      <alignment horizontal="center"/>
    </xf>
    <xf numFmtId="0" fontId="0" fillId="5" borderId="6" xfId="0" applyFill="1" applyBorder="1"/>
    <xf numFmtId="14" fontId="0" fillId="0" borderId="0" xfId="0" applyNumberFormat="1"/>
    <xf numFmtId="0" fontId="0" fillId="11" borderId="0" xfId="0" applyFill="1"/>
    <xf numFmtId="0" fontId="12" fillId="0" borderId="0" xfId="0" applyFont="1"/>
    <xf numFmtId="0" fontId="13" fillId="0" borderId="0" xfId="0" applyFont="1"/>
    <xf numFmtId="0" fontId="0" fillId="4" borderId="0" xfId="0" applyFill="1"/>
    <xf numFmtId="0" fontId="12" fillId="12" borderId="0" xfId="0" applyFont="1" applyFill="1"/>
    <xf numFmtId="0" fontId="12" fillId="11" borderId="0" xfId="0" applyFont="1" applyFill="1"/>
    <xf numFmtId="0" fontId="13" fillId="11" borderId="0" xfId="0" applyFont="1" applyFill="1"/>
    <xf numFmtId="0" fontId="12" fillId="4" borderId="0" xfId="0" applyFont="1" applyFill="1"/>
    <xf numFmtId="0" fontId="7" fillId="5" borderId="3" xfId="0" applyFont="1" applyFill="1" applyBorder="1" applyAlignment="1">
      <alignment horizontal="center" vertical="center"/>
    </xf>
    <xf numFmtId="16" fontId="0" fillId="5" borderId="3" xfId="0" applyNumberFormat="1" applyFill="1" applyBorder="1" applyAlignment="1">
      <alignment wrapText="1"/>
    </xf>
    <xf numFmtId="0" fontId="7" fillId="11" borderId="3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/>
    <xf numFmtId="3" fontId="0" fillId="2" borderId="7" xfId="0" applyNumberFormat="1" applyFill="1" applyBorder="1" applyAlignment="1">
      <alignment horizontal="center"/>
    </xf>
    <xf numFmtId="3" fontId="0" fillId="5" borderId="3" xfId="0" applyNumberFormat="1" applyFill="1" applyBorder="1"/>
    <xf numFmtId="0" fontId="14" fillId="0" borderId="3" xfId="0" applyFont="1" applyBorder="1"/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3" borderId="3" xfId="0" applyFont="1" applyFill="1" applyBorder="1"/>
    <xf numFmtId="0" fontId="15" fillId="13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15" fillId="13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0" fontId="16" fillId="5" borderId="3" xfId="0" applyFont="1" applyFill="1" applyBorder="1"/>
    <xf numFmtId="0" fontId="17" fillId="5" borderId="3" xfId="1" applyFont="1" applyFill="1" applyBorder="1" applyAlignment="1">
      <alignment vertical="center" shrinkToFit="1"/>
    </xf>
    <xf numFmtId="0" fontId="17" fillId="5" borderId="3" xfId="1" applyFont="1" applyFill="1" applyBorder="1" applyAlignment="1">
      <alignment horizontal="left" vertical="center" shrinkToFit="1"/>
    </xf>
    <xf numFmtId="0" fontId="17" fillId="5" borderId="3" xfId="1" applyFont="1" applyFill="1" applyBorder="1" applyAlignment="1">
      <alignment horizontal="left" vertical="center" wrapText="1" shrinkToFit="1"/>
    </xf>
    <xf numFmtId="0" fontId="17" fillId="5" borderId="0" xfId="1" applyFont="1" applyFill="1" applyAlignment="1">
      <alignment vertical="center" shrinkToFit="1"/>
    </xf>
    <xf numFmtId="0" fontId="17" fillId="5" borderId="0" xfId="1" applyFont="1" applyFill="1" applyAlignment="1">
      <alignment horizontal="left" vertical="center" shrinkToFit="1"/>
    </xf>
    <xf numFmtId="0" fontId="17" fillId="5" borderId="6" xfId="1" applyFont="1" applyFill="1" applyBorder="1" applyAlignment="1">
      <alignment vertical="center" shrinkToFit="1"/>
    </xf>
    <xf numFmtId="14" fontId="0" fillId="0" borderId="3" xfId="0" applyNumberFormat="1" applyBorder="1"/>
    <xf numFmtId="0" fontId="2" fillId="2" borderId="7" xfId="0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0" fontId="7" fillId="11" borderId="7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 vertical="center"/>
    </xf>
    <xf numFmtId="0" fontId="18" fillId="0" borderId="3" xfId="0" applyFont="1" applyBorder="1"/>
    <xf numFmtId="0" fontId="19" fillId="0" borderId="3" xfId="0" applyFont="1" applyBorder="1"/>
    <xf numFmtId="0" fontId="1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9" fillId="0" borderId="3" xfId="0" quotePrefix="1" applyFont="1" applyBorder="1"/>
    <xf numFmtId="0" fontId="18" fillId="2" borderId="7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0" fillId="5" borderId="3" xfId="0" applyFill="1" applyBorder="1" applyAlignment="1">
      <alignment horizontal="left"/>
    </xf>
    <xf numFmtId="0" fontId="18" fillId="15" borderId="3" xfId="0" applyFont="1" applyFill="1" applyBorder="1" applyAlignment="1">
      <alignment horizontal="left"/>
    </xf>
    <xf numFmtId="0" fontId="19" fillId="15" borderId="3" xfId="0" applyFont="1" applyFill="1" applyBorder="1"/>
    <xf numFmtId="0" fontId="18" fillId="15" borderId="3" xfId="0" applyFont="1" applyFill="1" applyBorder="1" applyAlignment="1">
      <alignment horizontal="center"/>
    </xf>
    <xf numFmtId="14" fontId="0" fillId="15" borderId="3" xfId="0" applyNumberFormat="1" applyFill="1" applyBorder="1"/>
    <xf numFmtId="0" fontId="0" fillId="15" borderId="3" xfId="0" applyFill="1" applyBorder="1"/>
    <xf numFmtId="14" fontId="0" fillId="5" borderId="3" xfId="0" applyNumberFormat="1" applyFill="1" applyBorder="1"/>
    <xf numFmtId="0" fontId="0" fillId="16" borderId="3" xfId="0" applyFill="1" applyBorder="1"/>
    <xf numFmtId="0" fontId="0" fillId="17" borderId="3" xfId="0" applyFill="1" applyBorder="1"/>
    <xf numFmtId="0" fontId="5" fillId="18" borderId="3" xfId="0" applyFont="1" applyFill="1" applyBorder="1"/>
    <xf numFmtId="0" fontId="5" fillId="18" borderId="6" xfId="0" applyFont="1" applyFill="1" applyBorder="1"/>
    <xf numFmtId="0" fontId="0" fillId="19" borderId="3" xfId="0" applyFill="1" applyBorder="1"/>
    <xf numFmtId="0" fontId="22" fillId="0" borderId="0" xfId="0" applyFont="1"/>
    <xf numFmtId="164" fontId="6" fillId="18" borderId="3" xfId="0" applyNumberFormat="1" applyFont="1" applyFill="1" applyBorder="1"/>
    <xf numFmtId="0" fontId="8" fillId="18" borderId="3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10" borderId="3" xfId="0" applyFill="1" applyBorder="1" applyAlignment="1">
      <alignment horizontal="center"/>
    </xf>
    <xf numFmtId="3" fontId="0" fillId="10" borderId="3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D0CEC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B9C"/>
      <rgbColor rgb="FFF7F7F7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n%20h&#432;&#417;ng\qaromi\&#273;i&#7873;u%20ph&#7889;i%20qaro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điều phối ct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54296875" defaultRowHeight="18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24"/>
  <sheetViews>
    <sheetView topLeftCell="H1" zoomScale="85" zoomScaleNormal="85" workbookViewId="0">
      <pane ySplit="1248" topLeftCell="A4" activePane="bottomLeft"/>
      <selection activeCell="D1" sqref="D1"/>
      <selection pane="bottomLeft" activeCell="R14" sqref="R14:S14"/>
    </sheetView>
  </sheetViews>
  <sheetFormatPr defaultColWidth="8.54296875" defaultRowHeight="18" x14ac:dyDescent="0.35"/>
  <cols>
    <col min="1" max="1" width="11.36328125" customWidth="1"/>
    <col min="2" max="2" width="14.81640625" customWidth="1"/>
    <col min="15" max="15" width="22" customWidth="1"/>
    <col min="28" max="28" width="13.453125" customWidth="1"/>
    <col min="29" max="29" width="14.36328125" customWidth="1"/>
  </cols>
  <sheetData>
    <row r="2" spans="1:29" x14ac:dyDescent="0.35">
      <c r="B2" s="1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 t="s">
        <v>1</v>
      </c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3"/>
      <c r="AC2" s="3"/>
    </row>
    <row r="3" spans="1:29" ht="46.8" x14ac:dyDescent="0.35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6" t="s">
        <v>14</v>
      </c>
      <c r="P3" s="5" t="s">
        <v>2</v>
      </c>
      <c r="Q3" s="5" t="s">
        <v>3</v>
      </c>
      <c r="R3" s="5" t="s">
        <v>4</v>
      </c>
      <c r="S3" s="5" t="s">
        <v>5</v>
      </c>
      <c r="T3" s="7" t="s">
        <v>6</v>
      </c>
      <c r="U3" s="7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</row>
    <row r="4" spans="1:29" x14ac:dyDescent="0.35">
      <c r="B4" s="8" t="s">
        <v>15</v>
      </c>
      <c r="C4" s="9">
        <f>'KHO TỔNG'!C4</f>
        <v>885</v>
      </c>
      <c r="D4" s="9">
        <f>'KHO TỔNG'!D4</f>
        <v>0</v>
      </c>
      <c r="E4" s="9">
        <f>'KHO TỔNG'!E4</f>
        <v>0</v>
      </c>
      <c r="F4" s="9">
        <f>'KHO TỔNG'!F4</f>
        <v>0</v>
      </c>
      <c r="G4" s="9">
        <f>'KHO TỔNG'!G4</f>
        <v>71</v>
      </c>
      <c r="H4" s="9">
        <f>'KHO TỔNG'!H4</f>
        <v>0</v>
      </c>
      <c r="I4" s="9">
        <f>'KHO TỔNG'!I4</f>
        <v>0</v>
      </c>
      <c r="J4" s="9">
        <f>'KHO TỔNG'!J4</f>
        <v>0</v>
      </c>
      <c r="K4" s="9">
        <f>'KHO TỔNG'!K4</f>
        <v>16</v>
      </c>
      <c r="L4" s="9">
        <f>'KHO TỔNG'!L4</f>
        <v>0</v>
      </c>
      <c r="M4" s="9">
        <f>'KHO TỔNG'!M4</f>
        <v>116</v>
      </c>
      <c r="N4" s="9">
        <f>'KHO TỔNG'!N4</f>
        <v>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9" x14ac:dyDescent="0.35">
      <c r="B5" s="11" t="s">
        <v>16</v>
      </c>
      <c r="C5" s="12">
        <f>'KHO TỔNG'!C133</f>
        <v>421</v>
      </c>
      <c r="D5" s="12">
        <f>'KHO TỔNG'!D133</f>
        <v>0</v>
      </c>
      <c r="E5" s="12">
        <f>'KHO TỔNG'!E133</f>
        <v>0</v>
      </c>
      <c r="F5" s="12">
        <f>'KHO TỔNG'!F133</f>
        <v>0</v>
      </c>
      <c r="G5" s="12">
        <f>'KHO TỔNG'!G133</f>
        <v>72</v>
      </c>
      <c r="H5" s="12">
        <f>'KHO TỔNG'!H133</f>
        <v>0</v>
      </c>
      <c r="I5" s="12">
        <f>'KHO TỔNG'!I133</f>
        <v>0</v>
      </c>
      <c r="J5" s="12">
        <f>'KHO TỔNG'!J133</f>
        <v>0</v>
      </c>
      <c r="K5" s="12">
        <f>'KHO TỔNG'!K133</f>
        <v>42</v>
      </c>
      <c r="L5" s="12">
        <f>'KHO TỔNG'!L133</f>
        <v>2</v>
      </c>
      <c r="M5" s="12">
        <f>'KHO TỔNG'!M133</f>
        <v>62</v>
      </c>
      <c r="N5" s="12">
        <f>'KHO TỔNG'!N133</f>
        <v>4</v>
      </c>
      <c r="O5" s="13" t="s">
        <v>16</v>
      </c>
      <c r="P5" s="14">
        <f>'KHO TỔNG'!R133</f>
        <v>1130</v>
      </c>
      <c r="Q5" s="14">
        <f>'KHO TỔNG'!S133</f>
        <v>119</v>
      </c>
      <c r="R5" s="14">
        <f>'KHO TỔNG'!T133</f>
        <v>0</v>
      </c>
      <c r="S5" s="14">
        <f>'KHO TỔNG'!U133</f>
        <v>0</v>
      </c>
      <c r="T5" s="14">
        <f>'KHO TỔNG'!V133</f>
        <v>56</v>
      </c>
      <c r="U5" s="14">
        <f>'KHO TỔNG'!W133</f>
        <v>3</v>
      </c>
      <c r="V5" s="14">
        <f>'KHO TỔNG'!X133</f>
        <v>0</v>
      </c>
      <c r="W5" s="14">
        <f>'KHO TỔNG'!Y133</f>
        <v>0</v>
      </c>
      <c r="X5" s="14">
        <f>'KHO TỔNG'!Z133</f>
        <v>47</v>
      </c>
      <c r="Y5" s="14">
        <f>'KHO TỔNG'!AA133</f>
        <v>1</v>
      </c>
      <c r="Z5" s="14">
        <f>'KHO TỔNG'!AB133</f>
        <v>175</v>
      </c>
      <c r="AA5" s="14">
        <f>'KHO TỔNG'!AC133</f>
        <v>5</v>
      </c>
    </row>
    <row r="6" spans="1:29" x14ac:dyDescent="0.35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9" x14ac:dyDescent="0.35">
      <c r="B7" s="11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9" x14ac:dyDescent="0.35">
      <c r="A8" s="16"/>
      <c r="B8" s="17" t="s">
        <v>17</v>
      </c>
      <c r="C8" s="17">
        <f t="shared" ref="C8:N8" si="0">SUM(C5:C7)</f>
        <v>421</v>
      </c>
      <c r="D8" s="17">
        <f t="shared" si="0"/>
        <v>0</v>
      </c>
      <c r="E8" s="17">
        <f t="shared" si="0"/>
        <v>0</v>
      </c>
      <c r="F8" s="17">
        <f t="shared" si="0"/>
        <v>0</v>
      </c>
      <c r="G8" s="17">
        <f t="shared" si="0"/>
        <v>72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42</v>
      </c>
      <c r="L8" s="17">
        <f t="shared" si="0"/>
        <v>2</v>
      </c>
      <c r="M8" s="17">
        <f t="shared" si="0"/>
        <v>62</v>
      </c>
      <c r="N8" s="17">
        <f t="shared" si="0"/>
        <v>4</v>
      </c>
      <c r="O8" s="17" t="s">
        <v>18</v>
      </c>
      <c r="P8" s="18">
        <f t="shared" ref="P8:AA8" si="1">SUM(P5:P7)</f>
        <v>1130</v>
      </c>
      <c r="Q8" s="18">
        <f t="shared" si="1"/>
        <v>119</v>
      </c>
      <c r="R8" s="18">
        <f t="shared" si="1"/>
        <v>0</v>
      </c>
      <c r="S8" s="18">
        <f t="shared" si="1"/>
        <v>0</v>
      </c>
      <c r="T8" s="18">
        <f t="shared" si="1"/>
        <v>56</v>
      </c>
      <c r="U8" s="18">
        <f t="shared" si="1"/>
        <v>3</v>
      </c>
      <c r="V8" s="18">
        <f t="shared" si="1"/>
        <v>0</v>
      </c>
      <c r="W8" s="18">
        <f t="shared" si="1"/>
        <v>0</v>
      </c>
      <c r="X8" s="18">
        <f t="shared" si="1"/>
        <v>47</v>
      </c>
      <c r="Y8" s="18">
        <f t="shared" si="1"/>
        <v>1</v>
      </c>
      <c r="Z8" s="18">
        <f t="shared" si="1"/>
        <v>175</v>
      </c>
      <c r="AA8" s="18">
        <f t="shared" si="1"/>
        <v>5</v>
      </c>
      <c r="AB8" s="16"/>
      <c r="AC8" s="16"/>
    </row>
    <row r="9" spans="1:29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9" t="s">
        <v>19</v>
      </c>
      <c r="P9" s="20">
        <f>'KHO TỔNG'!R134</f>
        <v>176</v>
      </c>
      <c r="Q9" s="20">
        <f>'KHO TỔNG'!S134</f>
        <v>-119</v>
      </c>
      <c r="R9" s="20">
        <f>'KHO TỔNG'!T134</f>
        <v>0</v>
      </c>
      <c r="S9" s="20">
        <f>'KHO TỔNG'!U134</f>
        <v>0</v>
      </c>
      <c r="T9" s="20">
        <f>'KHO TỔNG'!V134</f>
        <v>87</v>
      </c>
      <c r="U9" s="20">
        <f>'KHO TỔNG'!W134</f>
        <v>-3</v>
      </c>
      <c r="V9" s="20">
        <f>'KHO TỔNG'!X134</f>
        <v>0</v>
      </c>
      <c r="W9" s="20">
        <f>'KHO TỔNG'!Y134</f>
        <v>0</v>
      </c>
      <c r="X9" s="20">
        <f>'KHO TỔNG'!Z134</f>
        <v>11</v>
      </c>
      <c r="Y9" s="20">
        <f>'KHO TỔNG'!AA134</f>
        <v>1</v>
      </c>
      <c r="Z9" s="20">
        <f>'KHO TỔNG'!AB134</f>
        <v>3</v>
      </c>
      <c r="AA9" s="20">
        <f>'KHO TỔNG'!AC134</f>
        <v>-1</v>
      </c>
      <c r="AB9" s="16"/>
      <c r="AC9" s="16"/>
    </row>
    <row r="10" spans="1:29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6"/>
      <c r="AC10" s="16"/>
    </row>
    <row r="11" spans="1:29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16"/>
      <c r="AC11" s="16"/>
    </row>
    <row r="12" spans="1:29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 t="s">
        <v>20</v>
      </c>
      <c r="P12" s="22">
        <f t="shared" ref="P12:AA12" si="2">C4+C8-P8</f>
        <v>176</v>
      </c>
      <c r="Q12" s="22">
        <f t="shared" si="2"/>
        <v>-119</v>
      </c>
      <c r="R12" s="22">
        <f t="shared" si="2"/>
        <v>0</v>
      </c>
      <c r="S12" s="22">
        <f t="shared" si="2"/>
        <v>0</v>
      </c>
      <c r="T12" s="22">
        <f t="shared" si="2"/>
        <v>87</v>
      </c>
      <c r="U12" s="22">
        <f t="shared" si="2"/>
        <v>-3</v>
      </c>
      <c r="V12" s="22">
        <f t="shared" si="2"/>
        <v>0</v>
      </c>
      <c r="W12" s="22">
        <f t="shared" si="2"/>
        <v>0</v>
      </c>
      <c r="X12" s="22">
        <f t="shared" si="2"/>
        <v>11</v>
      </c>
      <c r="Y12" s="22">
        <f t="shared" si="2"/>
        <v>1</v>
      </c>
      <c r="Z12" s="22">
        <f t="shared" si="2"/>
        <v>3</v>
      </c>
      <c r="AA12" s="22">
        <f t="shared" si="2"/>
        <v>-1</v>
      </c>
      <c r="AB12" s="16"/>
      <c r="AC12" s="16"/>
    </row>
    <row r="13" spans="1:29" ht="18.75" customHeight="1" x14ac:dyDescent="0.35">
      <c r="N13" s="151" t="s">
        <v>21</v>
      </c>
      <c r="O13" s="19" t="s">
        <v>19</v>
      </c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</row>
    <row r="14" spans="1:29" x14ac:dyDescent="0.35">
      <c r="E14" s="146" t="s">
        <v>24</v>
      </c>
      <c r="F14" s="146"/>
      <c r="G14" s="146"/>
      <c r="H14" s="146"/>
      <c r="I14" s="146"/>
      <c r="N14" s="151"/>
      <c r="O14" s="19" t="s">
        <v>22</v>
      </c>
      <c r="P14" s="147">
        <v>17</v>
      </c>
      <c r="Q14" s="147"/>
      <c r="R14" s="147"/>
      <c r="S14" s="147"/>
      <c r="T14" s="147">
        <v>30</v>
      </c>
      <c r="U14" s="147"/>
      <c r="V14" s="147"/>
      <c r="W14" s="147"/>
      <c r="X14" s="147"/>
      <c r="Y14" s="147"/>
      <c r="Z14" s="147"/>
      <c r="AA14" s="147"/>
    </row>
    <row r="15" spans="1:29" x14ac:dyDescent="0.35">
      <c r="E15" s="24" t="s">
        <v>699</v>
      </c>
      <c r="F15" s="24" t="s">
        <v>694</v>
      </c>
      <c r="G15" s="24" t="s">
        <v>695</v>
      </c>
      <c r="H15" s="24" t="s">
        <v>706</v>
      </c>
      <c r="I15" s="24" t="s">
        <v>696</v>
      </c>
      <c r="N15" s="151"/>
      <c r="O15" s="19" t="s">
        <v>686</v>
      </c>
      <c r="P15" s="147"/>
      <c r="Q15" s="147"/>
      <c r="R15" s="147"/>
      <c r="S15" s="147"/>
      <c r="T15" s="147">
        <v>16</v>
      </c>
      <c r="U15" s="147"/>
      <c r="V15" s="147"/>
      <c r="W15" s="147"/>
      <c r="X15" s="147">
        <v>9</v>
      </c>
      <c r="Y15" s="147"/>
      <c r="Z15" s="147"/>
      <c r="AA15" s="147"/>
    </row>
    <row r="16" spans="1:29" x14ac:dyDescent="0.35">
      <c r="E16" s="24" t="s">
        <v>697</v>
      </c>
      <c r="F16" s="24">
        <v>2</v>
      </c>
      <c r="G16" s="24"/>
      <c r="H16" s="24"/>
      <c r="I16" s="24">
        <v>2</v>
      </c>
      <c r="N16" s="151"/>
      <c r="O16" s="19" t="s">
        <v>687</v>
      </c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</row>
    <row r="17" spans="5:27" x14ac:dyDescent="0.35">
      <c r="E17" s="24" t="s">
        <v>698</v>
      </c>
      <c r="F17" s="24"/>
      <c r="G17" s="24">
        <v>5</v>
      </c>
      <c r="H17" s="24"/>
      <c r="I17" s="24"/>
      <c r="N17" s="151"/>
      <c r="O17" s="19" t="s">
        <v>23</v>
      </c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</row>
    <row r="18" spans="5:27" x14ac:dyDescent="0.35">
      <c r="E18" s="24" t="s">
        <v>703</v>
      </c>
      <c r="F18" s="24">
        <v>52</v>
      </c>
      <c r="G18" s="24">
        <v>33</v>
      </c>
      <c r="H18" s="24">
        <v>3</v>
      </c>
      <c r="I18" s="24"/>
      <c r="N18" s="23"/>
      <c r="O18" s="2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5:27" ht="39.75" customHeight="1" x14ac:dyDescent="0.35">
      <c r="E19" s="24" t="s">
        <v>661</v>
      </c>
      <c r="F19" s="24"/>
      <c r="G19" s="24"/>
      <c r="H19" s="24"/>
      <c r="I19" s="24"/>
      <c r="N19" s="25" t="s">
        <v>24</v>
      </c>
      <c r="O19" s="26" t="s">
        <v>25</v>
      </c>
      <c r="P19" s="147">
        <f>F24</f>
        <v>54</v>
      </c>
      <c r="Q19" s="147"/>
      <c r="R19" s="147"/>
      <c r="S19" s="147"/>
      <c r="T19" s="147">
        <f>G24</f>
        <v>38</v>
      </c>
      <c r="U19" s="147"/>
      <c r="V19" s="147"/>
      <c r="W19" s="147"/>
      <c r="X19" s="147">
        <f>H24</f>
        <v>3</v>
      </c>
      <c r="Y19" s="147"/>
      <c r="Z19" s="147">
        <f>I24</f>
        <v>2</v>
      </c>
      <c r="AA19" s="147"/>
    </row>
    <row r="20" spans="5:27" x14ac:dyDescent="0.35">
      <c r="E20" s="24" t="s">
        <v>700</v>
      </c>
      <c r="F20" s="24"/>
      <c r="G20" s="24"/>
      <c r="H20" s="24"/>
      <c r="I20" s="24"/>
      <c r="N20" s="2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5:27" ht="37.5" customHeight="1" x14ac:dyDescent="0.35">
      <c r="E21" s="24" t="s">
        <v>701</v>
      </c>
      <c r="F21" s="24"/>
      <c r="G21" s="24"/>
      <c r="H21" s="24"/>
      <c r="I21" s="24"/>
      <c r="N21" s="23" t="s">
        <v>26</v>
      </c>
      <c r="O21" s="26" t="s">
        <v>25</v>
      </c>
      <c r="P21" s="148">
        <f>P13+P14+P15+P16+P17+P19-P12-Q12</f>
        <v>14</v>
      </c>
      <c r="Q21" s="148"/>
      <c r="R21" s="148">
        <f>R13+R14+R15+R16+R17+R19-R12-S12</f>
        <v>0</v>
      </c>
      <c r="S21" s="148"/>
      <c r="T21" s="148">
        <f>T13+T14+T15+T16+T17+T19-T12-U12</f>
        <v>0</v>
      </c>
      <c r="U21" s="148"/>
      <c r="V21" s="148">
        <f>V13+V14+V15+V16+V17+V19-V12-W12</f>
        <v>0</v>
      </c>
      <c r="W21" s="148"/>
      <c r="X21" s="148">
        <f>X13+X14+X15+X16+X17+X19-X12-Y12</f>
        <v>0</v>
      </c>
      <c r="Y21" s="148"/>
      <c r="Z21" s="148">
        <f>Z13+Z14+Z15+Z16+Z17+Z19-Z12-AA12</f>
        <v>0</v>
      </c>
      <c r="AA21" s="148"/>
    </row>
    <row r="22" spans="5:27" x14ac:dyDescent="0.35">
      <c r="E22" s="24" t="s">
        <v>702</v>
      </c>
      <c r="F22" s="24"/>
      <c r="G22" s="24"/>
      <c r="H22" s="24"/>
      <c r="I22" s="24"/>
    </row>
    <row r="23" spans="5:27" x14ac:dyDescent="0.35">
      <c r="E23" s="24" t="s">
        <v>678</v>
      </c>
      <c r="F23" s="24"/>
      <c r="G23" s="24"/>
      <c r="H23" s="24"/>
      <c r="I23" s="24"/>
    </row>
    <row r="24" spans="5:27" x14ac:dyDescent="0.35">
      <c r="E24" s="24"/>
      <c r="F24" s="136">
        <f>SUM(F16:F23)</f>
        <v>54</v>
      </c>
      <c r="G24" s="136">
        <f t="shared" ref="G24:I24" si="3">SUM(G16:G23)</f>
        <v>38</v>
      </c>
      <c r="H24" s="136">
        <f t="shared" si="3"/>
        <v>3</v>
      </c>
      <c r="I24" s="136">
        <f t="shared" si="3"/>
        <v>2</v>
      </c>
    </row>
  </sheetData>
  <mergeCells count="46">
    <mergeCell ref="C2:N2"/>
    <mergeCell ref="O2:AA2"/>
    <mergeCell ref="N13:N17"/>
    <mergeCell ref="P13:Q13"/>
    <mergeCell ref="R13:S13"/>
    <mergeCell ref="T13:U13"/>
    <mergeCell ref="V13:W13"/>
    <mergeCell ref="X13:Y13"/>
    <mergeCell ref="Z13:AA13"/>
    <mergeCell ref="P14:Q14"/>
    <mergeCell ref="R14:S14"/>
    <mergeCell ref="T14:U14"/>
    <mergeCell ref="V14:W14"/>
    <mergeCell ref="X14:Y14"/>
    <mergeCell ref="Z14:AA14"/>
    <mergeCell ref="P15:Q15"/>
    <mergeCell ref="R15:S15"/>
    <mergeCell ref="T15:U15"/>
    <mergeCell ref="V15:W15"/>
    <mergeCell ref="X15:Y15"/>
    <mergeCell ref="Z15:AA15"/>
    <mergeCell ref="T17:U17"/>
    <mergeCell ref="V17:W17"/>
    <mergeCell ref="X17:Y17"/>
    <mergeCell ref="Z17:AA17"/>
    <mergeCell ref="P16:Q16"/>
    <mergeCell ref="R16:S16"/>
    <mergeCell ref="T16:U16"/>
    <mergeCell ref="V16:W16"/>
    <mergeCell ref="X16:Y16"/>
    <mergeCell ref="E14:I14"/>
    <mergeCell ref="Z19:AA19"/>
    <mergeCell ref="P21:Q21"/>
    <mergeCell ref="R21:S21"/>
    <mergeCell ref="T21:U21"/>
    <mergeCell ref="V21:W21"/>
    <mergeCell ref="X21:Y21"/>
    <mergeCell ref="Z21:AA21"/>
    <mergeCell ref="P19:Q19"/>
    <mergeCell ref="R19:S19"/>
    <mergeCell ref="T19:U19"/>
    <mergeCell ref="V19:W19"/>
    <mergeCell ref="X19:Y19"/>
    <mergeCell ref="Z16:AA16"/>
    <mergeCell ref="P17:Q17"/>
    <mergeCell ref="R17:S17"/>
  </mergeCell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DATA!$B$3:$B$37</xm:f>
          </x14:formula1>
          <x14:formula2>
            <xm:f>0</xm:f>
          </x14:formula2>
          <xm:sqref>O3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4"/>
  <sheetViews>
    <sheetView topLeftCell="M73" zoomScaleNormal="100" workbookViewId="0">
      <selection activeCell="P82" sqref="P82"/>
    </sheetView>
  </sheetViews>
  <sheetFormatPr defaultColWidth="8.54296875" defaultRowHeight="18" x14ac:dyDescent="0.35"/>
  <cols>
    <col min="1" max="1" width="9.90625" bestFit="1" customWidth="1"/>
    <col min="2" max="2" width="15.54296875" style="27" customWidth="1"/>
    <col min="3" max="3" width="6.6328125" customWidth="1"/>
    <col min="4" max="4" width="6.54296875" customWidth="1"/>
    <col min="5" max="5" width="5.90625" customWidth="1"/>
    <col min="6" max="6" width="6.54296875" customWidth="1"/>
    <col min="7" max="7" width="5.54296875" customWidth="1"/>
    <col min="8" max="8" width="6.81640625" customWidth="1"/>
    <col min="9" max="9" width="5.08984375" customWidth="1"/>
    <col min="10" max="10" width="6.6328125" customWidth="1"/>
    <col min="11" max="11" width="5.90625" customWidth="1"/>
    <col min="12" max="12" width="6.453125" customWidth="1"/>
    <col min="13" max="13" width="6.08984375" customWidth="1"/>
    <col min="14" max="14" width="5.90625" customWidth="1"/>
    <col min="15" max="15" width="11.453125" style="27" customWidth="1"/>
    <col min="16" max="16" width="23.1796875" customWidth="1"/>
    <col min="17" max="17" width="20.36328125" customWidth="1"/>
    <col min="18" max="18" width="5.453125" customWidth="1"/>
    <col min="19" max="19" width="6.36328125" customWidth="1"/>
    <col min="20" max="20" width="6.81640625" customWidth="1"/>
    <col min="21" max="21" width="6.6328125" customWidth="1"/>
    <col min="22" max="22" width="6.36328125" customWidth="1"/>
    <col min="23" max="23" width="6.08984375" customWidth="1"/>
    <col min="24" max="24" width="5.54296875" customWidth="1"/>
    <col min="25" max="25" width="6.1796875" customWidth="1"/>
    <col min="26" max="26" width="5.453125" customWidth="1"/>
    <col min="27" max="27" width="6" customWidth="1"/>
    <col min="28" max="28" width="5.1796875" customWidth="1"/>
    <col min="29" max="29" width="6.81640625" customWidth="1"/>
    <col min="30" max="30" width="12.90625" customWidth="1"/>
    <col min="31" max="31" width="14.1796875" customWidth="1"/>
    <col min="32" max="32" width="19" customWidth="1"/>
    <col min="33" max="33" width="16.36328125" customWidth="1"/>
  </cols>
  <sheetData>
    <row r="1" spans="1:33" x14ac:dyDescent="0.35">
      <c r="B1" s="27" t="s">
        <v>27</v>
      </c>
      <c r="Q1" t="s">
        <v>28</v>
      </c>
    </row>
    <row r="2" spans="1:33" ht="18.75" customHeight="1" x14ac:dyDescent="0.35">
      <c r="B2" s="28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9"/>
      <c r="P2" s="30"/>
      <c r="Q2" s="3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3" t="s">
        <v>29</v>
      </c>
      <c r="AE2" s="153" t="s">
        <v>30</v>
      </c>
      <c r="AF2" s="152" t="s">
        <v>31</v>
      </c>
      <c r="AG2" s="152" t="s">
        <v>32</v>
      </c>
    </row>
    <row r="3" spans="1:33" ht="62.4" x14ac:dyDescent="0.35">
      <c r="B3" s="32"/>
      <c r="C3" s="5" t="s">
        <v>2</v>
      </c>
      <c r="D3" s="5" t="s">
        <v>3</v>
      </c>
      <c r="E3" s="5" t="s">
        <v>33</v>
      </c>
      <c r="F3" s="5" t="s">
        <v>34</v>
      </c>
      <c r="G3" s="5" t="s">
        <v>6</v>
      </c>
      <c r="H3" s="5" t="s">
        <v>7</v>
      </c>
      <c r="I3" s="5" t="s">
        <v>35</v>
      </c>
      <c r="J3" s="5" t="s">
        <v>36</v>
      </c>
      <c r="K3" s="5" t="s">
        <v>10</v>
      </c>
      <c r="L3" s="5" t="s">
        <v>11</v>
      </c>
      <c r="M3" s="5" t="s">
        <v>12</v>
      </c>
      <c r="N3" s="5" t="s">
        <v>13</v>
      </c>
      <c r="O3" s="33"/>
      <c r="P3" s="5" t="s">
        <v>37</v>
      </c>
      <c r="Q3" s="5" t="s">
        <v>38</v>
      </c>
      <c r="R3" s="5" t="s">
        <v>2</v>
      </c>
      <c r="S3" s="5" t="s">
        <v>3</v>
      </c>
      <c r="T3" s="5" t="s">
        <v>33</v>
      </c>
      <c r="U3" s="5" t="s">
        <v>34</v>
      </c>
      <c r="V3" s="7" t="s">
        <v>6</v>
      </c>
      <c r="W3" s="7" t="s">
        <v>7</v>
      </c>
      <c r="X3" s="5" t="s">
        <v>39</v>
      </c>
      <c r="Y3" s="5" t="s">
        <v>36</v>
      </c>
      <c r="Z3" s="5" t="s">
        <v>10</v>
      </c>
      <c r="AA3" s="5" t="s">
        <v>11</v>
      </c>
      <c r="AB3" s="5" t="s">
        <v>12</v>
      </c>
      <c r="AC3" s="5" t="s">
        <v>13</v>
      </c>
      <c r="AD3" s="153"/>
      <c r="AE3" s="153"/>
      <c r="AF3" s="152"/>
      <c r="AG3" s="152"/>
    </row>
    <row r="4" spans="1:33" ht="18.75" customHeight="1" x14ac:dyDescent="0.35">
      <c r="A4" s="34"/>
      <c r="B4" s="35" t="s">
        <v>15</v>
      </c>
      <c r="C4" s="36">
        <v>885</v>
      </c>
      <c r="D4" s="36"/>
      <c r="E4" s="36"/>
      <c r="F4" s="36"/>
      <c r="G4" s="36">
        <v>71</v>
      </c>
      <c r="H4" s="36"/>
      <c r="I4" s="36"/>
      <c r="J4" s="36"/>
      <c r="K4" s="36">
        <v>16</v>
      </c>
      <c r="L4" s="36"/>
      <c r="M4" s="36">
        <v>116</v>
      </c>
      <c r="N4" s="36"/>
      <c r="O4" s="37"/>
      <c r="P4" s="36"/>
      <c r="Q4" s="36"/>
      <c r="R4" s="38">
        <v>98000</v>
      </c>
      <c r="S4" s="38"/>
      <c r="T4" s="38">
        <v>106000</v>
      </c>
      <c r="U4" s="38"/>
      <c r="V4" s="38">
        <v>85000</v>
      </c>
      <c r="W4" s="38"/>
      <c r="X4" s="38">
        <v>93000</v>
      </c>
      <c r="Y4" s="38"/>
      <c r="Z4" s="38">
        <v>52000</v>
      </c>
      <c r="AA4" s="38"/>
      <c r="AB4" s="38">
        <v>48000</v>
      </c>
      <c r="AC4" s="38"/>
      <c r="AD4" s="39"/>
    </row>
    <row r="5" spans="1:33" ht="18.75" customHeight="1" x14ac:dyDescent="0.35">
      <c r="A5" s="34">
        <v>46262</v>
      </c>
      <c r="B5" s="40" t="s">
        <v>40</v>
      </c>
      <c r="C5" s="41">
        <v>50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 t="s">
        <v>707</v>
      </c>
      <c r="P5" s="41" t="s">
        <v>258</v>
      </c>
      <c r="Q5" s="41" t="s">
        <v>42</v>
      </c>
      <c r="R5" s="41">
        <v>90</v>
      </c>
      <c r="S5" s="41">
        <v>9</v>
      </c>
      <c r="T5" s="41"/>
      <c r="U5" s="41"/>
      <c r="V5" s="41"/>
      <c r="W5" s="41"/>
      <c r="X5" s="41"/>
      <c r="Y5" s="41"/>
      <c r="Z5" s="41"/>
      <c r="AA5" s="41"/>
      <c r="AB5" s="41"/>
      <c r="AC5" s="41"/>
      <c r="AD5" s="39"/>
    </row>
    <row r="6" spans="1:33" ht="18.75" customHeight="1" x14ac:dyDescent="0.35">
      <c r="A6" s="34">
        <v>46263</v>
      </c>
      <c r="B6" s="40" t="s">
        <v>688</v>
      </c>
      <c r="C6" s="41">
        <v>34</v>
      </c>
      <c r="D6" s="41"/>
      <c r="E6" s="41"/>
      <c r="F6" s="41"/>
      <c r="G6" s="41">
        <v>50</v>
      </c>
      <c r="H6" s="41"/>
      <c r="I6" s="41"/>
      <c r="J6" s="41"/>
      <c r="K6" s="41">
        <v>22</v>
      </c>
      <c r="L6" s="41"/>
      <c r="M6" s="41">
        <v>11</v>
      </c>
      <c r="N6" s="41"/>
      <c r="O6" s="42"/>
      <c r="P6" s="24" t="s">
        <v>41</v>
      </c>
      <c r="Q6" s="24" t="s">
        <v>42</v>
      </c>
      <c r="R6" s="24">
        <v>200</v>
      </c>
      <c r="S6" s="24">
        <v>28</v>
      </c>
      <c r="T6" s="41"/>
      <c r="U6" s="41"/>
      <c r="V6" s="41"/>
      <c r="W6" s="41"/>
      <c r="X6" s="41"/>
      <c r="Y6" s="41"/>
      <c r="Z6" s="41"/>
      <c r="AA6" s="41"/>
      <c r="AB6" s="41"/>
      <c r="AC6" s="41"/>
      <c r="AD6" s="39"/>
    </row>
    <row r="7" spans="1:33" x14ac:dyDescent="0.35">
      <c r="A7" s="74">
        <v>46268</v>
      </c>
      <c r="B7" s="40" t="s">
        <v>40</v>
      </c>
      <c r="C7" s="41">
        <v>100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35"/>
      <c r="P7" s="24" t="s">
        <v>711</v>
      </c>
      <c r="Q7" s="24"/>
      <c r="R7" s="24"/>
      <c r="S7" s="24"/>
      <c r="T7" s="24"/>
      <c r="U7" s="24"/>
      <c r="V7" s="24">
        <v>3</v>
      </c>
      <c r="W7" s="24"/>
      <c r="X7" s="24"/>
      <c r="Y7" s="24"/>
      <c r="Z7" s="24"/>
      <c r="AA7" s="24"/>
      <c r="AB7" s="24"/>
      <c r="AC7" s="24"/>
      <c r="AD7" s="39"/>
    </row>
    <row r="8" spans="1:33" x14ac:dyDescent="0.35">
      <c r="A8" s="74">
        <v>46268</v>
      </c>
      <c r="B8" s="40" t="s">
        <v>688</v>
      </c>
      <c r="C8" s="41">
        <v>49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5"/>
      <c r="P8" s="24" t="s">
        <v>41</v>
      </c>
      <c r="Q8" s="43"/>
      <c r="R8" s="24"/>
      <c r="S8" s="24"/>
      <c r="T8" s="24"/>
      <c r="U8" s="24"/>
      <c r="V8" s="24">
        <v>10</v>
      </c>
      <c r="W8" s="24">
        <v>1</v>
      </c>
      <c r="X8" s="24"/>
      <c r="Y8" s="24"/>
      <c r="Z8" s="24"/>
      <c r="AA8" s="24"/>
      <c r="AB8" s="24"/>
      <c r="AC8" s="24"/>
      <c r="AD8" s="39"/>
    </row>
    <row r="9" spans="1:33" x14ac:dyDescent="0.35">
      <c r="A9" s="74">
        <v>46269</v>
      </c>
      <c r="B9" s="47" t="s">
        <v>689</v>
      </c>
      <c r="C9" s="41">
        <v>9</v>
      </c>
      <c r="D9" s="41"/>
      <c r="E9" s="41"/>
      <c r="F9" s="41"/>
      <c r="G9" s="41"/>
      <c r="H9" s="41"/>
      <c r="I9" s="41"/>
      <c r="J9" s="41"/>
      <c r="K9" s="41"/>
      <c r="L9" s="41"/>
      <c r="M9" s="41">
        <v>10</v>
      </c>
      <c r="N9" s="41"/>
      <c r="O9" s="42"/>
      <c r="P9" s="43" t="s">
        <v>43</v>
      </c>
      <c r="Q9" s="43" t="s">
        <v>42</v>
      </c>
      <c r="R9" s="44">
        <v>100</v>
      </c>
      <c r="S9" s="44">
        <v>14</v>
      </c>
      <c r="T9" s="41"/>
      <c r="U9" s="41"/>
      <c r="V9" s="41"/>
      <c r="W9" s="41"/>
      <c r="X9" s="41"/>
      <c r="Y9" s="41"/>
      <c r="Z9" s="41"/>
      <c r="AA9" s="41"/>
      <c r="AB9" s="41"/>
      <c r="AC9" s="41"/>
      <c r="AD9" s="39"/>
    </row>
    <row r="10" spans="1:33" x14ac:dyDescent="0.35">
      <c r="A10" s="74">
        <v>46269</v>
      </c>
      <c r="B10" s="47" t="s">
        <v>689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133">
        <v>10</v>
      </c>
      <c r="N10" s="133">
        <v>1</v>
      </c>
      <c r="O10" s="45"/>
      <c r="P10" s="43" t="s">
        <v>43</v>
      </c>
      <c r="Q10" s="43" t="s">
        <v>42</v>
      </c>
      <c r="R10" s="44">
        <v>165</v>
      </c>
      <c r="S10" s="41">
        <v>16</v>
      </c>
      <c r="T10" s="44"/>
      <c r="U10" s="44"/>
      <c r="V10" s="46"/>
      <c r="W10" s="46"/>
      <c r="X10" s="44"/>
      <c r="Y10" s="44"/>
      <c r="Z10" s="44"/>
      <c r="AA10" s="44"/>
      <c r="AB10" s="44"/>
      <c r="AC10" s="44"/>
      <c r="AD10" s="39"/>
    </row>
    <row r="11" spans="1:33" x14ac:dyDescent="0.35">
      <c r="A11" s="74">
        <v>46269</v>
      </c>
      <c r="B11" s="40" t="s">
        <v>40</v>
      </c>
      <c r="C11" s="41">
        <v>60</v>
      </c>
      <c r="D11" s="41"/>
      <c r="E11" s="41"/>
      <c r="F11" s="41"/>
      <c r="G11" s="41"/>
      <c r="H11" s="41"/>
      <c r="I11" s="41"/>
      <c r="J11" s="41"/>
      <c r="K11" s="41"/>
      <c r="L11" s="41"/>
      <c r="M11" s="49"/>
      <c r="N11" s="49"/>
      <c r="O11" s="45"/>
      <c r="P11" s="48" t="s">
        <v>44</v>
      </c>
      <c r="Q11" s="24" t="s">
        <v>42</v>
      </c>
      <c r="R11" s="41">
        <v>25</v>
      </c>
      <c r="S11" s="41"/>
      <c r="T11" s="41"/>
      <c r="U11" s="41"/>
      <c r="V11" s="41">
        <v>20</v>
      </c>
      <c r="W11" s="41"/>
      <c r="X11" s="41"/>
      <c r="Y11" s="41"/>
      <c r="Z11" s="41"/>
      <c r="AA11" s="41"/>
      <c r="AB11" s="41">
        <v>125</v>
      </c>
      <c r="AC11" s="41"/>
      <c r="AD11" s="39"/>
    </row>
    <row r="12" spans="1:33" x14ac:dyDescent="0.35">
      <c r="A12" s="74">
        <v>46269</v>
      </c>
      <c r="B12" s="40" t="s">
        <v>688</v>
      </c>
      <c r="C12" s="41">
        <v>60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5"/>
      <c r="P12" s="43" t="s">
        <v>45</v>
      </c>
      <c r="Q12" s="43" t="s">
        <v>46</v>
      </c>
      <c r="R12" s="44"/>
      <c r="S12" s="44"/>
      <c r="T12" s="44"/>
      <c r="U12" s="44"/>
      <c r="V12" s="46"/>
      <c r="W12" s="46"/>
      <c r="X12" s="44"/>
      <c r="Y12" s="44"/>
      <c r="Z12" s="44">
        <v>3</v>
      </c>
      <c r="AA12" s="44"/>
      <c r="AB12" s="44"/>
      <c r="AC12" s="44"/>
      <c r="AD12" s="39"/>
    </row>
    <row r="13" spans="1:33" x14ac:dyDescent="0.35">
      <c r="A13" s="74">
        <v>46270</v>
      </c>
      <c r="B13" s="47" t="s">
        <v>689</v>
      </c>
      <c r="C13" s="41">
        <v>2</v>
      </c>
      <c r="D13" s="41"/>
      <c r="E13" s="41"/>
      <c r="F13" s="41"/>
      <c r="G13" s="41"/>
      <c r="H13" s="41"/>
      <c r="I13" s="41"/>
      <c r="J13" s="41"/>
      <c r="K13" s="41"/>
      <c r="L13" s="41"/>
      <c r="M13" s="41">
        <v>11</v>
      </c>
      <c r="N13" s="41">
        <v>1</v>
      </c>
      <c r="O13" s="45">
        <v>46261</v>
      </c>
      <c r="P13" s="48" t="s">
        <v>47</v>
      </c>
      <c r="Q13" s="43" t="s">
        <v>48</v>
      </c>
      <c r="R13" s="44"/>
      <c r="S13" s="44"/>
      <c r="T13" s="44"/>
      <c r="U13" s="44"/>
      <c r="V13" s="46"/>
      <c r="W13" s="46"/>
      <c r="X13" s="44"/>
      <c r="Y13" s="44"/>
      <c r="Z13" s="44">
        <v>4</v>
      </c>
      <c r="AA13" s="44"/>
      <c r="AB13" s="44"/>
      <c r="AC13" s="44"/>
      <c r="AD13" s="39"/>
    </row>
    <row r="14" spans="1:33" x14ac:dyDescent="0.35">
      <c r="A14" s="74">
        <v>46270</v>
      </c>
      <c r="B14" s="47" t="s">
        <v>690</v>
      </c>
      <c r="C14" s="41">
        <v>13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5">
        <v>46261</v>
      </c>
      <c r="P14" s="43" t="s">
        <v>49</v>
      </c>
      <c r="Q14" s="43" t="s">
        <v>46</v>
      </c>
      <c r="R14" s="44">
        <v>10</v>
      </c>
      <c r="S14" s="44">
        <v>1</v>
      </c>
      <c r="T14" s="44"/>
      <c r="U14" s="44"/>
      <c r="V14" s="46"/>
      <c r="W14" s="46"/>
      <c r="X14" s="44"/>
      <c r="Y14" s="44"/>
      <c r="Z14" s="44"/>
      <c r="AA14" s="44"/>
      <c r="AB14" s="44"/>
      <c r="AC14" s="44"/>
    </row>
    <row r="15" spans="1:33" x14ac:dyDescent="0.35">
      <c r="A15" s="74">
        <v>46272</v>
      </c>
      <c r="B15" s="47" t="s">
        <v>40</v>
      </c>
      <c r="C15" s="41">
        <v>40</v>
      </c>
      <c r="D15" s="41"/>
      <c r="E15" s="41"/>
      <c r="F15" s="41"/>
      <c r="G15" s="41">
        <v>22</v>
      </c>
      <c r="H15" s="41"/>
      <c r="I15" s="41"/>
      <c r="J15" s="41"/>
      <c r="K15" s="41"/>
      <c r="L15" s="41"/>
      <c r="M15" s="41"/>
      <c r="N15" s="41"/>
      <c r="O15" s="45">
        <v>46262</v>
      </c>
      <c r="P15" s="43" t="s">
        <v>50</v>
      </c>
      <c r="Q15" s="43" t="s">
        <v>42</v>
      </c>
      <c r="R15" s="44">
        <v>10</v>
      </c>
      <c r="S15" s="44">
        <v>1</v>
      </c>
      <c r="T15" s="44"/>
      <c r="U15" s="44"/>
      <c r="V15" s="46"/>
      <c r="W15" s="46"/>
      <c r="X15" s="44"/>
      <c r="Y15" s="44"/>
      <c r="Z15" s="44"/>
      <c r="AA15" s="44"/>
      <c r="AB15" s="44"/>
      <c r="AC15" s="44"/>
      <c r="AD15" s="39"/>
    </row>
    <row r="16" spans="1:33" x14ac:dyDescent="0.35">
      <c r="A16" s="74">
        <v>46272</v>
      </c>
      <c r="B16" s="47" t="s">
        <v>688</v>
      </c>
      <c r="C16" s="24"/>
      <c r="D16" s="24"/>
      <c r="E16" s="24"/>
      <c r="F16" s="24"/>
      <c r="G16" s="24"/>
      <c r="H16" s="41"/>
      <c r="I16" s="41"/>
      <c r="J16" s="41"/>
      <c r="K16" s="41">
        <v>20</v>
      </c>
      <c r="L16" s="41">
        <v>2</v>
      </c>
      <c r="M16" s="41">
        <v>20</v>
      </c>
      <c r="N16" s="41">
        <v>2</v>
      </c>
      <c r="O16" s="35">
        <v>46259</v>
      </c>
      <c r="P16" s="24" t="s">
        <v>51</v>
      </c>
      <c r="Q16" t="s">
        <v>42</v>
      </c>
      <c r="R16" s="24">
        <v>2</v>
      </c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39"/>
    </row>
    <row r="17" spans="1:30" x14ac:dyDescent="0.35">
      <c r="A17" s="74">
        <v>46272</v>
      </c>
      <c r="B17" s="51" t="s">
        <v>723</v>
      </c>
      <c r="C17" s="41">
        <v>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>
        <v>46262</v>
      </c>
      <c r="P17" s="41" t="s">
        <v>552</v>
      </c>
      <c r="Q17" s="41" t="s">
        <v>48</v>
      </c>
      <c r="R17" s="41"/>
      <c r="S17" s="41"/>
      <c r="T17" s="41"/>
      <c r="U17" s="41"/>
      <c r="V17" s="41">
        <v>3</v>
      </c>
      <c r="W17" s="41"/>
      <c r="X17" s="41"/>
      <c r="Y17" s="41"/>
      <c r="Z17" s="41"/>
      <c r="AA17" s="44"/>
      <c r="AB17" s="44"/>
      <c r="AC17" s="44"/>
      <c r="AD17" s="39"/>
    </row>
    <row r="18" spans="1:30" x14ac:dyDescent="0.35">
      <c r="B18" s="47"/>
      <c r="C18" s="4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45">
        <v>46261</v>
      </c>
      <c r="P18" s="43" t="s">
        <v>190</v>
      </c>
      <c r="Q18" t="s">
        <v>42</v>
      </c>
      <c r="R18" s="44">
        <v>2</v>
      </c>
      <c r="S18" s="44"/>
      <c r="T18" s="44"/>
      <c r="U18" s="44"/>
      <c r="V18" s="46"/>
      <c r="W18" s="46"/>
      <c r="X18" s="44"/>
      <c r="Y18" s="44"/>
      <c r="Z18" s="44"/>
      <c r="AA18" s="44"/>
      <c r="AB18" s="44"/>
      <c r="AC18" s="44"/>
      <c r="AD18" s="39"/>
    </row>
    <row r="19" spans="1:30" x14ac:dyDescent="0.35">
      <c r="B19" s="40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45">
        <v>46263</v>
      </c>
      <c r="P19" s="24" t="s">
        <v>242</v>
      </c>
      <c r="Q19" s="24" t="s">
        <v>665</v>
      </c>
      <c r="R19" s="24">
        <v>2</v>
      </c>
      <c r="S19" s="24"/>
      <c r="T19" s="44"/>
      <c r="U19" s="44"/>
      <c r="V19" s="46"/>
      <c r="W19" s="46"/>
      <c r="X19" s="44"/>
      <c r="Y19" s="44"/>
      <c r="Z19" s="44"/>
      <c r="AA19" s="44"/>
      <c r="AB19" s="44"/>
      <c r="AC19" s="44"/>
      <c r="AD19" s="39"/>
    </row>
    <row r="20" spans="1:30" x14ac:dyDescent="0.35"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49"/>
      <c r="N20" s="52"/>
      <c r="O20" s="108">
        <v>46263</v>
      </c>
      <c r="P20" s="24" t="s">
        <v>598</v>
      </c>
      <c r="Q20" s="24" t="s">
        <v>42</v>
      </c>
      <c r="R20" s="24">
        <v>10</v>
      </c>
      <c r="S20" s="24">
        <v>1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39"/>
    </row>
    <row r="21" spans="1:30" x14ac:dyDescent="0.35">
      <c r="B21" s="40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108">
        <v>46263</v>
      </c>
      <c r="P21" s="24" t="s">
        <v>403</v>
      </c>
      <c r="Q21" s="24" t="s">
        <v>48</v>
      </c>
      <c r="R21" s="24">
        <v>30</v>
      </c>
      <c r="S21" s="24">
        <v>3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39"/>
    </row>
    <row r="22" spans="1:30" x14ac:dyDescent="0.35"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108">
        <v>46263</v>
      </c>
      <c r="P22" s="24" t="s">
        <v>145</v>
      </c>
      <c r="Q22" s="24" t="s">
        <v>42</v>
      </c>
      <c r="R22" s="24">
        <v>5</v>
      </c>
      <c r="S22" s="24"/>
      <c r="T22" s="24"/>
      <c r="U22" s="24"/>
      <c r="V22" s="24"/>
      <c r="W22" s="24"/>
      <c r="X22" s="24"/>
      <c r="Y22" s="24"/>
      <c r="Z22" s="24">
        <v>2</v>
      </c>
      <c r="AA22" s="24"/>
      <c r="AB22" s="24"/>
      <c r="AC22" s="24"/>
      <c r="AD22" s="39"/>
    </row>
    <row r="23" spans="1:30" x14ac:dyDescent="0.35">
      <c r="B23" s="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108">
        <v>46268</v>
      </c>
      <c r="P23" s="132" t="s">
        <v>456</v>
      </c>
      <c r="Q23" s="24" t="s">
        <v>665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>
        <v>10</v>
      </c>
      <c r="AC23" s="24">
        <v>1</v>
      </c>
      <c r="AD23" s="39"/>
    </row>
    <row r="24" spans="1:30" x14ac:dyDescent="0.35"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108">
        <v>46269</v>
      </c>
      <c r="P24" s="24" t="s">
        <v>163</v>
      </c>
      <c r="Q24" s="24" t="s">
        <v>77</v>
      </c>
      <c r="R24" s="24"/>
      <c r="S24" s="24"/>
      <c r="T24" s="24"/>
      <c r="U24" s="24"/>
      <c r="V24" s="24"/>
      <c r="W24" s="24"/>
      <c r="X24" s="24"/>
      <c r="Y24" s="24"/>
      <c r="Z24" s="24">
        <v>3</v>
      </c>
      <c r="AA24" s="24"/>
      <c r="AB24" s="24"/>
      <c r="AC24" s="24"/>
      <c r="AD24" s="39"/>
    </row>
    <row r="25" spans="1:30" x14ac:dyDescent="0.35">
      <c r="B25" s="53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108">
        <v>46269</v>
      </c>
      <c r="P25" s="24" t="s">
        <v>190</v>
      </c>
      <c r="Q25" s="24" t="s">
        <v>42</v>
      </c>
      <c r="R25" s="24">
        <v>2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39"/>
    </row>
    <row r="26" spans="1:30" x14ac:dyDescent="0.35">
      <c r="B26" s="53"/>
      <c r="C26" s="54"/>
      <c r="D26" s="54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108">
        <v>46263</v>
      </c>
      <c r="P26" s="24" t="s">
        <v>43</v>
      </c>
      <c r="Q26" s="24" t="s">
        <v>42</v>
      </c>
      <c r="R26" s="24">
        <v>100</v>
      </c>
      <c r="S26" s="24">
        <v>14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39"/>
    </row>
    <row r="27" spans="1:30" x14ac:dyDescent="0.35">
      <c r="B27" s="53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108">
        <v>46264</v>
      </c>
      <c r="P27" s="24" t="s">
        <v>172</v>
      </c>
      <c r="Q27" s="24" t="s">
        <v>112</v>
      </c>
      <c r="R27" s="24"/>
      <c r="S27" s="24"/>
      <c r="T27" s="24"/>
      <c r="U27" s="24"/>
      <c r="V27" s="24">
        <v>2</v>
      </c>
      <c r="W27" s="24"/>
      <c r="X27" s="24"/>
      <c r="Y27" s="24"/>
      <c r="Z27" s="24"/>
      <c r="AA27" s="24"/>
      <c r="AB27" s="24"/>
      <c r="AC27" s="24"/>
      <c r="AD27" s="39"/>
    </row>
    <row r="28" spans="1:30" x14ac:dyDescent="0.35">
      <c r="B28" s="53"/>
      <c r="C28" s="49"/>
      <c r="D28" s="52"/>
      <c r="E28" s="52"/>
      <c r="F28" s="52"/>
      <c r="G28" s="52"/>
      <c r="H28" s="52"/>
      <c r="I28" s="52"/>
      <c r="J28" s="52"/>
      <c r="K28" s="52"/>
      <c r="L28" s="52"/>
      <c r="M28" s="49"/>
      <c r="N28" s="49"/>
      <c r="O28" s="45">
        <v>46267</v>
      </c>
      <c r="P28" s="43" t="s">
        <v>279</v>
      </c>
      <c r="Q28" s="43" t="s">
        <v>112</v>
      </c>
      <c r="R28" s="50"/>
      <c r="S28" s="50"/>
      <c r="T28" s="44"/>
      <c r="U28" s="44"/>
      <c r="V28" s="46">
        <v>5</v>
      </c>
      <c r="W28" s="46"/>
      <c r="X28" s="44"/>
      <c r="Y28" s="44"/>
      <c r="Z28" s="44"/>
      <c r="AA28" s="44"/>
      <c r="AB28" s="44"/>
      <c r="AC28" s="44"/>
      <c r="AD28" s="39"/>
    </row>
    <row r="29" spans="1:30" x14ac:dyDescent="0.35">
      <c r="B29" s="53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45">
        <v>46268</v>
      </c>
      <c r="P29" s="43" t="s">
        <v>328</v>
      </c>
      <c r="Q29" s="43" t="s">
        <v>112</v>
      </c>
      <c r="R29" s="44">
        <v>5</v>
      </c>
      <c r="S29" s="44"/>
      <c r="T29" s="44"/>
      <c r="U29" s="44"/>
      <c r="V29" s="46"/>
      <c r="W29" s="46"/>
      <c r="X29" s="44"/>
      <c r="Y29" s="44"/>
      <c r="Z29" s="44"/>
      <c r="AA29" s="44"/>
      <c r="AB29" s="44"/>
      <c r="AC29" s="44"/>
      <c r="AD29" s="39"/>
    </row>
    <row r="30" spans="1:30" x14ac:dyDescent="0.35">
      <c r="B30" s="53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45">
        <v>46268</v>
      </c>
      <c r="P30" s="43" t="s">
        <v>401</v>
      </c>
      <c r="Q30" s="43" t="s">
        <v>188</v>
      </c>
      <c r="R30" s="41">
        <v>2</v>
      </c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39"/>
    </row>
    <row r="31" spans="1:30" x14ac:dyDescent="0.35">
      <c r="B31" s="53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45">
        <v>46268</v>
      </c>
      <c r="P31" s="43" t="s">
        <v>43</v>
      </c>
      <c r="Q31" s="43" t="s">
        <v>42</v>
      </c>
      <c r="R31" s="41">
        <v>10</v>
      </c>
      <c r="S31" s="41">
        <v>1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39"/>
    </row>
    <row r="32" spans="1:30" x14ac:dyDescent="0.35">
      <c r="B32" s="53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45">
        <v>46269</v>
      </c>
      <c r="P32" s="132" t="s">
        <v>456</v>
      </c>
      <c r="Q32" s="24" t="s">
        <v>665</v>
      </c>
      <c r="R32" s="41">
        <v>10</v>
      </c>
      <c r="S32" s="41">
        <v>1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39"/>
    </row>
    <row r="33" spans="2:32" x14ac:dyDescent="0.35">
      <c r="B33" s="53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42">
        <v>46269</v>
      </c>
      <c r="P33" s="43" t="s">
        <v>222</v>
      </c>
      <c r="Q33" s="43" t="s">
        <v>155</v>
      </c>
      <c r="R33" s="41">
        <v>10</v>
      </c>
      <c r="S33" s="41">
        <v>1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39"/>
    </row>
    <row r="34" spans="2:32" x14ac:dyDescent="0.35">
      <c r="B34" s="53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42">
        <v>46269</v>
      </c>
      <c r="P34" s="43" t="s">
        <v>293</v>
      </c>
      <c r="Q34" s="24" t="s">
        <v>77</v>
      </c>
      <c r="R34" s="41">
        <v>10</v>
      </c>
      <c r="S34" s="41">
        <v>1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39"/>
    </row>
    <row r="35" spans="2:32" x14ac:dyDescent="0.35">
      <c r="B35" s="53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42">
        <v>46269</v>
      </c>
      <c r="P35" s="43" t="s">
        <v>279</v>
      </c>
      <c r="Q35" s="43" t="s">
        <v>112</v>
      </c>
      <c r="R35" s="41">
        <v>2</v>
      </c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39"/>
    </row>
    <row r="36" spans="2:32" x14ac:dyDescent="0.35">
      <c r="B36" s="53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42">
        <v>46269</v>
      </c>
      <c r="P36" s="43" t="s">
        <v>328</v>
      </c>
      <c r="Q36" s="43" t="s">
        <v>77</v>
      </c>
      <c r="R36" s="41">
        <v>2</v>
      </c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39"/>
    </row>
    <row r="37" spans="2:32" x14ac:dyDescent="0.35">
      <c r="B37" s="53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45">
        <v>46270</v>
      </c>
      <c r="P37" s="43" t="s">
        <v>43</v>
      </c>
      <c r="Q37" s="43" t="s">
        <v>42</v>
      </c>
      <c r="R37" s="44">
        <v>50</v>
      </c>
      <c r="S37" s="44">
        <v>5</v>
      </c>
      <c r="T37" s="44"/>
      <c r="U37" s="44"/>
      <c r="V37" s="46"/>
      <c r="W37" s="46"/>
      <c r="X37" s="44"/>
      <c r="Y37" s="44"/>
      <c r="Z37" s="44"/>
      <c r="AA37" s="44"/>
      <c r="AB37" s="44"/>
      <c r="AC37" s="44"/>
      <c r="AD37" s="39"/>
    </row>
    <row r="38" spans="2:32" x14ac:dyDescent="0.35">
      <c r="B38" s="53"/>
      <c r="C38" s="55"/>
      <c r="D38" s="49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45">
        <v>46271</v>
      </c>
      <c r="P38" s="43" t="s">
        <v>412</v>
      </c>
      <c r="Q38" s="43" t="s">
        <v>77</v>
      </c>
      <c r="R38" s="44">
        <v>2</v>
      </c>
      <c r="S38" s="44"/>
      <c r="T38" s="44"/>
      <c r="U38" s="44"/>
      <c r="V38" s="46"/>
      <c r="W38" s="46"/>
      <c r="X38" s="44"/>
      <c r="Y38" s="44"/>
      <c r="Z38" s="44"/>
      <c r="AA38" s="44"/>
      <c r="AB38" s="44"/>
      <c r="AC38" s="44"/>
      <c r="AD38" s="39"/>
    </row>
    <row r="39" spans="2:32" x14ac:dyDescent="0.35">
      <c r="B39" s="53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45">
        <v>46271</v>
      </c>
      <c r="P39" s="43" t="s">
        <v>180</v>
      </c>
      <c r="Q39" s="43" t="s">
        <v>46</v>
      </c>
      <c r="R39" s="44">
        <v>10</v>
      </c>
      <c r="S39" s="44">
        <v>1</v>
      </c>
      <c r="T39" s="44"/>
      <c r="U39" s="44"/>
      <c r="V39" s="46"/>
      <c r="W39" s="46"/>
      <c r="X39" s="44"/>
      <c r="Y39" s="44"/>
      <c r="Z39" s="44"/>
      <c r="AA39" s="44"/>
      <c r="AB39" s="44"/>
      <c r="AC39" s="44"/>
      <c r="AD39" s="39"/>
      <c r="AF39" s="39"/>
    </row>
    <row r="40" spans="2:32" x14ac:dyDescent="0.35">
      <c r="B40" s="53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45">
        <v>46271</v>
      </c>
      <c r="P40" s="43" t="s">
        <v>397</v>
      </c>
      <c r="Q40" s="43" t="s">
        <v>48</v>
      </c>
      <c r="R40" s="44"/>
      <c r="S40" s="44"/>
      <c r="T40" s="44"/>
      <c r="U40" s="44"/>
      <c r="V40" s="46"/>
      <c r="W40" s="46"/>
      <c r="X40" s="44"/>
      <c r="Y40" s="44"/>
      <c r="Z40" s="44">
        <v>2</v>
      </c>
      <c r="AA40" s="44"/>
      <c r="AB40" s="44"/>
      <c r="AC40" s="44"/>
      <c r="AD40" s="39"/>
    </row>
    <row r="41" spans="2:32" x14ac:dyDescent="0.35">
      <c r="B41" s="53"/>
      <c r="C41" s="52"/>
      <c r="D41" s="52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5">
        <v>46263</v>
      </c>
      <c r="P41" s="43" t="s">
        <v>50</v>
      </c>
      <c r="Q41" s="43" t="s">
        <v>42</v>
      </c>
      <c r="R41" s="44">
        <v>10</v>
      </c>
      <c r="S41" s="44">
        <v>1</v>
      </c>
      <c r="T41" s="44"/>
      <c r="U41" s="44"/>
      <c r="V41" s="46"/>
      <c r="W41" s="46"/>
      <c r="X41" s="44"/>
      <c r="Y41" s="44"/>
      <c r="Z41" s="44"/>
      <c r="AA41" s="44"/>
      <c r="AB41" s="44"/>
      <c r="AC41" s="44"/>
      <c r="AD41" s="39"/>
    </row>
    <row r="42" spans="2:32" x14ac:dyDescent="0.35">
      <c r="B42" s="53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5">
        <v>46263</v>
      </c>
      <c r="P42" s="43" t="s">
        <v>50</v>
      </c>
      <c r="Q42" s="43" t="s">
        <v>42</v>
      </c>
      <c r="R42" s="44">
        <v>10</v>
      </c>
      <c r="S42" s="44">
        <v>1</v>
      </c>
      <c r="T42" s="44"/>
      <c r="U42" s="44"/>
      <c r="V42" s="46"/>
      <c r="W42" s="46"/>
      <c r="X42" s="44"/>
      <c r="Y42" s="44"/>
      <c r="Z42" s="44"/>
      <c r="AA42" s="44"/>
      <c r="AB42" s="44"/>
      <c r="AC42" s="41"/>
      <c r="AD42" s="39"/>
    </row>
    <row r="43" spans="2:32" x14ac:dyDescent="0.35">
      <c r="B43" s="53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2">
        <v>46263</v>
      </c>
      <c r="P43" s="43" t="s">
        <v>222</v>
      </c>
      <c r="Q43" s="43" t="s">
        <v>155</v>
      </c>
      <c r="R43" s="44">
        <v>10</v>
      </c>
      <c r="S43" s="44">
        <v>1</v>
      </c>
      <c r="T43" s="44"/>
      <c r="U43" s="44"/>
      <c r="V43" s="46"/>
      <c r="W43" s="46"/>
      <c r="X43" s="44"/>
      <c r="Y43" s="44"/>
      <c r="Z43" s="44"/>
      <c r="AA43" s="44"/>
      <c r="AB43" s="44"/>
      <c r="AC43" s="44"/>
      <c r="AD43" s="39"/>
    </row>
    <row r="44" spans="2:32" x14ac:dyDescent="0.35">
      <c r="B44" s="53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5">
        <v>46263</v>
      </c>
      <c r="P44" s="43" t="s">
        <v>194</v>
      </c>
      <c r="Q44" s="43" t="s">
        <v>42</v>
      </c>
      <c r="R44" s="44">
        <v>10</v>
      </c>
      <c r="S44" s="44">
        <v>1</v>
      </c>
      <c r="T44" s="44"/>
      <c r="U44" s="44"/>
      <c r="V44" s="46"/>
      <c r="W44" s="46"/>
      <c r="X44" s="44"/>
      <c r="Y44" s="44"/>
      <c r="Z44" s="44"/>
      <c r="AA44" s="44"/>
      <c r="AB44" s="44"/>
      <c r="AC44" s="44"/>
      <c r="AD44" s="39"/>
    </row>
    <row r="45" spans="2:32" x14ac:dyDescent="0.35">
      <c r="B45" s="53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5">
        <v>46264</v>
      </c>
      <c r="P45" s="43" t="s">
        <v>489</v>
      </c>
      <c r="Q45" s="43" t="s">
        <v>42</v>
      </c>
      <c r="R45" s="44"/>
      <c r="S45" s="44"/>
      <c r="T45" s="44"/>
      <c r="U45" s="44"/>
      <c r="V45" s="46"/>
      <c r="W45" s="46">
        <v>1</v>
      </c>
      <c r="X45" s="44"/>
      <c r="Y45" s="44"/>
      <c r="Z45" s="44">
        <v>10</v>
      </c>
      <c r="AA45" s="44"/>
      <c r="AB45" s="44"/>
      <c r="AC45" s="44"/>
      <c r="AD45" s="39"/>
    </row>
    <row r="46" spans="2:32" x14ac:dyDescent="0.35">
      <c r="B46" s="53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5">
        <v>46264</v>
      </c>
      <c r="P46" s="43" t="s">
        <v>339</v>
      </c>
      <c r="Q46" s="43" t="s">
        <v>188</v>
      </c>
      <c r="R46" s="44">
        <v>10</v>
      </c>
      <c r="S46" s="44">
        <v>1</v>
      </c>
      <c r="T46" s="44"/>
      <c r="U46" s="44"/>
      <c r="V46" s="46"/>
      <c r="W46" s="46"/>
      <c r="X46" s="44"/>
      <c r="Y46" s="44"/>
      <c r="Z46" s="44"/>
      <c r="AA46" s="44"/>
      <c r="AB46" s="44"/>
      <c r="AC46" s="44"/>
      <c r="AD46" s="39"/>
    </row>
    <row r="47" spans="2:32" x14ac:dyDescent="0.35">
      <c r="B47" s="53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5">
        <v>46266</v>
      </c>
      <c r="P47" s="43" t="s">
        <v>691</v>
      </c>
      <c r="Q47" s="43" t="s">
        <v>42</v>
      </c>
      <c r="R47" s="44">
        <v>10</v>
      </c>
      <c r="S47" s="44">
        <v>1</v>
      </c>
      <c r="T47" s="44"/>
      <c r="U47" s="44"/>
      <c r="V47" s="46"/>
      <c r="W47" s="46"/>
      <c r="X47" s="44"/>
      <c r="Y47" s="44"/>
      <c r="Z47" s="44"/>
      <c r="AA47" s="44"/>
      <c r="AB47" s="44"/>
      <c r="AC47" s="44"/>
      <c r="AD47" s="39"/>
    </row>
    <row r="48" spans="2:32" x14ac:dyDescent="0.35">
      <c r="B48" s="53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5">
        <v>46266</v>
      </c>
      <c r="P48" s="43" t="s">
        <v>50</v>
      </c>
      <c r="Q48" s="43" t="s">
        <v>42</v>
      </c>
      <c r="R48" s="41">
        <v>10</v>
      </c>
      <c r="S48" s="41">
        <v>1</v>
      </c>
      <c r="T48" s="41"/>
      <c r="U48" s="41"/>
      <c r="V48" s="41"/>
      <c r="W48" s="41"/>
      <c r="X48" s="41"/>
      <c r="Y48" s="41"/>
      <c r="Z48" s="41"/>
      <c r="AA48" s="41"/>
      <c r="AB48" s="41"/>
      <c r="AC48" s="44"/>
      <c r="AD48" s="39"/>
    </row>
    <row r="49" spans="2:30" x14ac:dyDescent="0.35">
      <c r="B49" s="53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5">
        <v>46267</v>
      </c>
      <c r="P49" s="43" t="s">
        <v>43</v>
      </c>
      <c r="Q49" s="43" t="s">
        <v>42</v>
      </c>
      <c r="R49" s="44">
        <v>10</v>
      </c>
      <c r="S49" s="44">
        <v>1</v>
      </c>
      <c r="T49" s="44"/>
      <c r="U49" s="44"/>
      <c r="V49" s="46"/>
      <c r="W49" s="46"/>
      <c r="X49" s="44"/>
      <c r="Y49" s="44"/>
      <c r="Z49" s="44"/>
      <c r="AA49" s="44"/>
      <c r="AB49" s="44"/>
      <c r="AC49" s="41"/>
      <c r="AD49" s="39"/>
    </row>
    <row r="50" spans="2:30" x14ac:dyDescent="0.35">
      <c r="B50" s="53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2">
        <v>46267</v>
      </c>
      <c r="P50" s="43" t="s">
        <v>691</v>
      </c>
      <c r="Q50" s="43" t="s">
        <v>42</v>
      </c>
      <c r="R50" s="44">
        <v>10</v>
      </c>
      <c r="S50" s="44">
        <v>1</v>
      </c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39"/>
    </row>
    <row r="51" spans="2:30" x14ac:dyDescent="0.35"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5">
        <v>46268</v>
      </c>
      <c r="P51" s="43" t="s">
        <v>165</v>
      </c>
      <c r="Q51" s="43" t="s">
        <v>42</v>
      </c>
      <c r="R51" s="50">
        <v>2</v>
      </c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41"/>
      <c r="AD51" s="39"/>
    </row>
    <row r="52" spans="2:30" x14ac:dyDescent="0.35"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5">
        <v>46268</v>
      </c>
      <c r="P52" s="43" t="s">
        <v>255</v>
      </c>
      <c r="Q52" s="43" t="s">
        <v>112</v>
      </c>
      <c r="R52" s="50">
        <v>11</v>
      </c>
      <c r="S52" s="50">
        <v>1</v>
      </c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39"/>
    </row>
    <row r="53" spans="2:30" x14ac:dyDescent="0.35"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5">
        <v>46268</v>
      </c>
      <c r="P53" s="43" t="s">
        <v>255</v>
      </c>
      <c r="Q53" s="43" t="s">
        <v>112</v>
      </c>
      <c r="R53" s="50">
        <v>10</v>
      </c>
      <c r="S53" s="50">
        <v>1</v>
      </c>
      <c r="T53" s="50"/>
      <c r="U53" s="50"/>
      <c r="V53" s="50"/>
      <c r="W53" s="50"/>
      <c r="X53" s="50"/>
      <c r="Y53" s="50"/>
      <c r="Z53" s="50">
        <v>3</v>
      </c>
      <c r="AA53" s="50"/>
      <c r="AB53" s="50"/>
      <c r="AC53" s="50"/>
      <c r="AD53" s="39"/>
    </row>
    <row r="54" spans="2:30" x14ac:dyDescent="0.35"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5">
        <v>46268</v>
      </c>
      <c r="P54" s="134" t="s">
        <v>44</v>
      </c>
      <c r="Q54" s="43" t="s">
        <v>42</v>
      </c>
      <c r="R54" s="50">
        <v>10</v>
      </c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39"/>
    </row>
    <row r="55" spans="2:30" x14ac:dyDescent="0.35"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5">
        <v>46270</v>
      </c>
      <c r="P55" s="43" t="s">
        <v>222</v>
      </c>
      <c r="Q55" s="43" t="s">
        <v>155</v>
      </c>
      <c r="R55" s="50">
        <v>10</v>
      </c>
      <c r="S55" s="50">
        <v>1</v>
      </c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39"/>
    </row>
    <row r="56" spans="2:30" x14ac:dyDescent="0.35"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5">
        <v>46270</v>
      </c>
      <c r="P56" s="43" t="s">
        <v>175</v>
      </c>
      <c r="Q56" s="43" t="s">
        <v>46</v>
      </c>
      <c r="R56" s="50"/>
      <c r="S56" s="50"/>
      <c r="T56" s="50"/>
      <c r="U56" s="50"/>
      <c r="V56" s="50">
        <v>10</v>
      </c>
      <c r="W56" s="50">
        <v>1</v>
      </c>
      <c r="X56" s="50"/>
      <c r="Y56" s="50"/>
      <c r="Z56" s="50"/>
      <c r="AA56" s="50"/>
      <c r="AB56" s="50"/>
      <c r="AC56" s="50"/>
      <c r="AD56" s="39"/>
    </row>
    <row r="57" spans="2:30" x14ac:dyDescent="0.35"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5">
        <v>46270</v>
      </c>
      <c r="P57" s="43" t="s">
        <v>364</v>
      </c>
      <c r="Q57" s="43" t="s">
        <v>155</v>
      </c>
      <c r="R57" s="50">
        <v>10</v>
      </c>
      <c r="S57" s="50">
        <v>1</v>
      </c>
      <c r="T57" s="41"/>
      <c r="U57" s="41"/>
      <c r="V57" s="41"/>
      <c r="W57" s="41"/>
      <c r="X57" s="41"/>
      <c r="Y57" s="41"/>
      <c r="Z57" s="41"/>
      <c r="AA57" s="41"/>
      <c r="AB57" s="41"/>
      <c r="AC57" s="50"/>
      <c r="AD57" s="39"/>
    </row>
    <row r="58" spans="2:30" x14ac:dyDescent="0.35">
      <c r="B58" s="42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5">
        <v>46270</v>
      </c>
      <c r="P58" s="135" t="s">
        <v>693</v>
      </c>
      <c r="Q58" s="43" t="s">
        <v>42</v>
      </c>
      <c r="R58" s="59">
        <v>10</v>
      </c>
      <c r="S58" s="59">
        <v>1</v>
      </c>
      <c r="AB58">
        <v>30</v>
      </c>
      <c r="AC58">
        <v>3</v>
      </c>
      <c r="AD58" s="39"/>
    </row>
    <row r="59" spans="2:30" x14ac:dyDescent="0.35">
      <c r="B59" s="42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5">
        <v>46270</v>
      </c>
      <c r="P59" s="43" t="s">
        <v>487</v>
      </c>
      <c r="Q59" s="43" t="s">
        <v>42</v>
      </c>
      <c r="R59" s="50">
        <v>3</v>
      </c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39"/>
    </row>
    <row r="60" spans="2:30" x14ac:dyDescent="0.35">
      <c r="B60" s="42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5">
        <v>46251</v>
      </c>
      <c r="P60" s="43" t="s">
        <v>222</v>
      </c>
      <c r="Q60" s="43" t="s">
        <v>155</v>
      </c>
      <c r="R60" s="50">
        <v>10</v>
      </c>
      <c r="S60" s="50">
        <v>1</v>
      </c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39"/>
    </row>
    <row r="61" spans="2:30" x14ac:dyDescent="0.35">
      <c r="B61" s="42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5">
        <v>46272</v>
      </c>
      <c r="P61" s="43" t="s">
        <v>186</v>
      </c>
      <c r="Q61" s="43" t="s">
        <v>155</v>
      </c>
      <c r="R61" s="50">
        <v>10</v>
      </c>
      <c r="S61" s="50">
        <v>1</v>
      </c>
      <c r="T61" s="50"/>
      <c r="U61" s="50"/>
      <c r="V61" s="50"/>
      <c r="W61" s="50"/>
      <c r="X61" s="50"/>
      <c r="Y61" s="50"/>
      <c r="Z61" s="50">
        <v>2</v>
      </c>
      <c r="AA61" s="50"/>
      <c r="AB61" s="50"/>
      <c r="AC61" s="50"/>
      <c r="AD61" s="39"/>
    </row>
    <row r="62" spans="2:30" x14ac:dyDescent="0.35">
      <c r="B62" s="42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5">
        <v>46272</v>
      </c>
      <c r="P62" s="43" t="s">
        <v>222</v>
      </c>
      <c r="Q62" s="43" t="s">
        <v>155</v>
      </c>
      <c r="R62" s="50">
        <v>10</v>
      </c>
      <c r="S62" s="50">
        <v>1</v>
      </c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39"/>
    </row>
    <row r="63" spans="2:30" x14ac:dyDescent="0.35">
      <c r="B63" s="42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5">
        <v>46272</v>
      </c>
      <c r="P63" s="134" t="s">
        <v>332</v>
      </c>
      <c r="Q63" s="43" t="s">
        <v>665</v>
      </c>
      <c r="R63" s="50"/>
      <c r="S63" s="50"/>
      <c r="T63" s="50"/>
      <c r="U63" s="50"/>
      <c r="V63" s="50">
        <v>2</v>
      </c>
      <c r="W63" s="50"/>
      <c r="X63" s="50"/>
      <c r="Y63" s="50"/>
      <c r="Z63" s="50">
        <v>10</v>
      </c>
      <c r="AA63" s="50">
        <v>1</v>
      </c>
      <c r="AB63" s="50"/>
      <c r="AC63" s="50"/>
      <c r="AD63" s="39"/>
    </row>
    <row r="64" spans="2:30" x14ac:dyDescent="0.35">
      <c r="B64" s="42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5">
        <v>46272</v>
      </c>
      <c r="P64" s="43" t="s">
        <v>63</v>
      </c>
      <c r="Q64" s="43" t="s">
        <v>42</v>
      </c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>
        <v>10</v>
      </c>
      <c r="AC64" s="50">
        <v>1</v>
      </c>
      <c r="AD64" s="39"/>
    </row>
    <row r="65" spans="2:30" x14ac:dyDescent="0.35">
      <c r="B65" s="42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5">
        <v>46272</v>
      </c>
      <c r="P65" s="43" t="s">
        <v>705</v>
      </c>
      <c r="Q65" s="43" t="s">
        <v>77</v>
      </c>
      <c r="R65" s="50">
        <v>10</v>
      </c>
      <c r="S65" s="50">
        <v>1</v>
      </c>
      <c r="T65" s="50"/>
      <c r="U65" s="50"/>
      <c r="V65" s="50">
        <v>1</v>
      </c>
      <c r="W65" s="50"/>
      <c r="X65" s="50"/>
      <c r="Y65" s="50"/>
      <c r="Z65" s="50"/>
      <c r="AA65" s="50"/>
      <c r="AB65" s="50"/>
      <c r="AC65" s="50"/>
      <c r="AD65" s="39"/>
    </row>
    <row r="66" spans="2:30" x14ac:dyDescent="0.35">
      <c r="B66" s="42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5">
        <v>46272</v>
      </c>
      <c r="P66" s="43" t="s">
        <v>43</v>
      </c>
      <c r="Q66" s="43" t="s">
        <v>42</v>
      </c>
      <c r="R66" s="50">
        <v>10</v>
      </c>
      <c r="S66" s="50">
        <v>1</v>
      </c>
      <c r="AD66" s="39"/>
    </row>
    <row r="67" spans="2:30" x14ac:dyDescent="0.35"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5">
        <v>46272</v>
      </c>
      <c r="P67" s="43" t="s">
        <v>43</v>
      </c>
      <c r="Q67" s="43" t="s">
        <v>42</v>
      </c>
      <c r="R67" s="50">
        <v>10</v>
      </c>
      <c r="S67" s="50">
        <v>1</v>
      </c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39"/>
    </row>
    <row r="68" spans="2:30" x14ac:dyDescent="0.35"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5">
        <v>46272</v>
      </c>
      <c r="P68" s="43" t="s">
        <v>50</v>
      </c>
      <c r="Q68" s="43" t="s">
        <v>42</v>
      </c>
      <c r="R68" s="50">
        <v>10</v>
      </c>
      <c r="S68" s="50">
        <v>1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39"/>
    </row>
    <row r="69" spans="2:30" x14ac:dyDescent="0.35"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5">
        <v>46272</v>
      </c>
      <c r="P69" s="41" t="s">
        <v>163</v>
      </c>
      <c r="Q69" s="43" t="s">
        <v>77</v>
      </c>
      <c r="R69" s="41"/>
      <c r="S69" s="50"/>
      <c r="T69" s="50"/>
      <c r="U69" s="50"/>
      <c r="V69" s="50"/>
      <c r="W69" s="50"/>
      <c r="X69" s="50"/>
      <c r="Y69" s="50"/>
      <c r="Z69" s="50">
        <v>4</v>
      </c>
      <c r="AA69" s="50"/>
      <c r="AB69" s="50"/>
      <c r="AC69" s="50"/>
      <c r="AD69" s="39"/>
    </row>
    <row r="70" spans="2:30" x14ac:dyDescent="0.35"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5">
        <v>46272</v>
      </c>
      <c r="P70" s="41" t="s">
        <v>421</v>
      </c>
      <c r="Q70" s="43" t="s">
        <v>48</v>
      </c>
      <c r="R70" s="41"/>
      <c r="S70" s="50"/>
      <c r="T70" s="50"/>
      <c r="U70" s="50"/>
      <c r="V70" s="50"/>
      <c r="W70" s="50"/>
      <c r="X70" s="50"/>
      <c r="Y70" s="50"/>
      <c r="Z70" s="50">
        <v>4</v>
      </c>
      <c r="AA70" s="50"/>
      <c r="AB70" s="50"/>
      <c r="AC70" s="50"/>
      <c r="AD70" s="39"/>
    </row>
    <row r="71" spans="2:30" x14ac:dyDescent="0.35"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5">
        <v>46272</v>
      </c>
      <c r="P71" s="41" t="s">
        <v>332</v>
      </c>
      <c r="Q71" s="43" t="s">
        <v>665</v>
      </c>
      <c r="R71" s="41">
        <v>3</v>
      </c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39"/>
    </row>
    <row r="72" spans="2:30" x14ac:dyDescent="0.35"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5">
        <v>46272</v>
      </c>
      <c r="P72" s="41" t="s">
        <v>242</v>
      </c>
      <c r="Q72" s="43" t="s">
        <v>665</v>
      </c>
      <c r="R72" s="41">
        <v>2</v>
      </c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39"/>
    </row>
    <row r="73" spans="2:30" x14ac:dyDescent="0.35"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5">
        <v>46272</v>
      </c>
      <c r="P73" s="41" t="s">
        <v>115</v>
      </c>
      <c r="Q73" s="43" t="s">
        <v>42</v>
      </c>
      <c r="R73" s="41">
        <v>6</v>
      </c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39"/>
    </row>
    <row r="74" spans="2:30" x14ac:dyDescent="0.35"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5">
        <v>46272</v>
      </c>
      <c r="P74" s="41" t="s">
        <v>708</v>
      </c>
      <c r="Q74" s="43"/>
      <c r="R74" s="41">
        <v>2</v>
      </c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39"/>
    </row>
    <row r="75" spans="2:30" x14ac:dyDescent="0.35"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5">
        <v>46272</v>
      </c>
      <c r="P75" s="41" t="s">
        <v>145</v>
      </c>
      <c r="Q75" s="43" t="s">
        <v>42</v>
      </c>
      <c r="R75" s="41">
        <v>6</v>
      </c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39"/>
    </row>
    <row r="76" spans="2:30" x14ac:dyDescent="0.35"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5">
        <v>46272</v>
      </c>
      <c r="P76" s="43" t="s">
        <v>720</v>
      </c>
      <c r="Q76" s="43" t="s">
        <v>46</v>
      </c>
      <c r="R76" s="50">
        <v>5</v>
      </c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39"/>
    </row>
    <row r="77" spans="2:30" x14ac:dyDescent="0.35"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2">
        <v>46268</v>
      </c>
      <c r="P77" s="41" t="s">
        <v>414</v>
      </c>
      <c r="Q77" s="43" t="s">
        <v>665</v>
      </c>
      <c r="R77" s="41">
        <v>10</v>
      </c>
      <c r="S77" s="41">
        <v>1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39"/>
    </row>
    <row r="78" spans="2:30" x14ac:dyDescent="0.35"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138">
        <v>46212</v>
      </c>
      <c r="P78" s="134" t="s">
        <v>194</v>
      </c>
      <c r="Q78" s="134"/>
      <c r="R78" s="139">
        <v>4</v>
      </c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39"/>
    </row>
    <row r="79" spans="2:30" x14ac:dyDescent="0.35"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5"/>
      <c r="P79" s="43"/>
      <c r="Q79" s="43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39"/>
    </row>
    <row r="80" spans="2:30" x14ac:dyDescent="0.35"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5"/>
      <c r="P80" s="43"/>
      <c r="Q80" s="43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39"/>
    </row>
    <row r="81" spans="2:30" x14ac:dyDescent="0.35"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57"/>
      <c r="P81" s="58"/>
      <c r="Q81" s="58"/>
      <c r="R81" s="59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39"/>
    </row>
    <row r="82" spans="2:30" x14ac:dyDescent="0.35"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57"/>
      <c r="P82" s="43"/>
      <c r="Q82" s="43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39"/>
    </row>
    <row r="83" spans="2:30" x14ac:dyDescent="0.35"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57"/>
      <c r="P83" s="43"/>
      <c r="Q83" s="43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39"/>
    </row>
    <row r="84" spans="2:30" x14ac:dyDescent="0.35"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5"/>
      <c r="P84" s="43"/>
      <c r="Q84" s="43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39"/>
    </row>
    <row r="85" spans="2:30" x14ac:dyDescent="0.35"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5"/>
      <c r="P85" s="43"/>
      <c r="Q85" s="43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39"/>
    </row>
    <row r="86" spans="2:30" x14ac:dyDescent="0.35"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5"/>
      <c r="P86" s="43"/>
      <c r="Q86" s="43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39"/>
    </row>
    <row r="87" spans="2:30" x14ac:dyDescent="0.35"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5"/>
      <c r="P87" s="43"/>
      <c r="Q87" s="43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39"/>
    </row>
    <row r="88" spans="2:30" x14ac:dyDescent="0.35"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5"/>
      <c r="P88" s="43"/>
      <c r="Q88" s="43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39"/>
    </row>
    <row r="89" spans="2:30" x14ac:dyDescent="0.35"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5"/>
      <c r="P89" s="43"/>
      <c r="Q89" s="43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39"/>
    </row>
    <row r="90" spans="2:30" x14ac:dyDescent="0.35"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5"/>
      <c r="P90" s="43"/>
      <c r="Q90" s="43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39"/>
    </row>
    <row r="91" spans="2:30" x14ac:dyDescent="0.35"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5"/>
      <c r="P91" s="43"/>
      <c r="Q91" s="43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39"/>
    </row>
    <row r="92" spans="2:30" x14ac:dyDescent="0.35"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5"/>
      <c r="P92" s="60"/>
      <c r="Q92" s="43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39"/>
    </row>
    <row r="93" spans="2:30" x14ac:dyDescent="0.35"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5"/>
      <c r="P93" s="43"/>
      <c r="Q93" s="43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39"/>
    </row>
    <row r="94" spans="2:30" x14ac:dyDescent="0.35"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5"/>
      <c r="P94" s="43"/>
      <c r="Q94" s="43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39"/>
    </row>
    <row r="95" spans="2:30" x14ac:dyDescent="0.35"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5"/>
      <c r="P95" s="43"/>
      <c r="Q95" s="43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39"/>
    </row>
    <row r="96" spans="2:30" x14ac:dyDescent="0.35"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5"/>
      <c r="P96" s="43"/>
      <c r="Q96" s="43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39"/>
    </row>
    <row r="97" spans="2:30" x14ac:dyDescent="0.35"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5"/>
      <c r="P97" s="43"/>
      <c r="Q97" s="43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39"/>
    </row>
    <row r="98" spans="2:30" x14ac:dyDescent="0.35"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5"/>
      <c r="P98" s="43"/>
      <c r="Q98" s="43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39"/>
    </row>
    <row r="99" spans="2:30" x14ac:dyDescent="0.35"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5"/>
      <c r="P99" s="43"/>
      <c r="Q99" s="43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39"/>
    </row>
    <row r="100" spans="2:30" x14ac:dyDescent="0.35"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5"/>
      <c r="P100" s="43"/>
      <c r="Q100" s="43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39"/>
    </row>
    <row r="101" spans="2:30" x14ac:dyDescent="0.35"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5"/>
      <c r="P101" s="43"/>
      <c r="Q101" s="43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39"/>
    </row>
    <row r="102" spans="2:30" x14ac:dyDescent="0.35"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5"/>
      <c r="P102" s="43"/>
      <c r="Q102" s="43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39"/>
    </row>
    <row r="103" spans="2:30" x14ac:dyDescent="0.35"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5"/>
      <c r="P103" s="43"/>
      <c r="Q103" s="43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39"/>
    </row>
    <row r="104" spans="2:30" ht="20.25" customHeight="1" x14ac:dyDescent="0.35"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5"/>
      <c r="P104" s="43"/>
      <c r="Q104" s="43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39"/>
    </row>
    <row r="105" spans="2:30" ht="21.75" customHeight="1" x14ac:dyDescent="0.35"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5"/>
      <c r="P105" s="43"/>
      <c r="Q105" s="43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39"/>
    </row>
    <row r="106" spans="2:30" ht="21.75" customHeight="1" x14ac:dyDescent="0.35"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5"/>
      <c r="P106" s="43"/>
      <c r="Q106" s="43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39"/>
    </row>
    <row r="107" spans="2:30" ht="21.75" customHeight="1" x14ac:dyDescent="0.35"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5"/>
      <c r="P107" s="43"/>
      <c r="Q107" s="43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39"/>
    </row>
    <row r="108" spans="2:30" ht="21.75" customHeight="1" x14ac:dyDescent="0.35"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5"/>
      <c r="P108" s="43"/>
      <c r="Q108" s="43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39"/>
    </row>
    <row r="109" spans="2:30" ht="21.75" customHeight="1" x14ac:dyDescent="0.35"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5"/>
      <c r="P109" s="43"/>
      <c r="Q109" s="43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39"/>
    </row>
    <row r="110" spans="2:30" ht="21.75" customHeight="1" x14ac:dyDescent="0.35"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5"/>
      <c r="P110" s="43"/>
      <c r="Q110" s="43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39"/>
    </row>
    <row r="111" spans="2:30" ht="21.75" customHeight="1" x14ac:dyDescent="0.35"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5"/>
      <c r="P111" s="43"/>
      <c r="Q111" s="43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39"/>
    </row>
    <row r="112" spans="2:30" ht="21.75" customHeight="1" x14ac:dyDescent="0.35"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5"/>
      <c r="P112" s="43"/>
      <c r="Q112" s="43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39"/>
    </row>
    <row r="113" spans="2:30" ht="21.75" customHeight="1" x14ac:dyDescent="0.35"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5"/>
      <c r="P113" s="61"/>
      <c r="Q113" s="43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39"/>
    </row>
    <row r="114" spans="2:30" ht="21.75" customHeight="1" x14ac:dyDescent="0.35"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5"/>
      <c r="P114" s="43"/>
      <c r="Q114" s="43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39"/>
    </row>
    <row r="115" spans="2:30" ht="21.75" customHeight="1" x14ac:dyDescent="0.35"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5"/>
      <c r="P115" s="43"/>
      <c r="Q115" s="41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39"/>
    </row>
    <row r="116" spans="2:30" ht="21.75" customHeight="1" x14ac:dyDescent="0.35"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5"/>
      <c r="P116" s="43"/>
      <c r="Q116" s="41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39"/>
    </row>
    <row r="117" spans="2:30" ht="21.75" customHeight="1" x14ac:dyDescent="0.35"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5"/>
      <c r="P117" s="43"/>
      <c r="Q117" s="41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39"/>
    </row>
    <row r="118" spans="2:30" ht="21.75" customHeight="1" x14ac:dyDescent="0.35"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5"/>
      <c r="P118" s="43"/>
      <c r="Q118" s="41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39"/>
    </row>
    <row r="119" spans="2:30" ht="21.75" customHeight="1" x14ac:dyDescent="0.35"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39"/>
    </row>
    <row r="120" spans="2:30" ht="21.75" customHeight="1" x14ac:dyDescent="0.35"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5"/>
      <c r="P120" s="43"/>
      <c r="Q120" s="41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39"/>
    </row>
    <row r="121" spans="2:30" ht="21.75" customHeight="1" x14ac:dyDescent="0.35"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5"/>
      <c r="P121" s="43"/>
      <c r="Q121" s="43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39"/>
    </row>
    <row r="122" spans="2:30" ht="21.75" customHeight="1" x14ac:dyDescent="0.35"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5"/>
      <c r="P122" s="43"/>
      <c r="Q122" s="43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39"/>
    </row>
    <row r="123" spans="2:30" ht="21.75" customHeight="1" x14ac:dyDescent="0.35"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5"/>
      <c r="P123" s="43"/>
      <c r="Q123" s="43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39"/>
    </row>
    <row r="124" spans="2:30" ht="21.75" customHeight="1" x14ac:dyDescent="0.35"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5"/>
      <c r="P124" s="43"/>
      <c r="Q124" s="43"/>
      <c r="R124" s="50"/>
      <c r="S124" s="50"/>
      <c r="T124" s="50"/>
      <c r="U124" s="62"/>
      <c r="V124" s="50"/>
      <c r="W124" s="50"/>
      <c r="X124" s="50"/>
      <c r="Y124" s="50"/>
      <c r="Z124" s="50"/>
      <c r="AA124" s="50"/>
      <c r="AB124" s="50"/>
      <c r="AC124" s="50"/>
      <c r="AD124" s="39"/>
    </row>
    <row r="125" spans="2:30" ht="21.75" customHeight="1" x14ac:dyDescent="0.35"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5"/>
      <c r="P125" s="43"/>
      <c r="Q125" s="43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39"/>
    </row>
    <row r="126" spans="2:30" ht="21.75" customHeight="1" x14ac:dyDescent="0.35"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5"/>
      <c r="P126" s="43"/>
      <c r="Q126" s="43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39"/>
    </row>
    <row r="127" spans="2:30" ht="21.75" customHeight="1" x14ac:dyDescent="0.35"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5"/>
      <c r="P127" s="43"/>
      <c r="Q127" s="43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39"/>
    </row>
    <row r="128" spans="2:30" ht="21.75" customHeight="1" x14ac:dyDescent="0.35"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5"/>
      <c r="P128" s="43"/>
      <c r="Q128" s="41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39"/>
    </row>
    <row r="129" spans="2:32" ht="21.75" customHeight="1" x14ac:dyDescent="0.35"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5"/>
      <c r="P129" s="43"/>
      <c r="Q129" s="43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39"/>
    </row>
    <row r="130" spans="2:32" ht="21.75" customHeight="1" x14ac:dyDescent="0.35"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5"/>
      <c r="P130" s="43"/>
      <c r="Q130" s="43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39"/>
    </row>
    <row r="131" spans="2:32" ht="21.75" customHeight="1" x14ac:dyDescent="0.35"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5"/>
      <c r="P131" s="43"/>
      <c r="Q131" s="41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39"/>
    </row>
    <row r="132" spans="2:32" ht="21.75" customHeight="1" x14ac:dyDescent="0.35"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5"/>
      <c r="P132" s="41"/>
      <c r="Q132" s="43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39"/>
    </row>
    <row r="133" spans="2:32" x14ac:dyDescent="0.35">
      <c r="B133" s="63" t="s">
        <v>17</v>
      </c>
      <c r="C133" s="24">
        <f t="shared" ref="C133:N133" si="0">SUM(C5:C132)</f>
        <v>421</v>
      </c>
      <c r="D133" s="24">
        <f t="shared" si="0"/>
        <v>0</v>
      </c>
      <c r="E133" s="24">
        <f t="shared" si="0"/>
        <v>0</v>
      </c>
      <c r="F133" s="24">
        <f t="shared" si="0"/>
        <v>0</v>
      </c>
      <c r="G133" s="24">
        <f t="shared" si="0"/>
        <v>72</v>
      </c>
      <c r="H133" s="24">
        <f t="shared" si="0"/>
        <v>0</v>
      </c>
      <c r="I133" s="24">
        <f t="shared" si="0"/>
        <v>0</v>
      </c>
      <c r="J133" s="24">
        <f t="shared" si="0"/>
        <v>0</v>
      </c>
      <c r="K133" s="24">
        <f t="shared" si="0"/>
        <v>42</v>
      </c>
      <c r="L133" s="24">
        <f t="shared" si="0"/>
        <v>2</v>
      </c>
      <c r="M133" s="24">
        <f t="shared" si="0"/>
        <v>62</v>
      </c>
      <c r="N133" s="24">
        <f t="shared" si="0"/>
        <v>4</v>
      </c>
      <c r="O133" s="35"/>
      <c r="P133" s="24"/>
      <c r="Q133" s="24"/>
      <c r="R133" s="64">
        <f t="shared" ref="R133:AC133" si="1">SUM(R5:R132)</f>
        <v>1130</v>
      </c>
      <c r="S133" s="64">
        <f t="shared" si="1"/>
        <v>119</v>
      </c>
      <c r="T133" s="64">
        <f t="shared" si="1"/>
        <v>0</v>
      </c>
      <c r="U133" s="64">
        <f t="shared" si="1"/>
        <v>0</v>
      </c>
      <c r="V133" s="64">
        <f t="shared" si="1"/>
        <v>56</v>
      </c>
      <c r="W133" s="64">
        <f t="shared" si="1"/>
        <v>3</v>
      </c>
      <c r="X133" s="64">
        <f t="shared" si="1"/>
        <v>0</v>
      </c>
      <c r="Y133" s="64">
        <f t="shared" si="1"/>
        <v>0</v>
      </c>
      <c r="Z133" s="64">
        <f t="shared" si="1"/>
        <v>47</v>
      </c>
      <c r="AA133" s="64">
        <f t="shared" si="1"/>
        <v>1</v>
      </c>
      <c r="AB133" s="64">
        <f t="shared" si="1"/>
        <v>175</v>
      </c>
      <c r="AC133" s="64">
        <f t="shared" si="1"/>
        <v>5</v>
      </c>
      <c r="AD133" s="39"/>
    </row>
    <row r="134" spans="2:32" x14ac:dyDescent="0.35">
      <c r="B134" s="35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35"/>
      <c r="P134" s="24"/>
      <c r="Q134" s="24"/>
      <c r="R134" s="65">
        <f t="shared" ref="R134:AC134" si="2">C4+C133-R133</f>
        <v>176</v>
      </c>
      <c r="S134" s="65">
        <f t="shared" si="2"/>
        <v>-119</v>
      </c>
      <c r="T134" s="65">
        <f t="shared" si="2"/>
        <v>0</v>
      </c>
      <c r="U134" s="65">
        <f t="shared" si="2"/>
        <v>0</v>
      </c>
      <c r="V134" s="65">
        <f t="shared" si="2"/>
        <v>87</v>
      </c>
      <c r="W134" s="65">
        <f t="shared" si="2"/>
        <v>-3</v>
      </c>
      <c r="X134" s="65">
        <f t="shared" si="2"/>
        <v>0</v>
      </c>
      <c r="Y134" s="65">
        <f t="shared" si="2"/>
        <v>0</v>
      </c>
      <c r="Z134" s="65">
        <f t="shared" si="2"/>
        <v>11</v>
      </c>
      <c r="AA134" s="65">
        <f t="shared" si="2"/>
        <v>1</v>
      </c>
      <c r="AB134" s="65">
        <f t="shared" si="2"/>
        <v>3</v>
      </c>
      <c r="AC134" s="65">
        <f t="shared" si="2"/>
        <v>-1</v>
      </c>
    </row>
    <row r="135" spans="2:32" x14ac:dyDescent="0.35">
      <c r="R135" s="66"/>
      <c r="S135" s="66"/>
    </row>
    <row r="144" spans="2:32" x14ac:dyDescent="0.35">
      <c r="AF144" t="s">
        <v>52</v>
      </c>
    </row>
  </sheetData>
  <autoFilter ref="B1:AG135" xr:uid="{00000000-0009-0000-0000-000002000000}"/>
  <mergeCells count="6">
    <mergeCell ref="AG2:AG3"/>
    <mergeCell ref="C2:N2"/>
    <mergeCell ref="R2:AC2"/>
    <mergeCell ref="AD2:AD3"/>
    <mergeCell ref="AE2:AE3"/>
    <mergeCell ref="AF2:AF3"/>
  </mergeCells>
  <conditionalFormatting sqref="AE4:AE132">
    <cfRule type="cellIs" dxfId="9" priority="2" operator="equal">
      <formula>"ĐÃ THANH TOÁN"</formula>
    </cfRule>
    <cfRule type="cellIs" dxfId="8" priority="3" operator="equal">
      <formula>"CHƯA THANH TOÁN"</formula>
    </cfRule>
  </conditionalFormatting>
  <pageMargins left="0.7" right="0.7" top="0.75" bottom="0.75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200-000000000000}">
          <x14:formula1>
            <xm:f>DATA!$C$2:$C$3</xm:f>
          </x14:formula1>
          <x14:formula2>
            <xm:f>0</xm:f>
          </x14:formula2>
          <xm:sqref>AE1:AE3 AE134:AE1144</xm:sqref>
        </x14:dataValidation>
        <x14:dataValidation type="list" allowBlank="1" showInputMessage="1" showErrorMessage="1" xr:uid="{00000000-0002-0000-0200-000001000000}">
          <x14:formula1>
            <xm:f>DATA!$C$1:$C$2</xm:f>
          </x14:formula1>
          <x14:formula2>
            <xm:f>0</xm:f>
          </x14:formula2>
          <xm:sqref>AE4:AE133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9"/>
  <sheetViews>
    <sheetView zoomScaleNormal="100" workbookViewId="0">
      <selection activeCell="O1" sqref="O1:AC1048576"/>
    </sheetView>
  </sheetViews>
  <sheetFormatPr defaultColWidth="8.54296875" defaultRowHeight="18" x14ac:dyDescent="0.35"/>
  <cols>
    <col min="1" max="1" width="9.90625" bestFit="1" customWidth="1"/>
    <col min="2" max="2" width="15.54296875" style="27" customWidth="1"/>
    <col min="3" max="3" width="5.90625" customWidth="1"/>
    <col min="4" max="4" width="6.453125" customWidth="1"/>
    <col min="5" max="5" width="6.36328125" customWidth="1"/>
    <col min="6" max="6" width="6.6328125" customWidth="1"/>
    <col min="7" max="7" width="5.36328125" customWidth="1"/>
    <col min="8" max="8" width="6.90625" customWidth="1"/>
    <col min="9" max="9" width="6.81640625" customWidth="1"/>
    <col min="10" max="10" width="6.6328125" customWidth="1"/>
    <col min="11" max="11" width="5.08984375" customWidth="1"/>
    <col min="12" max="12" width="6.453125" customWidth="1"/>
    <col min="13" max="13" width="5.08984375" customWidth="1"/>
    <col min="14" max="14" width="5.90625" customWidth="1"/>
    <col min="15" max="16" width="21.90625" customWidth="1"/>
    <col min="17" max="17" width="11.6328125" customWidth="1"/>
    <col min="19" max="19" width="6.453125" customWidth="1"/>
    <col min="20" max="20" width="6" customWidth="1"/>
    <col min="21" max="21" width="7.54296875" customWidth="1"/>
    <col min="22" max="22" width="6.54296875" customWidth="1"/>
    <col min="23" max="24" width="6.6328125" customWidth="1"/>
    <col min="25" max="25" width="6.453125" customWidth="1"/>
    <col min="26" max="26" width="5.81640625" customWidth="1"/>
    <col min="27" max="27" width="6.6328125" customWidth="1"/>
    <col min="28" max="28" width="6.08984375" customWidth="1"/>
    <col min="29" max="29" width="6.36328125" customWidth="1"/>
    <col min="30" max="30" width="15" customWidth="1"/>
    <col min="31" max="31" width="15.1796875" customWidth="1"/>
    <col min="32" max="32" width="18.453125" customWidth="1"/>
  </cols>
  <sheetData>
    <row r="1" spans="1:32" x14ac:dyDescent="0.35">
      <c r="B1" s="27" t="s">
        <v>27</v>
      </c>
    </row>
    <row r="2" spans="1:32" ht="18.75" customHeight="1" x14ac:dyDescent="0.35">
      <c r="B2" s="28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"/>
      <c r="P2" s="154" t="s">
        <v>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 t="s">
        <v>29</v>
      </c>
      <c r="AE2" s="155" t="s">
        <v>30</v>
      </c>
      <c r="AF2" s="153" t="s">
        <v>31</v>
      </c>
    </row>
    <row r="3" spans="1:32" ht="78" x14ac:dyDescent="0.35">
      <c r="B3" s="32"/>
      <c r="C3" s="67" t="s">
        <v>2</v>
      </c>
      <c r="D3" s="67" t="s">
        <v>53</v>
      </c>
      <c r="E3" s="67" t="s">
        <v>54</v>
      </c>
      <c r="F3" s="67" t="s">
        <v>55</v>
      </c>
      <c r="G3" s="67" t="s">
        <v>6</v>
      </c>
      <c r="H3" s="67" t="s">
        <v>56</v>
      </c>
      <c r="I3" s="67" t="s">
        <v>8</v>
      </c>
      <c r="J3" s="67" t="s">
        <v>57</v>
      </c>
      <c r="K3" s="67" t="s">
        <v>10</v>
      </c>
      <c r="L3" s="67" t="s">
        <v>58</v>
      </c>
      <c r="M3" s="67" t="s">
        <v>12</v>
      </c>
      <c r="N3" s="67" t="s">
        <v>59</v>
      </c>
      <c r="O3" s="67"/>
      <c r="P3" s="6" t="s">
        <v>60</v>
      </c>
      <c r="Q3" s="6" t="s">
        <v>14</v>
      </c>
      <c r="R3" s="5" t="s">
        <v>2</v>
      </c>
      <c r="S3" s="67" t="s">
        <v>53</v>
      </c>
      <c r="T3" s="67" t="s">
        <v>54</v>
      </c>
      <c r="U3" s="67" t="s">
        <v>55</v>
      </c>
      <c r="V3" s="67" t="s">
        <v>6</v>
      </c>
      <c r="W3" s="67" t="s">
        <v>56</v>
      </c>
      <c r="X3" s="67" t="s">
        <v>8</v>
      </c>
      <c r="Y3" s="67" t="s">
        <v>57</v>
      </c>
      <c r="Z3" s="67" t="s">
        <v>10</v>
      </c>
      <c r="AA3" s="67" t="s">
        <v>58</v>
      </c>
      <c r="AB3" s="67" t="s">
        <v>12</v>
      </c>
      <c r="AC3" s="67" t="s">
        <v>59</v>
      </c>
      <c r="AD3" s="155"/>
      <c r="AE3" s="155"/>
      <c r="AF3" s="153"/>
    </row>
    <row r="4" spans="1:32" x14ac:dyDescent="0.35">
      <c r="A4" s="34">
        <v>46262</v>
      </c>
      <c r="B4" s="35" t="s">
        <v>15</v>
      </c>
      <c r="C4" s="68">
        <v>77</v>
      </c>
      <c r="D4" s="68"/>
      <c r="E4" s="68"/>
      <c r="F4" s="68"/>
      <c r="G4" s="68">
        <v>18</v>
      </c>
      <c r="H4" s="68"/>
      <c r="I4" s="68"/>
      <c r="J4" s="68"/>
      <c r="K4" s="68">
        <v>22</v>
      </c>
      <c r="L4" s="68"/>
      <c r="M4" s="68">
        <v>11</v>
      </c>
      <c r="N4" s="68"/>
      <c r="O4" s="68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F4" s="24"/>
    </row>
    <row r="5" spans="1:32" ht="24.75" customHeight="1" x14ac:dyDescent="0.35">
      <c r="A5" s="111">
        <v>46263</v>
      </c>
      <c r="B5" s="42"/>
      <c r="C5" s="41">
        <v>34</v>
      </c>
      <c r="D5" s="41"/>
      <c r="E5" s="41"/>
      <c r="F5" s="41"/>
      <c r="G5" s="41">
        <v>50</v>
      </c>
      <c r="H5" s="41"/>
      <c r="I5" s="41"/>
      <c r="J5" s="41"/>
      <c r="K5" s="41"/>
      <c r="L5" s="41"/>
      <c r="M5" s="41"/>
      <c r="N5" s="24"/>
      <c r="O5" s="69">
        <v>46262</v>
      </c>
      <c r="P5" s="24" t="s">
        <v>61</v>
      </c>
      <c r="Q5" s="24" t="s">
        <v>62</v>
      </c>
      <c r="R5" s="24">
        <v>11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F5" s="24" t="s">
        <v>63</v>
      </c>
    </row>
    <row r="6" spans="1:32" ht="24.75" customHeight="1" x14ac:dyDescent="0.35">
      <c r="A6" s="111">
        <v>46268</v>
      </c>
      <c r="B6" s="42"/>
      <c r="C6" s="41">
        <v>49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24"/>
      <c r="O6" s="69">
        <v>46262</v>
      </c>
      <c r="P6" s="24" t="s">
        <v>64</v>
      </c>
      <c r="Q6" s="24" t="s">
        <v>65</v>
      </c>
      <c r="R6" s="24"/>
      <c r="S6" s="24"/>
      <c r="T6" s="24"/>
      <c r="U6" s="24"/>
      <c r="V6" s="24">
        <v>3</v>
      </c>
      <c r="W6" s="24"/>
      <c r="X6" s="24"/>
      <c r="Y6" s="24"/>
      <c r="Z6" s="24"/>
      <c r="AA6" s="24"/>
      <c r="AB6" s="24"/>
      <c r="AC6" s="24"/>
      <c r="AF6" s="24" t="s">
        <v>43</v>
      </c>
    </row>
    <row r="7" spans="1:32" ht="24.75" customHeight="1" x14ac:dyDescent="0.35">
      <c r="A7" s="111">
        <v>46269</v>
      </c>
      <c r="B7" s="42"/>
      <c r="C7" s="41">
        <v>60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24"/>
      <c r="O7" s="108">
        <v>46262</v>
      </c>
      <c r="P7" s="24" t="s">
        <v>606</v>
      </c>
      <c r="Q7" s="24" t="s">
        <v>607</v>
      </c>
      <c r="R7" s="24"/>
      <c r="S7" s="24"/>
      <c r="T7" s="24"/>
      <c r="U7" s="24"/>
      <c r="V7" s="24">
        <v>3</v>
      </c>
      <c r="W7" s="24"/>
      <c r="X7" s="24"/>
      <c r="Y7" s="24"/>
      <c r="Z7" s="24"/>
      <c r="AA7" s="24"/>
      <c r="AB7" s="24"/>
      <c r="AC7" s="24"/>
      <c r="AF7" s="24" t="s">
        <v>43</v>
      </c>
    </row>
    <row r="8" spans="1:32" ht="24.75" customHeight="1" x14ac:dyDescent="0.35">
      <c r="A8" s="111">
        <v>46270</v>
      </c>
      <c r="B8" s="42"/>
      <c r="C8" s="41">
        <v>55</v>
      </c>
      <c r="D8" s="41"/>
      <c r="E8" s="41"/>
      <c r="F8" s="41"/>
      <c r="G8" s="41">
        <v>11</v>
      </c>
      <c r="H8" s="41"/>
      <c r="I8" s="41"/>
      <c r="J8" s="41"/>
      <c r="K8" s="41">
        <v>8</v>
      </c>
      <c r="L8" s="41"/>
      <c r="M8" s="41">
        <v>1</v>
      </c>
      <c r="N8" s="24"/>
      <c r="O8" s="108">
        <v>46262</v>
      </c>
      <c r="P8" s="24" t="s">
        <v>608</v>
      </c>
      <c r="Q8" s="24" t="s">
        <v>607</v>
      </c>
      <c r="R8" s="24">
        <v>22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F8" s="24" t="s">
        <v>66</v>
      </c>
    </row>
    <row r="9" spans="1:32" ht="24.75" customHeight="1" x14ac:dyDescent="0.35">
      <c r="A9" s="74">
        <v>46272</v>
      </c>
      <c r="B9" s="42"/>
      <c r="C9" s="41"/>
      <c r="D9" s="41"/>
      <c r="E9" s="41"/>
      <c r="F9" s="41"/>
      <c r="G9" s="41"/>
      <c r="H9" s="41"/>
      <c r="I9" s="41"/>
      <c r="J9" s="41"/>
      <c r="K9" s="41">
        <v>20</v>
      </c>
      <c r="L9" s="41">
        <v>2</v>
      </c>
      <c r="M9" s="41">
        <v>20</v>
      </c>
      <c r="N9" s="24">
        <v>2</v>
      </c>
      <c r="O9" s="108">
        <v>46263</v>
      </c>
      <c r="P9" s="24" t="s">
        <v>609</v>
      </c>
      <c r="Q9" s="24" t="s">
        <v>607</v>
      </c>
      <c r="R9" s="24">
        <v>2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F9" s="24" t="s">
        <v>43</v>
      </c>
    </row>
    <row r="10" spans="1:32" ht="24.75" customHeight="1" x14ac:dyDescent="0.35"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24"/>
      <c r="O10" s="108">
        <v>46263</v>
      </c>
      <c r="P10" s="24" t="s">
        <v>610</v>
      </c>
      <c r="Q10" s="24" t="s">
        <v>607</v>
      </c>
      <c r="R10" s="24">
        <v>11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32" ht="24.75" customHeight="1" x14ac:dyDescent="0.35">
      <c r="B11" s="4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24"/>
      <c r="O11" s="108">
        <v>46263</v>
      </c>
      <c r="P11" s="24" t="s">
        <v>611</v>
      </c>
      <c r="Q11" s="24" t="s">
        <v>607</v>
      </c>
      <c r="R11" s="24">
        <v>33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32" ht="24.75" customHeight="1" x14ac:dyDescent="0.35">
      <c r="B12" s="42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24"/>
      <c r="O12" s="108">
        <v>46263</v>
      </c>
      <c r="P12" s="24" t="s">
        <v>612</v>
      </c>
      <c r="Q12" s="24" t="s">
        <v>607</v>
      </c>
      <c r="R12" s="24"/>
      <c r="S12" s="24"/>
      <c r="T12" s="24"/>
      <c r="U12" s="24"/>
      <c r="V12" s="24"/>
      <c r="W12" s="24"/>
      <c r="X12" s="24"/>
      <c r="Y12" s="24"/>
      <c r="Z12" s="24">
        <v>2</v>
      </c>
      <c r="AA12" s="24"/>
      <c r="AB12" s="24"/>
      <c r="AC12" s="24"/>
    </row>
    <row r="13" spans="1:32" ht="24.75" customHeight="1" x14ac:dyDescent="0.35">
      <c r="B13" s="4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24"/>
      <c r="O13" s="108">
        <v>46264</v>
      </c>
      <c r="P13" s="24" t="s">
        <v>613</v>
      </c>
      <c r="Q13" s="24"/>
      <c r="R13" s="24">
        <v>22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32" ht="24.75" customHeight="1" x14ac:dyDescent="0.35">
      <c r="B14" s="4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24"/>
      <c r="O14" s="108">
        <v>46264</v>
      </c>
      <c r="P14" s="24" t="s">
        <v>614</v>
      </c>
      <c r="Q14" s="24"/>
      <c r="R14" s="24">
        <v>2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32" ht="24.75" customHeight="1" x14ac:dyDescent="0.35">
      <c r="B15" s="42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24"/>
      <c r="O15" s="108">
        <v>46264</v>
      </c>
      <c r="P15" s="24" t="s">
        <v>615</v>
      </c>
      <c r="Q15" s="24"/>
      <c r="R15" s="24"/>
      <c r="S15" s="24"/>
      <c r="T15" s="24"/>
      <c r="U15" s="24"/>
      <c r="V15" s="24">
        <v>4</v>
      </c>
      <c r="W15" s="24"/>
      <c r="X15" s="24"/>
      <c r="Y15" s="24"/>
      <c r="Z15" s="24"/>
      <c r="AA15" s="24"/>
      <c r="AB15" s="24"/>
      <c r="AC15" s="24"/>
    </row>
    <row r="16" spans="1:32" ht="24.75" customHeight="1" x14ac:dyDescent="0.35">
      <c r="B16" s="42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24"/>
      <c r="O16" s="108">
        <v>46264</v>
      </c>
      <c r="P16" s="24" t="s">
        <v>613</v>
      </c>
      <c r="Q16" s="24"/>
      <c r="R16" s="24"/>
      <c r="S16" s="24"/>
      <c r="T16" s="24"/>
      <c r="U16" s="24"/>
      <c r="V16" s="24"/>
      <c r="W16" s="24"/>
      <c r="X16" s="24"/>
      <c r="Y16" s="24"/>
      <c r="Z16" s="24">
        <v>5</v>
      </c>
      <c r="AA16" s="24"/>
      <c r="AB16" s="24"/>
      <c r="AC16" s="24"/>
    </row>
    <row r="17" spans="2:29" ht="24.75" customHeight="1" x14ac:dyDescent="0.35">
      <c r="B17" s="42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24"/>
      <c r="O17" s="108">
        <v>46264</v>
      </c>
      <c r="P17" s="24" t="s">
        <v>613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>
        <v>6</v>
      </c>
      <c r="AC17" s="24"/>
    </row>
    <row r="18" spans="2:29" ht="24.75" customHeight="1" x14ac:dyDescent="0.35">
      <c r="B18" s="42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24"/>
      <c r="O18" s="129">
        <v>46266</v>
      </c>
      <c r="P18" s="130" t="s">
        <v>657</v>
      </c>
      <c r="Q18" s="24" t="s">
        <v>661</v>
      </c>
      <c r="R18" s="130">
        <v>3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2:29" ht="24.75" customHeight="1" x14ac:dyDescent="0.35">
      <c r="B19" s="42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24"/>
      <c r="O19" s="108">
        <v>46266</v>
      </c>
      <c r="P19" s="24" t="s">
        <v>612</v>
      </c>
      <c r="Q19" s="24" t="s">
        <v>607</v>
      </c>
      <c r="R19" s="24">
        <v>5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2:29" ht="24.75" customHeight="1" x14ac:dyDescent="0.35">
      <c r="B20" s="42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24"/>
      <c r="O20" s="108">
        <v>46266</v>
      </c>
      <c r="P20" s="24" t="s">
        <v>613</v>
      </c>
      <c r="Q20" s="24"/>
      <c r="R20" s="24"/>
      <c r="S20" s="24"/>
      <c r="T20" s="24"/>
      <c r="U20" s="24"/>
      <c r="V20" s="24"/>
      <c r="W20" s="24"/>
      <c r="X20" s="24"/>
      <c r="Y20" s="24"/>
      <c r="Z20" s="24">
        <v>2</v>
      </c>
      <c r="AA20" s="24"/>
      <c r="AB20" s="24"/>
      <c r="AC20" s="24"/>
    </row>
    <row r="21" spans="2:29" ht="24.75" customHeight="1" x14ac:dyDescent="0.35">
      <c r="B21" s="3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108">
        <v>46267</v>
      </c>
      <c r="P21" s="24" t="s">
        <v>613</v>
      </c>
      <c r="Q21" s="24"/>
      <c r="R21" s="24"/>
      <c r="S21" s="24"/>
      <c r="T21" s="24"/>
      <c r="U21" s="24"/>
      <c r="V21" s="24"/>
      <c r="W21" s="24"/>
      <c r="X21" s="24"/>
      <c r="Y21" s="24"/>
      <c r="Z21" s="24">
        <v>4</v>
      </c>
      <c r="AA21" s="24"/>
      <c r="AB21" s="24"/>
      <c r="AC21" s="24"/>
    </row>
    <row r="22" spans="2:29" ht="24.75" customHeight="1" x14ac:dyDescent="0.35">
      <c r="B22" s="3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08">
        <v>46268</v>
      </c>
      <c r="P22" s="24" t="s">
        <v>616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>
        <v>2</v>
      </c>
      <c r="AC22" s="24"/>
    </row>
    <row r="23" spans="2:29" ht="24.75" customHeight="1" x14ac:dyDescent="0.35">
      <c r="B23" s="35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08">
        <v>46268</v>
      </c>
      <c r="P23" s="24" t="s">
        <v>617</v>
      </c>
      <c r="Q23" s="24" t="s">
        <v>607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>
        <v>3</v>
      </c>
      <c r="AC23" s="24"/>
    </row>
    <row r="24" spans="2:29" ht="24.75" customHeight="1" x14ac:dyDescent="0.35">
      <c r="B24" s="35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108">
        <v>46268</v>
      </c>
      <c r="P24" s="24" t="s">
        <v>618</v>
      </c>
      <c r="Q24" s="24" t="s">
        <v>62</v>
      </c>
      <c r="R24" s="24"/>
      <c r="S24" s="24"/>
      <c r="T24" s="24"/>
      <c r="U24" s="24"/>
      <c r="V24" s="24"/>
      <c r="W24" s="24"/>
      <c r="X24" s="24"/>
      <c r="Y24" s="24"/>
      <c r="Z24" s="24">
        <v>2</v>
      </c>
      <c r="AA24" s="24"/>
      <c r="AB24" s="24"/>
      <c r="AC24" s="24"/>
    </row>
    <row r="25" spans="2:29" ht="24.75" customHeight="1" x14ac:dyDescent="0.35">
      <c r="B25" s="35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108">
        <v>46268</v>
      </c>
      <c r="P25" s="24" t="s">
        <v>619</v>
      </c>
      <c r="Q25" s="24" t="s">
        <v>62</v>
      </c>
      <c r="R25" s="24"/>
      <c r="S25" s="24"/>
      <c r="T25" s="24"/>
      <c r="U25" s="24"/>
      <c r="V25" s="24"/>
      <c r="W25" s="24"/>
      <c r="X25" s="24"/>
      <c r="Y25" s="24"/>
      <c r="Z25" s="24">
        <v>4</v>
      </c>
      <c r="AA25" s="24"/>
      <c r="AB25" s="24"/>
      <c r="AC25" s="24"/>
    </row>
    <row r="26" spans="2:29" ht="24.75" customHeight="1" x14ac:dyDescent="0.35">
      <c r="B26" s="35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08">
        <v>46268</v>
      </c>
      <c r="P26" s="24" t="s">
        <v>608</v>
      </c>
      <c r="Q26" s="24"/>
      <c r="R26" s="24">
        <v>21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2:29" ht="24.75" customHeight="1" x14ac:dyDescent="0.35">
      <c r="B27" s="35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08">
        <v>46268</v>
      </c>
      <c r="P27" s="24" t="s">
        <v>620</v>
      </c>
      <c r="Q27" s="24"/>
      <c r="R27" s="24">
        <v>12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2:29" ht="24.75" customHeight="1" x14ac:dyDescent="0.35">
      <c r="B28" s="35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108">
        <v>46269</v>
      </c>
      <c r="P28" s="24" t="s">
        <v>608</v>
      </c>
      <c r="Q28" s="24"/>
      <c r="R28" s="24">
        <v>22</v>
      </c>
      <c r="S28" s="24"/>
      <c r="T28" s="24"/>
      <c r="U28" s="24"/>
      <c r="V28" s="24">
        <v>16</v>
      </c>
      <c r="W28" s="24"/>
      <c r="X28" s="24"/>
      <c r="Y28" s="24"/>
      <c r="Z28" s="24"/>
      <c r="AA28" s="24"/>
      <c r="AB28" s="24"/>
      <c r="AC28" s="24"/>
    </row>
    <row r="29" spans="2:29" ht="24.75" customHeight="1" x14ac:dyDescent="0.35">
      <c r="B29" s="3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08">
        <v>46269</v>
      </c>
      <c r="P29" s="24" t="s">
        <v>658</v>
      </c>
      <c r="Q29" s="24"/>
      <c r="R29" s="24"/>
      <c r="S29" s="24"/>
      <c r="T29" s="24"/>
      <c r="U29" s="24"/>
      <c r="V29" s="24"/>
      <c r="W29" s="24"/>
      <c r="X29" s="24"/>
      <c r="Y29" s="24"/>
      <c r="Z29" s="24">
        <v>3</v>
      </c>
      <c r="AA29" s="24"/>
      <c r="AB29" s="24"/>
      <c r="AC29" s="24"/>
    </row>
    <row r="30" spans="2:29" ht="24.75" customHeight="1" x14ac:dyDescent="0.35">
      <c r="B30" s="3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108">
        <v>46269</v>
      </c>
      <c r="P30" s="24" t="s">
        <v>659</v>
      </c>
      <c r="Q30" s="24"/>
      <c r="R30" s="24">
        <v>2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2:29" ht="24.75" customHeight="1" x14ac:dyDescent="0.35">
      <c r="B31" s="35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08">
        <v>46270</v>
      </c>
      <c r="P31" s="24" t="s">
        <v>608</v>
      </c>
      <c r="Q31" s="24"/>
      <c r="R31" s="24">
        <v>33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2:29" ht="24.75" customHeight="1" x14ac:dyDescent="0.35">
      <c r="B32" s="3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08">
        <v>46270</v>
      </c>
      <c r="P32" s="24" t="s">
        <v>660</v>
      </c>
      <c r="Q32" s="24" t="s">
        <v>661</v>
      </c>
      <c r="R32" s="24">
        <v>2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2:29" ht="24.75" customHeight="1" x14ac:dyDescent="0.35">
      <c r="B33" s="3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08">
        <v>46270</v>
      </c>
      <c r="P33" s="24" t="s">
        <v>662</v>
      </c>
      <c r="Q33" s="24" t="s">
        <v>661</v>
      </c>
      <c r="R33" s="24">
        <v>4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2:29" x14ac:dyDescent="0.35">
      <c r="B34" s="3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08">
        <v>46271</v>
      </c>
      <c r="P34" s="24" t="s">
        <v>662</v>
      </c>
      <c r="Q34" s="24" t="s">
        <v>661</v>
      </c>
      <c r="R34" s="24"/>
      <c r="S34" s="24"/>
      <c r="T34" s="24"/>
      <c r="U34" s="24"/>
      <c r="V34" s="24">
        <v>2</v>
      </c>
      <c r="W34" s="24"/>
      <c r="X34" s="24"/>
      <c r="Y34" s="24"/>
      <c r="Z34" s="24"/>
      <c r="AA34" s="24"/>
      <c r="AB34" s="24"/>
      <c r="AC34" s="24"/>
    </row>
    <row r="35" spans="2:29" x14ac:dyDescent="0.35">
      <c r="B35" s="3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08">
        <v>46271</v>
      </c>
      <c r="P35" s="24" t="s">
        <v>709</v>
      </c>
      <c r="Q35" s="24" t="s">
        <v>607</v>
      </c>
      <c r="R35" s="24"/>
      <c r="S35" s="24"/>
      <c r="T35" s="24"/>
      <c r="U35" s="24"/>
      <c r="V35" s="24"/>
      <c r="W35" s="24"/>
      <c r="X35" s="24"/>
      <c r="Y35" s="24"/>
      <c r="Z35" s="24">
        <v>2</v>
      </c>
      <c r="AA35" s="24"/>
      <c r="AB35" s="24"/>
      <c r="AC35" s="24"/>
    </row>
    <row r="36" spans="2:29" x14ac:dyDescent="0.35">
      <c r="B36" s="3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08">
        <v>46271</v>
      </c>
      <c r="P36" s="24" t="s">
        <v>662</v>
      </c>
      <c r="Q36" s="24" t="s">
        <v>661</v>
      </c>
      <c r="R36" s="24"/>
      <c r="S36" s="24"/>
      <c r="T36" s="24"/>
      <c r="U36" s="24"/>
      <c r="V36" s="24"/>
      <c r="W36" s="24"/>
      <c r="X36" s="24"/>
      <c r="Y36" s="24"/>
      <c r="Z36" s="24">
        <v>2</v>
      </c>
      <c r="AA36" s="24"/>
      <c r="AB36" s="24"/>
      <c r="AC36" s="24"/>
    </row>
    <row r="37" spans="2:29" x14ac:dyDescent="0.35">
      <c r="B37" s="3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108">
        <v>46272</v>
      </c>
      <c r="P37" s="24" t="s">
        <v>710</v>
      </c>
      <c r="Q37" s="24"/>
      <c r="R37" s="24">
        <v>3</v>
      </c>
      <c r="S37" s="24"/>
      <c r="T37" s="24"/>
      <c r="U37" s="24"/>
      <c r="V37" s="24">
        <v>2</v>
      </c>
      <c r="W37" s="24"/>
      <c r="X37" s="24"/>
      <c r="Y37" s="24"/>
      <c r="Z37" s="24">
        <v>10</v>
      </c>
      <c r="AA37" s="24">
        <v>1</v>
      </c>
      <c r="AB37" s="24"/>
      <c r="AC37" s="24"/>
    </row>
    <row r="38" spans="2:29" x14ac:dyDescent="0.35">
      <c r="B38" s="3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 t="s">
        <v>609</v>
      </c>
      <c r="Q38" s="24"/>
      <c r="R38" s="24">
        <v>2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2:29" x14ac:dyDescent="0.35">
      <c r="B39" s="3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 t="s">
        <v>608</v>
      </c>
      <c r="Q39" s="24"/>
      <c r="R39" s="24">
        <v>36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2:29" x14ac:dyDescent="0.35">
      <c r="B40" s="3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 t="s">
        <v>712</v>
      </c>
      <c r="Q40" s="24"/>
      <c r="R40" s="24">
        <v>6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2:29" x14ac:dyDescent="0.35">
      <c r="B41" s="3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 t="s">
        <v>713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>
        <v>10</v>
      </c>
      <c r="AC41" s="24">
        <v>1</v>
      </c>
    </row>
    <row r="42" spans="2:29" x14ac:dyDescent="0.35">
      <c r="B42" s="3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 t="s">
        <v>714</v>
      </c>
      <c r="Q42" s="24"/>
      <c r="R42" s="24">
        <v>2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2:29" x14ac:dyDescent="0.35">
      <c r="B43" s="3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 t="s">
        <v>715</v>
      </c>
      <c r="Q43" s="24"/>
      <c r="R43" s="24">
        <v>6</v>
      </c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2:29" x14ac:dyDescent="0.35">
      <c r="B44" s="3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 t="s">
        <v>716</v>
      </c>
      <c r="Q44" s="24"/>
      <c r="R44" s="24">
        <v>2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2:29" x14ac:dyDescent="0.35">
      <c r="B45" s="3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 t="s">
        <v>717</v>
      </c>
      <c r="Q45" s="24"/>
      <c r="R45" s="24"/>
      <c r="S45" s="24"/>
      <c r="T45" s="24"/>
      <c r="U45" s="24"/>
      <c r="V45" s="24"/>
      <c r="W45" s="24"/>
      <c r="X45" s="24"/>
      <c r="Y45" s="24"/>
      <c r="Z45" s="24">
        <v>4</v>
      </c>
      <c r="AA45" s="24"/>
      <c r="AB45" s="24"/>
      <c r="AC45" s="24"/>
    </row>
    <row r="46" spans="2:29" x14ac:dyDescent="0.35">
      <c r="B46" s="3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 t="s">
        <v>608</v>
      </c>
      <c r="Q46" s="24"/>
      <c r="R46" s="24">
        <v>11</v>
      </c>
      <c r="S46" s="24"/>
      <c r="T46" s="24"/>
      <c r="U46" s="24"/>
      <c r="V46" s="24">
        <v>33</v>
      </c>
      <c r="W46" s="24"/>
      <c r="X46" s="24"/>
      <c r="Y46" s="24"/>
      <c r="Z46" s="24">
        <v>2</v>
      </c>
      <c r="AA46" s="24"/>
      <c r="AB46" s="24"/>
      <c r="AC46" s="24"/>
    </row>
    <row r="47" spans="2:29" x14ac:dyDescent="0.35">
      <c r="B47" s="3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 t="s">
        <v>718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>
        <v>8</v>
      </c>
      <c r="AC47" s="24"/>
    </row>
    <row r="48" spans="2:29" x14ac:dyDescent="0.35">
      <c r="B48" s="3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 t="s">
        <v>658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>
        <v>4</v>
      </c>
      <c r="AC48" s="24"/>
    </row>
    <row r="49" spans="2:29" x14ac:dyDescent="0.35">
      <c r="B49" s="3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2:29" x14ac:dyDescent="0.35">
      <c r="B50" s="35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2:29" x14ac:dyDescent="0.35">
      <c r="B51" s="35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2:29" x14ac:dyDescent="0.35">
      <c r="B52" s="3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2:29" ht="36" x14ac:dyDescent="0.35">
      <c r="B53" s="3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70" t="s">
        <v>18</v>
      </c>
      <c r="R53" s="24">
        <f t="shared" ref="R53:AC53" si="0">SUM(R5:R49)</f>
        <v>275</v>
      </c>
      <c r="S53" s="24">
        <f t="shared" si="0"/>
        <v>0</v>
      </c>
      <c r="T53" s="24">
        <f t="shared" si="0"/>
        <v>0</v>
      </c>
      <c r="U53" s="24">
        <f t="shared" si="0"/>
        <v>0</v>
      </c>
      <c r="V53" s="24">
        <f>SUM(V5:V49)</f>
        <v>63</v>
      </c>
      <c r="W53" s="24">
        <f t="shared" si="0"/>
        <v>0</v>
      </c>
      <c r="X53" s="24">
        <f t="shared" si="0"/>
        <v>0</v>
      </c>
      <c r="Y53" s="24">
        <f t="shared" si="0"/>
        <v>0</v>
      </c>
      <c r="Z53" s="24">
        <f t="shared" si="0"/>
        <v>42</v>
      </c>
      <c r="AA53" s="24">
        <f t="shared" si="0"/>
        <v>1</v>
      </c>
      <c r="AB53" s="24">
        <f t="shared" si="0"/>
        <v>33</v>
      </c>
      <c r="AC53" s="24">
        <f t="shared" si="0"/>
        <v>1</v>
      </c>
    </row>
    <row r="54" spans="2:29" ht="36" x14ac:dyDescent="0.35">
      <c r="B54" s="3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70" t="s">
        <v>67</v>
      </c>
      <c r="R54" s="71">
        <f t="shared" ref="R54:AC54" si="1">C4+C108-R53</f>
        <v>0</v>
      </c>
      <c r="S54" s="71">
        <f t="shared" si="1"/>
        <v>0</v>
      </c>
      <c r="T54" s="71">
        <f t="shared" si="1"/>
        <v>0</v>
      </c>
      <c r="U54" s="71">
        <f t="shared" si="1"/>
        <v>0</v>
      </c>
      <c r="V54" s="71">
        <f t="shared" si="1"/>
        <v>16</v>
      </c>
      <c r="W54" s="71">
        <f t="shared" si="1"/>
        <v>0</v>
      </c>
      <c r="X54" s="71">
        <f t="shared" si="1"/>
        <v>0</v>
      </c>
      <c r="Y54" s="71">
        <f t="shared" si="1"/>
        <v>0</v>
      </c>
      <c r="Z54" s="71">
        <f t="shared" si="1"/>
        <v>8</v>
      </c>
      <c r="AA54" s="71">
        <f t="shared" si="1"/>
        <v>1</v>
      </c>
      <c r="AB54" s="71">
        <f t="shared" si="1"/>
        <v>-1</v>
      </c>
      <c r="AC54" s="71">
        <f t="shared" si="1"/>
        <v>1</v>
      </c>
    </row>
    <row r="55" spans="2:29" x14ac:dyDescent="0.35">
      <c r="B55" s="3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2:29" x14ac:dyDescent="0.35">
      <c r="B56" s="3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2:29" x14ac:dyDescent="0.35">
      <c r="B57" s="3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2:29" x14ac:dyDescent="0.35">
      <c r="B58" s="3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2:29" x14ac:dyDescent="0.35">
      <c r="B59" s="3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2:29" x14ac:dyDescent="0.35">
      <c r="B60" s="3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2:29" x14ac:dyDescent="0.35">
      <c r="B61" s="3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2:29" x14ac:dyDescent="0.35">
      <c r="B62" s="3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2:29" x14ac:dyDescent="0.35">
      <c r="B63" s="3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2:29" x14ac:dyDescent="0.35">
      <c r="B64" s="3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2:15" x14ac:dyDescent="0.35">
      <c r="B65" s="3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2:15" x14ac:dyDescent="0.35">
      <c r="B66" s="3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2:15" x14ac:dyDescent="0.35">
      <c r="B67" s="3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x14ac:dyDescent="0.35">
      <c r="B68" s="3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spans="2:15" x14ac:dyDescent="0.35">
      <c r="B69" s="3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spans="2:15" x14ac:dyDescent="0.35">
      <c r="B70" s="3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2:15" x14ac:dyDescent="0.35">
      <c r="B71" s="3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2:15" x14ac:dyDescent="0.35">
      <c r="B72" s="3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2:15" x14ac:dyDescent="0.35">
      <c r="B73" s="3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2:15" x14ac:dyDescent="0.35">
      <c r="B74" s="3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2:15" x14ac:dyDescent="0.35">
      <c r="B75" s="3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2:15" x14ac:dyDescent="0.35">
      <c r="B76" s="3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2:15" x14ac:dyDescent="0.35">
      <c r="B77" s="3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2:15" x14ac:dyDescent="0.35">
      <c r="B78" s="3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2:15" x14ac:dyDescent="0.35">
      <c r="B79" s="3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2:15" x14ac:dyDescent="0.35">
      <c r="B80" s="3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2:15" x14ac:dyDescent="0.35">
      <c r="B81" s="3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2:15" x14ac:dyDescent="0.35">
      <c r="B82" s="3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2:15" x14ac:dyDescent="0.35">
      <c r="B83" s="3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2:15" x14ac:dyDescent="0.35">
      <c r="B84" s="3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2:15" x14ac:dyDescent="0.35">
      <c r="B85" s="3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2:15" x14ac:dyDescent="0.35">
      <c r="B86" s="3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2:15" x14ac:dyDescent="0.35">
      <c r="B87" s="3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2:15" x14ac:dyDescent="0.35">
      <c r="B88" s="3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2:15" x14ac:dyDescent="0.35">
      <c r="B89" s="3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2:15" x14ac:dyDescent="0.35">
      <c r="B90" s="3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2:15" x14ac:dyDescent="0.35">
      <c r="B91" s="3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2:15" x14ac:dyDescent="0.35">
      <c r="B92" s="3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2:15" x14ac:dyDescent="0.35">
      <c r="B93" s="3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2:15" x14ac:dyDescent="0.35">
      <c r="B94" s="3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2:15" x14ac:dyDescent="0.35">
      <c r="B95" s="3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2:15" x14ac:dyDescent="0.35">
      <c r="B96" s="3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2:15" x14ac:dyDescent="0.35">
      <c r="B97" s="3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2:15" x14ac:dyDescent="0.35">
      <c r="B98" s="3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2:15" x14ac:dyDescent="0.35">
      <c r="B99" s="3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x14ac:dyDescent="0.35">
      <c r="B100" s="3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2:15" x14ac:dyDescent="0.35">
      <c r="B101" s="3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2:15" x14ac:dyDescent="0.35">
      <c r="B102" s="35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2:15" x14ac:dyDescent="0.35">
      <c r="B103" s="35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2:15" x14ac:dyDescent="0.35">
      <c r="B104" s="35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2:15" x14ac:dyDescent="0.35">
      <c r="B105" s="35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2:15" x14ac:dyDescent="0.35">
      <c r="B106" s="35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2:15" x14ac:dyDescent="0.35">
      <c r="B107" s="35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2:15" x14ac:dyDescent="0.35">
      <c r="B108" s="35" t="s">
        <v>17</v>
      </c>
      <c r="C108" s="24">
        <f t="shared" ref="C108:N108" si="2">SUM(C5:C107)</f>
        <v>198</v>
      </c>
      <c r="D108" s="24">
        <f t="shared" si="2"/>
        <v>0</v>
      </c>
      <c r="E108" s="24">
        <f t="shared" si="2"/>
        <v>0</v>
      </c>
      <c r="F108" s="24">
        <f t="shared" si="2"/>
        <v>0</v>
      </c>
      <c r="G108" s="24">
        <f t="shared" si="2"/>
        <v>61</v>
      </c>
      <c r="H108" s="24">
        <f t="shared" si="2"/>
        <v>0</v>
      </c>
      <c r="I108" s="24">
        <f t="shared" si="2"/>
        <v>0</v>
      </c>
      <c r="J108" s="24">
        <f t="shared" si="2"/>
        <v>0</v>
      </c>
      <c r="K108" s="24">
        <f t="shared" si="2"/>
        <v>28</v>
      </c>
      <c r="L108" s="24">
        <f t="shared" si="2"/>
        <v>2</v>
      </c>
      <c r="M108" s="24">
        <f t="shared" si="2"/>
        <v>21</v>
      </c>
      <c r="N108" s="24">
        <f t="shared" si="2"/>
        <v>2</v>
      </c>
      <c r="O108" s="24"/>
    </row>
    <row r="109" spans="2:15" x14ac:dyDescent="0.35">
      <c r="B109" s="7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</sheetData>
  <mergeCells count="5">
    <mergeCell ref="C2:N2"/>
    <mergeCell ref="P2:AC2"/>
    <mergeCell ref="AD2:AD3"/>
    <mergeCell ref="AE2:AE3"/>
    <mergeCell ref="AF2:AF3"/>
  </mergeCells>
  <conditionalFormatting sqref="AE4:AE107">
    <cfRule type="cellIs" dxfId="7" priority="2" operator="equal">
      <formula>"ĐÃ THANH TOÁN"</formula>
    </cfRule>
    <cfRule type="cellIs" dxfId="6" priority="3" operator="equal">
      <formula>"CHƯA THANH TOÁN"</formula>
    </cfRule>
  </conditionalFormatting>
  <dataValidations count="2">
    <dataValidation type="list" allowBlank="1" showInputMessage="1" showErrorMessage="1" sqref="AF1:AF3 AF10:AF1109" xr:uid="{00000000-0002-0000-0300-000000000000}">
      <formula1>Bùi_Bích_Phương</formula1>
      <formula2>0</formula2>
    </dataValidation>
    <dataValidation type="list" allowBlank="1" showInputMessage="1" showErrorMessage="1" sqref="P1:P4 P53:P1054" xr:uid="{00000000-0002-0000-0300-000001000000}">
      <formula1>$A$3:$A$459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DATA!$A$3:$A$452</xm:f>
          </x14:formula1>
          <x14:formula2>
            <xm:f>0</xm:f>
          </x14:formula2>
          <xm:sqref>AF4:AF9</xm:sqref>
        </x14:dataValidation>
        <x14:dataValidation type="list" allowBlank="1" showInputMessage="1" showErrorMessage="1" xr:uid="{00000000-0002-0000-0300-000003000000}">
          <x14:formula1>
            <xm:f>DATA!$B$3:$B$37</xm:f>
          </x14:formula1>
          <x14:formula2>
            <xm:f>0</xm:f>
          </x14:formula2>
          <xm:sqref>Q1:Q4 Q13:Q17 Q20:Q22 Q26:Q31 Q37:Q1054</xm:sqref>
        </x14:dataValidation>
        <x14:dataValidation type="list" allowBlank="1" showInputMessage="1" showErrorMessage="1" xr:uid="{00000000-0002-0000-0300-000004000000}">
          <x14:formula1>
            <xm:f>DATA!$C$2:$C$3</xm:f>
          </x14:formula1>
          <x14:formula2>
            <xm:f>0</xm:f>
          </x14:formula2>
          <xm:sqref>AE1:AE1109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3"/>
  <sheetViews>
    <sheetView zoomScaleNormal="100" workbookViewId="0">
      <selection activeCell="A4" sqref="A4:XFD4"/>
    </sheetView>
  </sheetViews>
  <sheetFormatPr defaultColWidth="8.54296875" defaultRowHeight="18" x14ac:dyDescent="0.35"/>
  <cols>
    <col min="2" max="2" width="15.54296875" style="27" customWidth="1"/>
    <col min="3" max="3" width="5.90625" customWidth="1"/>
    <col min="4" max="4" width="6.453125" customWidth="1"/>
    <col min="5" max="5" width="6.36328125" customWidth="1"/>
    <col min="6" max="6" width="6.6328125" customWidth="1"/>
    <col min="7" max="7" width="5.36328125" customWidth="1"/>
    <col min="8" max="8" width="6.90625" customWidth="1"/>
    <col min="9" max="9" width="6.81640625" customWidth="1"/>
    <col min="10" max="10" width="6.6328125" customWidth="1"/>
    <col min="11" max="11" width="5.08984375" customWidth="1"/>
    <col min="12" max="12" width="6.453125" customWidth="1"/>
    <col min="13" max="13" width="5.08984375" customWidth="1"/>
    <col min="14" max="14" width="5.90625" customWidth="1"/>
    <col min="15" max="16" width="19" customWidth="1"/>
    <col min="17" max="17" width="11.6328125" customWidth="1"/>
    <col min="19" max="19" width="6.453125" customWidth="1"/>
    <col min="20" max="20" width="6" customWidth="1"/>
    <col min="21" max="21" width="7.54296875" customWidth="1"/>
    <col min="22" max="22" width="6.54296875" customWidth="1"/>
    <col min="23" max="24" width="6.6328125" customWidth="1"/>
    <col min="25" max="25" width="6.453125" customWidth="1"/>
    <col min="26" max="26" width="5.81640625" customWidth="1"/>
    <col min="27" max="27" width="6.6328125" customWidth="1"/>
    <col min="28" max="28" width="6.08984375" customWidth="1"/>
    <col min="29" max="29" width="6.36328125" customWidth="1"/>
    <col min="30" max="30" width="15" customWidth="1"/>
    <col min="31" max="31" width="15.1796875" customWidth="1"/>
    <col min="32" max="32" width="18.453125" customWidth="1"/>
  </cols>
  <sheetData>
    <row r="1" spans="1:32" x14ac:dyDescent="0.35">
      <c r="B1" s="27" t="s">
        <v>27</v>
      </c>
    </row>
    <row r="2" spans="1:32" ht="18.75" customHeight="1" x14ac:dyDescent="0.35">
      <c r="B2" s="28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"/>
      <c r="P2" s="154" t="s">
        <v>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 t="s">
        <v>29</v>
      </c>
      <c r="AE2" s="155" t="s">
        <v>30</v>
      </c>
      <c r="AF2" s="153" t="s">
        <v>31</v>
      </c>
    </row>
    <row r="3" spans="1:32" ht="78" x14ac:dyDescent="0.35">
      <c r="B3" s="32"/>
      <c r="C3" s="67" t="s">
        <v>2</v>
      </c>
      <c r="D3" s="67" t="s">
        <v>53</v>
      </c>
      <c r="E3" s="67" t="s">
        <v>54</v>
      </c>
      <c r="F3" s="67" t="s">
        <v>55</v>
      </c>
      <c r="G3" s="67" t="s">
        <v>6</v>
      </c>
      <c r="H3" s="67" t="s">
        <v>56</v>
      </c>
      <c r="I3" s="67" t="s">
        <v>8</v>
      </c>
      <c r="J3" s="67" t="s">
        <v>57</v>
      </c>
      <c r="K3" s="67" t="s">
        <v>10</v>
      </c>
      <c r="L3" s="67" t="s">
        <v>58</v>
      </c>
      <c r="M3" s="67" t="s">
        <v>12</v>
      </c>
      <c r="N3" s="67" t="s">
        <v>59</v>
      </c>
      <c r="O3" s="67"/>
      <c r="P3" s="6" t="s">
        <v>60</v>
      </c>
      <c r="Q3" s="6" t="s">
        <v>14</v>
      </c>
      <c r="R3" s="5" t="s">
        <v>2</v>
      </c>
      <c r="S3" s="67" t="s">
        <v>53</v>
      </c>
      <c r="T3" s="67" t="s">
        <v>54</v>
      </c>
      <c r="U3" s="67" t="s">
        <v>55</v>
      </c>
      <c r="V3" s="67" t="s">
        <v>6</v>
      </c>
      <c r="W3" s="67" t="s">
        <v>56</v>
      </c>
      <c r="X3" s="67" t="s">
        <v>8</v>
      </c>
      <c r="Y3" s="67" t="s">
        <v>57</v>
      </c>
      <c r="Z3" s="67" t="s">
        <v>10</v>
      </c>
      <c r="AA3" s="67" t="s">
        <v>58</v>
      </c>
      <c r="AB3" s="67" t="s">
        <v>12</v>
      </c>
      <c r="AC3" s="67" t="s">
        <v>59</v>
      </c>
      <c r="AD3" s="155"/>
      <c r="AE3" s="155"/>
      <c r="AF3" s="153"/>
    </row>
    <row r="4" spans="1:32" x14ac:dyDescent="0.35">
      <c r="B4" s="35" t="s">
        <v>15</v>
      </c>
      <c r="C4" s="68">
        <v>176</v>
      </c>
      <c r="D4" s="68"/>
      <c r="E4" s="68"/>
      <c r="F4" s="68"/>
      <c r="G4" s="68">
        <v>16</v>
      </c>
      <c r="H4" s="68"/>
      <c r="I4" s="68"/>
      <c r="J4" s="68"/>
      <c r="K4" s="68">
        <v>1</v>
      </c>
      <c r="L4" s="68"/>
      <c r="M4" s="68"/>
      <c r="N4" s="68"/>
      <c r="O4" s="68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F4" s="24"/>
    </row>
    <row r="5" spans="1:32" ht="24.75" customHeight="1" x14ac:dyDescent="0.35">
      <c r="B5" s="42">
        <v>46268</v>
      </c>
      <c r="C5" s="41">
        <v>100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131">
        <v>46263</v>
      </c>
      <c r="P5" s="41" t="s">
        <v>666</v>
      </c>
      <c r="Q5" s="41" t="s">
        <v>607</v>
      </c>
      <c r="R5" s="41">
        <v>113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F5" s="24" t="s">
        <v>63</v>
      </c>
    </row>
    <row r="6" spans="1:32" ht="24.75" customHeight="1" x14ac:dyDescent="0.35">
      <c r="B6" s="42">
        <v>46269</v>
      </c>
      <c r="C6" s="41">
        <v>60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131">
        <v>46263</v>
      </c>
      <c r="P6" s="41" t="s">
        <v>608</v>
      </c>
      <c r="Q6" s="41" t="s">
        <v>607</v>
      </c>
      <c r="R6" s="41">
        <v>44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F6" s="24" t="s">
        <v>43</v>
      </c>
    </row>
    <row r="7" spans="1:32" ht="24.75" customHeight="1" x14ac:dyDescent="0.35">
      <c r="A7" s="34"/>
      <c r="B7" s="42">
        <v>46272</v>
      </c>
      <c r="C7" s="41">
        <v>55</v>
      </c>
      <c r="D7" s="41"/>
      <c r="E7" s="41"/>
      <c r="F7" s="41"/>
      <c r="G7" s="41">
        <v>28</v>
      </c>
      <c r="H7" s="41"/>
      <c r="I7" s="41"/>
      <c r="J7" s="41"/>
      <c r="K7" s="41"/>
      <c r="L7" s="41"/>
      <c r="M7" s="41"/>
      <c r="N7" s="41"/>
      <c r="O7" s="131">
        <v>46264</v>
      </c>
      <c r="P7" s="41" t="s">
        <v>667</v>
      </c>
      <c r="Q7" s="41" t="s">
        <v>607</v>
      </c>
      <c r="R7" s="41"/>
      <c r="S7" s="41"/>
      <c r="T7" s="41"/>
      <c r="U7" s="41"/>
      <c r="V7" s="41">
        <v>1</v>
      </c>
      <c r="W7" s="41"/>
      <c r="X7" s="41"/>
      <c r="Y7" s="41"/>
      <c r="Z7" s="41"/>
      <c r="AA7" s="41"/>
      <c r="AB7" s="41"/>
      <c r="AC7" s="41"/>
      <c r="AF7" s="24" t="s">
        <v>43</v>
      </c>
    </row>
    <row r="8" spans="1:32" ht="24.75" customHeight="1" x14ac:dyDescent="0.35">
      <c r="B8" s="42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131">
        <v>46264</v>
      </c>
      <c r="P8" s="73" t="s">
        <v>668</v>
      </c>
      <c r="Q8" s="41" t="s">
        <v>607</v>
      </c>
      <c r="R8" s="73"/>
      <c r="S8" s="49"/>
      <c r="T8" s="41"/>
      <c r="U8" s="41"/>
      <c r="V8" s="41">
        <v>2</v>
      </c>
      <c r="W8" s="41"/>
      <c r="X8" s="41"/>
      <c r="Y8" s="41"/>
      <c r="Z8" s="41"/>
      <c r="AA8" s="41"/>
      <c r="AB8" s="41"/>
      <c r="AC8" s="41"/>
      <c r="AF8" s="24" t="s">
        <v>66</v>
      </c>
    </row>
    <row r="9" spans="1:32" ht="24.75" customHeight="1" x14ac:dyDescent="0.35">
      <c r="B9" s="42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131">
        <v>46264</v>
      </c>
      <c r="P9" s="73" t="s">
        <v>666</v>
      </c>
      <c r="Q9" s="41" t="s">
        <v>607</v>
      </c>
      <c r="R9" s="41">
        <v>11</v>
      </c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F9" s="24" t="s">
        <v>43</v>
      </c>
    </row>
    <row r="10" spans="1:32" ht="24.75" customHeight="1" x14ac:dyDescent="0.35"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131">
        <v>46267</v>
      </c>
      <c r="P10" s="41" t="s">
        <v>669</v>
      </c>
      <c r="Q10" s="41" t="s">
        <v>607</v>
      </c>
      <c r="R10" s="41"/>
      <c r="S10" s="41"/>
      <c r="T10" s="41"/>
      <c r="U10" s="41"/>
      <c r="V10" s="41">
        <v>5</v>
      </c>
      <c r="W10" s="41"/>
      <c r="X10" s="41"/>
      <c r="Y10" s="41"/>
      <c r="Z10" s="41"/>
      <c r="AA10" s="41"/>
      <c r="AB10" s="41"/>
      <c r="AC10" s="41"/>
    </row>
    <row r="11" spans="1:32" ht="24.75" customHeight="1" x14ac:dyDescent="0.35">
      <c r="B11" s="4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131">
        <v>46268</v>
      </c>
      <c r="P11" s="41" t="s">
        <v>670</v>
      </c>
      <c r="Q11" s="41" t="s">
        <v>607</v>
      </c>
      <c r="R11" s="41">
        <v>5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32" ht="24.75" customHeight="1" x14ac:dyDescent="0.35">
      <c r="B12" s="42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131">
        <v>46268</v>
      </c>
      <c r="P12" s="41" t="s">
        <v>671</v>
      </c>
      <c r="Q12" s="41" t="s">
        <v>607</v>
      </c>
      <c r="R12" s="41">
        <v>2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spans="1:32" ht="24.75" customHeight="1" x14ac:dyDescent="0.35">
      <c r="B13" s="4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131">
        <v>46269</v>
      </c>
      <c r="P13" s="41" t="s">
        <v>672</v>
      </c>
      <c r="Q13" s="41" t="s">
        <v>661</v>
      </c>
      <c r="R13" s="41">
        <v>11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</row>
    <row r="14" spans="1:32" ht="24.75" customHeight="1" x14ac:dyDescent="0.35">
      <c r="B14" s="4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131">
        <v>46269</v>
      </c>
      <c r="P14" s="41" t="s">
        <v>673</v>
      </c>
      <c r="Q14" s="41" t="s">
        <v>607</v>
      </c>
      <c r="R14" s="41">
        <v>11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</row>
    <row r="15" spans="1:32" ht="24.75" customHeight="1" x14ac:dyDescent="0.35">
      <c r="B15" s="42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131">
        <v>46269</v>
      </c>
      <c r="P15" s="41" t="s">
        <v>674</v>
      </c>
      <c r="Q15" s="41" t="s">
        <v>607</v>
      </c>
      <c r="R15" s="41">
        <v>11</v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</row>
    <row r="16" spans="1:32" ht="24.75" customHeight="1" x14ac:dyDescent="0.35">
      <c r="B16" s="42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131">
        <v>46269</v>
      </c>
      <c r="P16" s="41" t="s">
        <v>675</v>
      </c>
      <c r="Q16" s="41" t="s">
        <v>676</v>
      </c>
      <c r="R16" s="41">
        <v>11</v>
      </c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spans="2:29" ht="24.75" customHeight="1" x14ac:dyDescent="0.35">
      <c r="B17" s="42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31">
        <v>46269</v>
      </c>
      <c r="P17" s="41" t="s">
        <v>692</v>
      </c>
      <c r="Q17" s="41" t="s">
        <v>607</v>
      </c>
      <c r="R17" s="41">
        <v>11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spans="2:29" ht="24.75" customHeight="1" x14ac:dyDescent="0.35">
      <c r="B18" s="42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31">
        <v>46269</v>
      </c>
      <c r="P18" s="41" t="s">
        <v>677</v>
      </c>
      <c r="Q18" s="41" t="s">
        <v>678</v>
      </c>
      <c r="R18" s="41">
        <v>11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spans="2:29" ht="24.75" customHeight="1" x14ac:dyDescent="0.35">
      <c r="B19" s="42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131">
        <v>46269</v>
      </c>
      <c r="P19" s="41" t="s">
        <v>685</v>
      </c>
      <c r="Q19" s="41" t="s">
        <v>607</v>
      </c>
      <c r="R19" s="41">
        <v>11</v>
      </c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spans="2:29" ht="24.75" customHeight="1" x14ac:dyDescent="0.35">
      <c r="B20" s="42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131">
        <v>46269</v>
      </c>
      <c r="P20" s="41" t="s">
        <v>679</v>
      </c>
      <c r="Q20" s="41" t="s">
        <v>607</v>
      </c>
      <c r="R20" s="41">
        <v>11</v>
      </c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 spans="2:29" ht="24.75" customHeight="1" x14ac:dyDescent="0.35">
      <c r="B21" s="42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31">
        <v>46269</v>
      </c>
      <c r="P21" s="41" t="s">
        <v>680</v>
      </c>
      <c r="Q21" s="41" t="s">
        <v>607</v>
      </c>
      <c r="R21" s="41">
        <v>2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</row>
    <row r="22" spans="2:29" ht="24.75" customHeight="1" x14ac:dyDescent="0.35">
      <c r="B22" s="42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31">
        <v>46269</v>
      </c>
      <c r="P22" s="41" t="s">
        <v>670</v>
      </c>
      <c r="Q22" s="41" t="s">
        <v>607</v>
      </c>
      <c r="R22" s="41">
        <v>2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spans="2:29" ht="24.75" customHeight="1" x14ac:dyDescent="0.35">
      <c r="B23" s="42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31">
        <v>46269</v>
      </c>
      <c r="P23" s="41" t="s">
        <v>681</v>
      </c>
      <c r="Q23" s="41" t="s">
        <v>661</v>
      </c>
      <c r="R23" s="41"/>
      <c r="S23" s="41"/>
      <c r="T23" s="41"/>
      <c r="U23" s="41"/>
      <c r="V23" s="41">
        <v>5</v>
      </c>
      <c r="W23" s="41"/>
      <c r="X23" s="41"/>
      <c r="Y23" s="41"/>
      <c r="Z23" s="41"/>
      <c r="AA23" s="41"/>
      <c r="AB23" s="41"/>
      <c r="AC23" s="41"/>
    </row>
    <row r="24" spans="2:29" ht="24.75" customHeight="1" x14ac:dyDescent="0.35">
      <c r="B24" s="42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131">
        <v>46270</v>
      </c>
      <c r="P24" s="41" t="s">
        <v>682</v>
      </c>
      <c r="Q24" s="41" t="s">
        <v>607</v>
      </c>
      <c r="R24" s="41">
        <v>55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spans="2:29" ht="24.75" customHeight="1" x14ac:dyDescent="0.35">
      <c r="B25" s="42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131">
        <v>46271</v>
      </c>
      <c r="P25" s="41" t="s">
        <v>683</v>
      </c>
      <c r="Q25" s="41" t="s">
        <v>607</v>
      </c>
      <c r="R25" s="41">
        <v>2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spans="2:29" ht="24.75" customHeight="1" x14ac:dyDescent="0.35">
      <c r="B26" s="42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131">
        <v>46271</v>
      </c>
      <c r="P26" s="41" t="s">
        <v>684</v>
      </c>
      <c r="Q26" s="41" t="s">
        <v>607</v>
      </c>
      <c r="R26" s="41">
        <v>11</v>
      </c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 spans="2:29" ht="24.75" customHeight="1" x14ac:dyDescent="0.35">
      <c r="B27" s="42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131">
        <v>46271</v>
      </c>
      <c r="P27" s="41" t="s">
        <v>704</v>
      </c>
      <c r="Q27" s="41" t="s">
        <v>607</v>
      </c>
      <c r="R27" s="41"/>
      <c r="S27" s="41"/>
      <c r="T27" s="41"/>
      <c r="U27" s="41"/>
      <c r="V27" s="41">
        <v>1</v>
      </c>
      <c r="W27" s="41"/>
      <c r="X27" s="41"/>
      <c r="Y27" s="41"/>
      <c r="Z27" s="41"/>
      <c r="AA27" s="41"/>
      <c r="AB27" s="41"/>
      <c r="AC27" s="41"/>
    </row>
    <row r="28" spans="2:29" ht="24.75" customHeight="1" x14ac:dyDescent="0.35">
      <c r="B28" s="4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131">
        <v>46272</v>
      </c>
      <c r="P28" s="41" t="s">
        <v>608</v>
      </c>
      <c r="Q28" s="41"/>
      <c r="R28" s="41">
        <v>22</v>
      </c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spans="2:29" ht="24.75" customHeight="1" x14ac:dyDescent="0.35">
      <c r="B29" s="42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131">
        <v>46272</v>
      </c>
      <c r="P29" s="41" t="s">
        <v>608</v>
      </c>
      <c r="Q29" s="41"/>
      <c r="R29" s="41">
        <v>17</v>
      </c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2:29" ht="24.75" customHeight="1" x14ac:dyDescent="0.35">
      <c r="B30" s="42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131">
        <v>46272</v>
      </c>
      <c r="P30" s="41" t="s">
        <v>719</v>
      </c>
      <c r="Q30" s="41" t="s">
        <v>676</v>
      </c>
      <c r="R30" s="41"/>
      <c r="S30" s="41"/>
      <c r="T30" s="41"/>
      <c r="U30" s="41"/>
      <c r="V30" s="41"/>
      <c r="W30" s="41"/>
      <c r="X30" s="41"/>
      <c r="Y30" s="41"/>
      <c r="Z30" s="41">
        <v>1</v>
      </c>
      <c r="AA30" s="41"/>
      <c r="AB30" s="41"/>
      <c r="AC30" s="41"/>
    </row>
    <row r="31" spans="2:29" ht="24.75" customHeight="1" x14ac:dyDescent="0.35"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137" t="s">
        <v>722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spans="2:29" ht="24.75" customHeight="1" x14ac:dyDescent="0.35">
      <c r="B32" s="42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 spans="2:29" ht="24.75" customHeight="1" x14ac:dyDescent="0.35"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2:29" ht="24.75" customHeight="1" x14ac:dyDescent="0.35">
      <c r="B34" s="42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2:29" x14ac:dyDescent="0.35"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2:29" x14ac:dyDescent="0.35">
      <c r="B36" s="42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spans="2:29" x14ac:dyDescent="0.35">
      <c r="B37" s="42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spans="2:29" x14ac:dyDescent="0.35">
      <c r="B38" s="42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spans="2:29" x14ac:dyDescent="0.35">
      <c r="B39" s="42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2:29" x14ac:dyDescent="0.35">
      <c r="B40" s="42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spans="2:29" x14ac:dyDescent="0.35">
      <c r="B41" s="42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2:29" x14ac:dyDescent="0.35">
      <c r="B42" s="42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spans="2:29" x14ac:dyDescent="0.35">
      <c r="B43" s="42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2:29" x14ac:dyDescent="0.35">
      <c r="B44" s="42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 spans="2:29" x14ac:dyDescent="0.35">
      <c r="B45" s="42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spans="2:29" x14ac:dyDescent="0.35">
      <c r="B46" s="42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spans="2:29" x14ac:dyDescent="0.35">
      <c r="B47" s="42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spans="2:29" x14ac:dyDescent="0.35">
      <c r="B48" s="42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 spans="2:29" x14ac:dyDescent="0.35">
      <c r="B49" s="4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 spans="2:29" x14ac:dyDescent="0.35">
      <c r="B50" s="42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 spans="2:29" x14ac:dyDescent="0.35">
      <c r="B51" s="42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2:29" x14ac:dyDescent="0.35">
      <c r="B52" s="42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 spans="2:29" x14ac:dyDescent="0.35">
      <c r="B53" s="42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2:29" x14ac:dyDescent="0.35">
      <c r="B54" s="42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 spans="2:29" x14ac:dyDescent="0.35">
      <c r="B55" s="42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spans="2:29" x14ac:dyDescent="0.35">
      <c r="B56" s="42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2:29" x14ac:dyDescent="0.35">
      <c r="B57" s="42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spans="2:29" x14ac:dyDescent="0.35">
      <c r="B58" s="3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2:29" x14ac:dyDescent="0.35">
      <c r="B59" s="3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2:29" x14ac:dyDescent="0.35">
      <c r="B60" s="3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2:29" x14ac:dyDescent="0.35">
      <c r="B61" s="3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2:29" x14ac:dyDescent="0.35">
      <c r="B62" s="3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2:29" x14ac:dyDescent="0.35">
      <c r="B63" s="3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2:29" x14ac:dyDescent="0.35">
      <c r="B64" s="3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2:29" x14ac:dyDescent="0.35">
      <c r="B65" s="3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2:29" x14ac:dyDescent="0.35">
      <c r="B66" s="3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2:29" x14ac:dyDescent="0.35">
      <c r="B67" s="3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2:29" x14ac:dyDescent="0.35">
      <c r="B68" s="3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2:29" x14ac:dyDescent="0.35">
      <c r="B69" s="3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2:29" x14ac:dyDescent="0.35">
      <c r="B70" s="3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2:29" x14ac:dyDescent="0.35">
      <c r="B71" s="3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2:29" x14ac:dyDescent="0.35">
      <c r="B72" s="3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2:29" x14ac:dyDescent="0.35">
      <c r="B73" s="3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2:29" x14ac:dyDescent="0.35">
      <c r="B74" s="3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2:29" x14ac:dyDescent="0.35">
      <c r="B75" s="3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2:29" x14ac:dyDescent="0.35">
      <c r="B76" s="3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2:29" x14ac:dyDescent="0.35">
      <c r="B77" s="3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2:29" x14ac:dyDescent="0.35">
      <c r="B78" s="3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2:29" x14ac:dyDescent="0.35">
      <c r="B79" s="3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2:29" x14ac:dyDescent="0.35">
      <c r="B80" s="3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2:29" x14ac:dyDescent="0.35">
      <c r="B81" s="3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2:29" x14ac:dyDescent="0.35">
      <c r="B82" s="3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2:29" x14ac:dyDescent="0.35">
      <c r="B83" s="3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2:29" x14ac:dyDescent="0.35">
      <c r="B84" s="3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2:29" x14ac:dyDescent="0.35">
      <c r="B85" s="3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2:29" x14ac:dyDescent="0.35">
      <c r="B86" s="3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2:29" x14ac:dyDescent="0.35">
      <c r="B87" s="3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2:29" x14ac:dyDescent="0.35">
      <c r="B88" s="3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2:29" x14ac:dyDescent="0.35">
      <c r="B89" s="3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2:29" x14ac:dyDescent="0.35">
      <c r="B90" s="3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2:29" x14ac:dyDescent="0.35">
      <c r="B91" s="3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2:29" x14ac:dyDescent="0.35">
      <c r="B92" s="3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2:29" x14ac:dyDescent="0.35">
      <c r="B93" s="3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2:29" x14ac:dyDescent="0.35">
      <c r="B94" s="3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2:29" x14ac:dyDescent="0.35">
      <c r="B95" s="3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2:29" x14ac:dyDescent="0.35">
      <c r="B96" s="3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2:29" x14ac:dyDescent="0.35">
      <c r="B97" s="3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2:29" x14ac:dyDescent="0.35">
      <c r="B98" s="3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2:29" x14ac:dyDescent="0.35">
      <c r="B99" s="3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2:29" x14ac:dyDescent="0.35">
      <c r="B100" s="3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2:29" x14ac:dyDescent="0.35">
      <c r="B101" s="3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2:29" ht="36" x14ac:dyDescent="0.35">
      <c r="B102" s="35" t="s">
        <v>17</v>
      </c>
      <c r="C102" s="24">
        <f t="shared" ref="C102:N102" si="0">SUM(C5:C101)</f>
        <v>215</v>
      </c>
      <c r="D102" s="24">
        <f t="shared" si="0"/>
        <v>0</v>
      </c>
      <c r="E102" s="24">
        <f t="shared" si="0"/>
        <v>0</v>
      </c>
      <c r="F102" s="24">
        <f t="shared" si="0"/>
        <v>0</v>
      </c>
      <c r="G102" s="24">
        <f t="shared" si="0"/>
        <v>28</v>
      </c>
      <c r="H102" s="24">
        <f t="shared" si="0"/>
        <v>0</v>
      </c>
      <c r="I102" s="24">
        <f t="shared" si="0"/>
        <v>0</v>
      </c>
      <c r="J102" s="24">
        <f t="shared" si="0"/>
        <v>0</v>
      </c>
      <c r="K102" s="24">
        <f t="shared" si="0"/>
        <v>0</v>
      </c>
      <c r="L102" s="24">
        <f t="shared" si="0"/>
        <v>0</v>
      </c>
      <c r="M102" s="24">
        <f t="shared" si="0"/>
        <v>0</v>
      </c>
      <c r="N102" s="24">
        <f t="shared" si="0"/>
        <v>0</v>
      </c>
      <c r="O102" s="24"/>
      <c r="P102" s="24"/>
      <c r="Q102" s="70" t="s">
        <v>18</v>
      </c>
      <c r="R102" s="24">
        <f t="shared" ref="R102:AC102" si="1">SUM(R5:R101)</f>
        <v>374</v>
      </c>
      <c r="S102" s="24">
        <f t="shared" si="1"/>
        <v>0</v>
      </c>
      <c r="T102" s="24">
        <f t="shared" si="1"/>
        <v>0</v>
      </c>
      <c r="U102" s="24">
        <f t="shared" si="1"/>
        <v>0</v>
      </c>
      <c r="V102" s="24">
        <f t="shared" si="1"/>
        <v>14</v>
      </c>
      <c r="W102" s="24">
        <f t="shared" si="1"/>
        <v>0</v>
      </c>
      <c r="X102" s="24">
        <f t="shared" si="1"/>
        <v>0</v>
      </c>
      <c r="Y102" s="24">
        <f t="shared" si="1"/>
        <v>0</v>
      </c>
      <c r="Z102" s="24">
        <f t="shared" si="1"/>
        <v>1</v>
      </c>
      <c r="AA102" s="24">
        <f t="shared" si="1"/>
        <v>0</v>
      </c>
      <c r="AB102" s="24">
        <f t="shared" si="1"/>
        <v>0</v>
      </c>
      <c r="AC102" s="24">
        <f t="shared" si="1"/>
        <v>0</v>
      </c>
    </row>
    <row r="103" spans="2:29" ht="36" x14ac:dyDescent="0.35">
      <c r="B103" s="7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70" t="s">
        <v>67</v>
      </c>
      <c r="R103" s="71">
        <f t="shared" ref="R103:AC103" si="2">C4+C102-R102</f>
        <v>17</v>
      </c>
      <c r="S103" s="71">
        <f t="shared" si="2"/>
        <v>0</v>
      </c>
      <c r="T103" s="71">
        <f t="shared" si="2"/>
        <v>0</v>
      </c>
      <c r="U103" s="71">
        <f t="shared" si="2"/>
        <v>0</v>
      </c>
      <c r="V103" s="71">
        <f t="shared" si="2"/>
        <v>30</v>
      </c>
      <c r="W103" s="71">
        <f t="shared" si="2"/>
        <v>0</v>
      </c>
      <c r="X103" s="71">
        <f t="shared" si="2"/>
        <v>0</v>
      </c>
      <c r="Y103" s="71">
        <f t="shared" si="2"/>
        <v>0</v>
      </c>
      <c r="Z103" s="71">
        <f t="shared" si="2"/>
        <v>0</v>
      </c>
      <c r="AA103" s="71">
        <f t="shared" si="2"/>
        <v>0</v>
      </c>
      <c r="AB103" s="71">
        <f t="shared" si="2"/>
        <v>0</v>
      </c>
      <c r="AC103" s="71">
        <f t="shared" si="2"/>
        <v>0</v>
      </c>
    </row>
  </sheetData>
  <mergeCells count="5">
    <mergeCell ref="C2:N2"/>
    <mergeCell ref="P2:AC2"/>
    <mergeCell ref="AD2:AD3"/>
    <mergeCell ref="AE2:AE3"/>
    <mergeCell ref="AF2:AF3"/>
  </mergeCells>
  <conditionalFormatting sqref="AE4:AE101">
    <cfRule type="cellIs" dxfId="5" priority="2" operator="equal">
      <formula>"ĐÃ THANH TOÁN"</formula>
    </cfRule>
    <cfRule type="cellIs" dxfId="4" priority="3" operator="equal">
      <formula>"CHƯA THANH TOÁN"</formula>
    </cfRule>
  </conditionalFormatting>
  <dataValidations disablePrompts="1" count="2">
    <dataValidation type="list" allowBlank="1" showInputMessage="1" showErrorMessage="1" sqref="AF1:AF3 AF10:AF1103" xr:uid="{00000000-0002-0000-0400-000000000000}">
      <formula1>Bùi_Bích_Phương</formula1>
      <formula2>0</formula2>
    </dataValidation>
    <dataValidation type="list" allowBlank="1" showInputMessage="1" showErrorMessage="1" sqref="P1:P4 P102:P1103" xr:uid="{00000000-0002-0000-0400-000001000000}">
      <formula1>$A$3:$A$453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400-000002000000}">
          <x14:formula1>
            <xm:f>DATA!$C$2:$C$3</xm:f>
          </x14:formula1>
          <x14:formula2>
            <xm:f>0</xm:f>
          </x14:formula2>
          <xm:sqref>AE1:AE1103</xm:sqref>
        </x14:dataValidation>
        <x14:dataValidation type="list" allowBlank="1" showInputMessage="1" showErrorMessage="1" xr:uid="{00000000-0002-0000-0400-000003000000}">
          <x14:formula1>
            <xm:f>DATA!$B$3:$B$37</xm:f>
          </x14:formula1>
          <x14:formula2>
            <xm:f>0</xm:f>
          </x14:formula2>
          <xm:sqref>Q1:Q4 Q50:Q1103</xm:sqref>
        </x14:dataValidation>
        <x14:dataValidation type="list" allowBlank="1" showInputMessage="1" showErrorMessage="1" xr:uid="{00000000-0002-0000-0400-000004000000}">
          <x14:formula1>
            <xm:f>DATA!$A$3:$A$452</xm:f>
          </x14:formula1>
          <x14:formula2>
            <xm:f>0</xm:f>
          </x14:formula2>
          <xm:sqref>AF4:AF9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02"/>
  <sheetViews>
    <sheetView zoomScaleNormal="100" workbookViewId="0">
      <selection activeCell="G11" sqref="G11"/>
    </sheetView>
  </sheetViews>
  <sheetFormatPr defaultColWidth="8.54296875" defaultRowHeight="18" x14ac:dyDescent="0.35"/>
  <cols>
    <col min="2" max="2" width="15.54296875" style="27" customWidth="1"/>
    <col min="3" max="3" width="5.90625" customWidth="1"/>
    <col min="4" max="4" width="6.453125" customWidth="1"/>
    <col min="5" max="5" width="6.36328125" customWidth="1"/>
    <col min="6" max="6" width="6.6328125" customWidth="1"/>
    <col min="7" max="7" width="5.36328125" customWidth="1"/>
    <col min="8" max="8" width="6.90625" customWidth="1"/>
    <col min="9" max="9" width="6.81640625" customWidth="1"/>
    <col min="10" max="10" width="6.6328125" customWidth="1"/>
    <col min="11" max="11" width="5.08984375" customWidth="1"/>
    <col min="12" max="12" width="6.453125" customWidth="1"/>
    <col min="13" max="13" width="5.08984375" customWidth="1"/>
    <col min="14" max="14" width="5.90625" customWidth="1"/>
    <col min="15" max="16" width="19" customWidth="1"/>
    <col min="17" max="17" width="11.6328125" customWidth="1"/>
    <col min="19" max="19" width="6.453125" customWidth="1"/>
    <col min="20" max="20" width="6" customWidth="1"/>
    <col min="21" max="21" width="7.54296875" customWidth="1"/>
    <col min="22" max="22" width="6.54296875" customWidth="1"/>
    <col min="23" max="24" width="6.6328125" customWidth="1"/>
    <col min="25" max="25" width="6.453125" customWidth="1"/>
    <col min="26" max="26" width="5.81640625" customWidth="1"/>
    <col min="27" max="27" width="6.6328125" customWidth="1"/>
    <col min="28" max="28" width="6.08984375" customWidth="1"/>
    <col min="29" max="29" width="6.36328125" customWidth="1"/>
    <col min="30" max="30" width="15" customWidth="1"/>
    <col min="31" max="31" width="15.1796875" customWidth="1"/>
    <col min="32" max="32" width="18.453125" customWidth="1"/>
  </cols>
  <sheetData>
    <row r="1" spans="2:32" x14ac:dyDescent="0.35">
      <c r="B1" s="27" t="s">
        <v>27</v>
      </c>
    </row>
    <row r="2" spans="2:32" ht="18.75" customHeight="1" x14ac:dyDescent="0.35">
      <c r="B2" s="28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"/>
      <c r="P2" s="154" t="s">
        <v>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 t="s">
        <v>29</v>
      </c>
      <c r="AE2" s="155" t="s">
        <v>30</v>
      </c>
      <c r="AF2" s="153" t="s">
        <v>31</v>
      </c>
    </row>
    <row r="3" spans="2:32" ht="78" x14ac:dyDescent="0.35">
      <c r="B3" s="32"/>
      <c r="C3" s="67" t="s">
        <v>2</v>
      </c>
      <c r="D3" s="67" t="s">
        <v>53</v>
      </c>
      <c r="E3" s="67" t="s">
        <v>54</v>
      </c>
      <c r="F3" s="67" t="s">
        <v>55</v>
      </c>
      <c r="G3" s="67" t="s">
        <v>6</v>
      </c>
      <c r="H3" s="67" t="s">
        <v>56</v>
      </c>
      <c r="I3" s="67" t="s">
        <v>8</v>
      </c>
      <c r="J3" s="67" t="s">
        <v>57</v>
      </c>
      <c r="K3" s="67" t="s">
        <v>10</v>
      </c>
      <c r="L3" s="67" t="s">
        <v>58</v>
      </c>
      <c r="M3" s="67" t="s">
        <v>12</v>
      </c>
      <c r="N3" s="67" t="s">
        <v>59</v>
      </c>
      <c r="O3" s="67"/>
      <c r="P3" s="6" t="s">
        <v>60</v>
      </c>
      <c r="Q3" s="6" t="s">
        <v>14</v>
      </c>
      <c r="R3" s="5" t="s">
        <v>2</v>
      </c>
      <c r="S3" s="67" t="s">
        <v>53</v>
      </c>
      <c r="T3" s="67" t="s">
        <v>54</v>
      </c>
      <c r="U3" s="67" t="s">
        <v>55</v>
      </c>
      <c r="V3" s="67" t="s">
        <v>6</v>
      </c>
      <c r="W3" s="67" t="s">
        <v>56</v>
      </c>
      <c r="X3" s="67" t="s">
        <v>8</v>
      </c>
      <c r="Y3" s="67" t="s">
        <v>57</v>
      </c>
      <c r="Z3" s="67" t="s">
        <v>10</v>
      </c>
      <c r="AA3" s="67" t="s">
        <v>58</v>
      </c>
      <c r="AB3" s="67" t="s">
        <v>12</v>
      </c>
      <c r="AC3" s="67" t="s">
        <v>59</v>
      </c>
      <c r="AD3" s="155"/>
      <c r="AE3" s="155"/>
      <c r="AF3" s="153"/>
    </row>
    <row r="4" spans="2:32" x14ac:dyDescent="0.35">
      <c r="B4" s="35" t="s">
        <v>15</v>
      </c>
      <c r="C4" s="68">
        <v>11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F4" s="24"/>
    </row>
    <row r="5" spans="2:32" ht="24.75" customHeight="1" x14ac:dyDescent="0.35">
      <c r="B5" s="35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24"/>
      <c r="X5" s="24"/>
      <c r="Y5" s="24"/>
      <c r="Z5" s="24"/>
      <c r="AA5" s="24"/>
      <c r="AB5" s="24"/>
      <c r="AC5" s="24"/>
      <c r="AF5" s="24" t="s">
        <v>63</v>
      </c>
    </row>
    <row r="6" spans="2:32" ht="24.75" customHeight="1" x14ac:dyDescent="0.35">
      <c r="B6" s="35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24"/>
      <c r="X6" s="24"/>
      <c r="Y6" s="24"/>
      <c r="Z6" s="24"/>
      <c r="AA6" s="24"/>
      <c r="AB6" s="24"/>
      <c r="AC6" s="24"/>
      <c r="AF6" s="24" t="s">
        <v>43</v>
      </c>
    </row>
    <row r="7" spans="2:32" ht="24.75" customHeight="1" x14ac:dyDescent="0.35">
      <c r="B7" s="35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24"/>
      <c r="X7" s="24"/>
      <c r="Y7" s="24"/>
      <c r="Z7" s="24"/>
      <c r="AA7" s="24"/>
      <c r="AB7" s="24"/>
      <c r="AC7" s="24"/>
      <c r="AF7" s="24" t="s">
        <v>43</v>
      </c>
    </row>
    <row r="8" spans="2:32" ht="24.75" customHeight="1" x14ac:dyDescent="0.35">
      <c r="B8" s="35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73"/>
      <c r="S8" s="49"/>
      <c r="T8" s="41"/>
      <c r="U8" s="41"/>
      <c r="V8" s="41"/>
      <c r="W8" s="24"/>
      <c r="X8" s="24"/>
      <c r="Y8" s="24"/>
      <c r="Z8" s="24"/>
      <c r="AA8" s="24"/>
      <c r="AB8" s="24"/>
      <c r="AC8" s="24"/>
      <c r="AF8" s="24" t="s">
        <v>66</v>
      </c>
    </row>
    <row r="9" spans="2:32" ht="24.75" customHeight="1" x14ac:dyDescent="0.35">
      <c r="B9" s="35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24"/>
      <c r="X9" s="24"/>
      <c r="Y9" s="24"/>
      <c r="Z9" s="24"/>
      <c r="AA9" s="24"/>
      <c r="AB9" s="24"/>
      <c r="AC9" s="24"/>
      <c r="AF9" s="24" t="s">
        <v>43</v>
      </c>
    </row>
    <row r="10" spans="2:32" ht="24.75" customHeight="1" x14ac:dyDescent="0.35">
      <c r="B10" s="35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24"/>
      <c r="X10" s="24"/>
      <c r="Y10" s="24"/>
      <c r="Z10" s="24"/>
      <c r="AA10" s="24"/>
      <c r="AB10" s="24"/>
      <c r="AC10" s="24"/>
    </row>
    <row r="11" spans="2:32" ht="24.75" customHeight="1" x14ac:dyDescent="0.35">
      <c r="B11" s="35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24"/>
      <c r="X11" s="24"/>
      <c r="Y11" s="24"/>
      <c r="Z11" s="24"/>
      <c r="AA11" s="24"/>
      <c r="AB11" s="24"/>
      <c r="AC11" s="24"/>
    </row>
    <row r="12" spans="2:32" ht="24.75" customHeight="1" x14ac:dyDescent="0.35">
      <c r="B12" s="35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24"/>
      <c r="X12" s="24"/>
      <c r="Y12" s="24"/>
      <c r="Z12" s="24"/>
      <c r="AA12" s="24"/>
      <c r="AB12" s="24"/>
      <c r="AC12" s="24"/>
    </row>
    <row r="13" spans="2:32" ht="24.75" customHeight="1" x14ac:dyDescent="0.35">
      <c r="B13" s="35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24"/>
      <c r="X13" s="24"/>
      <c r="Y13" s="24"/>
      <c r="Z13" s="24"/>
      <c r="AA13" s="24"/>
      <c r="AB13" s="24"/>
      <c r="AC13" s="24"/>
    </row>
    <row r="14" spans="2:32" ht="24.75" customHeight="1" x14ac:dyDescent="0.35">
      <c r="B14" s="35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24"/>
      <c r="X14" s="24"/>
      <c r="Y14" s="24"/>
      <c r="Z14" s="24"/>
      <c r="AA14" s="24"/>
      <c r="AB14" s="24"/>
      <c r="AC14" s="24"/>
    </row>
    <row r="15" spans="2:32" ht="24.75" customHeight="1" x14ac:dyDescent="0.35">
      <c r="B15" s="35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24"/>
      <c r="X15" s="24"/>
      <c r="Y15" s="24"/>
      <c r="Z15" s="24"/>
      <c r="AA15" s="24"/>
      <c r="AB15" s="24"/>
      <c r="AC15" s="24"/>
    </row>
    <row r="16" spans="2:32" ht="24.75" customHeight="1" x14ac:dyDescent="0.35">
      <c r="B16" s="35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24"/>
      <c r="X16" s="24"/>
      <c r="Y16" s="24"/>
      <c r="Z16" s="24"/>
      <c r="AA16" s="24"/>
      <c r="AB16" s="24"/>
      <c r="AC16" s="24"/>
    </row>
    <row r="17" spans="2:29" ht="24.75" customHeight="1" x14ac:dyDescent="0.35">
      <c r="B17" s="35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24"/>
      <c r="X17" s="24"/>
      <c r="Y17" s="24"/>
      <c r="Z17" s="24"/>
      <c r="AA17" s="24"/>
      <c r="AB17" s="24"/>
      <c r="AC17" s="24"/>
    </row>
    <row r="18" spans="2:29" ht="24.75" customHeight="1" x14ac:dyDescent="0.35">
      <c r="B18" s="35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24"/>
      <c r="X18" s="24"/>
      <c r="Y18" s="24"/>
      <c r="Z18" s="24"/>
      <c r="AA18" s="24"/>
      <c r="AB18" s="24"/>
      <c r="AC18" s="24"/>
    </row>
    <row r="19" spans="2:29" ht="24.75" customHeight="1" x14ac:dyDescent="0.35">
      <c r="B19" s="35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24"/>
      <c r="X19" s="24"/>
      <c r="Y19" s="24"/>
      <c r="Z19" s="24"/>
      <c r="AA19" s="24"/>
      <c r="AB19" s="24"/>
      <c r="AC19" s="24"/>
    </row>
    <row r="20" spans="2:29" ht="24.75" customHeight="1" x14ac:dyDescent="0.35">
      <c r="B20" s="35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24"/>
      <c r="X20" s="24"/>
      <c r="Y20" s="24"/>
      <c r="Z20" s="24"/>
      <c r="AA20" s="24"/>
      <c r="AB20" s="24"/>
      <c r="AC20" s="24"/>
    </row>
    <row r="21" spans="2:29" ht="24.75" customHeight="1" x14ac:dyDescent="0.35">
      <c r="B21" s="35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24"/>
      <c r="X21" s="24"/>
      <c r="Y21" s="24"/>
      <c r="Z21" s="24"/>
      <c r="AA21" s="24"/>
      <c r="AB21" s="24"/>
      <c r="AC21" s="24"/>
    </row>
    <row r="22" spans="2:29" ht="24.75" customHeight="1" x14ac:dyDescent="0.35">
      <c r="B22" s="35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24"/>
      <c r="X22" s="24"/>
      <c r="Y22" s="24"/>
      <c r="Z22" s="24"/>
      <c r="AA22" s="24"/>
      <c r="AB22" s="24"/>
      <c r="AC22" s="24"/>
    </row>
    <row r="23" spans="2:29" ht="24.75" customHeight="1" x14ac:dyDescent="0.35">
      <c r="B23" s="35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24"/>
      <c r="X23" s="24"/>
      <c r="Y23" s="24"/>
      <c r="Z23" s="24"/>
      <c r="AA23" s="24"/>
      <c r="AB23" s="24"/>
      <c r="AC23" s="24"/>
    </row>
    <row r="24" spans="2:29" ht="24.75" customHeight="1" x14ac:dyDescent="0.35">
      <c r="B24" s="35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24"/>
      <c r="X24" s="24"/>
      <c r="Y24" s="24"/>
      <c r="Z24" s="24"/>
      <c r="AA24" s="24"/>
      <c r="AB24" s="24"/>
      <c r="AC24" s="24"/>
    </row>
    <row r="25" spans="2:29" ht="24.75" customHeight="1" x14ac:dyDescent="0.35">
      <c r="B25" s="35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24"/>
      <c r="X25" s="24"/>
      <c r="Y25" s="24"/>
      <c r="Z25" s="24"/>
      <c r="AA25" s="24"/>
      <c r="AB25" s="24"/>
      <c r="AC25" s="24"/>
    </row>
    <row r="26" spans="2:29" ht="24.75" customHeight="1" x14ac:dyDescent="0.35">
      <c r="B26" s="35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24"/>
      <c r="X26" s="24"/>
      <c r="Y26" s="24"/>
      <c r="Z26" s="24"/>
      <c r="AA26" s="24"/>
      <c r="AB26" s="24"/>
      <c r="AC26" s="24"/>
    </row>
    <row r="27" spans="2:29" ht="24.75" customHeight="1" x14ac:dyDescent="0.35">
      <c r="B27" s="35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24"/>
      <c r="X27" s="24"/>
      <c r="Y27" s="24"/>
      <c r="Z27" s="24"/>
      <c r="AA27" s="24"/>
      <c r="AB27" s="24"/>
      <c r="AC27" s="24"/>
    </row>
    <row r="28" spans="2:29" ht="24.75" customHeight="1" x14ac:dyDescent="0.35">
      <c r="B28" s="35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24"/>
      <c r="X28" s="24"/>
      <c r="Y28" s="24"/>
      <c r="Z28" s="24"/>
      <c r="AA28" s="24"/>
      <c r="AB28" s="24"/>
      <c r="AC28" s="24"/>
    </row>
    <row r="29" spans="2:29" ht="24.75" customHeight="1" x14ac:dyDescent="0.35">
      <c r="B29" s="35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24"/>
      <c r="X29" s="24"/>
      <c r="Y29" s="24"/>
      <c r="Z29" s="24"/>
      <c r="AA29" s="24"/>
      <c r="AB29" s="24"/>
      <c r="AC29" s="24"/>
    </row>
    <row r="30" spans="2:29" ht="24.75" customHeight="1" x14ac:dyDescent="0.35">
      <c r="B30" s="35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24"/>
      <c r="X30" s="24"/>
      <c r="Y30" s="24"/>
      <c r="Z30" s="24"/>
      <c r="AA30" s="24"/>
      <c r="AB30" s="24"/>
      <c r="AC30" s="24"/>
    </row>
    <row r="31" spans="2:29" ht="24.75" customHeight="1" x14ac:dyDescent="0.35">
      <c r="B31" s="35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24"/>
      <c r="X31" s="24"/>
      <c r="Y31" s="24"/>
      <c r="Z31" s="24"/>
      <c r="AA31" s="24"/>
      <c r="AB31" s="24"/>
      <c r="AC31" s="24"/>
    </row>
    <row r="32" spans="2:29" ht="24.75" customHeight="1" x14ac:dyDescent="0.35">
      <c r="B32" s="35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24"/>
      <c r="X32" s="24"/>
      <c r="Y32" s="24"/>
      <c r="Z32" s="24"/>
      <c r="AA32" s="24"/>
      <c r="AB32" s="24"/>
      <c r="AC32" s="24"/>
    </row>
    <row r="33" spans="2:29" ht="24.75" customHeight="1" x14ac:dyDescent="0.35">
      <c r="B33" s="35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24"/>
      <c r="X33" s="24"/>
      <c r="Y33" s="24"/>
      <c r="Z33" s="24"/>
      <c r="AA33" s="24"/>
      <c r="AB33" s="24"/>
      <c r="AC33" s="24"/>
    </row>
    <row r="34" spans="2:29" x14ac:dyDescent="0.35">
      <c r="B34" s="3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2:29" x14ac:dyDescent="0.35">
      <c r="B35" s="3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2:29" x14ac:dyDescent="0.35">
      <c r="B36" s="3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2:29" x14ac:dyDescent="0.35">
      <c r="B37" s="3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2:29" x14ac:dyDescent="0.35">
      <c r="B38" s="3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2:29" x14ac:dyDescent="0.35">
      <c r="B39" s="3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2:29" x14ac:dyDescent="0.35">
      <c r="B40" s="3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2:29" x14ac:dyDescent="0.35">
      <c r="B41" s="3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2:29" x14ac:dyDescent="0.35">
      <c r="B42" s="3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2:29" x14ac:dyDescent="0.35">
      <c r="B43" s="3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2:29" x14ac:dyDescent="0.35">
      <c r="B44" s="3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2:29" x14ac:dyDescent="0.35">
      <c r="B45" s="3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2:29" x14ac:dyDescent="0.35">
      <c r="B46" s="3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2:29" x14ac:dyDescent="0.35">
      <c r="B47" s="3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2:29" x14ac:dyDescent="0.35">
      <c r="B48" s="3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2:29" x14ac:dyDescent="0.35">
      <c r="B49" s="3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2:29" x14ac:dyDescent="0.35">
      <c r="B50" s="35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2:29" x14ac:dyDescent="0.35">
      <c r="B51" s="35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2:29" x14ac:dyDescent="0.35">
      <c r="B52" s="3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2:29" x14ac:dyDescent="0.35">
      <c r="B53" s="3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2:29" x14ac:dyDescent="0.35">
      <c r="B54" s="3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2:29" x14ac:dyDescent="0.35">
      <c r="B55" s="3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2:29" x14ac:dyDescent="0.35">
      <c r="B56" s="3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2:29" x14ac:dyDescent="0.35">
      <c r="B57" s="3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2:29" x14ac:dyDescent="0.35">
      <c r="B58" s="3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2:29" x14ac:dyDescent="0.35">
      <c r="B59" s="3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2:29" x14ac:dyDescent="0.35">
      <c r="B60" s="3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2:29" x14ac:dyDescent="0.35">
      <c r="B61" s="3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2:29" x14ac:dyDescent="0.35">
      <c r="B62" s="3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2:29" x14ac:dyDescent="0.35">
      <c r="B63" s="3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2:29" x14ac:dyDescent="0.35">
      <c r="B64" s="3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2:29" x14ac:dyDescent="0.35">
      <c r="B65" s="3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2:29" x14ac:dyDescent="0.35">
      <c r="B66" s="3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2:29" x14ac:dyDescent="0.35">
      <c r="B67" s="3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2:29" x14ac:dyDescent="0.35">
      <c r="B68" s="3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2:29" x14ac:dyDescent="0.35">
      <c r="B69" s="3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2:29" x14ac:dyDescent="0.35">
      <c r="B70" s="3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2:29" x14ac:dyDescent="0.35">
      <c r="B71" s="3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2:29" x14ac:dyDescent="0.35">
      <c r="B72" s="3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2:29" x14ac:dyDescent="0.35">
      <c r="B73" s="3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2:29" x14ac:dyDescent="0.35">
      <c r="B74" s="3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2:29" x14ac:dyDescent="0.35">
      <c r="B75" s="3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2:29" x14ac:dyDescent="0.35">
      <c r="B76" s="3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2:29" x14ac:dyDescent="0.35">
      <c r="B77" s="3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2:29" x14ac:dyDescent="0.35">
      <c r="B78" s="3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2:29" x14ac:dyDescent="0.35">
      <c r="B79" s="3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2:29" x14ac:dyDescent="0.35">
      <c r="B80" s="3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2:29" x14ac:dyDescent="0.35">
      <c r="B81" s="3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2:29" x14ac:dyDescent="0.35">
      <c r="B82" s="3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2:29" x14ac:dyDescent="0.35">
      <c r="B83" s="3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2:29" x14ac:dyDescent="0.35">
      <c r="B84" s="3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2:29" x14ac:dyDescent="0.35">
      <c r="B85" s="3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2:29" x14ac:dyDescent="0.35">
      <c r="B86" s="3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2:29" x14ac:dyDescent="0.35">
      <c r="B87" s="3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2:29" x14ac:dyDescent="0.35">
      <c r="B88" s="3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2:29" x14ac:dyDescent="0.35">
      <c r="B89" s="3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2:29" x14ac:dyDescent="0.35">
      <c r="B90" s="3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2:29" x14ac:dyDescent="0.35">
      <c r="B91" s="3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2:29" x14ac:dyDescent="0.35">
      <c r="B92" s="3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2:29" x14ac:dyDescent="0.35">
      <c r="B93" s="3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2:29" x14ac:dyDescent="0.35">
      <c r="B94" s="3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2:29" x14ac:dyDescent="0.35">
      <c r="B95" s="3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2:29" x14ac:dyDescent="0.35">
      <c r="B96" s="3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2:29" x14ac:dyDescent="0.35">
      <c r="B97" s="3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2:29" x14ac:dyDescent="0.35">
      <c r="B98" s="3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2:29" x14ac:dyDescent="0.35">
      <c r="B99" s="3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2:29" x14ac:dyDescent="0.35">
      <c r="B100" s="3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2:29" ht="36" x14ac:dyDescent="0.35">
      <c r="B101" s="35" t="s">
        <v>17</v>
      </c>
      <c r="C101" s="24">
        <f t="shared" ref="C101:N101" si="0">SUM(C5:C100)</f>
        <v>0</v>
      </c>
      <c r="D101" s="24">
        <f t="shared" si="0"/>
        <v>0</v>
      </c>
      <c r="E101" s="24">
        <f t="shared" si="0"/>
        <v>0</v>
      </c>
      <c r="F101" s="24">
        <f t="shared" si="0"/>
        <v>0</v>
      </c>
      <c r="G101" s="24">
        <f t="shared" si="0"/>
        <v>0</v>
      </c>
      <c r="H101" s="24">
        <f t="shared" si="0"/>
        <v>0</v>
      </c>
      <c r="I101" s="24">
        <f t="shared" si="0"/>
        <v>0</v>
      </c>
      <c r="J101" s="24">
        <f t="shared" si="0"/>
        <v>0</v>
      </c>
      <c r="K101" s="24">
        <f t="shared" si="0"/>
        <v>0</v>
      </c>
      <c r="L101" s="24">
        <f t="shared" si="0"/>
        <v>0</v>
      </c>
      <c r="M101" s="24">
        <f t="shared" si="0"/>
        <v>0</v>
      </c>
      <c r="N101" s="24">
        <f t="shared" si="0"/>
        <v>0</v>
      </c>
      <c r="O101" s="24"/>
      <c r="P101" s="24"/>
      <c r="Q101" s="70" t="s">
        <v>18</v>
      </c>
      <c r="R101" s="24">
        <f t="shared" ref="R101:AC101" si="1">SUM(R5:R100)</f>
        <v>0</v>
      </c>
      <c r="S101" s="24">
        <f t="shared" si="1"/>
        <v>0</v>
      </c>
      <c r="T101" s="24">
        <f t="shared" si="1"/>
        <v>0</v>
      </c>
      <c r="U101" s="24">
        <f t="shared" si="1"/>
        <v>0</v>
      </c>
      <c r="V101" s="24">
        <f t="shared" si="1"/>
        <v>0</v>
      </c>
      <c r="W101" s="24">
        <f t="shared" si="1"/>
        <v>0</v>
      </c>
      <c r="X101" s="24">
        <f t="shared" si="1"/>
        <v>0</v>
      </c>
      <c r="Y101" s="24">
        <f t="shared" si="1"/>
        <v>0</v>
      </c>
      <c r="Z101" s="24">
        <f t="shared" si="1"/>
        <v>0</v>
      </c>
      <c r="AA101" s="24">
        <f t="shared" si="1"/>
        <v>0</v>
      </c>
      <c r="AB101" s="24">
        <f t="shared" si="1"/>
        <v>0</v>
      </c>
      <c r="AC101" s="24">
        <f t="shared" si="1"/>
        <v>0</v>
      </c>
    </row>
    <row r="102" spans="2:29" ht="36" x14ac:dyDescent="0.35">
      <c r="B102" s="7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70" t="s">
        <v>67</v>
      </c>
      <c r="R102" s="71">
        <f t="shared" ref="R102:AC102" si="2">C4+C101-R101</f>
        <v>11</v>
      </c>
      <c r="S102" s="71">
        <f t="shared" si="2"/>
        <v>0</v>
      </c>
      <c r="T102" s="71">
        <f t="shared" si="2"/>
        <v>0</v>
      </c>
      <c r="U102" s="71">
        <f t="shared" si="2"/>
        <v>0</v>
      </c>
      <c r="V102" s="71">
        <f t="shared" si="2"/>
        <v>0</v>
      </c>
      <c r="W102" s="71">
        <f t="shared" si="2"/>
        <v>0</v>
      </c>
      <c r="X102" s="71">
        <f t="shared" si="2"/>
        <v>0</v>
      </c>
      <c r="Y102" s="71">
        <f t="shared" si="2"/>
        <v>0</v>
      </c>
      <c r="Z102" s="71">
        <f t="shared" si="2"/>
        <v>0</v>
      </c>
      <c r="AA102" s="71">
        <f t="shared" si="2"/>
        <v>0</v>
      </c>
      <c r="AB102" s="71">
        <f t="shared" si="2"/>
        <v>0</v>
      </c>
      <c r="AC102" s="71">
        <f t="shared" si="2"/>
        <v>0</v>
      </c>
    </row>
  </sheetData>
  <mergeCells count="5">
    <mergeCell ref="C2:N2"/>
    <mergeCell ref="P2:AC2"/>
    <mergeCell ref="AD2:AD3"/>
    <mergeCell ref="AE2:AE3"/>
    <mergeCell ref="AF2:AF3"/>
  </mergeCells>
  <conditionalFormatting sqref="AE4:AE100">
    <cfRule type="cellIs" dxfId="3" priority="2" operator="equal">
      <formula>"ĐÃ THANH TOÁN"</formula>
    </cfRule>
    <cfRule type="cellIs" dxfId="2" priority="3" operator="equal">
      <formula>"CHƯA THANH TOÁN"</formula>
    </cfRule>
  </conditionalFormatting>
  <dataValidations count="2">
    <dataValidation type="list" allowBlank="1" showInputMessage="1" showErrorMessage="1" sqref="P1:P4 P101:P1102" xr:uid="{00000000-0002-0000-0500-000000000000}">
      <formula1>$A$3:$A$452</formula1>
      <formula2>0</formula2>
    </dataValidation>
    <dataValidation type="list" allowBlank="1" showInputMessage="1" showErrorMessage="1" sqref="AF1:AF3 AF10:AF1102" xr:uid="{00000000-0002-0000-0500-000001000000}">
      <formula1>Bùi_Bích_Phương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DATA!$C$2:$C$3</xm:f>
          </x14:formula1>
          <x14:formula2>
            <xm:f>0</xm:f>
          </x14:formula2>
          <xm:sqref>AE1:AE1102</xm:sqref>
        </x14:dataValidation>
        <x14:dataValidation type="list" allowBlank="1" showInputMessage="1" showErrorMessage="1" xr:uid="{00000000-0002-0000-0500-000003000000}">
          <x14:formula1>
            <xm:f>DATA!$B$3:$B$37</xm:f>
          </x14:formula1>
          <x14:formula2>
            <xm:f>0</xm:f>
          </x14:formula2>
          <xm:sqref>Q1:Q4 Q26:Q1102</xm:sqref>
        </x14:dataValidation>
        <x14:dataValidation type="list" allowBlank="1" showInputMessage="1" showErrorMessage="1" xr:uid="{00000000-0002-0000-0500-000004000000}">
          <x14:formula1>
            <xm:f>DATA!$A$3:$A$452</xm:f>
          </x14:formula1>
          <x14:formula2>
            <xm:f>0</xm:f>
          </x14:formula2>
          <xm:sqref>AF4:AF9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69"/>
  <sheetViews>
    <sheetView zoomScaleNormal="100" workbookViewId="0">
      <selection activeCell="A56" sqref="A56"/>
    </sheetView>
  </sheetViews>
  <sheetFormatPr defaultColWidth="8.54296875" defaultRowHeight="18" x14ac:dyDescent="0.35"/>
  <cols>
    <col min="2" max="2" width="11" customWidth="1"/>
    <col min="3" max="3" width="17.54296875" customWidth="1"/>
    <col min="6" max="6" width="21.81640625" customWidth="1"/>
    <col min="14" max="14" width="18.6328125" customWidth="1"/>
  </cols>
  <sheetData>
    <row r="1" spans="2:7" x14ac:dyDescent="0.35">
      <c r="D1" t="s">
        <v>68</v>
      </c>
      <c r="E1" t="s">
        <v>69</v>
      </c>
    </row>
    <row r="2" spans="2:7" x14ac:dyDescent="0.35">
      <c r="B2" t="s">
        <v>70</v>
      </c>
      <c r="C2" t="s">
        <v>71</v>
      </c>
      <c r="D2">
        <v>10</v>
      </c>
      <c r="E2">
        <v>10</v>
      </c>
      <c r="F2" t="s">
        <v>72</v>
      </c>
    </row>
    <row r="3" spans="2:7" x14ac:dyDescent="0.35">
      <c r="B3" t="s">
        <v>73</v>
      </c>
      <c r="C3" t="s">
        <v>74</v>
      </c>
      <c r="D3">
        <v>10</v>
      </c>
      <c r="F3" t="s">
        <v>75</v>
      </c>
    </row>
    <row r="4" spans="2:7" x14ac:dyDescent="0.35">
      <c r="B4" t="s">
        <v>76</v>
      </c>
      <c r="C4" t="s">
        <v>77</v>
      </c>
      <c r="D4">
        <v>5</v>
      </c>
      <c r="E4">
        <v>5</v>
      </c>
    </row>
    <row r="5" spans="2:7" x14ac:dyDescent="0.35">
      <c r="B5" t="s">
        <v>78</v>
      </c>
      <c r="C5" t="s">
        <v>79</v>
      </c>
      <c r="D5">
        <v>10</v>
      </c>
      <c r="F5" t="s">
        <v>80</v>
      </c>
    </row>
    <row r="6" spans="2:7" x14ac:dyDescent="0.35">
      <c r="B6" s="74" t="s">
        <v>81</v>
      </c>
      <c r="C6" t="s">
        <v>71</v>
      </c>
      <c r="D6">
        <v>10</v>
      </c>
    </row>
    <row r="7" spans="2:7" x14ac:dyDescent="0.35">
      <c r="B7" s="74" t="s">
        <v>81</v>
      </c>
      <c r="C7" t="s">
        <v>82</v>
      </c>
      <c r="D7">
        <v>15</v>
      </c>
    </row>
    <row r="8" spans="2:7" x14ac:dyDescent="0.35">
      <c r="C8" t="s">
        <v>83</v>
      </c>
      <c r="D8">
        <v>10</v>
      </c>
    </row>
    <row r="10" spans="2:7" x14ac:dyDescent="0.35">
      <c r="B10" s="16"/>
      <c r="C10" s="16" t="s">
        <v>84</v>
      </c>
      <c r="D10" s="16">
        <f>SUM(D2:D9)</f>
        <v>70</v>
      </c>
      <c r="E10" s="16">
        <f>SUM(E2:E9)</f>
        <v>15</v>
      </c>
      <c r="F10">
        <f>D10-E10</f>
        <v>55</v>
      </c>
    </row>
    <row r="12" spans="2:7" x14ac:dyDescent="0.35">
      <c r="D12" t="s">
        <v>85</v>
      </c>
      <c r="E12" t="s">
        <v>86</v>
      </c>
      <c r="F12" t="s">
        <v>87</v>
      </c>
      <c r="G12" t="s">
        <v>88</v>
      </c>
    </row>
    <row r="13" spans="2:7" x14ac:dyDescent="0.35">
      <c r="B13" t="s">
        <v>89</v>
      </c>
      <c r="C13" t="s">
        <v>71</v>
      </c>
      <c r="D13">
        <v>10</v>
      </c>
      <c r="G13">
        <f>D13+E13-F13</f>
        <v>10</v>
      </c>
    </row>
    <row r="14" spans="2:7" x14ac:dyDescent="0.35">
      <c r="C14" t="s">
        <v>83</v>
      </c>
      <c r="D14">
        <v>10</v>
      </c>
      <c r="G14">
        <f>D14+E14-F14</f>
        <v>10</v>
      </c>
    </row>
    <row r="15" spans="2:7" x14ac:dyDescent="0.35">
      <c r="C15" t="s">
        <v>82</v>
      </c>
      <c r="D15">
        <v>15</v>
      </c>
      <c r="E15">
        <v>15</v>
      </c>
      <c r="F15">
        <v>7</v>
      </c>
      <c r="G15">
        <f>D15+E15-F15</f>
        <v>23</v>
      </c>
    </row>
    <row r="16" spans="2:7" x14ac:dyDescent="0.35">
      <c r="C16" t="s">
        <v>90</v>
      </c>
      <c r="D16">
        <v>10</v>
      </c>
      <c r="E16">
        <v>10</v>
      </c>
      <c r="F16">
        <v>10</v>
      </c>
      <c r="G16">
        <f>D16+E16-F16</f>
        <v>10</v>
      </c>
    </row>
    <row r="17" spans="2:7" x14ac:dyDescent="0.35">
      <c r="C17" t="s">
        <v>91</v>
      </c>
      <c r="E17">
        <v>10</v>
      </c>
      <c r="F17">
        <v>10</v>
      </c>
      <c r="G17">
        <f>D17+E17-F17</f>
        <v>0</v>
      </c>
    </row>
    <row r="18" spans="2:7" x14ac:dyDescent="0.35">
      <c r="C18" s="16" t="s">
        <v>92</v>
      </c>
      <c r="G18" s="16">
        <f>SUM(G13:G17)</f>
        <v>53</v>
      </c>
    </row>
    <row r="19" spans="2:7" x14ac:dyDescent="0.35">
      <c r="B19" t="s">
        <v>93</v>
      </c>
      <c r="C19" t="s">
        <v>71</v>
      </c>
      <c r="D19">
        <v>10</v>
      </c>
      <c r="G19">
        <f>D19+E19-F19</f>
        <v>10</v>
      </c>
    </row>
    <row r="20" spans="2:7" x14ac:dyDescent="0.35">
      <c r="C20" t="s">
        <v>83</v>
      </c>
      <c r="D20">
        <v>10</v>
      </c>
      <c r="E20">
        <v>23</v>
      </c>
      <c r="F20">
        <v>5</v>
      </c>
      <c r="G20">
        <f>D20+E20-F20</f>
        <v>28</v>
      </c>
    </row>
    <row r="21" spans="2:7" x14ac:dyDescent="0.35">
      <c r="C21" t="s">
        <v>82</v>
      </c>
      <c r="D21">
        <v>23</v>
      </c>
      <c r="G21">
        <f>D21+E21-F21</f>
        <v>23</v>
      </c>
    </row>
    <row r="22" spans="2:7" x14ac:dyDescent="0.35">
      <c r="C22" t="s">
        <v>90</v>
      </c>
      <c r="D22">
        <v>10</v>
      </c>
      <c r="G22">
        <f>D22+E22-F22</f>
        <v>10</v>
      </c>
    </row>
    <row r="23" spans="2:7" x14ac:dyDescent="0.35">
      <c r="C23" t="s">
        <v>91</v>
      </c>
      <c r="D23">
        <v>0</v>
      </c>
      <c r="G23">
        <f>D23+E23-F23</f>
        <v>0</v>
      </c>
    </row>
    <row r="24" spans="2:7" x14ac:dyDescent="0.35">
      <c r="C24" s="16" t="s">
        <v>92</v>
      </c>
      <c r="D24" s="16"/>
      <c r="E24" s="16"/>
      <c r="F24" s="16"/>
      <c r="G24" s="16">
        <f>SUM(G19:G23)</f>
        <v>71</v>
      </c>
    </row>
    <row r="25" spans="2:7" x14ac:dyDescent="0.35">
      <c r="C25" s="16"/>
      <c r="D25" t="s">
        <v>85</v>
      </c>
      <c r="E25" t="s">
        <v>86</v>
      </c>
      <c r="F25" t="s">
        <v>87</v>
      </c>
      <c r="G25" t="s">
        <v>88</v>
      </c>
    </row>
    <row r="26" spans="2:7" x14ac:dyDescent="0.35">
      <c r="B26" t="s">
        <v>94</v>
      </c>
      <c r="C26" t="s">
        <v>71</v>
      </c>
      <c r="D26">
        <v>10</v>
      </c>
      <c r="E26">
        <v>11</v>
      </c>
      <c r="F26">
        <v>10</v>
      </c>
      <c r="G26">
        <f t="shared" ref="G26:G32" si="0">D26+E26-F26</f>
        <v>11</v>
      </c>
    </row>
    <row r="27" spans="2:7" x14ac:dyDescent="0.35">
      <c r="C27" t="s">
        <v>83</v>
      </c>
      <c r="D27">
        <v>28</v>
      </c>
      <c r="E27">
        <v>16</v>
      </c>
      <c r="F27">
        <v>12</v>
      </c>
      <c r="G27">
        <f t="shared" si="0"/>
        <v>32</v>
      </c>
    </row>
    <row r="28" spans="2:7" x14ac:dyDescent="0.35">
      <c r="C28" t="s">
        <v>82</v>
      </c>
      <c r="D28">
        <v>23</v>
      </c>
      <c r="G28">
        <f t="shared" si="0"/>
        <v>23</v>
      </c>
    </row>
    <row r="29" spans="2:7" x14ac:dyDescent="0.35">
      <c r="C29" t="s">
        <v>90</v>
      </c>
      <c r="D29">
        <v>10</v>
      </c>
      <c r="F29">
        <v>8</v>
      </c>
      <c r="G29">
        <f t="shared" si="0"/>
        <v>2</v>
      </c>
    </row>
    <row r="30" spans="2:7" x14ac:dyDescent="0.35">
      <c r="C30" t="s">
        <v>91</v>
      </c>
      <c r="D30">
        <v>0</v>
      </c>
      <c r="G30">
        <f t="shared" si="0"/>
        <v>0</v>
      </c>
    </row>
    <row r="31" spans="2:7" x14ac:dyDescent="0.35">
      <c r="C31" t="s">
        <v>95</v>
      </c>
      <c r="E31">
        <v>11</v>
      </c>
      <c r="F31">
        <v>0</v>
      </c>
      <c r="G31">
        <f t="shared" si="0"/>
        <v>11</v>
      </c>
    </row>
    <row r="32" spans="2:7" x14ac:dyDescent="0.35">
      <c r="C32" t="s">
        <v>96</v>
      </c>
      <c r="E32">
        <v>11</v>
      </c>
      <c r="F32">
        <v>0</v>
      </c>
      <c r="G32">
        <f t="shared" si="0"/>
        <v>11</v>
      </c>
    </row>
    <row r="33" spans="2:14" x14ac:dyDescent="0.35">
      <c r="C33" s="75" t="s">
        <v>97</v>
      </c>
      <c r="D33" s="75"/>
      <c r="E33" s="75">
        <v>10</v>
      </c>
      <c r="F33" s="75">
        <v>6</v>
      </c>
      <c r="G33" s="75">
        <v>4</v>
      </c>
    </row>
    <row r="34" spans="2:14" x14ac:dyDescent="0.35">
      <c r="E34">
        <f>E35+E36</f>
        <v>6</v>
      </c>
      <c r="F34">
        <f>F35+F36</f>
        <v>4</v>
      </c>
    </row>
    <row r="35" spans="2:14" x14ac:dyDescent="0.35">
      <c r="C35" s="76" t="s">
        <v>98</v>
      </c>
      <c r="D35" s="76"/>
      <c r="E35" s="76">
        <v>4</v>
      </c>
      <c r="F35" s="77">
        <v>2</v>
      </c>
      <c r="G35" s="76">
        <f>E35-F35</f>
        <v>2</v>
      </c>
      <c r="H35" t="s">
        <v>99</v>
      </c>
    </row>
    <row r="36" spans="2:14" x14ac:dyDescent="0.35">
      <c r="C36" s="76" t="s">
        <v>82</v>
      </c>
      <c r="D36" s="76"/>
      <c r="E36" s="76">
        <v>2</v>
      </c>
      <c r="F36" s="76">
        <v>2</v>
      </c>
      <c r="G36" s="76">
        <f>E36-F36</f>
        <v>0</v>
      </c>
      <c r="H36" t="s">
        <v>100</v>
      </c>
    </row>
    <row r="37" spans="2:14" x14ac:dyDescent="0.35">
      <c r="C37" t="s">
        <v>101</v>
      </c>
      <c r="E37">
        <v>15</v>
      </c>
      <c r="G37">
        <f>D37+E37-F37</f>
        <v>15</v>
      </c>
    </row>
    <row r="38" spans="2:14" x14ac:dyDescent="0.35">
      <c r="D38" s="16">
        <f>SUM(D26:D37)</f>
        <v>71</v>
      </c>
      <c r="E38" s="16">
        <f>SUM(E26:E37)</f>
        <v>86</v>
      </c>
      <c r="F38" s="16">
        <f>SUM(F26:F37)</f>
        <v>44</v>
      </c>
      <c r="G38" s="16">
        <f>SUM(G26:G37)</f>
        <v>111</v>
      </c>
    </row>
    <row r="39" spans="2:14" x14ac:dyDescent="0.35">
      <c r="D39" s="16"/>
      <c r="E39" s="16"/>
      <c r="F39" s="16"/>
      <c r="G39" s="16"/>
    </row>
    <row r="40" spans="2:14" x14ac:dyDescent="0.35">
      <c r="B40" t="s">
        <v>102</v>
      </c>
      <c r="C40" t="s">
        <v>71</v>
      </c>
      <c r="D40">
        <v>11</v>
      </c>
      <c r="E40">
        <v>11</v>
      </c>
      <c r="F40">
        <v>6</v>
      </c>
      <c r="G40">
        <f t="shared" ref="G40:G55" si="1">D40+E40-F40</f>
        <v>16</v>
      </c>
    </row>
    <row r="41" spans="2:14" x14ac:dyDescent="0.35">
      <c r="C41" t="s">
        <v>83</v>
      </c>
      <c r="D41">
        <v>32</v>
      </c>
      <c r="G41">
        <f t="shared" si="1"/>
        <v>32</v>
      </c>
    </row>
    <row r="42" spans="2:14" x14ac:dyDescent="0.35">
      <c r="C42" t="s">
        <v>82</v>
      </c>
      <c r="D42">
        <v>23</v>
      </c>
      <c r="F42">
        <v>9</v>
      </c>
      <c r="G42" s="75">
        <f t="shared" si="1"/>
        <v>14</v>
      </c>
    </row>
    <row r="43" spans="2:14" x14ac:dyDescent="0.35">
      <c r="C43" t="s">
        <v>90</v>
      </c>
      <c r="D43">
        <v>2</v>
      </c>
      <c r="G43">
        <f t="shared" si="1"/>
        <v>2</v>
      </c>
    </row>
    <row r="44" spans="2:14" x14ac:dyDescent="0.35">
      <c r="C44" t="s">
        <v>91</v>
      </c>
      <c r="D44">
        <v>0</v>
      </c>
      <c r="G44">
        <f t="shared" si="1"/>
        <v>0</v>
      </c>
    </row>
    <row r="45" spans="2:14" x14ac:dyDescent="0.35">
      <c r="C45" s="78" t="s">
        <v>95</v>
      </c>
      <c r="D45" s="78">
        <v>11</v>
      </c>
      <c r="E45" s="78">
        <v>11</v>
      </c>
      <c r="F45" s="78">
        <v>6</v>
      </c>
      <c r="G45" s="78">
        <f t="shared" si="1"/>
        <v>16</v>
      </c>
    </row>
    <row r="46" spans="2:14" x14ac:dyDescent="0.35">
      <c r="C46" t="s">
        <v>96</v>
      </c>
      <c r="D46">
        <v>11</v>
      </c>
      <c r="G46">
        <f t="shared" si="1"/>
        <v>11</v>
      </c>
    </row>
    <row r="47" spans="2:14" x14ac:dyDescent="0.35">
      <c r="C47" t="s">
        <v>97</v>
      </c>
      <c r="D47">
        <v>4</v>
      </c>
      <c r="E47">
        <f>15+10</f>
        <v>25</v>
      </c>
      <c r="F47">
        <f>4+15</f>
        <v>19</v>
      </c>
      <c r="G47">
        <f t="shared" si="1"/>
        <v>10</v>
      </c>
      <c r="H47" t="s">
        <v>103</v>
      </c>
      <c r="M47">
        <f>8+4</f>
        <v>12</v>
      </c>
      <c r="N47" t="s">
        <v>104</v>
      </c>
    </row>
    <row r="48" spans="2:14" x14ac:dyDescent="0.35">
      <c r="C48" s="76" t="s">
        <v>105</v>
      </c>
      <c r="D48" s="76"/>
      <c r="E48" s="79">
        <v>2</v>
      </c>
      <c r="F48" s="80">
        <v>2</v>
      </c>
      <c r="G48" s="76">
        <f t="shared" si="1"/>
        <v>0</v>
      </c>
      <c r="H48" t="s">
        <v>106</v>
      </c>
      <c r="M48">
        <v>1</v>
      </c>
      <c r="N48" t="s">
        <v>107</v>
      </c>
    </row>
    <row r="49" spans="2:17" x14ac:dyDescent="0.35">
      <c r="C49" s="76" t="s">
        <v>108</v>
      </c>
      <c r="D49" s="76"/>
      <c r="E49" s="79">
        <v>5</v>
      </c>
      <c r="F49" s="81">
        <v>5</v>
      </c>
      <c r="G49" s="76">
        <f t="shared" si="1"/>
        <v>0</v>
      </c>
    </row>
    <row r="50" spans="2:17" x14ac:dyDescent="0.35">
      <c r="C50" s="76" t="s">
        <v>109</v>
      </c>
      <c r="D50" s="76"/>
      <c r="E50" s="76">
        <v>2</v>
      </c>
      <c r="F50" s="81">
        <v>2</v>
      </c>
      <c r="G50" s="76">
        <f t="shared" si="1"/>
        <v>0</v>
      </c>
    </row>
    <row r="51" spans="2:17" x14ac:dyDescent="0.35">
      <c r="C51" s="76" t="s">
        <v>98</v>
      </c>
      <c r="D51" s="76">
        <v>2</v>
      </c>
      <c r="E51" s="76">
        <v>2</v>
      </c>
      <c r="F51" s="81">
        <v>2</v>
      </c>
      <c r="G51" s="80">
        <f t="shared" si="1"/>
        <v>2</v>
      </c>
    </row>
    <row r="52" spans="2:17" x14ac:dyDescent="0.35">
      <c r="C52" s="76" t="s">
        <v>110</v>
      </c>
      <c r="D52" s="76"/>
      <c r="E52" s="79">
        <v>4</v>
      </c>
      <c r="F52" s="77">
        <v>1</v>
      </c>
      <c r="G52" s="80">
        <f t="shared" si="1"/>
        <v>3</v>
      </c>
      <c r="N52" s="78" t="s">
        <v>111</v>
      </c>
      <c r="O52" t="s">
        <v>112</v>
      </c>
      <c r="Q52">
        <v>10</v>
      </c>
    </row>
    <row r="53" spans="2:17" x14ac:dyDescent="0.35">
      <c r="C53" t="s">
        <v>113</v>
      </c>
      <c r="E53" s="79">
        <v>3</v>
      </c>
      <c r="F53" s="81">
        <v>3</v>
      </c>
      <c r="G53">
        <f t="shared" si="1"/>
        <v>0</v>
      </c>
      <c r="N53" s="78" t="s">
        <v>114</v>
      </c>
      <c r="O53" t="s">
        <v>112</v>
      </c>
      <c r="Q53">
        <v>5</v>
      </c>
    </row>
    <row r="54" spans="2:17" x14ac:dyDescent="0.35">
      <c r="C54" t="s">
        <v>115</v>
      </c>
      <c r="E54" s="79">
        <v>3</v>
      </c>
      <c r="F54" s="81">
        <v>0</v>
      </c>
      <c r="G54">
        <f t="shared" si="1"/>
        <v>3</v>
      </c>
      <c r="N54" s="78"/>
    </row>
    <row r="55" spans="2:17" x14ac:dyDescent="0.35">
      <c r="C55" s="76" t="s">
        <v>116</v>
      </c>
      <c r="E55" s="79">
        <v>1</v>
      </c>
      <c r="F55" s="81">
        <v>0</v>
      </c>
      <c r="G55">
        <f t="shared" si="1"/>
        <v>1</v>
      </c>
      <c r="N55" s="78"/>
    </row>
    <row r="56" spans="2:17" x14ac:dyDescent="0.35">
      <c r="C56" s="76"/>
      <c r="E56" s="79"/>
      <c r="F56" s="81"/>
      <c r="N56" s="78"/>
    </row>
    <row r="57" spans="2:17" x14ac:dyDescent="0.35">
      <c r="C57" s="82" t="s">
        <v>117</v>
      </c>
      <c r="E57" s="76">
        <v>5</v>
      </c>
      <c r="F57" s="81">
        <v>0</v>
      </c>
      <c r="G57">
        <f>D57+E57-F57</f>
        <v>5</v>
      </c>
      <c r="N57" s="78" t="s">
        <v>118</v>
      </c>
      <c r="O57" t="s">
        <v>48</v>
      </c>
      <c r="Q57">
        <v>2</v>
      </c>
    </row>
    <row r="58" spans="2:17" x14ac:dyDescent="0.35">
      <c r="C58" s="82" t="s">
        <v>119</v>
      </c>
      <c r="E58" s="76">
        <v>2</v>
      </c>
      <c r="F58" s="81">
        <v>0</v>
      </c>
      <c r="G58">
        <f>D58+E58-F58</f>
        <v>2</v>
      </c>
      <c r="N58" t="s">
        <v>115</v>
      </c>
      <c r="O58" t="s">
        <v>120</v>
      </c>
      <c r="Q58">
        <v>3</v>
      </c>
    </row>
    <row r="59" spans="2:17" x14ac:dyDescent="0.35">
      <c r="C59" s="76" t="s">
        <v>121</v>
      </c>
      <c r="E59" s="76">
        <f>8+4</f>
        <v>12</v>
      </c>
      <c r="F59" s="81"/>
      <c r="G59">
        <f>D59+E59-F59</f>
        <v>12</v>
      </c>
      <c r="N59" t="s">
        <v>116</v>
      </c>
      <c r="O59" t="s">
        <v>120</v>
      </c>
      <c r="Q59">
        <v>1</v>
      </c>
    </row>
    <row r="60" spans="2:17" x14ac:dyDescent="0.35">
      <c r="C60" t="s">
        <v>101</v>
      </c>
      <c r="D60">
        <v>15</v>
      </c>
      <c r="G60">
        <f>D60+E60-F60</f>
        <v>15</v>
      </c>
      <c r="N60" t="s">
        <v>122</v>
      </c>
      <c r="O60" t="s">
        <v>120</v>
      </c>
      <c r="Q60">
        <v>3</v>
      </c>
    </row>
    <row r="61" spans="2:17" x14ac:dyDescent="0.35">
      <c r="N61" t="s">
        <v>123</v>
      </c>
      <c r="O61" t="s">
        <v>124</v>
      </c>
      <c r="Q61">
        <v>2</v>
      </c>
    </row>
    <row r="62" spans="2:17" x14ac:dyDescent="0.35">
      <c r="N62" t="s">
        <v>66</v>
      </c>
      <c r="O62" t="s">
        <v>77</v>
      </c>
      <c r="P62">
        <v>2</v>
      </c>
      <c r="Q62">
        <v>2</v>
      </c>
    </row>
    <row r="63" spans="2:17" x14ac:dyDescent="0.35">
      <c r="B63" s="16"/>
      <c r="C63" s="16" t="s">
        <v>84</v>
      </c>
      <c r="D63" s="16">
        <f>SUM(D40:D60)</f>
        <v>111</v>
      </c>
      <c r="E63" s="16">
        <f>SUM(E40:E60)</f>
        <v>88</v>
      </c>
      <c r="F63" s="16">
        <f>SUM(F40:F60)</f>
        <v>55</v>
      </c>
      <c r="G63" s="16">
        <f>SUM(G40:G60)</f>
        <v>144</v>
      </c>
      <c r="H63" s="16"/>
      <c r="N63" t="s">
        <v>125</v>
      </c>
      <c r="O63" t="s">
        <v>77</v>
      </c>
      <c r="Q63">
        <v>6</v>
      </c>
    </row>
    <row r="64" spans="2:17" x14ac:dyDescent="0.35">
      <c r="N64" t="s">
        <v>126</v>
      </c>
      <c r="O64" t="s">
        <v>127</v>
      </c>
      <c r="Q64">
        <v>2</v>
      </c>
    </row>
    <row r="65" spans="3:17" x14ac:dyDescent="0.35">
      <c r="N65" t="s">
        <v>128</v>
      </c>
      <c r="O65" t="s">
        <v>129</v>
      </c>
      <c r="Q65">
        <v>10</v>
      </c>
    </row>
    <row r="66" spans="3:17" x14ac:dyDescent="0.35">
      <c r="C66" t="s">
        <v>130</v>
      </c>
      <c r="E66">
        <v>15</v>
      </c>
    </row>
    <row r="67" spans="3:17" x14ac:dyDescent="0.35">
      <c r="C67" t="s">
        <v>131</v>
      </c>
      <c r="E67">
        <v>10</v>
      </c>
    </row>
    <row r="68" spans="3:17" x14ac:dyDescent="0.35">
      <c r="C68" t="s">
        <v>132</v>
      </c>
      <c r="E68">
        <v>7</v>
      </c>
    </row>
    <row r="69" spans="3:17" x14ac:dyDescent="0.35">
      <c r="E69">
        <f>SUM(E66:E68)</f>
        <v>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03"/>
  <sheetViews>
    <sheetView zoomScaleNormal="100" workbookViewId="0">
      <selection activeCell="Q9" sqref="Q9"/>
    </sheetView>
  </sheetViews>
  <sheetFormatPr defaultColWidth="8.54296875" defaultRowHeight="18" x14ac:dyDescent="0.35"/>
  <cols>
    <col min="2" max="2" width="15.54296875" style="27" customWidth="1"/>
    <col min="3" max="3" width="10.36328125" customWidth="1"/>
    <col min="4" max="4" width="6.453125" customWidth="1"/>
    <col min="5" max="5" width="6.36328125" customWidth="1"/>
    <col min="6" max="6" width="6.6328125" customWidth="1"/>
    <col min="7" max="7" width="5.36328125" customWidth="1"/>
    <col min="8" max="8" width="6.90625" customWidth="1"/>
    <col min="9" max="9" width="6.81640625" customWidth="1"/>
    <col min="10" max="10" width="6.6328125" customWidth="1"/>
    <col min="11" max="11" width="5.08984375" customWidth="1"/>
    <col min="12" max="12" width="6.453125" customWidth="1"/>
    <col min="13" max="13" width="5.08984375" customWidth="1"/>
    <col min="14" max="14" width="5.90625" customWidth="1"/>
    <col min="15" max="16" width="29.08984375" customWidth="1"/>
    <col min="17" max="17" width="21.81640625" customWidth="1"/>
    <col min="19" max="19" width="6.453125" customWidth="1"/>
    <col min="20" max="20" width="10.08984375" customWidth="1"/>
    <col min="21" max="21" width="7.54296875" customWidth="1"/>
    <col min="22" max="22" width="6.54296875" customWidth="1"/>
    <col min="23" max="24" width="6.6328125" customWidth="1"/>
    <col min="25" max="25" width="6.453125" customWidth="1"/>
    <col min="26" max="26" width="5.81640625" customWidth="1"/>
    <col min="27" max="27" width="6.6328125" customWidth="1"/>
    <col min="28" max="28" width="6.08984375" customWidth="1"/>
    <col min="29" max="29" width="6.36328125" customWidth="1"/>
    <col min="30" max="30" width="15" customWidth="1"/>
    <col min="31" max="31" width="15.1796875" customWidth="1"/>
    <col min="32" max="32" width="18.453125" customWidth="1"/>
  </cols>
  <sheetData>
    <row r="1" spans="2:32" x14ac:dyDescent="0.35">
      <c r="B1" s="27" t="s">
        <v>27</v>
      </c>
    </row>
    <row r="2" spans="2:32" ht="18.75" customHeight="1" x14ac:dyDescent="0.35">
      <c r="B2" s="28"/>
      <c r="C2" s="149" t="s">
        <v>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"/>
      <c r="P2" s="154" t="s">
        <v>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 t="s">
        <v>29</v>
      </c>
      <c r="AE2" s="155" t="s">
        <v>30</v>
      </c>
      <c r="AF2" s="153" t="s">
        <v>31</v>
      </c>
    </row>
    <row r="3" spans="2:32" ht="78" x14ac:dyDescent="0.35">
      <c r="B3" s="32"/>
      <c r="C3" s="67" t="s">
        <v>2</v>
      </c>
      <c r="D3" s="67" t="s">
        <v>53</v>
      </c>
      <c r="E3" s="67" t="s">
        <v>54</v>
      </c>
      <c r="F3" s="67" t="s">
        <v>55</v>
      </c>
      <c r="G3" s="67" t="s">
        <v>6</v>
      </c>
      <c r="H3" s="67" t="s">
        <v>56</v>
      </c>
      <c r="I3" s="67" t="s">
        <v>8</v>
      </c>
      <c r="J3" s="67" t="s">
        <v>57</v>
      </c>
      <c r="K3" s="67" t="s">
        <v>10</v>
      </c>
      <c r="L3" s="67" t="s">
        <v>58</v>
      </c>
      <c r="M3" s="67" t="s">
        <v>12</v>
      </c>
      <c r="N3" s="67" t="s">
        <v>59</v>
      </c>
      <c r="O3" s="67"/>
      <c r="P3" s="6" t="s">
        <v>60</v>
      </c>
      <c r="Q3" s="6" t="s">
        <v>14</v>
      </c>
      <c r="R3" s="5" t="s">
        <v>2</v>
      </c>
      <c r="S3" s="67" t="s">
        <v>53</v>
      </c>
      <c r="T3" s="67" t="s">
        <v>54</v>
      </c>
      <c r="U3" s="67" t="s">
        <v>55</v>
      </c>
      <c r="V3" s="67" t="s">
        <v>6</v>
      </c>
      <c r="W3" s="67" t="s">
        <v>56</v>
      </c>
      <c r="X3" s="67" t="s">
        <v>8</v>
      </c>
      <c r="Y3" s="67" t="s">
        <v>57</v>
      </c>
      <c r="Z3" s="67" t="s">
        <v>10</v>
      </c>
      <c r="AA3" s="67" t="s">
        <v>58</v>
      </c>
      <c r="AB3" s="67" t="s">
        <v>12</v>
      </c>
      <c r="AC3" s="67" t="s">
        <v>59</v>
      </c>
      <c r="AD3" s="155"/>
      <c r="AE3" s="155"/>
      <c r="AF3" s="153"/>
    </row>
    <row r="4" spans="2:32" x14ac:dyDescent="0.35">
      <c r="B4" s="35" t="s">
        <v>15</v>
      </c>
      <c r="C4" s="68">
        <v>5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F4" s="24"/>
    </row>
    <row r="5" spans="2:32" ht="24.75" customHeight="1" x14ac:dyDescent="0.35">
      <c r="B5" s="35"/>
      <c r="C5" s="24"/>
      <c r="D5" s="24"/>
      <c r="E5" s="24"/>
      <c r="F5" s="146"/>
      <c r="G5" s="24"/>
      <c r="H5" s="24"/>
      <c r="I5" s="24"/>
      <c r="J5" s="24"/>
      <c r="K5" s="24"/>
      <c r="L5" s="24"/>
      <c r="M5" s="24"/>
      <c r="N5" s="24"/>
      <c r="O5" s="24" t="s">
        <v>721</v>
      </c>
      <c r="P5" s="56"/>
      <c r="Q5" s="56"/>
      <c r="R5" s="41">
        <v>5</v>
      </c>
      <c r="S5" s="41"/>
      <c r="T5" s="156"/>
      <c r="U5" s="41"/>
      <c r="V5" s="41"/>
      <c r="W5" s="24"/>
      <c r="X5" s="24"/>
      <c r="Y5" s="24"/>
      <c r="Z5" s="24"/>
      <c r="AA5" s="24"/>
      <c r="AB5" s="24"/>
      <c r="AC5" s="24"/>
      <c r="AF5" s="24" t="s">
        <v>63</v>
      </c>
    </row>
    <row r="6" spans="2:32" ht="24.75" customHeight="1" x14ac:dyDescent="0.35">
      <c r="B6" s="35"/>
      <c r="C6" s="24"/>
      <c r="D6" s="24"/>
      <c r="E6" s="24"/>
      <c r="F6" s="146"/>
      <c r="G6" s="24"/>
      <c r="H6" s="24"/>
      <c r="I6" s="24"/>
      <c r="J6" s="24"/>
      <c r="K6" s="24"/>
      <c r="L6" s="24"/>
      <c r="M6" s="24"/>
      <c r="N6" s="24"/>
      <c r="O6" s="24"/>
      <c r="P6" s="41"/>
      <c r="Q6" s="56"/>
      <c r="R6" s="41"/>
      <c r="S6" s="41"/>
      <c r="T6" s="156"/>
      <c r="U6" s="41"/>
      <c r="V6" s="41"/>
      <c r="W6" s="24"/>
      <c r="X6" s="24"/>
      <c r="Y6" s="24"/>
      <c r="Z6" s="24"/>
      <c r="AA6" s="24"/>
      <c r="AB6" s="24"/>
      <c r="AC6" s="24"/>
      <c r="AF6" s="24" t="s">
        <v>43</v>
      </c>
    </row>
    <row r="7" spans="2:32" ht="24.75" customHeight="1" x14ac:dyDescent="0.35">
      <c r="B7" s="35"/>
      <c r="C7" s="24"/>
      <c r="D7" s="24"/>
      <c r="E7" s="24"/>
      <c r="F7" s="146"/>
      <c r="G7" s="24"/>
      <c r="H7" s="24"/>
      <c r="I7" s="24"/>
      <c r="J7" s="24"/>
      <c r="K7" s="24"/>
      <c r="L7" s="24"/>
      <c r="M7" s="24"/>
      <c r="N7" s="24"/>
      <c r="O7" s="24"/>
      <c r="P7" s="41"/>
      <c r="Q7" s="56"/>
      <c r="R7" s="41"/>
      <c r="S7" s="41"/>
      <c r="T7" s="156"/>
      <c r="U7" s="41"/>
      <c r="V7" s="41"/>
      <c r="W7" s="24"/>
      <c r="X7" s="24"/>
      <c r="Y7" s="24"/>
      <c r="Z7" s="24"/>
      <c r="AA7" s="24"/>
      <c r="AB7" s="24"/>
      <c r="AC7" s="24"/>
      <c r="AF7" s="24" t="s">
        <v>43</v>
      </c>
    </row>
    <row r="8" spans="2:32" ht="24.75" customHeight="1" x14ac:dyDescent="0.35">
      <c r="B8" s="35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41"/>
      <c r="Q8" s="56"/>
      <c r="R8" s="41"/>
      <c r="S8" s="41"/>
      <c r="T8" s="156"/>
      <c r="U8" s="41"/>
      <c r="V8" s="41"/>
      <c r="W8" s="24"/>
      <c r="X8" s="24"/>
      <c r="Y8" s="24"/>
      <c r="Z8" s="24"/>
      <c r="AA8" s="24"/>
      <c r="AB8" s="24"/>
      <c r="AC8" s="24"/>
      <c r="AF8" s="24" t="s">
        <v>66</v>
      </c>
    </row>
    <row r="9" spans="2:32" ht="24.75" customHeight="1" x14ac:dyDescent="0.35">
      <c r="B9" s="35"/>
      <c r="C9" s="24"/>
      <c r="D9" s="146"/>
      <c r="E9" s="146"/>
      <c r="F9" s="24"/>
      <c r="G9" s="24"/>
      <c r="H9" s="24"/>
      <c r="I9" s="24"/>
      <c r="J9" s="24"/>
      <c r="K9" s="24"/>
      <c r="L9" s="24"/>
      <c r="M9" s="24"/>
      <c r="N9" s="24"/>
      <c r="O9" s="24"/>
      <c r="P9" s="41"/>
      <c r="Q9" s="56"/>
      <c r="R9" s="41"/>
      <c r="S9" s="41"/>
      <c r="T9" s="156"/>
      <c r="U9" s="41"/>
      <c r="V9" s="41"/>
      <c r="W9" s="24"/>
      <c r="X9" s="24"/>
      <c r="Y9" s="24"/>
      <c r="Z9" s="24"/>
      <c r="AA9" s="24"/>
      <c r="AB9" s="24"/>
      <c r="AC9" s="24"/>
      <c r="AF9" s="24"/>
    </row>
    <row r="10" spans="2:32" ht="24.75" customHeight="1" x14ac:dyDescent="0.35">
      <c r="B10" s="35"/>
      <c r="C10" s="24"/>
      <c r="D10" s="146"/>
      <c r="E10" s="146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41"/>
      <c r="Q10" s="56"/>
      <c r="R10" s="41"/>
      <c r="S10" s="41"/>
      <c r="T10" s="156"/>
      <c r="U10" s="41"/>
      <c r="V10" s="41"/>
      <c r="W10" s="24"/>
      <c r="X10" s="24"/>
      <c r="Y10" s="24"/>
      <c r="Z10" s="24"/>
      <c r="AA10" s="24"/>
      <c r="AB10" s="24"/>
      <c r="AC10" s="24"/>
      <c r="AF10" s="24" t="s">
        <v>43</v>
      </c>
    </row>
    <row r="11" spans="2:32" ht="24.75" customHeight="1" x14ac:dyDescent="0.35">
      <c r="B11" s="35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41"/>
      <c r="Q11" s="56"/>
      <c r="R11" s="41"/>
      <c r="S11" s="41"/>
      <c r="T11" s="156"/>
      <c r="U11" s="41"/>
      <c r="V11" s="41"/>
      <c r="W11" s="24"/>
      <c r="X11" s="24"/>
      <c r="Y11" s="24"/>
      <c r="Z11" s="24"/>
      <c r="AA11" s="24"/>
      <c r="AB11" s="24"/>
      <c r="AC11" s="24"/>
    </row>
    <row r="12" spans="2:32" ht="24.75" customHeight="1" x14ac:dyDescent="0.35">
      <c r="B12" s="35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41"/>
      <c r="Q12" s="56"/>
      <c r="R12" s="41"/>
      <c r="S12" s="41"/>
      <c r="T12" s="156"/>
      <c r="U12" s="41"/>
      <c r="V12" s="41"/>
      <c r="W12" s="24"/>
      <c r="X12" s="24"/>
      <c r="Y12" s="24"/>
      <c r="Z12" s="24"/>
      <c r="AA12" s="24"/>
      <c r="AB12" s="24"/>
      <c r="AC12" s="24"/>
    </row>
    <row r="13" spans="2:32" ht="24.75" customHeight="1" x14ac:dyDescent="0.35">
      <c r="B13" s="3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41"/>
      <c r="Q13" s="56"/>
      <c r="R13" s="41"/>
      <c r="S13" s="41"/>
      <c r="T13" s="156"/>
      <c r="U13" s="41"/>
      <c r="V13" s="41"/>
      <c r="W13" s="24"/>
      <c r="X13" s="24"/>
      <c r="Y13" s="24"/>
      <c r="Z13" s="24"/>
      <c r="AA13" s="24"/>
      <c r="AB13" s="24"/>
      <c r="AC13" s="24"/>
    </row>
    <row r="14" spans="2:32" ht="24.75" customHeight="1" x14ac:dyDescent="0.35">
      <c r="B14" s="35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41"/>
      <c r="Q14" s="56"/>
      <c r="R14" s="41"/>
      <c r="S14" s="41"/>
      <c r="T14" s="156"/>
      <c r="U14" s="41"/>
      <c r="V14" s="41"/>
      <c r="W14" s="24"/>
      <c r="X14" s="24"/>
      <c r="Y14" s="24"/>
      <c r="Z14" s="24"/>
      <c r="AA14" s="24"/>
      <c r="AB14" s="24"/>
      <c r="AC14" s="24"/>
    </row>
    <row r="15" spans="2:32" ht="24.75" customHeight="1" x14ac:dyDescent="0.35">
      <c r="B15" s="35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41"/>
      <c r="Q15" s="56"/>
      <c r="R15" s="41"/>
      <c r="S15" s="41"/>
      <c r="T15" s="156"/>
      <c r="U15" s="41"/>
      <c r="V15" s="41"/>
      <c r="W15" s="24"/>
      <c r="X15" s="24"/>
      <c r="Y15" s="24"/>
      <c r="Z15" s="24"/>
      <c r="AA15" s="24"/>
      <c r="AB15" s="24"/>
      <c r="AC15" s="24"/>
    </row>
    <row r="16" spans="2:32" ht="24.75" customHeight="1" x14ac:dyDescent="0.35">
      <c r="B16" s="35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41"/>
      <c r="Q16" s="56"/>
      <c r="R16" s="41"/>
      <c r="S16" s="41"/>
      <c r="T16" s="156"/>
      <c r="U16" s="41"/>
      <c r="V16" s="41"/>
      <c r="W16" s="24"/>
      <c r="X16" s="24"/>
      <c r="Y16" s="24"/>
      <c r="Z16" s="24"/>
      <c r="AA16" s="24"/>
      <c r="AB16" s="24"/>
      <c r="AC16" s="24"/>
    </row>
    <row r="17" spans="2:29" ht="24.75" customHeight="1" x14ac:dyDescent="0.35">
      <c r="B17" s="3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41"/>
      <c r="Q17" s="56"/>
      <c r="R17" s="41"/>
      <c r="S17" s="41"/>
      <c r="T17" s="156"/>
      <c r="U17" s="41"/>
      <c r="V17" s="41"/>
      <c r="W17" s="24"/>
      <c r="X17" s="24"/>
      <c r="Y17" s="24"/>
      <c r="Z17" s="24"/>
      <c r="AA17" s="24"/>
      <c r="AB17" s="24"/>
      <c r="AC17" s="24"/>
    </row>
    <row r="18" spans="2:29" ht="24.75" customHeight="1" x14ac:dyDescent="0.35">
      <c r="B18" s="3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41"/>
      <c r="Q18" s="56"/>
      <c r="R18" s="41"/>
      <c r="S18" s="41"/>
      <c r="T18" s="83"/>
      <c r="U18" s="41"/>
      <c r="V18" s="41"/>
      <c r="W18" s="24"/>
      <c r="X18" s="24"/>
      <c r="Y18" s="24"/>
      <c r="Z18" s="24"/>
      <c r="AA18" s="24"/>
      <c r="AB18" s="24"/>
      <c r="AC18" s="24"/>
    </row>
    <row r="19" spans="2:29" ht="24.75" customHeight="1" x14ac:dyDescent="0.35">
      <c r="B19" s="35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6"/>
      <c r="Q19" s="56"/>
      <c r="R19" s="41"/>
      <c r="S19" s="41"/>
      <c r="T19" s="83"/>
      <c r="U19" s="41"/>
      <c r="V19" s="41"/>
      <c r="W19" s="24"/>
      <c r="X19" s="24"/>
      <c r="Y19" s="24"/>
      <c r="Z19" s="24"/>
      <c r="AA19" s="24"/>
      <c r="AB19" s="24"/>
      <c r="AC19" s="24"/>
    </row>
    <row r="20" spans="2:29" ht="24.75" customHeight="1" x14ac:dyDescent="0.35">
      <c r="B20" s="35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41"/>
      <c r="Q20" s="56"/>
      <c r="R20" s="41"/>
      <c r="S20" s="41"/>
      <c r="T20" s="156"/>
      <c r="U20" s="41"/>
      <c r="V20" s="41"/>
      <c r="W20" s="24"/>
      <c r="X20" s="24"/>
      <c r="Y20" s="24"/>
      <c r="Z20" s="24"/>
      <c r="AA20" s="24"/>
      <c r="AB20" s="24"/>
      <c r="AC20" s="24"/>
    </row>
    <row r="21" spans="2:29" ht="24.75" customHeight="1" x14ac:dyDescent="0.35">
      <c r="B21" s="3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41"/>
      <c r="Q21" s="56"/>
      <c r="R21" s="41"/>
      <c r="S21" s="41"/>
      <c r="T21" s="156"/>
      <c r="U21" s="41"/>
      <c r="V21" s="41"/>
      <c r="W21" s="24"/>
      <c r="X21" s="24"/>
      <c r="Y21" s="24"/>
      <c r="Z21" s="24"/>
      <c r="AA21" s="24"/>
      <c r="AB21" s="24"/>
      <c r="AC21" s="24"/>
    </row>
    <row r="22" spans="2:29" ht="24.75" customHeight="1" x14ac:dyDescent="0.35">
      <c r="B22" s="3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41"/>
      <c r="Q22" s="56"/>
      <c r="R22" s="41"/>
      <c r="S22" s="41"/>
      <c r="T22" s="156"/>
      <c r="U22" s="41"/>
      <c r="V22" s="41"/>
      <c r="W22" s="24"/>
      <c r="X22" s="24"/>
      <c r="Y22" s="24"/>
      <c r="Z22" s="24"/>
      <c r="AA22" s="24"/>
      <c r="AB22" s="24"/>
      <c r="AC22" s="24"/>
    </row>
    <row r="23" spans="2:29" ht="39.75" customHeight="1" x14ac:dyDescent="0.35">
      <c r="B23" s="35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41"/>
      <c r="Q23" s="84"/>
      <c r="R23" s="41"/>
      <c r="S23" s="41"/>
      <c r="T23" s="156"/>
      <c r="U23" s="41"/>
      <c r="V23" s="41"/>
      <c r="W23" s="24"/>
      <c r="X23" s="24"/>
      <c r="Y23" s="24"/>
      <c r="Z23" s="24"/>
      <c r="AA23" s="24"/>
      <c r="AB23" s="24"/>
      <c r="AC23" s="24"/>
    </row>
    <row r="24" spans="2:29" ht="24.75" customHeight="1" x14ac:dyDescent="0.35">
      <c r="B24" s="35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41"/>
      <c r="Q24" s="56"/>
      <c r="R24" s="41"/>
      <c r="S24" s="41"/>
      <c r="T24" s="156"/>
      <c r="U24" s="41"/>
      <c r="V24" s="41"/>
      <c r="W24" s="24"/>
      <c r="X24" s="24"/>
      <c r="Y24" s="24"/>
      <c r="Z24" s="24"/>
      <c r="AA24" s="24"/>
      <c r="AB24" s="24"/>
      <c r="AC24" s="24"/>
    </row>
    <row r="25" spans="2:29" ht="24.75" customHeight="1" x14ac:dyDescent="0.35">
      <c r="B25" s="35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41"/>
      <c r="Q25" s="56"/>
      <c r="R25" s="41"/>
      <c r="S25" s="41"/>
      <c r="T25" s="156"/>
      <c r="U25" s="41"/>
      <c r="V25" s="41"/>
      <c r="W25" s="24"/>
      <c r="X25" s="24"/>
      <c r="Y25" s="24"/>
      <c r="Z25" s="24"/>
      <c r="AA25" s="24"/>
      <c r="AB25" s="24"/>
      <c r="AC25" s="24"/>
    </row>
    <row r="26" spans="2:29" ht="24.75" customHeight="1" x14ac:dyDescent="0.35">
      <c r="B26" s="35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41"/>
      <c r="Q26" s="56"/>
      <c r="R26" s="41"/>
      <c r="S26" s="41"/>
      <c r="T26" s="156"/>
      <c r="U26" s="41"/>
      <c r="V26" s="41"/>
      <c r="W26" s="24"/>
      <c r="X26" s="24"/>
      <c r="Y26" s="24"/>
      <c r="Z26" s="24"/>
      <c r="AA26" s="24"/>
      <c r="AB26" s="24"/>
      <c r="AC26" s="24"/>
    </row>
    <row r="27" spans="2:29" ht="24.75" customHeight="1" x14ac:dyDescent="0.35">
      <c r="B27" s="35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56"/>
      <c r="Q27" s="56"/>
      <c r="R27" s="41"/>
      <c r="S27" s="41"/>
      <c r="T27" s="156"/>
      <c r="U27" s="41"/>
      <c r="V27" s="41"/>
      <c r="W27" s="24"/>
      <c r="X27" s="24"/>
      <c r="Y27" s="24"/>
      <c r="Z27" s="24"/>
      <c r="AA27" s="24"/>
      <c r="AB27" s="24"/>
      <c r="AC27" s="24"/>
    </row>
    <row r="28" spans="2:29" ht="24.75" customHeight="1" x14ac:dyDescent="0.35">
      <c r="B28" s="35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41"/>
      <c r="Q28" s="56"/>
      <c r="R28" s="41"/>
      <c r="S28" s="41"/>
      <c r="T28" s="156"/>
      <c r="U28" s="41"/>
      <c r="V28" s="41"/>
      <c r="W28" s="24"/>
      <c r="X28" s="24"/>
      <c r="Y28" s="24"/>
      <c r="Z28" s="24"/>
      <c r="AA28" s="24"/>
      <c r="AB28" s="24"/>
      <c r="AC28" s="24"/>
    </row>
    <row r="29" spans="2:29" ht="24.75" customHeight="1" x14ac:dyDescent="0.35">
      <c r="B29" s="3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41"/>
      <c r="Q29" s="56"/>
      <c r="R29" s="41"/>
      <c r="S29" s="41"/>
      <c r="T29" s="41"/>
      <c r="U29" s="41"/>
      <c r="V29" s="41"/>
      <c r="W29" s="24"/>
      <c r="X29" s="24"/>
      <c r="Y29" s="24"/>
      <c r="Z29" s="24"/>
      <c r="AA29" s="24"/>
      <c r="AB29" s="24"/>
      <c r="AC29" s="24"/>
    </row>
    <row r="30" spans="2:29" ht="24.75" customHeight="1" x14ac:dyDescent="0.35">
      <c r="B30" s="3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41"/>
      <c r="Q30" s="56"/>
      <c r="R30" s="41"/>
      <c r="S30" s="41"/>
      <c r="T30" s="41"/>
      <c r="U30" s="41"/>
      <c r="V30" s="41"/>
      <c r="W30" s="24"/>
      <c r="X30" s="24"/>
      <c r="Y30" s="24"/>
      <c r="Z30" s="24"/>
      <c r="AA30" s="24"/>
      <c r="AB30" s="24"/>
      <c r="AC30" s="24"/>
    </row>
    <row r="31" spans="2:29" ht="24.75" customHeight="1" x14ac:dyDescent="0.35">
      <c r="B31" s="35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41"/>
      <c r="Q31" s="56"/>
      <c r="R31" s="41"/>
      <c r="S31" s="41"/>
      <c r="T31" s="41"/>
      <c r="U31" s="41"/>
      <c r="V31" s="41"/>
      <c r="W31" s="24"/>
      <c r="X31" s="24"/>
      <c r="Y31" s="24"/>
      <c r="Z31" s="24"/>
      <c r="AA31" s="24"/>
      <c r="AB31" s="24"/>
      <c r="AC31" s="24"/>
    </row>
    <row r="32" spans="2:29" ht="24.75" customHeight="1" x14ac:dyDescent="0.35">
      <c r="B32" s="3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41"/>
      <c r="Q32" s="41"/>
      <c r="R32" s="41"/>
      <c r="S32" s="41"/>
      <c r="T32" s="41"/>
      <c r="U32" s="41"/>
      <c r="V32" s="41"/>
      <c r="W32" s="24"/>
      <c r="X32" s="24"/>
      <c r="Y32" s="24"/>
      <c r="Z32" s="24"/>
      <c r="AA32" s="24"/>
      <c r="AB32" s="24"/>
      <c r="AC32" s="24"/>
    </row>
    <row r="33" spans="2:29" ht="24.75" customHeight="1" x14ac:dyDescent="0.35">
      <c r="B33" s="3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41"/>
      <c r="Q33" s="41"/>
      <c r="R33" s="41"/>
      <c r="S33" s="41"/>
      <c r="T33" s="41"/>
      <c r="U33" s="41"/>
      <c r="V33" s="41"/>
      <c r="W33" s="24"/>
      <c r="X33" s="24"/>
      <c r="Y33" s="24"/>
      <c r="Z33" s="24"/>
      <c r="AA33" s="24"/>
      <c r="AB33" s="24"/>
      <c r="AC33" s="24"/>
    </row>
    <row r="34" spans="2:29" ht="24.75" customHeight="1" x14ac:dyDescent="0.35">
      <c r="B34" s="3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41"/>
      <c r="Q34" s="41"/>
      <c r="R34" s="41"/>
      <c r="S34" s="41"/>
      <c r="T34" s="41"/>
      <c r="U34" s="41"/>
      <c r="V34" s="41"/>
      <c r="W34" s="24"/>
      <c r="X34" s="24"/>
      <c r="Y34" s="24"/>
      <c r="Z34" s="24"/>
      <c r="AA34" s="24"/>
      <c r="AB34" s="24"/>
      <c r="AC34" s="24"/>
    </row>
    <row r="35" spans="2:29" x14ac:dyDescent="0.35">
      <c r="B35" s="3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41"/>
      <c r="Q35" s="41"/>
      <c r="R35" s="41"/>
      <c r="S35" s="41"/>
      <c r="T35" s="41"/>
      <c r="U35" s="41"/>
      <c r="V35" s="41"/>
      <c r="W35" s="24"/>
      <c r="X35" s="24"/>
      <c r="Y35" s="24"/>
      <c r="Z35" s="24"/>
      <c r="AA35" s="24"/>
      <c r="AB35" s="24"/>
      <c r="AC35" s="24"/>
    </row>
    <row r="36" spans="2:29" x14ac:dyDescent="0.35">
      <c r="B36" s="3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41"/>
      <c r="Q36" s="41"/>
      <c r="R36" s="41"/>
      <c r="S36" s="41"/>
      <c r="T36" s="41"/>
      <c r="U36" s="41"/>
      <c r="V36" s="41"/>
      <c r="W36" s="24"/>
      <c r="X36" s="24"/>
      <c r="Y36" s="24"/>
      <c r="Z36" s="24"/>
      <c r="AA36" s="24"/>
      <c r="AB36" s="24"/>
      <c r="AC36" s="24"/>
    </row>
    <row r="37" spans="2:29" x14ac:dyDescent="0.35">
      <c r="B37" s="3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41"/>
      <c r="Q37" s="41"/>
      <c r="R37" s="41"/>
      <c r="S37" s="41"/>
      <c r="T37" s="41"/>
      <c r="U37" s="41"/>
      <c r="V37" s="41"/>
      <c r="W37" s="24"/>
      <c r="X37" s="24"/>
      <c r="Y37" s="24"/>
      <c r="Z37" s="24"/>
      <c r="AA37" s="24"/>
      <c r="AB37" s="24"/>
      <c r="AC37" s="24"/>
    </row>
    <row r="38" spans="2:29" x14ac:dyDescent="0.35">
      <c r="B38" s="3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41"/>
      <c r="Q38" s="41"/>
      <c r="R38" s="41"/>
      <c r="S38" s="41"/>
      <c r="T38" s="41"/>
      <c r="U38" s="41"/>
      <c r="V38" s="41"/>
      <c r="W38" s="24"/>
      <c r="X38" s="24"/>
      <c r="Y38" s="24"/>
      <c r="Z38" s="24"/>
      <c r="AA38" s="24"/>
      <c r="AB38" s="24"/>
      <c r="AC38" s="24"/>
    </row>
    <row r="39" spans="2:29" x14ac:dyDescent="0.35">
      <c r="B39" s="3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41"/>
      <c r="Q39" s="41"/>
      <c r="R39" s="41"/>
      <c r="S39" s="41"/>
      <c r="T39" s="41"/>
      <c r="U39" s="41"/>
      <c r="V39" s="41"/>
      <c r="W39" s="24"/>
      <c r="X39" s="24"/>
      <c r="Y39" s="24"/>
      <c r="Z39" s="24"/>
      <c r="AA39" s="24"/>
      <c r="AB39" s="24"/>
      <c r="AC39" s="24"/>
    </row>
    <row r="40" spans="2:29" x14ac:dyDescent="0.35">
      <c r="B40" s="3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41"/>
      <c r="Q40" s="41"/>
      <c r="R40" s="41"/>
      <c r="S40" s="41"/>
      <c r="T40" s="41"/>
      <c r="U40" s="41"/>
      <c r="V40" s="41"/>
      <c r="W40" s="24"/>
      <c r="X40" s="24"/>
      <c r="Y40" s="24"/>
      <c r="Z40" s="24"/>
      <c r="AA40" s="24"/>
      <c r="AB40" s="24"/>
      <c r="AC40" s="24"/>
    </row>
    <row r="41" spans="2:29" x14ac:dyDescent="0.35">
      <c r="B41" s="3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41"/>
      <c r="Q41" s="41"/>
      <c r="R41" s="41"/>
      <c r="S41" s="41"/>
      <c r="T41" s="41"/>
      <c r="U41" s="41"/>
      <c r="V41" s="41"/>
      <c r="W41" s="24"/>
      <c r="X41" s="24"/>
      <c r="Y41" s="24"/>
      <c r="Z41" s="24"/>
      <c r="AA41" s="24"/>
      <c r="AB41" s="24"/>
      <c r="AC41" s="24"/>
    </row>
    <row r="42" spans="2:29" x14ac:dyDescent="0.35">
      <c r="B42" s="3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41"/>
      <c r="Q42" s="41"/>
      <c r="R42" s="41"/>
      <c r="S42" s="41"/>
      <c r="T42" s="41"/>
      <c r="U42" s="41"/>
      <c r="V42" s="41"/>
      <c r="W42" s="24"/>
      <c r="X42" s="24"/>
      <c r="Y42" s="24"/>
      <c r="Z42" s="24"/>
      <c r="AA42" s="24"/>
      <c r="AB42" s="24"/>
      <c r="AC42" s="24"/>
    </row>
    <row r="43" spans="2:29" x14ac:dyDescent="0.35">
      <c r="B43" s="3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41"/>
      <c r="Q43" s="41"/>
      <c r="R43" s="41"/>
      <c r="S43" s="41"/>
      <c r="T43" s="41"/>
      <c r="U43" s="41"/>
      <c r="V43" s="41"/>
      <c r="W43" s="24"/>
      <c r="X43" s="24"/>
      <c r="Y43" s="24"/>
      <c r="Z43" s="24"/>
      <c r="AA43" s="24"/>
      <c r="AB43" s="24"/>
      <c r="AC43" s="24"/>
    </row>
    <row r="44" spans="2:29" x14ac:dyDescent="0.35">
      <c r="B44" s="3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41"/>
      <c r="Q44" s="41"/>
      <c r="R44" s="41"/>
      <c r="S44" s="41"/>
      <c r="T44" s="41"/>
      <c r="U44" s="41"/>
      <c r="V44" s="41"/>
      <c r="W44" s="24"/>
      <c r="X44" s="24"/>
      <c r="Y44" s="24"/>
      <c r="Z44" s="24"/>
      <c r="AA44" s="24"/>
      <c r="AB44" s="24"/>
      <c r="AC44" s="24"/>
    </row>
    <row r="45" spans="2:29" x14ac:dyDescent="0.35">
      <c r="B45" s="3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41"/>
      <c r="Q45" s="41"/>
      <c r="R45" s="41"/>
      <c r="S45" s="41"/>
      <c r="T45" s="41"/>
      <c r="U45" s="41"/>
      <c r="V45" s="41"/>
      <c r="W45" s="24"/>
      <c r="X45" s="24"/>
      <c r="Y45" s="24"/>
      <c r="Z45" s="24"/>
      <c r="AA45" s="24"/>
      <c r="AB45" s="24"/>
      <c r="AC45" s="24"/>
    </row>
    <row r="46" spans="2:29" x14ac:dyDescent="0.35">
      <c r="B46" s="3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41"/>
      <c r="Q46" s="41"/>
      <c r="R46" s="41"/>
      <c r="S46" s="41"/>
      <c r="T46" s="41"/>
      <c r="U46" s="41"/>
      <c r="V46" s="41"/>
      <c r="W46" s="24"/>
      <c r="X46" s="24"/>
      <c r="Y46" s="24"/>
      <c r="Z46" s="24"/>
      <c r="AA46" s="24"/>
      <c r="AB46" s="24"/>
      <c r="AC46" s="24"/>
    </row>
    <row r="47" spans="2:29" x14ac:dyDescent="0.35">
      <c r="B47" s="3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41"/>
      <c r="Q47" s="41"/>
      <c r="R47" s="41"/>
      <c r="S47" s="41"/>
      <c r="T47" s="41"/>
      <c r="U47" s="41"/>
      <c r="V47" s="41"/>
      <c r="W47" s="24"/>
      <c r="X47" s="24"/>
      <c r="Y47" s="24"/>
      <c r="Z47" s="24"/>
      <c r="AA47" s="24"/>
      <c r="AB47" s="24"/>
      <c r="AC47" s="24"/>
    </row>
    <row r="48" spans="2:29" x14ac:dyDescent="0.35">
      <c r="B48" s="3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41"/>
      <c r="Q48" s="41"/>
      <c r="R48" s="41"/>
      <c r="S48" s="41"/>
      <c r="T48" s="41"/>
      <c r="U48" s="41"/>
      <c r="V48" s="41"/>
      <c r="W48" s="24"/>
      <c r="X48" s="24"/>
      <c r="Y48" s="24"/>
      <c r="Z48" s="24"/>
      <c r="AA48" s="24"/>
      <c r="AB48" s="24"/>
      <c r="AC48" s="24"/>
    </row>
    <row r="49" spans="2:29" x14ac:dyDescent="0.35">
      <c r="B49" s="3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41"/>
      <c r="Q49" s="41"/>
      <c r="R49" s="41"/>
      <c r="S49" s="41"/>
      <c r="T49" s="41"/>
      <c r="U49" s="41"/>
      <c r="V49" s="41"/>
      <c r="W49" s="24"/>
      <c r="X49" s="24"/>
      <c r="Y49" s="24"/>
      <c r="Z49" s="24"/>
      <c r="AA49" s="24"/>
      <c r="AB49" s="24"/>
      <c r="AC49" s="24"/>
    </row>
    <row r="50" spans="2:29" x14ac:dyDescent="0.35">
      <c r="B50" s="35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41"/>
      <c r="Q50" s="41"/>
      <c r="R50" s="41"/>
      <c r="S50" s="41"/>
      <c r="T50" s="41"/>
      <c r="U50" s="41"/>
      <c r="V50" s="41"/>
      <c r="W50" s="24"/>
      <c r="X50" s="24"/>
      <c r="Y50" s="24"/>
      <c r="Z50" s="24"/>
      <c r="AA50" s="24"/>
      <c r="AB50" s="24"/>
      <c r="AC50" s="24"/>
    </row>
    <row r="51" spans="2:29" x14ac:dyDescent="0.35">
      <c r="B51" s="35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41"/>
      <c r="Q51" s="41"/>
      <c r="R51" s="41"/>
      <c r="S51" s="41"/>
      <c r="T51" s="41"/>
      <c r="U51" s="41"/>
      <c r="V51" s="41"/>
      <c r="W51" s="24"/>
      <c r="X51" s="24"/>
      <c r="Y51" s="24"/>
      <c r="Z51" s="24"/>
      <c r="AA51" s="24"/>
      <c r="AB51" s="24"/>
      <c r="AC51" s="24"/>
    </row>
    <row r="52" spans="2:29" x14ac:dyDescent="0.35">
      <c r="B52" s="3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41"/>
      <c r="Q52" s="41"/>
      <c r="R52" s="41"/>
      <c r="S52" s="41"/>
      <c r="T52" s="41"/>
      <c r="U52" s="41"/>
      <c r="V52" s="41"/>
      <c r="W52" s="24"/>
      <c r="X52" s="24"/>
      <c r="Y52" s="24"/>
      <c r="Z52" s="24"/>
      <c r="AA52" s="24"/>
      <c r="AB52" s="24"/>
      <c r="AC52" s="24"/>
    </row>
    <row r="53" spans="2:29" x14ac:dyDescent="0.35">
      <c r="B53" s="3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41"/>
      <c r="Q53" s="41"/>
      <c r="R53" s="41"/>
      <c r="S53" s="41"/>
      <c r="T53" s="41"/>
      <c r="U53" s="41"/>
      <c r="V53" s="41"/>
      <c r="W53" s="24"/>
      <c r="X53" s="24"/>
      <c r="Y53" s="24"/>
      <c r="Z53" s="24"/>
      <c r="AA53" s="24"/>
      <c r="AB53" s="24"/>
      <c r="AC53" s="24"/>
    </row>
    <row r="54" spans="2:29" x14ac:dyDescent="0.35">
      <c r="B54" s="3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41"/>
      <c r="Q54" s="41"/>
      <c r="R54" s="41"/>
      <c r="S54" s="41"/>
      <c r="T54" s="41"/>
      <c r="U54" s="41"/>
      <c r="V54" s="41"/>
      <c r="W54" s="24"/>
      <c r="X54" s="24"/>
      <c r="Y54" s="24"/>
      <c r="Z54" s="24"/>
      <c r="AA54" s="24"/>
      <c r="AB54" s="24"/>
      <c r="AC54" s="24"/>
    </row>
    <row r="55" spans="2:29" x14ac:dyDescent="0.35">
      <c r="B55" s="3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41"/>
      <c r="Q55" s="41"/>
      <c r="R55" s="41"/>
      <c r="S55" s="41"/>
      <c r="T55" s="41"/>
      <c r="U55" s="41"/>
      <c r="V55" s="41"/>
      <c r="W55" s="24"/>
      <c r="X55" s="24"/>
      <c r="Y55" s="24"/>
      <c r="Z55" s="24"/>
      <c r="AA55" s="24"/>
      <c r="AB55" s="24"/>
      <c r="AC55" s="24"/>
    </row>
    <row r="56" spans="2:29" x14ac:dyDescent="0.35">
      <c r="B56" s="3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2:29" x14ac:dyDescent="0.35">
      <c r="B57" s="3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2:29" x14ac:dyDescent="0.35">
      <c r="B58" s="3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2:29" x14ac:dyDescent="0.35">
      <c r="B59" s="3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2:29" x14ac:dyDescent="0.35">
      <c r="B60" s="3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2:29" x14ac:dyDescent="0.35">
      <c r="B61" s="3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2:29" x14ac:dyDescent="0.35">
      <c r="B62" s="3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2:29" x14ac:dyDescent="0.35">
      <c r="B63" s="3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2:29" x14ac:dyDescent="0.35">
      <c r="B64" s="3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2:29" x14ac:dyDescent="0.35">
      <c r="B65" s="3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2:29" x14ac:dyDescent="0.35">
      <c r="B66" s="3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2:29" x14ac:dyDescent="0.35">
      <c r="B67" s="3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2:29" x14ac:dyDescent="0.35">
      <c r="B68" s="3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2:29" x14ac:dyDescent="0.35">
      <c r="B69" s="3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2:29" x14ac:dyDescent="0.35">
      <c r="B70" s="3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2:29" x14ac:dyDescent="0.35">
      <c r="B71" s="3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2:29" x14ac:dyDescent="0.35">
      <c r="B72" s="3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2:29" x14ac:dyDescent="0.35">
      <c r="B73" s="3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2:29" x14ac:dyDescent="0.35">
      <c r="B74" s="3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2:29" x14ac:dyDescent="0.35">
      <c r="B75" s="3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2:29" x14ac:dyDescent="0.35">
      <c r="B76" s="3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2:29" x14ac:dyDescent="0.35">
      <c r="B77" s="3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2:29" x14ac:dyDescent="0.35">
      <c r="B78" s="3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2:29" x14ac:dyDescent="0.35">
      <c r="B79" s="3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2:29" x14ac:dyDescent="0.35">
      <c r="B80" s="3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2:29" x14ac:dyDescent="0.35">
      <c r="B81" s="3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2:29" x14ac:dyDescent="0.35">
      <c r="B82" s="3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2:29" x14ac:dyDescent="0.35">
      <c r="B83" s="3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2:29" x14ac:dyDescent="0.35">
      <c r="B84" s="3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2:29" x14ac:dyDescent="0.35">
      <c r="B85" s="3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2:29" x14ac:dyDescent="0.35">
      <c r="B86" s="3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2:29" x14ac:dyDescent="0.35">
      <c r="B87" s="3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2:29" x14ac:dyDescent="0.35">
      <c r="B88" s="3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2:29" x14ac:dyDescent="0.35">
      <c r="B89" s="3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2:29" x14ac:dyDescent="0.35">
      <c r="B90" s="3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2:29" x14ac:dyDescent="0.35">
      <c r="B91" s="3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2:29" x14ac:dyDescent="0.35">
      <c r="B92" s="3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2:29" x14ac:dyDescent="0.35">
      <c r="B93" s="3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2:29" x14ac:dyDescent="0.35">
      <c r="B94" s="3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2:29" x14ac:dyDescent="0.35">
      <c r="B95" s="3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2:29" x14ac:dyDescent="0.35">
      <c r="B96" s="3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2:29" x14ac:dyDescent="0.35">
      <c r="B97" s="3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2:29" x14ac:dyDescent="0.35">
      <c r="B98" s="3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2:29" x14ac:dyDescent="0.35">
      <c r="B99" s="3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2:29" x14ac:dyDescent="0.35">
      <c r="B100" s="3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2:29" x14ac:dyDescent="0.35">
      <c r="B101" s="3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2:29" x14ac:dyDescent="0.35">
      <c r="B102" s="35" t="s">
        <v>17</v>
      </c>
      <c r="C102" s="24">
        <f t="shared" ref="C102:N102" si="0">SUM(C5:C101)</f>
        <v>0</v>
      </c>
      <c r="D102" s="24">
        <f t="shared" si="0"/>
        <v>0</v>
      </c>
      <c r="E102" s="24">
        <f t="shared" si="0"/>
        <v>0</v>
      </c>
      <c r="F102" s="24">
        <f t="shared" si="0"/>
        <v>0</v>
      </c>
      <c r="G102" s="24">
        <f t="shared" si="0"/>
        <v>0</v>
      </c>
      <c r="H102" s="24">
        <f t="shared" si="0"/>
        <v>0</v>
      </c>
      <c r="I102" s="24">
        <f t="shared" si="0"/>
        <v>0</v>
      </c>
      <c r="J102" s="24">
        <f t="shared" si="0"/>
        <v>0</v>
      </c>
      <c r="K102" s="24">
        <f t="shared" si="0"/>
        <v>0</v>
      </c>
      <c r="L102" s="24">
        <f t="shared" si="0"/>
        <v>0</v>
      </c>
      <c r="M102" s="24">
        <f t="shared" si="0"/>
        <v>0</v>
      </c>
      <c r="N102" s="24">
        <f t="shared" si="0"/>
        <v>0</v>
      </c>
      <c r="O102" s="24"/>
      <c r="P102" s="24"/>
      <c r="Q102" s="70" t="s">
        <v>18</v>
      </c>
      <c r="R102" s="24">
        <f t="shared" ref="R102:AC102" si="1">SUM(R5:R101)</f>
        <v>5</v>
      </c>
      <c r="S102" s="24">
        <f t="shared" si="1"/>
        <v>0</v>
      </c>
      <c r="T102" s="24">
        <f t="shared" si="1"/>
        <v>0</v>
      </c>
      <c r="U102" s="24">
        <f t="shared" si="1"/>
        <v>0</v>
      </c>
      <c r="V102" s="24">
        <f t="shared" si="1"/>
        <v>0</v>
      </c>
      <c r="W102" s="24">
        <f t="shared" si="1"/>
        <v>0</v>
      </c>
      <c r="X102" s="24">
        <f t="shared" si="1"/>
        <v>0</v>
      </c>
      <c r="Y102" s="24">
        <f t="shared" si="1"/>
        <v>0</v>
      </c>
      <c r="Z102" s="24">
        <f t="shared" si="1"/>
        <v>0</v>
      </c>
      <c r="AA102" s="24">
        <f t="shared" si="1"/>
        <v>0</v>
      </c>
      <c r="AB102" s="24">
        <f t="shared" si="1"/>
        <v>0</v>
      </c>
      <c r="AC102" s="24">
        <f t="shared" si="1"/>
        <v>0</v>
      </c>
    </row>
    <row r="103" spans="2:29" x14ac:dyDescent="0.35">
      <c r="B103" s="7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70" t="s">
        <v>67</v>
      </c>
      <c r="R103" s="71">
        <f t="shared" ref="R103:AC103" si="2">C4+C102-R102</f>
        <v>0</v>
      </c>
      <c r="S103" s="71">
        <f t="shared" si="2"/>
        <v>0</v>
      </c>
      <c r="T103" s="71">
        <f t="shared" si="2"/>
        <v>0</v>
      </c>
      <c r="U103" s="71">
        <f t="shared" si="2"/>
        <v>0</v>
      </c>
      <c r="V103" s="71">
        <f t="shared" si="2"/>
        <v>0</v>
      </c>
      <c r="W103" s="71">
        <f t="shared" si="2"/>
        <v>0</v>
      </c>
      <c r="X103" s="71">
        <f t="shared" si="2"/>
        <v>0</v>
      </c>
      <c r="Y103" s="71">
        <f t="shared" si="2"/>
        <v>0</v>
      </c>
      <c r="Z103" s="71">
        <f t="shared" si="2"/>
        <v>0</v>
      </c>
      <c r="AA103" s="71">
        <f t="shared" si="2"/>
        <v>0</v>
      </c>
      <c r="AB103" s="71">
        <f t="shared" si="2"/>
        <v>0</v>
      </c>
      <c r="AC103" s="71">
        <f t="shared" si="2"/>
        <v>0</v>
      </c>
    </row>
  </sheetData>
  <mergeCells count="10">
    <mergeCell ref="C2:N2"/>
    <mergeCell ref="P2:AC2"/>
    <mergeCell ref="AD2:AD3"/>
    <mergeCell ref="AE2:AE3"/>
    <mergeCell ref="AF2:AF3"/>
    <mergeCell ref="F5:F7"/>
    <mergeCell ref="T5:T17"/>
    <mergeCell ref="D9:E9"/>
    <mergeCell ref="D10:E10"/>
    <mergeCell ref="T20:T28"/>
  </mergeCells>
  <conditionalFormatting sqref="AE4:AE101">
    <cfRule type="cellIs" dxfId="1" priority="2" operator="equal">
      <formula>"ĐÃ THANH TOÁN"</formula>
    </cfRule>
    <cfRule type="cellIs" dxfId="0" priority="3" operator="equal">
      <formula>"CHƯA THANH TOÁN"</formula>
    </cfRule>
  </conditionalFormatting>
  <dataValidations count="2">
    <dataValidation type="list" allowBlank="1" showInputMessage="1" showErrorMessage="1" sqref="P1:P4 P102:P1103" xr:uid="{00000000-0002-0000-0700-000000000000}">
      <formula1>$A$3:$A$453</formula1>
      <formula2>0</formula2>
    </dataValidation>
    <dataValidation type="list" allowBlank="1" showInputMessage="1" showErrorMessage="1" sqref="AF1:AF3 AF11:AF1103" xr:uid="{00000000-0002-0000-0700-000001000000}">
      <formula1>Bùi_Bích_Phương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DATA!$C$2:$C$3</xm:f>
          </x14:formula1>
          <x14:formula2>
            <xm:f>0</xm:f>
          </x14:formula2>
          <xm:sqref>AE1:AE1103</xm:sqref>
        </x14:dataValidation>
        <x14:dataValidation type="list" allowBlank="1" showInputMessage="1" showErrorMessage="1" xr:uid="{00000000-0002-0000-0700-000003000000}">
          <x14:formula1>
            <xm:f>DATA!$B$3:$B$37</xm:f>
          </x14:formula1>
          <x14:formula2>
            <xm:f>0</xm:f>
          </x14:formula2>
          <xm:sqref>Q1:Q4 Q32:Q1103</xm:sqref>
        </x14:dataValidation>
        <x14:dataValidation type="list" allowBlank="1" showInputMessage="1" showErrorMessage="1" xr:uid="{00000000-0002-0000-0700-000004000000}">
          <x14:formula1>
            <xm:f>DATA!$A$3:$A$452</xm:f>
          </x14:formula1>
          <x14:formula2>
            <xm:f>0</xm:f>
          </x14:formula2>
          <xm:sqref>AF4:AF10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tabSelected="1" topLeftCell="A7" zoomScaleNormal="100" workbookViewId="0">
      <selection activeCell="C16" sqref="C16"/>
    </sheetView>
  </sheetViews>
  <sheetFormatPr defaultColWidth="8.54296875" defaultRowHeight="18" x14ac:dyDescent="0.35"/>
  <cols>
    <col min="1" max="1" width="26" customWidth="1"/>
    <col min="2" max="2" width="41.81640625" customWidth="1"/>
    <col min="3" max="3" width="11.08984375" customWidth="1"/>
    <col min="4" max="4" width="5.6328125" customWidth="1"/>
    <col min="5" max="5" width="6" customWidth="1"/>
    <col min="6" max="6" width="5.1796875" customWidth="1"/>
    <col min="7" max="7" width="5.81640625" customWidth="1"/>
    <col min="8" max="8" width="5.6328125" customWidth="1"/>
    <col min="9" max="9" width="5.36328125" customWidth="1"/>
    <col min="10" max="10" width="6.81640625" customWidth="1"/>
    <col min="11" max="11" width="5.08984375" customWidth="1"/>
    <col min="12" max="12" width="5.36328125" customWidth="1"/>
    <col min="13" max="13" width="5.08984375" customWidth="1"/>
    <col min="14" max="14" width="8.90625" style="39" customWidth="1"/>
    <col min="15" max="15" width="25.1796875" style="39" customWidth="1"/>
  </cols>
  <sheetData>
    <row r="1" spans="1:16" ht="36.75" customHeight="1" x14ac:dyDescent="0.35">
      <c r="A1" s="141" t="s">
        <v>133</v>
      </c>
      <c r="B1" s="141" t="s">
        <v>134</v>
      </c>
      <c r="C1" s="141" t="s">
        <v>135</v>
      </c>
      <c r="D1" s="145" t="s">
        <v>136</v>
      </c>
      <c r="E1" s="145"/>
      <c r="F1" s="141" t="s">
        <v>0</v>
      </c>
      <c r="G1" s="141"/>
      <c r="H1" s="141" t="s">
        <v>137</v>
      </c>
      <c r="I1" s="141"/>
      <c r="J1" s="140" t="s">
        <v>138</v>
      </c>
      <c r="K1" s="140"/>
      <c r="L1" s="141" t="s">
        <v>139</v>
      </c>
      <c r="M1" s="141"/>
      <c r="N1" s="142" t="s">
        <v>140</v>
      </c>
      <c r="O1" s="143" t="s">
        <v>141</v>
      </c>
    </row>
    <row r="2" spans="1:16" ht="17.25" customHeight="1" x14ac:dyDescent="0.35">
      <c r="A2" s="141"/>
      <c r="B2" s="141"/>
      <c r="C2" s="141"/>
      <c r="D2" s="109" t="s">
        <v>621</v>
      </c>
      <c r="E2" s="109" t="s">
        <v>142</v>
      </c>
      <c r="F2" s="109" t="s">
        <v>621</v>
      </c>
      <c r="G2" s="109" t="s">
        <v>142</v>
      </c>
      <c r="H2" s="109" t="s">
        <v>621</v>
      </c>
      <c r="I2" s="109" t="s">
        <v>142</v>
      </c>
      <c r="J2" s="109" t="s">
        <v>621</v>
      </c>
      <c r="K2" s="109" t="s">
        <v>142</v>
      </c>
      <c r="L2" s="109" t="s">
        <v>621</v>
      </c>
      <c r="M2" s="109" t="s">
        <v>142</v>
      </c>
      <c r="N2" s="142"/>
      <c r="O2" s="143"/>
    </row>
    <row r="3" spans="1:16" ht="17.25" customHeight="1" x14ac:dyDescent="0.35">
      <c r="A3" s="109" t="s">
        <v>622</v>
      </c>
      <c r="B3" s="109"/>
      <c r="C3" s="109"/>
      <c r="D3" s="109">
        <v>70</v>
      </c>
      <c r="E3" s="109">
        <v>282</v>
      </c>
      <c r="F3" s="109">
        <v>52</v>
      </c>
      <c r="G3" s="109">
        <v>270</v>
      </c>
      <c r="H3" s="109">
        <v>19</v>
      </c>
      <c r="I3" s="109">
        <v>140</v>
      </c>
      <c r="J3" s="85">
        <f>D3+F3-H3</f>
        <v>103</v>
      </c>
      <c r="K3" s="86">
        <f>E3+G3-I3</f>
        <v>412</v>
      </c>
      <c r="L3" s="109"/>
      <c r="M3" s="109"/>
      <c r="N3" s="87"/>
      <c r="O3" s="110"/>
    </row>
    <row r="4" spans="1:16" ht="17.25" customHeight="1" x14ac:dyDescent="0.35">
      <c r="A4" s="109" t="s">
        <v>623</v>
      </c>
      <c r="B4" s="109"/>
      <c r="C4" s="109"/>
      <c r="D4" s="109"/>
      <c r="E4" s="109"/>
      <c r="F4" s="109"/>
      <c r="G4" s="109"/>
      <c r="H4" s="109"/>
      <c r="I4" s="109"/>
      <c r="J4" s="112">
        <f>SUM(J6:J93)</f>
        <v>102</v>
      </c>
      <c r="K4" s="112">
        <f>SUM(K6:K93)</f>
        <v>419</v>
      </c>
      <c r="L4" s="109"/>
      <c r="M4" s="109"/>
      <c r="N4" s="87"/>
      <c r="O4" s="110"/>
    </row>
    <row r="5" spans="1:16" ht="17.25" customHeight="1" x14ac:dyDescent="0.35">
      <c r="A5" s="109" t="s">
        <v>624</v>
      </c>
      <c r="B5" s="109"/>
      <c r="C5" s="109"/>
      <c r="D5" s="109"/>
      <c r="E5" s="109"/>
      <c r="F5" s="109"/>
      <c r="G5" s="109"/>
      <c r="H5" s="109"/>
      <c r="I5" s="109"/>
      <c r="J5" s="112">
        <f>J4-J3</f>
        <v>-1</v>
      </c>
      <c r="K5" s="112">
        <f>K4-K3</f>
        <v>7</v>
      </c>
      <c r="L5" s="109"/>
      <c r="M5" s="109"/>
      <c r="N5" s="87"/>
      <c r="O5" s="110"/>
    </row>
    <row r="6" spans="1:16" ht="17.25" customHeight="1" x14ac:dyDescent="0.35">
      <c r="A6" s="119" t="s">
        <v>44</v>
      </c>
      <c r="B6" s="113" t="s">
        <v>632</v>
      </c>
      <c r="C6" s="113"/>
      <c r="D6" s="113"/>
      <c r="E6" s="113"/>
      <c r="F6" s="113"/>
      <c r="G6" s="113">
        <v>125</v>
      </c>
      <c r="H6" s="113"/>
      <c r="I6" s="113"/>
      <c r="J6" s="85">
        <f t="shared" ref="J6:K35" si="0">D6+F6-H6</f>
        <v>0</v>
      </c>
      <c r="K6" s="86">
        <f t="shared" si="0"/>
        <v>125</v>
      </c>
      <c r="L6" s="109"/>
      <c r="M6" s="109"/>
      <c r="N6" s="87"/>
      <c r="O6" s="110"/>
    </row>
    <row r="7" spans="1:16" x14ac:dyDescent="0.35">
      <c r="A7" s="120" t="s">
        <v>44</v>
      </c>
      <c r="B7" s="115" t="s">
        <v>625</v>
      </c>
      <c r="C7" s="115"/>
      <c r="D7" s="117">
        <v>1</v>
      </c>
      <c r="E7" s="117"/>
      <c r="F7" s="117"/>
      <c r="G7" s="117"/>
      <c r="H7" s="117"/>
      <c r="I7" s="117"/>
      <c r="J7" s="85">
        <f>D7+F7-H7</f>
        <v>1</v>
      </c>
      <c r="K7" s="86">
        <f>E7+G7-I7</f>
        <v>0</v>
      </c>
      <c r="L7" s="93"/>
      <c r="M7" s="93"/>
      <c r="N7" s="64"/>
      <c r="O7" s="64"/>
    </row>
    <row r="8" spans="1:16" ht="17.25" customHeight="1" x14ac:dyDescent="0.35">
      <c r="A8" s="119" t="s">
        <v>158</v>
      </c>
      <c r="B8" s="113" t="s">
        <v>631</v>
      </c>
      <c r="C8" s="113"/>
      <c r="D8" s="113">
        <v>5</v>
      </c>
      <c r="E8" s="113"/>
      <c r="F8" s="113">
        <v>11</v>
      </c>
      <c r="G8" s="113"/>
      <c r="H8" s="113"/>
      <c r="I8" s="113"/>
      <c r="J8" s="85">
        <f t="shared" si="0"/>
        <v>16</v>
      </c>
      <c r="K8" s="86">
        <f t="shared" si="0"/>
        <v>0</v>
      </c>
      <c r="L8" s="109"/>
      <c r="M8" s="109"/>
      <c r="N8" s="87"/>
      <c r="O8" s="110"/>
    </row>
    <row r="9" spans="1:16" ht="20.25" customHeight="1" x14ac:dyDescent="0.35">
      <c r="A9" s="120" t="s">
        <v>158</v>
      </c>
      <c r="B9" s="115" t="s">
        <v>643</v>
      </c>
      <c r="C9" s="115"/>
      <c r="D9" s="117">
        <v>10</v>
      </c>
      <c r="E9" s="117">
        <v>35</v>
      </c>
      <c r="F9" s="117"/>
      <c r="G9" s="117">
        <v>22</v>
      </c>
      <c r="H9" s="117">
        <v>1</v>
      </c>
      <c r="I9" s="117">
        <v>19</v>
      </c>
      <c r="J9" s="85">
        <f t="shared" si="0"/>
        <v>9</v>
      </c>
      <c r="K9" s="86">
        <f t="shared" si="0"/>
        <v>38</v>
      </c>
      <c r="L9" s="92"/>
      <c r="M9" s="92"/>
      <c r="N9" s="90"/>
      <c r="O9" s="90" t="s">
        <v>724</v>
      </c>
      <c r="P9" s="49"/>
    </row>
    <row r="10" spans="1:16" x14ac:dyDescent="0.35">
      <c r="A10" s="120" t="s">
        <v>158</v>
      </c>
      <c r="B10" s="115" t="s">
        <v>159</v>
      </c>
      <c r="C10" s="115"/>
      <c r="D10" s="117">
        <v>1</v>
      </c>
      <c r="E10" s="117"/>
      <c r="F10" s="117"/>
      <c r="G10" s="117"/>
      <c r="H10" s="117"/>
      <c r="I10" s="117"/>
      <c r="J10" s="85">
        <f t="shared" si="0"/>
        <v>1</v>
      </c>
      <c r="K10" s="86">
        <f t="shared" si="0"/>
        <v>0</v>
      </c>
      <c r="L10" s="93"/>
      <c r="M10" s="93"/>
      <c r="N10" s="64"/>
      <c r="O10" s="64"/>
    </row>
    <row r="11" spans="1:16" ht="21" customHeight="1" x14ac:dyDescent="0.35">
      <c r="A11" s="120" t="s">
        <v>158</v>
      </c>
      <c r="B11" s="115" t="s">
        <v>656</v>
      </c>
      <c r="C11" s="115"/>
      <c r="D11" s="117"/>
      <c r="E11" s="117">
        <v>3</v>
      </c>
      <c r="F11" s="117"/>
      <c r="G11" s="117"/>
      <c r="H11" s="117"/>
      <c r="I11" s="117"/>
      <c r="J11" s="85">
        <f t="shared" si="0"/>
        <v>0</v>
      </c>
      <c r="K11" s="86">
        <f t="shared" si="0"/>
        <v>3</v>
      </c>
      <c r="L11" s="93"/>
      <c r="M11" s="93"/>
      <c r="N11" s="64"/>
      <c r="O11" s="64"/>
    </row>
    <row r="12" spans="1:16" x14ac:dyDescent="0.35">
      <c r="A12" s="120" t="s">
        <v>43</v>
      </c>
      <c r="B12" s="115"/>
      <c r="C12" s="115"/>
      <c r="D12" s="116">
        <v>5</v>
      </c>
      <c r="E12" s="116">
        <v>91</v>
      </c>
      <c r="F12" s="116">
        <v>5</v>
      </c>
      <c r="G12" s="116">
        <v>47</v>
      </c>
      <c r="H12" s="116"/>
      <c r="I12" s="116">
        <v>52</v>
      </c>
      <c r="J12" s="85">
        <f t="shared" si="0"/>
        <v>10</v>
      </c>
      <c r="K12" s="86">
        <f t="shared" si="0"/>
        <v>86</v>
      </c>
      <c r="L12" s="109"/>
      <c r="M12" s="109"/>
      <c r="N12" s="89"/>
      <c r="O12" s="90"/>
    </row>
    <row r="13" spans="1:16" x14ac:dyDescent="0.35">
      <c r="A13" s="120" t="s">
        <v>47</v>
      </c>
      <c r="B13" s="115" t="s">
        <v>626</v>
      </c>
      <c r="C13" s="115"/>
      <c r="D13" s="116"/>
      <c r="E13" s="116"/>
      <c r="F13" s="116">
        <v>6</v>
      </c>
      <c r="G13" s="116">
        <v>3</v>
      </c>
      <c r="H13" s="116"/>
      <c r="I13" s="116"/>
      <c r="J13" s="85">
        <f t="shared" si="0"/>
        <v>6</v>
      </c>
      <c r="K13" s="86">
        <f t="shared" si="0"/>
        <v>3</v>
      </c>
      <c r="L13" s="109"/>
      <c r="M13" s="109"/>
      <c r="N13" s="89"/>
      <c r="O13" s="90"/>
    </row>
    <row r="14" spans="1:16" x14ac:dyDescent="0.35">
      <c r="A14" s="120" t="s">
        <v>255</v>
      </c>
      <c r="B14" s="115" t="s">
        <v>627</v>
      </c>
      <c r="C14" s="115"/>
      <c r="D14" s="116"/>
      <c r="E14" s="116"/>
      <c r="F14" s="116">
        <v>11</v>
      </c>
      <c r="G14" s="116"/>
      <c r="H14" s="116"/>
      <c r="I14" s="116"/>
      <c r="J14" s="85">
        <f t="shared" si="0"/>
        <v>11</v>
      </c>
      <c r="K14" s="86">
        <f t="shared" si="0"/>
        <v>0</v>
      </c>
      <c r="L14" s="109"/>
      <c r="M14" s="109"/>
      <c r="N14" s="89"/>
      <c r="O14" s="90"/>
    </row>
    <row r="15" spans="1:16" x14ac:dyDescent="0.35">
      <c r="A15" s="120" t="s">
        <v>45</v>
      </c>
      <c r="B15" s="115" t="s">
        <v>654</v>
      </c>
      <c r="C15" s="115"/>
      <c r="D15" s="116"/>
      <c r="E15" s="116">
        <v>12</v>
      </c>
      <c r="F15" s="116"/>
      <c r="G15" s="116">
        <v>11</v>
      </c>
      <c r="H15" s="116"/>
      <c r="I15" s="116">
        <v>8</v>
      </c>
      <c r="J15" s="85">
        <f t="shared" si="0"/>
        <v>0</v>
      </c>
      <c r="K15" s="86">
        <f t="shared" si="0"/>
        <v>15</v>
      </c>
      <c r="L15" s="109"/>
      <c r="M15" s="109"/>
      <c r="N15" s="89"/>
      <c r="O15" s="90"/>
    </row>
    <row r="16" spans="1:16" x14ac:dyDescent="0.35">
      <c r="A16" s="120" t="s">
        <v>628</v>
      </c>
      <c r="B16" s="115" t="s">
        <v>629</v>
      </c>
      <c r="C16" s="115"/>
      <c r="D16" s="117"/>
      <c r="E16" s="117"/>
      <c r="F16" s="117"/>
      <c r="G16" s="117">
        <v>16</v>
      </c>
      <c r="H16" s="117"/>
      <c r="I16" s="117"/>
      <c r="J16" s="85">
        <f t="shared" si="0"/>
        <v>0</v>
      </c>
      <c r="K16" s="86">
        <f t="shared" si="0"/>
        <v>16</v>
      </c>
      <c r="L16" s="92"/>
      <c r="M16" s="92"/>
      <c r="N16" s="90"/>
      <c r="O16" s="90"/>
    </row>
    <row r="17" spans="1:16" ht="21.75" customHeight="1" x14ac:dyDescent="0.35">
      <c r="A17" s="120" t="s">
        <v>41</v>
      </c>
      <c r="B17" s="115" t="s">
        <v>630</v>
      </c>
      <c r="C17" s="115"/>
      <c r="D17" s="117"/>
      <c r="E17" s="117"/>
      <c r="F17" s="117"/>
      <c r="G17" s="117">
        <v>24</v>
      </c>
      <c r="H17" s="117"/>
      <c r="I17" s="117"/>
      <c r="J17" s="85">
        <f t="shared" si="0"/>
        <v>0</v>
      </c>
      <c r="K17" s="86">
        <f t="shared" si="0"/>
        <v>24</v>
      </c>
      <c r="L17" s="92"/>
      <c r="M17" s="92"/>
      <c r="N17" s="90"/>
      <c r="O17" s="90"/>
      <c r="P17" s="49"/>
    </row>
    <row r="18" spans="1:16" x14ac:dyDescent="0.35">
      <c r="A18" s="120" t="s">
        <v>153</v>
      </c>
      <c r="B18" s="115" t="s">
        <v>653</v>
      </c>
      <c r="C18" s="115"/>
      <c r="D18" s="117">
        <v>2</v>
      </c>
      <c r="E18" s="117"/>
      <c r="F18" s="117">
        <v>6</v>
      </c>
      <c r="G18" s="117">
        <v>5</v>
      </c>
      <c r="H18" s="117"/>
      <c r="I18" s="117"/>
      <c r="J18" s="85">
        <f t="shared" si="0"/>
        <v>8</v>
      </c>
      <c r="K18" s="86">
        <f t="shared" si="0"/>
        <v>5</v>
      </c>
      <c r="L18" s="92"/>
      <c r="M18" s="92"/>
      <c r="N18" s="90"/>
      <c r="O18" s="90"/>
      <c r="P18" s="49"/>
    </row>
    <row r="19" spans="1:16" x14ac:dyDescent="0.35">
      <c r="A19" s="120" t="s">
        <v>153</v>
      </c>
      <c r="B19" s="115" t="s">
        <v>645</v>
      </c>
      <c r="C19" s="115"/>
      <c r="D19" s="117"/>
      <c r="E19" s="117"/>
      <c r="F19" s="117"/>
      <c r="G19" s="117">
        <v>11</v>
      </c>
      <c r="H19" s="117"/>
      <c r="I19" s="117">
        <v>5</v>
      </c>
      <c r="J19" s="85">
        <f>D19+F19-H19</f>
        <v>0</v>
      </c>
      <c r="K19" s="86">
        <f>E19+G19-I19</f>
        <v>6</v>
      </c>
      <c r="L19" s="93"/>
      <c r="M19" s="93"/>
      <c r="N19" s="64"/>
      <c r="O19" s="64"/>
    </row>
    <row r="20" spans="1:16" x14ac:dyDescent="0.35">
      <c r="A20" s="120" t="s">
        <v>397</v>
      </c>
      <c r="B20" s="115" t="s">
        <v>633</v>
      </c>
      <c r="C20" s="115"/>
      <c r="D20" s="117"/>
      <c r="E20" s="117"/>
      <c r="F20" s="117">
        <v>8</v>
      </c>
      <c r="G20" s="117">
        <v>3</v>
      </c>
      <c r="H20" s="117"/>
      <c r="I20" s="117"/>
      <c r="J20" s="85">
        <f t="shared" si="0"/>
        <v>8</v>
      </c>
      <c r="K20" s="86">
        <f t="shared" si="0"/>
        <v>3</v>
      </c>
      <c r="L20" s="92"/>
      <c r="M20" s="92"/>
      <c r="N20" s="90"/>
      <c r="O20" s="90"/>
      <c r="P20" s="49"/>
    </row>
    <row r="21" spans="1:16" x14ac:dyDescent="0.35">
      <c r="A21" s="120" t="s">
        <v>403</v>
      </c>
      <c r="B21" s="115" t="s">
        <v>634</v>
      </c>
      <c r="C21" s="115"/>
      <c r="D21" s="117"/>
      <c r="E21" s="117"/>
      <c r="F21" s="117">
        <v>5</v>
      </c>
      <c r="G21" s="117">
        <f>17+11</f>
        <v>28</v>
      </c>
      <c r="H21" s="117"/>
      <c r="I21" s="117"/>
      <c r="J21" s="85">
        <f t="shared" si="0"/>
        <v>5</v>
      </c>
      <c r="K21" s="86">
        <f t="shared" si="0"/>
        <v>28</v>
      </c>
      <c r="L21" s="92"/>
      <c r="M21" s="92"/>
      <c r="N21" s="90"/>
      <c r="O21" s="90"/>
      <c r="P21" s="49"/>
    </row>
    <row r="22" spans="1:16" x14ac:dyDescent="0.35">
      <c r="A22" s="120" t="s">
        <v>487</v>
      </c>
      <c r="B22" s="115" t="s">
        <v>635</v>
      </c>
      <c r="C22" s="115"/>
      <c r="D22" s="117"/>
      <c r="E22" s="117"/>
      <c r="F22" s="117"/>
      <c r="G22" s="117">
        <v>2</v>
      </c>
      <c r="H22" s="117"/>
      <c r="I22" s="117"/>
      <c r="J22" s="85">
        <f t="shared" si="0"/>
        <v>0</v>
      </c>
      <c r="K22" s="86">
        <f t="shared" si="0"/>
        <v>2</v>
      </c>
      <c r="L22" s="92"/>
      <c r="M22" s="92"/>
      <c r="N22" s="90"/>
      <c r="O22" s="90" t="s">
        <v>663</v>
      </c>
      <c r="P22" s="49"/>
    </row>
    <row r="23" spans="1:16" ht="18" customHeight="1" x14ac:dyDescent="0.35">
      <c r="A23" s="120" t="s">
        <v>487</v>
      </c>
      <c r="B23" s="115" t="s">
        <v>655</v>
      </c>
      <c r="C23" s="115"/>
      <c r="D23" s="117"/>
      <c r="E23" s="117"/>
      <c r="F23" s="117"/>
      <c r="G23" s="117">
        <v>1</v>
      </c>
      <c r="H23" s="117"/>
      <c r="I23" s="117">
        <v>1</v>
      </c>
      <c r="J23" s="85">
        <f>D23+F23-H23</f>
        <v>0</v>
      </c>
      <c r="K23" s="86">
        <f>E23+G23-I23</f>
        <v>0</v>
      </c>
      <c r="L23" s="92"/>
      <c r="M23" s="92"/>
      <c r="N23" s="90"/>
      <c r="O23" s="90"/>
      <c r="P23" s="49"/>
    </row>
    <row r="24" spans="1:16" x14ac:dyDescent="0.35">
      <c r="A24" s="120" t="s">
        <v>638</v>
      </c>
      <c r="B24" s="115" t="s">
        <v>639</v>
      </c>
      <c r="C24" s="118" t="s">
        <v>640</v>
      </c>
      <c r="D24" s="117"/>
      <c r="E24" s="117"/>
      <c r="F24" s="117"/>
      <c r="G24" s="117">
        <v>2</v>
      </c>
      <c r="H24" s="117"/>
      <c r="I24" s="117"/>
      <c r="J24" s="85">
        <f t="shared" si="0"/>
        <v>0</v>
      </c>
      <c r="K24" s="86">
        <f t="shared" si="0"/>
        <v>2</v>
      </c>
      <c r="L24" s="92"/>
      <c r="M24" s="92"/>
      <c r="N24" s="90"/>
      <c r="O24" s="90"/>
      <c r="P24" s="49"/>
    </row>
    <row r="25" spans="1:16" x14ac:dyDescent="0.35">
      <c r="A25" s="120" t="s">
        <v>526</v>
      </c>
      <c r="B25" s="115" t="s">
        <v>641</v>
      </c>
      <c r="C25" s="118" t="s">
        <v>642</v>
      </c>
      <c r="D25" s="117"/>
      <c r="E25" s="117"/>
      <c r="F25" s="117"/>
      <c r="G25" s="117">
        <v>2</v>
      </c>
      <c r="H25" s="117"/>
      <c r="I25" s="117"/>
      <c r="J25" s="85">
        <f t="shared" si="0"/>
        <v>0</v>
      </c>
      <c r="K25" s="86">
        <f t="shared" si="0"/>
        <v>2</v>
      </c>
      <c r="L25" s="92"/>
      <c r="M25" s="92"/>
      <c r="N25" s="90"/>
      <c r="O25" s="90">
        <v>0.14285714285714299</v>
      </c>
      <c r="P25" s="49"/>
    </row>
    <row r="26" spans="1:16" x14ac:dyDescent="0.35">
      <c r="A26" s="120" t="s">
        <v>526</v>
      </c>
      <c r="B26" s="115"/>
      <c r="C26" s="118" t="s">
        <v>651</v>
      </c>
      <c r="D26" s="117"/>
      <c r="E26" s="117">
        <v>1</v>
      </c>
      <c r="F26" s="117"/>
      <c r="G26" s="117"/>
      <c r="H26" s="117"/>
      <c r="I26" s="117"/>
      <c r="J26" s="85">
        <f>D26+F26-H26</f>
        <v>0</v>
      </c>
      <c r="K26" s="86">
        <f>E26+G26-I26</f>
        <v>1</v>
      </c>
      <c r="L26" s="93"/>
      <c r="M26" s="93"/>
      <c r="N26" s="64">
        <v>50000</v>
      </c>
      <c r="O26" s="64"/>
    </row>
    <row r="27" spans="1:16" x14ac:dyDescent="0.35">
      <c r="A27" s="120" t="s">
        <v>526</v>
      </c>
      <c r="B27" s="88" t="s">
        <v>148</v>
      </c>
      <c r="C27" s="118" t="s">
        <v>149</v>
      </c>
      <c r="D27" s="117"/>
      <c r="E27" s="117"/>
      <c r="F27" s="117"/>
      <c r="G27" s="117">
        <v>2</v>
      </c>
      <c r="H27" s="117"/>
      <c r="I27" s="117"/>
      <c r="J27" s="85">
        <f>D27+F27-H27</f>
        <v>0</v>
      </c>
      <c r="K27" s="86">
        <f>E27+G27-I27</f>
        <v>2</v>
      </c>
      <c r="L27" s="92"/>
      <c r="M27" s="92"/>
      <c r="N27" s="90">
        <v>100000</v>
      </c>
      <c r="O27" s="90"/>
      <c r="P27" s="49"/>
    </row>
    <row r="28" spans="1:16" x14ac:dyDescent="0.35">
      <c r="A28" s="120" t="s">
        <v>189</v>
      </c>
      <c r="B28" s="115" t="s">
        <v>655</v>
      </c>
      <c r="C28" s="115"/>
      <c r="D28" s="117"/>
      <c r="E28" s="117"/>
      <c r="F28" s="117"/>
      <c r="G28" s="117">
        <v>3</v>
      </c>
      <c r="H28" s="117"/>
      <c r="I28" s="117"/>
      <c r="J28" s="85">
        <f t="shared" si="0"/>
        <v>0</v>
      </c>
      <c r="K28" s="86">
        <f t="shared" si="0"/>
        <v>3</v>
      </c>
      <c r="L28" s="92"/>
      <c r="M28" s="92"/>
      <c r="N28" s="90"/>
      <c r="O28" s="90"/>
      <c r="P28" s="49"/>
    </row>
    <row r="29" spans="1:16" x14ac:dyDescent="0.35">
      <c r="A29" s="120" t="s">
        <v>203</v>
      </c>
      <c r="B29" s="115" t="s">
        <v>655</v>
      </c>
      <c r="C29" s="115"/>
      <c r="D29" s="117"/>
      <c r="E29" s="117"/>
      <c r="F29" s="117"/>
      <c r="G29" s="117">
        <v>2</v>
      </c>
      <c r="H29" s="117"/>
      <c r="I29" s="117"/>
      <c r="J29" s="85">
        <f t="shared" si="0"/>
        <v>0</v>
      </c>
      <c r="K29" s="86">
        <f t="shared" si="0"/>
        <v>2</v>
      </c>
      <c r="L29" s="92"/>
      <c r="M29" s="92"/>
      <c r="N29" s="90"/>
      <c r="O29" s="90"/>
      <c r="P29" s="49"/>
    </row>
    <row r="30" spans="1:16" ht="30" customHeight="1" x14ac:dyDescent="0.35">
      <c r="A30" s="122" t="s">
        <v>166</v>
      </c>
      <c r="B30" s="91" t="s">
        <v>664</v>
      </c>
      <c r="C30" s="118" t="s">
        <v>649</v>
      </c>
      <c r="D30" s="117"/>
      <c r="E30" s="117">
        <v>1</v>
      </c>
      <c r="F30" s="117"/>
      <c r="G30" s="117"/>
      <c r="H30" s="117"/>
      <c r="I30" s="117"/>
      <c r="J30" s="85">
        <f>D30+F30-H30</f>
        <v>0</v>
      </c>
      <c r="K30" s="86">
        <f>E30+G30-I30</f>
        <v>1</v>
      </c>
      <c r="L30" s="93"/>
      <c r="M30" s="93"/>
      <c r="N30" s="64"/>
      <c r="O30" s="64"/>
    </row>
    <row r="31" spans="1:16" x14ac:dyDescent="0.35">
      <c r="A31" s="123" t="s">
        <v>644</v>
      </c>
      <c r="B31" s="88" t="s">
        <v>143</v>
      </c>
      <c r="C31" s="88" t="s">
        <v>144</v>
      </c>
      <c r="D31" s="117"/>
      <c r="E31" s="117"/>
      <c r="F31" s="117"/>
      <c r="G31" s="117">
        <v>2</v>
      </c>
      <c r="H31" s="117"/>
      <c r="I31" s="117"/>
      <c r="J31" s="85">
        <f t="shared" si="0"/>
        <v>0</v>
      </c>
      <c r="K31" s="86">
        <f t="shared" si="0"/>
        <v>2</v>
      </c>
      <c r="L31" s="92"/>
      <c r="M31" s="92"/>
      <c r="N31" s="90"/>
      <c r="O31" s="90"/>
      <c r="P31" s="49"/>
    </row>
    <row r="32" spans="1:16" x14ac:dyDescent="0.35">
      <c r="A32" s="124" t="s">
        <v>145</v>
      </c>
      <c r="B32" s="88" t="s">
        <v>146</v>
      </c>
      <c r="C32" s="88" t="s">
        <v>147</v>
      </c>
      <c r="D32" s="117"/>
      <c r="E32" s="117">
        <v>2</v>
      </c>
      <c r="F32" s="117"/>
      <c r="G32" s="117"/>
      <c r="H32" s="117"/>
      <c r="I32" s="117"/>
      <c r="J32" s="85">
        <f t="shared" si="0"/>
        <v>0</v>
      </c>
      <c r="K32" s="86">
        <f t="shared" si="0"/>
        <v>2</v>
      </c>
      <c r="L32" s="92"/>
      <c r="M32" s="92"/>
      <c r="N32" s="90">
        <v>100000</v>
      </c>
      <c r="O32" s="90"/>
      <c r="P32" s="49"/>
    </row>
    <row r="33" spans="1:15" x14ac:dyDescent="0.35">
      <c r="A33" s="120" t="s">
        <v>170</v>
      </c>
      <c r="B33" s="115" t="s">
        <v>655</v>
      </c>
      <c r="C33" s="115"/>
      <c r="D33" s="117"/>
      <c r="E33" s="117">
        <v>1</v>
      </c>
      <c r="F33" s="117"/>
      <c r="G33" s="117"/>
      <c r="H33" s="117"/>
      <c r="I33" s="117"/>
      <c r="J33" s="85">
        <f t="shared" si="0"/>
        <v>0</v>
      </c>
      <c r="K33" s="86">
        <f t="shared" si="0"/>
        <v>1</v>
      </c>
      <c r="L33" s="93"/>
      <c r="M33" s="93"/>
      <c r="N33" s="64"/>
      <c r="O33" s="90"/>
    </row>
    <row r="34" spans="1:15" x14ac:dyDescent="0.35">
      <c r="A34" s="123" t="s">
        <v>644</v>
      </c>
      <c r="B34" s="91" t="s">
        <v>150</v>
      </c>
      <c r="C34" s="91" t="s">
        <v>151</v>
      </c>
      <c r="D34" s="117"/>
      <c r="E34" s="117">
        <v>2</v>
      </c>
      <c r="F34" s="117"/>
      <c r="G34" s="117"/>
      <c r="H34" s="117"/>
      <c r="I34" s="117"/>
      <c r="J34" s="85">
        <f t="shared" si="0"/>
        <v>0</v>
      </c>
      <c r="K34" s="86">
        <f t="shared" si="0"/>
        <v>2</v>
      </c>
      <c r="L34" s="93"/>
      <c r="M34" s="93"/>
      <c r="N34" s="64">
        <v>100000</v>
      </c>
      <c r="O34" s="64"/>
    </row>
    <row r="35" spans="1:15" x14ac:dyDescent="0.35">
      <c r="A35" s="126" t="s">
        <v>152</v>
      </c>
      <c r="B35" s="127" t="s">
        <v>655</v>
      </c>
      <c r="C35" s="127"/>
      <c r="D35" s="128"/>
      <c r="E35" s="128">
        <v>15</v>
      </c>
      <c r="F35" s="117"/>
      <c r="G35" s="117"/>
      <c r="H35" s="117"/>
      <c r="I35" s="117"/>
      <c r="J35" s="85">
        <f t="shared" si="0"/>
        <v>0</v>
      </c>
      <c r="K35" s="86">
        <f t="shared" si="0"/>
        <v>15</v>
      </c>
      <c r="L35" s="93"/>
      <c r="M35" s="93"/>
      <c r="N35" s="64"/>
      <c r="O35" s="64"/>
    </row>
    <row r="36" spans="1:15" x14ac:dyDescent="0.35">
      <c r="A36" s="120" t="s">
        <v>128</v>
      </c>
      <c r="B36" s="115" t="s">
        <v>655</v>
      </c>
      <c r="C36" s="115"/>
      <c r="D36" s="117"/>
      <c r="E36" s="117">
        <v>14</v>
      </c>
      <c r="F36" s="117"/>
      <c r="G36" s="117"/>
      <c r="H36" s="117"/>
      <c r="I36" s="117">
        <v>13</v>
      </c>
      <c r="J36" s="85">
        <f t="shared" ref="J36:K63" si="1">D36+F36-H36</f>
        <v>0</v>
      </c>
      <c r="K36" s="86">
        <f t="shared" si="1"/>
        <v>1</v>
      </c>
      <c r="L36" s="93"/>
      <c r="M36" s="93"/>
      <c r="N36" s="64"/>
      <c r="O36" s="64"/>
    </row>
    <row r="37" spans="1:15" ht="24.6" customHeight="1" x14ac:dyDescent="0.35">
      <c r="A37" s="120" t="s">
        <v>160</v>
      </c>
      <c r="B37" s="115" t="s">
        <v>655</v>
      </c>
      <c r="C37" s="115"/>
      <c r="D37" s="117">
        <v>10</v>
      </c>
      <c r="E37" s="117">
        <v>15</v>
      </c>
      <c r="F37" s="117"/>
      <c r="G37" s="117"/>
      <c r="H37" s="117"/>
      <c r="I37" s="117"/>
      <c r="J37" s="85">
        <f t="shared" si="1"/>
        <v>10</v>
      </c>
      <c r="K37" s="86">
        <f t="shared" si="1"/>
        <v>15</v>
      </c>
      <c r="L37" s="93"/>
      <c r="M37" s="93"/>
      <c r="N37" s="64">
        <v>1250000</v>
      </c>
      <c r="O37" s="64"/>
    </row>
    <row r="38" spans="1:15" x14ac:dyDescent="0.35">
      <c r="A38" s="120" t="s">
        <v>161</v>
      </c>
      <c r="B38" s="115" t="s">
        <v>646</v>
      </c>
      <c r="C38" s="115"/>
      <c r="D38" s="117">
        <v>5</v>
      </c>
      <c r="E38" s="117"/>
      <c r="F38" s="117"/>
      <c r="G38" s="117"/>
      <c r="H38" s="117"/>
      <c r="I38" s="117"/>
      <c r="J38" s="85">
        <f t="shared" si="1"/>
        <v>5</v>
      </c>
      <c r="K38" s="86">
        <f t="shared" si="1"/>
        <v>0</v>
      </c>
      <c r="L38" s="93"/>
      <c r="M38" s="93"/>
      <c r="N38" s="64"/>
      <c r="O38" s="64"/>
    </row>
    <row r="39" spans="1:15" ht="24.6" customHeight="1" x14ac:dyDescent="0.35">
      <c r="A39" s="120" t="s">
        <v>163</v>
      </c>
      <c r="B39" s="115" t="s">
        <v>647</v>
      </c>
      <c r="C39" s="115"/>
      <c r="D39" s="117"/>
      <c r="E39" s="117">
        <v>12</v>
      </c>
      <c r="F39" s="117"/>
      <c r="G39" s="117"/>
      <c r="H39" s="117"/>
      <c r="I39" s="117"/>
      <c r="J39" s="85">
        <f t="shared" si="1"/>
        <v>0</v>
      </c>
      <c r="K39" s="86">
        <f t="shared" si="1"/>
        <v>12</v>
      </c>
      <c r="L39" s="93"/>
      <c r="M39" s="93"/>
      <c r="N39" s="64"/>
      <c r="O39" s="64"/>
    </row>
    <row r="40" spans="1:15" x14ac:dyDescent="0.35">
      <c r="A40" s="120" t="s">
        <v>648</v>
      </c>
      <c r="B40" s="115" t="s">
        <v>171</v>
      </c>
      <c r="C40" s="115"/>
      <c r="D40" s="117"/>
      <c r="E40" s="117">
        <v>2</v>
      </c>
      <c r="F40" s="117"/>
      <c r="G40" s="117"/>
      <c r="H40" s="117"/>
      <c r="I40" s="117"/>
      <c r="J40" s="85">
        <f t="shared" si="1"/>
        <v>0</v>
      </c>
      <c r="K40" s="86">
        <f t="shared" si="1"/>
        <v>2</v>
      </c>
      <c r="L40" s="93"/>
      <c r="M40" s="93"/>
      <c r="N40" s="64"/>
      <c r="O40" s="64"/>
    </row>
    <row r="41" spans="1:15" x14ac:dyDescent="0.35">
      <c r="A41" s="125" t="s">
        <v>156</v>
      </c>
      <c r="B41" s="115"/>
      <c r="C41" s="115"/>
      <c r="D41" s="117">
        <v>2</v>
      </c>
      <c r="E41" s="117"/>
      <c r="F41" s="117"/>
      <c r="G41" s="117"/>
      <c r="H41" s="117"/>
      <c r="I41" s="117"/>
      <c r="J41" s="85">
        <f>D41+F41-H41</f>
        <v>2</v>
      </c>
      <c r="K41" s="86">
        <f>E41+G41-I41</f>
        <v>0</v>
      </c>
      <c r="L41" s="93"/>
      <c r="M41" s="93"/>
      <c r="N41" s="64"/>
      <c r="O41" s="64"/>
    </row>
    <row r="42" spans="1:15" x14ac:dyDescent="0.35">
      <c r="A42" s="120" t="s">
        <v>652</v>
      </c>
      <c r="B42" s="115"/>
      <c r="C42" s="115"/>
      <c r="D42" s="117">
        <v>10</v>
      </c>
      <c r="E42" s="117"/>
      <c r="F42" s="117"/>
      <c r="G42" s="117"/>
      <c r="H42" s="117"/>
      <c r="I42" s="117"/>
      <c r="J42" s="85">
        <f t="shared" si="1"/>
        <v>10</v>
      </c>
      <c r="K42" s="86">
        <f t="shared" si="1"/>
        <v>0</v>
      </c>
      <c r="L42" s="93"/>
      <c r="M42" s="93"/>
      <c r="N42" s="64"/>
      <c r="O42" s="64"/>
    </row>
    <row r="43" spans="1:15" x14ac:dyDescent="0.35">
      <c r="A43" s="114"/>
      <c r="B43" s="115"/>
      <c r="C43" s="115"/>
      <c r="D43" s="117"/>
      <c r="E43" s="117"/>
      <c r="F43" s="117"/>
      <c r="G43" s="117"/>
      <c r="H43" s="117"/>
      <c r="I43" s="117"/>
      <c r="J43" s="85">
        <f t="shared" si="1"/>
        <v>0</v>
      </c>
      <c r="K43" s="86">
        <f t="shared" si="1"/>
        <v>0</v>
      </c>
      <c r="L43" s="93"/>
      <c r="M43" s="93"/>
      <c r="N43" s="64"/>
      <c r="O43" s="64"/>
    </row>
    <row r="44" spans="1:15" x14ac:dyDescent="0.35">
      <c r="A44" s="114"/>
      <c r="B44" s="115"/>
      <c r="C44" s="115"/>
      <c r="D44" s="117"/>
      <c r="E44" s="117"/>
      <c r="F44" s="117"/>
      <c r="G44" s="117"/>
      <c r="H44" s="117"/>
      <c r="I44" s="117"/>
      <c r="J44" s="85">
        <f t="shared" si="1"/>
        <v>0</v>
      </c>
      <c r="K44" s="86">
        <f t="shared" si="1"/>
        <v>0</v>
      </c>
      <c r="L44" s="93"/>
      <c r="M44" s="93"/>
      <c r="N44" s="64"/>
      <c r="O44" s="64"/>
    </row>
    <row r="45" spans="1:15" x14ac:dyDescent="0.35">
      <c r="A45" s="114"/>
      <c r="B45" s="115"/>
      <c r="C45" s="115"/>
      <c r="D45" s="117"/>
      <c r="E45" s="117"/>
      <c r="F45" s="117"/>
      <c r="G45" s="117"/>
      <c r="H45" s="117"/>
      <c r="I45" s="117"/>
      <c r="J45" s="85">
        <f t="shared" si="1"/>
        <v>0</v>
      </c>
      <c r="K45" s="86">
        <f t="shared" si="1"/>
        <v>0</v>
      </c>
      <c r="L45" s="93"/>
      <c r="M45" s="93"/>
      <c r="N45" s="64"/>
      <c r="O45" s="64"/>
    </row>
    <row r="46" spans="1:15" x14ac:dyDescent="0.35">
      <c r="A46" s="114"/>
      <c r="B46" s="115"/>
      <c r="C46" s="115"/>
      <c r="D46" s="117"/>
      <c r="E46" s="117"/>
      <c r="F46" s="117"/>
      <c r="G46" s="117"/>
      <c r="H46" s="117"/>
      <c r="I46" s="117"/>
      <c r="J46" s="85">
        <f t="shared" si="1"/>
        <v>0</v>
      </c>
      <c r="K46" s="86">
        <f t="shared" si="1"/>
        <v>0</v>
      </c>
      <c r="L46" s="93"/>
      <c r="M46" s="93"/>
      <c r="N46" s="64"/>
      <c r="O46" s="64"/>
    </row>
    <row r="47" spans="1:15" x14ac:dyDescent="0.35">
      <c r="A47" s="114"/>
      <c r="B47" s="115"/>
      <c r="C47" s="115"/>
      <c r="D47" s="117"/>
      <c r="E47" s="117"/>
      <c r="F47" s="117"/>
      <c r="G47" s="117"/>
      <c r="H47" s="117"/>
      <c r="I47" s="117"/>
      <c r="J47" s="85">
        <f t="shared" si="1"/>
        <v>0</v>
      </c>
      <c r="K47" s="86">
        <f t="shared" si="1"/>
        <v>0</v>
      </c>
      <c r="L47" s="93"/>
      <c r="M47" s="93"/>
      <c r="N47" s="64"/>
      <c r="O47" s="64"/>
    </row>
    <row r="48" spans="1:15" x14ac:dyDescent="0.35">
      <c r="A48" s="114"/>
      <c r="B48" s="115"/>
      <c r="C48" s="115"/>
      <c r="D48" s="117"/>
      <c r="E48" s="117"/>
      <c r="F48" s="117"/>
      <c r="G48" s="117"/>
      <c r="H48" s="117"/>
      <c r="I48" s="117"/>
      <c r="J48" s="85">
        <f t="shared" si="1"/>
        <v>0</v>
      </c>
      <c r="K48" s="86">
        <f t="shared" si="1"/>
        <v>0</v>
      </c>
      <c r="L48" s="93"/>
      <c r="M48" s="93"/>
      <c r="N48" s="64"/>
      <c r="O48" s="64"/>
    </row>
    <row r="49" spans="1:15" x14ac:dyDescent="0.35">
      <c r="A49" s="114"/>
      <c r="B49" s="115"/>
      <c r="C49" s="115"/>
      <c r="D49" s="117"/>
      <c r="E49" s="117"/>
      <c r="F49" s="117"/>
      <c r="G49" s="117"/>
      <c r="H49" s="117"/>
      <c r="I49" s="117"/>
      <c r="J49" s="85">
        <f t="shared" si="1"/>
        <v>0</v>
      </c>
      <c r="K49" s="86">
        <f t="shared" si="1"/>
        <v>0</v>
      </c>
      <c r="L49" s="93"/>
      <c r="M49" s="93"/>
      <c r="N49" s="64"/>
      <c r="O49" s="64"/>
    </row>
    <row r="50" spans="1:15" x14ac:dyDescent="0.35">
      <c r="A50" s="114"/>
      <c r="B50" s="115"/>
      <c r="C50" s="115"/>
      <c r="D50" s="117"/>
      <c r="E50" s="117"/>
      <c r="F50" s="117"/>
      <c r="G50" s="117"/>
      <c r="H50" s="117"/>
      <c r="I50" s="117"/>
      <c r="J50" s="85">
        <f t="shared" si="1"/>
        <v>0</v>
      </c>
      <c r="K50" s="86">
        <f t="shared" si="1"/>
        <v>0</v>
      </c>
      <c r="L50" s="93"/>
      <c r="M50" s="93"/>
      <c r="N50" s="64"/>
      <c r="O50" s="64"/>
    </row>
    <row r="51" spans="1:15" x14ac:dyDescent="0.35">
      <c r="A51" s="114"/>
      <c r="B51" s="115"/>
      <c r="C51" s="115"/>
      <c r="D51" s="117"/>
      <c r="E51" s="117"/>
      <c r="F51" s="117"/>
      <c r="G51" s="117"/>
      <c r="H51" s="117"/>
      <c r="I51" s="117"/>
      <c r="J51" s="85">
        <f t="shared" si="1"/>
        <v>0</v>
      </c>
      <c r="K51" s="86">
        <f t="shared" si="1"/>
        <v>0</v>
      </c>
      <c r="L51" s="93"/>
      <c r="M51" s="93"/>
      <c r="N51" s="64"/>
      <c r="O51" s="64"/>
    </row>
    <row r="52" spans="1:15" x14ac:dyDescent="0.35">
      <c r="A52" s="114"/>
      <c r="B52" s="115"/>
      <c r="C52" s="115"/>
      <c r="D52" s="117"/>
      <c r="E52" s="117"/>
      <c r="F52" s="117"/>
      <c r="G52" s="117"/>
      <c r="H52" s="117"/>
      <c r="I52" s="117"/>
      <c r="J52" s="85">
        <f t="shared" si="1"/>
        <v>0</v>
      </c>
      <c r="K52" s="86">
        <f t="shared" si="1"/>
        <v>0</v>
      </c>
      <c r="L52" s="93"/>
      <c r="M52" s="93"/>
      <c r="N52" s="64"/>
      <c r="O52" s="64"/>
    </row>
    <row r="53" spans="1:15" ht="24" customHeight="1" x14ac:dyDescent="0.35">
      <c r="A53" s="114"/>
      <c r="B53" s="115"/>
      <c r="C53" s="115"/>
      <c r="D53" s="117"/>
      <c r="E53" s="117"/>
      <c r="F53" s="117"/>
      <c r="G53" s="117"/>
      <c r="H53" s="117"/>
      <c r="I53" s="117"/>
      <c r="J53" s="85">
        <f t="shared" si="1"/>
        <v>0</v>
      </c>
      <c r="K53" s="86">
        <f t="shared" si="1"/>
        <v>0</v>
      </c>
      <c r="L53" s="93"/>
      <c r="M53" s="93"/>
      <c r="N53" s="64"/>
      <c r="O53" s="64"/>
    </row>
    <row r="54" spans="1:15" x14ac:dyDescent="0.35">
      <c r="A54" s="114"/>
      <c r="B54" s="115"/>
      <c r="C54" s="115"/>
      <c r="D54" s="117"/>
      <c r="E54" s="117"/>
      <c r="F54" s="117"/>
      <c r="G54" s="117"/>
      <c r="H54" s="117"/>
      <c r="I54" s="117"/>
      <c r="J54" s="85">
        <f t="shared" si="1"/>
        <v>0</v>
      </c>
      <c r="K54" s="86">
        <f t="shared" si="1"/>
        <v>0</v>
      </c>
      <c r="L54" s="93"/>
      <c r="M54" s="93"/>
      <c r="N54" s="64"/>
      <c r="O54" s="64"/>
    </row>
    <row r="55" spans="1:15" x14ac:dyDescent="0.35">
      <c r="A55" s="114"/>
      <c r="B55" s="115"/>
      <c r="C55" s="115"/>
      <c r="D55" s="117"/>
      <c r="E55" s="117"/>
      <c r="F55" s="117"/>
      <c r="G55" s="117"/>
      <c r="H55" s="117"/>
      <c r="I55" s="117"/>
      <c r="J55" s="85">
        <f t="shared" si="1"/>
        <v>0</v>
      </c>
      <c r="K55" s="86">
        <f t="shared" si="1"/>
        <v>0</v>
      </c>
      <c r="L55" s="93"/>
      <c r="M55" s="93"/>
      <c r="N55" s="64"/>
      <c r="O55" s="64"/>
    </row>
    <row r="56" spans="1:15" x14ac:dyDescent="0.35">
      <c r="A56" s="114"/>
      <c r="B56" s="115"/>
      <c r="C56" s="115"/>
      <c r="D56" s="117"/>
      <c r="E56" s="117"/>
      <c r="F56" s="117"/>
      <c r="G56" s="117"/>
      <c r="H56" s="117"/>
      <c r="I56" s="117"/>
      <c r="J56" s="85">
        <f t="shared" si="1"/>
        <v>0</v>
      </c>
      <c r="K56" s="86">
        <f t="shared" si="1"/>
        <v>0</v>
      </c>
      <c r="L56" s="93"/>
      <c r="M56" s="93"/>
      <c r="N56" s="64"/>
      <c r="O56" s="64"/>
    </row>
    <row r="57" spans="1:15" x14ac:dyDescent="0.35">
      <c r="A57" s="114"/>
      <c r="B57" s="115"/>
      <c r="C57" s="115"/>
      <c r="D57" s="117"/>
      <c r="E57" s="117"/>
      <c r="F57" s="117"/>
      <c r="G57" s="117"/>
      <c r="H57" s="117"/>
      <c r="I57" s="117"/>
      <c r="J57" s="85">
        <f t="shared" si="1"/>
        <v>0</v>
      </c>
      <c r="K57" s="86">
        <f t="shared" si="1"/>
        <v>0</v>
      </c>
      <c r="L57" s="93"/>
      <c r="M57" s="93"/>
      <c r="N57" s="64"/>
      <c r="O57" s="64"/>
    </row>
    <row r="58" spans="1:15" x14ac:dyDescent="0.35">
      <c r="A58" s="114"/>
      <c r="B58" s="115"/>
      <c r="C58" s="115"/>
      <c r="D58" s="117"/>
      <c r="E58" s="117"/>
      <c r="F58" s="117"/>
      <c r="G58" s="117"/>
      <c r="H58" s="117"/>
      <c r="I58" s="117"/>
      <c r="J58" s="85">
        <f t="shared" si="1"/>
        <v>0</v>
      </c>
      <c r="K58" s="86">
        <f t="shared" si="1"/>
        <v>0</v>
      </c>
      <c r="L58" s="93"/>
      <c r="M58" s="93"/>
      <c r="N58" s="64"/>
      <c r="O58" s="64"/>
    </row>
    <row r="59" spans="1:15" x14ac:dyDescent="0.35">
      <c r="A59" s="114"/>
      <c r="B59" s="115"/>
      <c r="C59" s="115"/>
      <c r="D59" s="117"/>
      <c r="E59" s="117"/>
      <c r="F59" s="117"/>
      <c r="G59" s="117"/>
      <c r="H59" s="117"/>
      <c r="I59" s="117"/>
      <c r="J59" s="85">
        <f t="shared" si="1"/>
        <v>0</v>
      </c>
      <c r="K59" s="86">
        <f t="shared" si="1"/>
        <v>0</v>
      </c>
      <c r="L59" s="93"/>
      <c r="M59" s="93"/>
      <c r="N59" s="64"/>
      <c r="O59" s="64"/>
    </row>
    <row r="60" spans="1:15" x14ac:dyDescent="0.35">
      <c r="A60" s="114"/>
      <c r="B60" s="115"/>
      <c r="C60" s="115"/>
      <c r="D60" s="117"/>
      <c r="E60" s="117"/>
      <c r="F60" s="117"/>
      <c r="G60" s="117"/>
      <c r="H60" s="117"/>
      <c r="I60" s="117"/>
      <c r="J60" s="85">
        <f t="shared" si="1"/>
        <v>0</v>
      </c>
      <c r="K60" s="86">
        <f t="shared" si="1"/>
        <v>0</v>
      </c>
      <c r="L60" s="93"/>
      <c r="M60" s="93"/>
      <c r="N60" s="64"/>
      <c r="O60" s="64"/>
    </row>
    <row r="61" spans="1:15" x14ac:dyDescent="0.35">
      <c r="A61" s="114"/>
      <c r="B61" s="115"/>
      <c r="C61" s="115"/>
      <c r="D61" s="117"/>
      <c r="E61" s="117"/>
      <c r="F61" s="117"/>
      <c r="G61" s="117"/>
      <c r="H61" s="117"/>
      <c r="I61" s="117"/>
      <c r="J61" s="85">
        <f t="shared" si="1"/>
        <v>0</v>
      </c>
      <c r="K61" s="86">
        <f t="shared" si="1"/>
        <v>0</v>
      </c>
      <c r="L61" s="93"/>
      <c r="M61" s="93"/>
      <c r="N61" s="64"/>
      <c r="O61" s="64"/>
    </row>
    <row r="62" spans="1:15" x14ac:dyDescent="0.35">
      <c r="A62" s="114"/>
      <c r="B62" s="115"/>
      <c r="C62" s="115"/>
      <c r="D62" s="117"/>
      <c r="E62" s="117"/>
      <c r="F62" s="117"/>
      <c r="G62" s="117"/>
      <c r="H62" s="117"/>
      <c r="I62" s="117"/>
      <c r="J62" s="85">
        <f t="shared" si="1"/>
        <v>0</v>
      </c>
      <c r="K62" s="86">
        <f t="shared" si="1"/>
        <v>0</v>
      </c>
      <c r="L62" s="93"/>
      <c r="M62" s="93"/>
      <c r="N62" s="64"/>
      <c r="O62" s="64"/>
    </row>
    <row r="63" spans="1:15" x14ac:dyDescent="0.35">
      <c r="A63" s="114"/>
      <c r="B63" s="115"/>
      <c r="C63" s="115"/>
      <c r="D63" s="117"/>
      <c r="E63" s="117"/>
      <c r="F63" s="117"/>
      <c r="G63" s="117"/>
      <c r="H63" s="117"/>
      <c r="I63" s="117"/>
      <c r="J63" s="85">
        <f t="shared" si="1"/>
        <v>0</v>
      </c>
      <c r="K63" s="86">
        <f t="shared" si="1"/>
        <v>0</v>
      </c>
      <c r="L63" s="93"/>
      <c r="M63" s="93"/>
      <c r="N63" s="64"/>
      <c r="O63" s="64"/>
    </row>
    <row r="64" spans="1:15" x14ac:dyDescent="0.35">
      <c r="A64" s="114"/>
      <c r="B64" s="115"/>
      <c r="C64" s="115"/>
      <c r="D64" s="117"/>
      <c r="E64" s="117"/>
      <c r="F64" s="117"/>
      <c r="G64" s="117"/>
      <c r="H64" s="117"/>
      <c r="I64" s="117"/>
      <c r="J64" s="85">
        <f t="shared" ref="J64:K93" si="2">D64+F64-H64</f>
        <v>0</v>
      </c>
      <c r="K64" s="86">
        <f t="shared" si="2"/>
        <v>0</v>
      </c>
      <c r="L64" s="93"/>
      <c r="M64" s="93"/>
      <c r="N64" s="64"/>
      <c r="O64" s="64"/>
    </row>
    <row r="65" spans="1:15" x14ac:dyDescent="0.35">
      <c r="A65" s="114"/>
      <c r="B65" s="115"/>
      <c r="C65" s="115"/>
      <c r="D65" s="117"/>
      <c r="E65" s="117"/>
      <c r="F65" s="117"/>
      <c r="G65" s="117"/>
      <c r="H65" s="117"/>
      <c r="I65" s="117"/>
      <c r="J65" s="85">
        <f t="shared" si="2"/>
        <v>0</v>
      </c>
      <c r="K65" s="86">
        <f t="shared" si="2"/>
        <v>0</v>
      </c>
      <c r="L65" s="93"/>
      <c r="M65" s="93"/>
      <c r="N65" s="64"/>
      <c r="O65" s="64"/>
    </row>
    <row r="66" spans="1:15" x14ac:dyDescent="0.35">
      <c r="A66" s="114"/>
      <c r="B66" s="115"/>
      <c r="C66" s="115"/>
      <c r="D66" s="117"/>
      <c r="E66" s="117"/>
      <c r="F66" s="117"/>
      <c r="G66" s="117"/>
      <c r="H66" s="117"/>
      <c r="I66" s="117"/>
      <c r="J66" s="85">
        <f t="shared" si="2"/>
        <v>0</v>
      </c>
      <c r="K66" s="86">
        <f t="shared" si="2"/>
        <v>0</v>
      </c>
      <c r="L66" s="93"/>
      <c r="M66" s="93"/>
      <c r="N66" s="64"/>
      <c r="O66" s="64"/>
    </row>
    <row r="67" spans="1:15" x14ac:dyDescent="0.35">
      <c r="A67" s="114"/>
      <c r="B67" s="115"/>
      <c r="C67" s="115"/>
      <c r="D67" s="117"/>
      <c r="E67" s="117"/>
      <c r="F67" s="117"/>
      <c r="G67" s="117"/>
      <c r="H67" s="117"/>
      <c r="I67" s="117"/>
      <c r="J67" s="85">
        <f t="shared" si="2"/>
        <v>0</v>
      </c>
      <c r="K67" s="86">
        <f t="shared" si="2"/>
        <v>0</v>
      </c>
      <c r="L67" s="93"/>
      <c r="M67" s="93"/>
      <c r="N67" s="64"/>
      <c r="O67" s="64"/>
    </row>
    <row r="68" spans="1:15" x14ac:dyDescent="0.35">
      <c r="A68" s="114"/>
      <c r="B68" s="115"/>
      <c r="C68" s="115"/>
      <c r="D68" s="117"/>
      <c r="E68" s="117"/>
      <c r="F68" s="117"/>
      <c r="G68" s="117"/>
      <c r="H68" s="117"/>
      <c r="I68" s="117"/>
      <c r="J68" s="85">
        <f t="shared" si="2"/>
        <v>0</v>
      </c>
      <c r="K68" s="86">
        <f t="shared" si="2"/>
        <v>0</v>
      </c>
      <c r="L68" s="93"/>
      <c r="M68" s="93"/>
      <c r="N68" s="64"/>
      <c r="O68" s="64"/>
    </row>
    <row r="69" spans="1:15" x14ac:dyDescent="0.35">
      <c r="A69" s="114"/>
      <c r="B69" s="115"/>
      <c r="C69" s="115"/>
      <c r="D69" s="117"/>
      <c r="E69" s="117"/>
      <c r="F69" s="117"/>
      <c r="G69" s="117"/>
      <c r="H69" s="117"/>
      <c r="I69" s="117"/>
      <c r="J69" s="85">
        <f t="shared" si="2"/>
        <v>0</v>
      </c>
      <c r="K69" s="86">
        <f t="shared" si="2"/>
        <v>0</v>
      </c>
      <c r="L69" s="93"/>
      <c r="M69" s="93"/>
      <c r="N69" s="64"/>
      <c r="O69" s="64"/>
    </row>
    <row r="70" spans="1:15" x14ac:dyDescent="0.35">
      <c r="A70" s="114"/>
      <c r="B70" s="115"/>
      <c r="C70" s="115"/>
      <c r="D70" s="117"/>
      <c r="E70" s="117"/>
      <c r="F70" s="117"/>
      <c r="G70" s="117"/>
      <c r="H70" s="117"/>
      <c r="I70" s="117"/>
      <c r="J70" s="85">
        <f t="shared" si="2"/>
        <v>0</v>
      </c>
      <c r="K70" s="86">
        <f t="shared" si="2"/>
        <v>0</v>
      </c>
      <c r="L70" s="93"/>
      <c r="M70" s="93"/>
      <c r="N70" s="64"/>
      <c r="O70" s="64"/>
    </row>
    <row r="71" spans="1:15" x14ac:dyDescent="0.35">
      <c r="A71" s="114"/>
      <c r="B71" s="115"/>
      <c r="C71" s="115"/>
      <c r="D71" s="117"/>
      <c r="E71" s="117"/>
      <c r="F71" s="117"/>
      <c r="G71" s="117"/>
      <c r="H71" s="117"/>
      <c r="I71" s="117"/>
      <c r="J71" s="85">
        <f t="shared" si="2"/>
        <v>0</v>
      </c>
      <c r="K71" s="86">
        <f t="shared" si="2"/>
        <v>0</v>
      </c>
      <c r="L71" s="93"/>
      <c r="M71" s="93"/>
      <c r="N71" s="64"/>
      <c r="O71" s="64"/>
    </row>
    <row r="72" spans="1:15" ht="8.25" customHeight="1" x14ac:dyDescent="0.35">
      <c r="A72" s="114"/>
      <c r="B72" s="115"/>
      <c r="C72" s="115"/>
      <c r="D72" s="117"/>
      <c r="E72" s="117"/>
      <c r="F72" s="117"/>
      <c r="G72" s="117"/>
      <c r="H72" s="117"/>
      <c r="I72" s="117"/>
      <c r="J72" s="85">
        <f t="shared" si="2"/>
        <v>0</v>
      </c>
      <c r="K72" s="86">
        <f t="shared" si="2"/>
        <v>0</v>
      </c>
      <c r="L72" s="93"/>
      <c r="M72" s="93"/>
      <c r="N72" s="64"/>
      <c r="O72" s="64"/>
    </row>
    <row r="73" spans="1:15" x14ac:dyDescent="0.35">
      <c r="A73" s="114"/>
      <c r="B73" s="115"/>
      <c r="C73" s="115"/>
      <c r="D73" s="117"/>
      <c r="E73" s="117"/>
      <c r="F73" s="117"/>
      <c r="G73" s="117"/>
      <c r="H73" s="117"/>
      <c r="I73" s="117"/>
      <c r="J73" s="85">
        <f t="shared" si="2"/>
        <v>0</v>
      </c>
      <c r="K73" s="86">
        <f t="shared" si="2"/>
        <v>0</v>
      </c>
      <c r="L73" s="93"/>
      <c r="M73" s="93"/>
      <c r="N73" s="64"/>
      <c r="O73" s="64"/>
    </row>
    <row r="74" spans="1:15" x14ac:dyDescent="0.35">
      <c r="A74" s="114"/>
      <c r="B74" s="115"/>
      <c r="C74" s="115"/>
      <c r="D74" s="117"/>
      <c r="E74" s="117"/>
      <c r="F74" s="117"/>
      <c r="G74" s="117"/>
      <c r="H74" s="117"/>
      <c r="I74" s="117"/>
      <c r="J74" s="85">
        <f t="shared" si="2"/>
        <v>0</v>
      </c>
      <c r="K74" s="86">
        <f t="shared" si="2"/>
        <v>0</v>
      </c>
      <c r="L74" s="93"/>
      <c r="M74" s="93"/>
      <c r="N74" s="64"/>
      <c r="O74" s="64"/>
    </row>
    <row r="75" spans="1:15" x14ac:dyDescent="0.35">
      <c r="A75" s="114"/>
      <c r="B75" s="115"/>
      <c r="C75" s="115"/>
      <c r="D75" s="117"/>
      <c r="E75" s="117"/>
      <c r="F75" s="117"/>
      <c r="G75" s="117"/>
      <c r="H75" s="117"/>
      <c r="I75" s="117"/>
      <c r="J75" s="85">
        <f t="shared" si="2"/>
        <v>0</v>
      </c>
      <c r="K75" s="86">
        <f t="shared" si="2"/>
        <v>0</v>
      </c>
      <c r="L75" s="93"/>
      <c r="M75" s="93"/>
      <c r="N75" s="64"/>
      <c r="O75" s="64"/>
    </row>
    <row r="76" spans="1:15" x14ac:dyDescent="0.35">
      <c r="A76" s="114"/>
      <c r="B76" s="115"/>
      <c r="C76" s="115"/>
      <c r="D76" s="117"/>
      <c r="E76" s="117"/>
      <c r="F76" s="117"/>
      <c r="G76" s="117"/>
      <c r="H76" s="117"/>
      <c r="I76" s="117"/>
      <c r="J76" s="85">
        <f t="shared" si="2"/>
        <v>0</v>
      </c>
      <c r="K76" s="86">
        <f t="shared" si="2"/>
        <v>0</v>
      </c>
      <c r="L76" s="93"/>
      <c r="M76" s="93"/>
      <c r="N76" s="64"/>
      <c r="O76" s="64"/>
    </row>
    <row r="77" spans="1:15" x14ac:dyDescent="0.35">
      <c r="A77" s="114"/>
      <c r="B77" s="115"/>
      <c r="C77" s="115"/>
      <c r="D77" s="117"/>
      <c r="E77" s="117"/>
      <c r="F77" s="117"/>
      <c r="G77" s="117"/>
      <c r="H77" s="117"/>
      <c r="I77" s="117"/>
      <c r="J77" s="85">
        <f t="shared" si="2"/>
        <v>0</v>
      </c>
      <c r="K77" s="86">
        <f t="shared" si="2"/>
        <v>0</v>
      </c>
      <c r="L77" s="93"/>
      <c r="M77" s="93"/>
      <c r="N77" s="64"/>
      <c r="O77" s="64"/>
    </row>
    <row r="78" spans="1:15" x14ac:dyDescent="0.35">
      <c r="A78" s="114"/>
      <c r="B78" s="115"/>
      <c r="C78" s="115"/>
      <c r="D78" s="117"/>
      <c r="E78" s="117"/>
      <c r="F78" s="117"/>
      <c r="G78" s="117"/>
      <c r="H78" s="117"/>
      <c r="I78" s="117"/>
      <c r="J78" s="85">
        <f t="shared" si="2"/>
        <v>0</v>
      </c>
      <c r="K78" s="86">
        <f t="shared" si="2"/>
        <v>0</v>
      </c>
      <c r="L78" s="93"/>
      <c r="M78" s="93"/>
      <c r="N78" s="64"/>
      <c r="O78" s="64"/>
    </row>
    <row r="79" spans="1:15" x14ac:dyDescent="0.35">
      <c r="A79" s="114"/>
      <c r="B79" s="115"/>
      <c r="C79" s="115"/>
      <c r="D79" s="117"/>
      <c r="E79" s="117"/>
      <c r="F79" s="117"/>
      <c r="G79" s="117"/>
      <c r="H79" s="117"/>
      <c r="I79" s="117"/>
      <c r="J79" s="85">
        <f t="shared" si="2"/>
        <v>0</v>
      </c>
      <c r="K79" s="86">
        <f t="shared" si="2"/>
        <v>0</v>
      </c>
      <c r="L79" s="93"/>
      <c r="M79" s="93"/>
      <c r="N79" s="64"/>
      <c r="O79" s="64"/>
    </row>
    <row r="80" spans="1:15" x14ac:dyDescent="0.35">
      <c r="A80" s="114"/>
      <c r="B80" s="115"/>
      <c r="C80" s="115"/>
      <c r="D80" s="117"/>
      <c r="E80" s="117"/>
      <c r="F80" s="117"/>
      <c r="G80" s="117"/>
      <c r="H80" s="117"/>
      <c r="I80" s="117"/>
      <c r="J80" s="85">
        <f t="shared" si="2"/>
        <v>0</v>
      </c>
      <c r="K80" s="86">
        <f t="shared" si="2"/>
        <v>0</v>
      </c>
      <c r="L80" s="93"/>
      <c r="M80" s="93"/>
      <c r="N80" s="64"/>
      <c r="O80" s="64"/>
    </row>
    <row r="81" spans="1:15" x14ac:dyDescent="0.35">
      <c r="A81" s="114"/>
      <c r="B81" s="115"/>
      <c r="C81" s="115"/>
      <c r="D81" s="117"/>
      <c r="E81" s="117"/>
      <c r="F81" s="117"/>
      <c r="G81" s="117"/>
      <c r="H81" s="117"/>
      <c r="I81" s="117"/>
      <c r="J81" s="85">
        <f t="shared" si="2"/>
        <v>0</v>
      </c>
      <c r="K81" s="86">
        <f t="shared" si="2"/>
        <v>0</v>
      </c>
      <c r="L81" s="93"/>
      <c r="M81" s="93"/>
      <c r="N81" s="64"/>
      <c r="O81" s="64"/>
    </row>
    <row r="82" spans="1:15" x14ac:dyDescent="0.35">
      <c r="A82" s="114"/>
      <c r="B82" s="115"/>
      <c r="C82" s="115"/>
      <c r="D82" s="117"/>
      <c r="E82" s="117"/>
      <c r="F82" s="117"/>
      <c r="G82" s="117"/>
      <c r="H82" s="117"/>
      <c r="I82" s="117"/>
      <c r="J82" s="85">
        <f t="shared" si="2"/>
        <v>0</v>
      </c>
      <c r="K82" s="86">
        <f t="shared" si="2"/>
        <v>0</v>
      </c>
      <c r="L82" s="93"/>
      <c r="M82" s="93"/>
      <c r="N82" s="64"/>
      <c r="O82" s="64"/>
    </row>
    <row r="83" spans="1:15" x14ac:dyDescent="0.35">
      <c r="A83" s="114"/>
      <c r="B83" s="115"/>
      <c r="C83" s="115"/>
      <c r="D83" s="117"/>
      <c r="E83" s="117"/>
      <c r="F83" s="117"/>
      <c r="G83" s="117"/>
      <c r="H83" s="117"/>
      <c r="I83" s="117"/>
      <c r="J83" s="85">
        <f t="shared" si="2"/>
        <v>0</v>
      </c>
      <c r="K83" s="86">
        <f t="shared" si="2"/>
        <v>0</v>
      </c>
      <c r="L83" s="93"/>
      <c r="M83" s="93"/>
      <c r="N83" s="64"/>
      <c r="O83" s="64"/>
    </row>
    <row r="84" spans="1:15" x14ac:dyDescent="0.35">
      <c r="A84" s="114"/>
      <c r="B84" s="115"/>
      <c r="C84" s="115"/>
      <c r="D84" s="117"/>
      <c r="E84" s="117"/>
      <c r="F84" s="117"/>
      <c r="G84" s="117"/>
      <c r="H84" s="117"/>
      <c r="I84" s="117"/>
      <c r="J84" s="85">
        <f t="shared" si="2"/>
        <v>0</v>
      </c>
      <c r="K84" s="86">
        <f t="shared" si="2"/>
        <v>0</v>
      </c>
      <c r="L84" s="93"/>
      <c r="M84" s="93"/>
      <c r="N84" s="64"/>
      <c r="O84" s="64"/>
    </row>
    <row r="85" spans="1:15" x14ac:dyDescent="0.35">
      <c r="A85" s="114"/>
      <c r="B85" s="115"/>
      <c r="C85" s="115"/>
      <c r="D85" s="117"/>
      <c r="E85" s="117"/>
      <c r="F85" s="117"/>
      <c r="G85" s="117"/>
      <c r="H85" s="117"/>
      <c r="I85" s="117"/>
      <c r="J85" s="85">
        <f t="shared" si="2"/>
        <v>0</v>
      </c>
      <c r="K85" s="86">
        <f t="shared" si="2"/>
        <v>0</v>
      </c>
      <c r="L85" s="93"/>
      <c r="M85" s="93"/>
      <c r="N85" s="64"/>
      <c r="O85" s="64"/>
    </row>
    <row r="86" spans="1:15" x14ac:dyDescent="0.35">
      <c r="A86" s="114"/>
      <c r="B86" s="115"/>
      <c r="C86" s="115"/>
      <c r="D86" s="117"/>
      <c r="E86" s="117"/>
      <c r="F86" s="117"/>
      <c r="G86" s="117"/>
      <c r="H86" s="117"/>
      <c r="I86" s="117"/>
      <c r="J86" s="85">
        <f t="shared" si="2"/>
        <v>0</v>
      </c>
      <c r="K86" s="86">
        <f t="shared" si="2"/>
        <v>0</v>
      </c>
      <c r="L86" s="93"/>
      <c r="M86" s="93"/>
      <c r="N86" s="64"/>
      <c r="O86" s="64"/>
    </row>
    <row r="87" spans="1:15" x14ac:dyDescent="0.35">
      <c r="A87" s="114"/>
      <c r="B87" s="115"/>
      <c r="C87" s="115"/>
      <c r="D87" s="117"/>
      <c r="E87" s="117"/>
      <c r="F87" s="117"/>
      <c r="G87" s="117"/>
      <c r="H87" s="117"/>
      <c r="I87" s="117"/>
      <c r="J87" s="85">
        <f t="shared" si="2"/>
        <v>0</v>
      </c>
      <c r="K87" s="86">
        <f t="shared" si="2"/>
        <v>0</v>
      </c>
      <c r="L87" s="93"/>
      <c r="M87" s="93"/>
      <c r="N87" s="64"/>
      <c r="O87" s="64"/>
    </row>
    <row r="88" spans="1:15" x14ac:dyDescent="0.35">
      <c r="A88" s="114"/>
      <c r="B88" s="115"/>
      <c r="C88" s="115"/>
      <c r="D88" s="117"/>
      <c r="E88" s="117"/>
      <c r="F88" s="117"/>
      <c r="G88" s="117"/>
      <c r="H88" s="117"/>
      <c r="I88" s="117"/>
      <c r="J88" s="85">
        <f t="shared" si="2"/>
        <v>0</v>
      </c>
      <c r="K88" s="86">
        <f t="shared" si="2"/>
        <v>0</v>
      </c>
      <c r="L88" s="93"/>
      <c r="M88" s="93"/>
      <c r="N88" s="64"/>
      <c r="O88" s="64"/>
    </row>
    <row r="89" spans="1:15" x14ac:dyDescent="0.35">
      <c r="A89" s="114"/>
      <c r="B89" s="115"/>
      <c r="C89" s="115"/>
      <c r="D89" s="117"/>
      <c r="E89" s="117"/>
      <c r="F89" s="117"/>
      <c r="G89" s="117"/>
      <c r="H89" s="117"/>
      <c r="I89" s="117"/>
      <c r="J89" s="85">
        <f t="shared" si="2"/>
        <v>0</v>
      </c>
      <c r="K89" s="86">
        <f t="shared" si="2"/>
        <v>0</v>
      </c>
      <c r="L89" s="93"/>
      <c r="M89" s="93"/>
      <c r="N89" s="64"/>
      <c r="O89" s="64"/>
    </row>
    <row r="90" spans="1:15" x14ac:dyDescent="0.35">
      <c r="A90" s="114"/>
      <c r="B90" s="115"/>
      <c r="C90" s="115"/>
      <c r="D90" s="117"/>
      <c r="E90" s="117"/>
      <c r="F90" s="117"/>
      <c r="G90" s="117"/>
      <c r="H90" s="117"/>
      <c r="I90" s="117"/>
      <c r="J90" s="85">
        <f t="shared" si="2"/>
        <v>0</v>
      </c>
      <c r="K90" s="86">
        <f t="shared" si="2"/>
        <v>0</v>
      </c>
      <c r="L90" s="93"/>
      <c r="M90" s="93"/>
      <c r="N90" s="64"/>
      <c r="O90" s="64"/>
    </row>
    <row r="91" spans="1:15" x14ac:dyDescent="0.35">
      <c r="A91" s="114"/>
      <c r="B91" s="115"/>
      <c r="C91" s="115"/>
      <c r="D91" s="117"/>
      <c r="E91" s="117"/>
      <c r="F91" s="117"/>
      <c r="G91" s="117"/>
      <c r="H91" s="117"/>
      <c r="I91" s="117"/>
      <c r="J91" s="85">
        <f t="shared" si="2"/>
        <v>0</v>
      </c>
      <c r="K91" s="86">
        <f t="shared" si="2"/>
        <v>0</v>
      </c>
      <c r="L91" s="93"/>
      <c r="M91" s="93"/>
      <c r="N91" s="64"/>
      <c r="O91" s="64"/>
    </row>
    <row r="92" spans="1:15" x14ac:dyDescent="0.35">
      <c r="A92" s="114"/>
      <c r="B92" s="115"/>
      <c r="C92" s="115"/>
      <c r="D92" s="117"/>
      <c r="E92" s="117"/>
      <c r="F92" s="117"/>
      <c r="G92" s="117"/>
      <c r="H92" s="117"/>
      <c r="I92" s="117"/>
      <c r="J92" s="85">
        <f t="shared" si="2"/>
        <v>0</v>
      </c>
      <c r="K92" s="86">
        <f t="shared" si="2"/>
        <v>0</v>
      </c>
      <c r="L92" s="93"/>
      <c r="M92" s="93"/>
      <c r="N92" s="64"/>
      <c r="O92" s="64"/>
    </row>
    <row r="93" spans="1:15" x14ac:dyDescent="0.35">
      <c r="A93" s="114"/>
      <c r="B93" s="115"/>
      <c r="C93" s="115"/>
      <c r="D93" s="117"/>
      <c r="E93" s="117"/>
      <c r="F93" s="117"/>
      <c r="G93" s="117"/>
      <c r="H93" s="117"/>
      <c r="I93" s="117"/>
      <c r="J93" s="85">
        <f t="shared" si="2"/>
        <v>0</v>
      </c>
      <c r="K93" s="86">
        <f t="shared" si="2"/>
        <v>0</v>
      </c>
      <c r="L93" s="93"/>
      <c r="M93" s="93"/>
      <c r="N93" s="64"/>
      <c r="O93" s="64"/>
    </row>
    <row r="94" spans="1:15" x14ac:dyDescent="0.35">
      <c r="J94" s="94">
        <f>SUM(J12:J93)</f>
        <v>75</v>
      </c>
      <c r="K94" s="94">
        <f>SUM(K12:K93)</f>
        <v>253</v>
      </c>
      <c r="L94" s="94">
        <f>SUM(L12:L93)</f>
        <v>0</v>
      </c>
      <c r="M94" s="94">
        <f>SUM(M12:M93)</f>
        <v>0</v>
      </c>
    </row>
    <row r="95" spans="1:15" x14ac:dyDescent="0.35">
      <c r="J95" s="144"/>
      <c r="K95" s="144"/>
    </row>
  </sheetData>
  <autoFilter ref="A1:O94" xr:uid="{00000000-0009-0000-0000-000008000000}"/>
  <mergeCells count="11">
    <mergeCell ref="H1:I1"/>
    <mergeCell ref="A1:A2"/>
    <mergeCell ref="B1:B2"/>
    <mergeCell ref="C1:C2"/>
    <mergeCell ref="D1:E1"/>
    <mergeCell ref="F1:G1"/>
    <mergeCell ref="J1:K1"/>
    <mergeCell ref="L1:M1"/>
    <mergeCell ref="N1:N2"/>
    <mergeCell ref="O1:O2"/>
    <mergeCell ref="J95:K95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7"/>
  <sheetViews>
    <sheetView zoomScaleNormal="100" workbookViewId="0">
      <selection activeCell="A34" sqref="A34:XFD34"/>
    </sheetView>
  </sheetViews>
  <sheetFormatPr defaultColWidth="8.54296875" defaultRowHeight="18" x14ac:dyDescent="0.35"/>
  <cols>
    <col min="1" max="1" width="26" customWidth="1"/>
    <col min="2" max="2" width="41.81640625" customWidth="1"/>
    <col min="3" max="3" width="11.08984375" customWidth="1"/>
    <col min="4" max="4" width="5.6328125" customWidth="1"/>
    <col min="5" max="5" width="6" customWidth="1"/>
    <col min="6" max="6" width="5.1796875" customWidth="1"/>
    <col min="7" max="7" width="5.81640625" customWidth="1"/>
    <col min="8" max="8" width="5.6328125" customWidth="1"/>
    <col min="9" max="9" width="5.36328125" customWidth="1"/>
    <col min="10" max="10" width="5" customWidth="1"/>
    <col min="11" max="11" width="5.08984375" customWidth="1"/>
    <col min="12" max="12" width="5.36328125" customWidth="1"/>
    <col min="13" max="13" width="5.08984375" customWidth="1"/>
    <col min="14" max="14" width="8.90625" style="39" customWidth="1"/>
    <col min="15" max="15" width="25.1796875" style="39" customWidth="1"/>
  </cols>
  <sheetData>
    <row r="1" spans="1:16" ht="36.75" customHeight="1" x14ac:dyDescent="0.35">
      <c r="A1" s="141" t="s">
        <v>133</v>
      </c>
      <c r="B1" s="141" t="s">
        <v>134</v>
      </c>
      <c r="C1" s="141" t="s">
        <v>135</v>
      </c>
      <c r="D1" s="145" t="s">
        <v>136</v>
      </c>
      <c r="E1" s="145"/>
      <c r="F1" s="141" t="s">
        <v>0</v>
      </c>
      <c r="G1" s="141"/>
      <c r="H1" s="141" t="s">
        <v>137</v>
      </c>
      <c r="I1" s="141"/>
      <c r="J1" s="140" t="s">
        <v>138</v>
      </c>
      <c r="K1" s="140"/>
      <c r="L1" s="141" t="s">
        <v>139</v>
      </c>
      <c r="M1" s="141"/>
      <c r="N1" s="142" t="s">
        <v>140</v>
      </c>
      <c r="O1" s="143" t="s">
        <v>141</v>
      </c>
    </row>
    <row r="2" spans="1:16" ht="17.25" customHeight="1" x14ac:dyDescent="0.35">
      <c r="A2" s="141"/>
      <c r="B2" s="141"/>
      <c r="C2" s="141"/>
      <c r="D2" s="109" t="s">
        <v>621</v>
      </c>
      <c r="E2" s="109" t="s">
        <v>142</v>
      </c>
      <c r="F2" s="109" t="s">
        <v>621</v>
      </c>
      <c r="G2" s="109" t="s">
        <v>142</v>
      </c>
      <c r="H2" s="109" t="s">
        <v>621</v>
      </c>
      <c r="I2" s="109" t="s">
        <v>142</v>
      </c>
      <c r="J2" s="109" t="s">
        <v>621</v>
      </c>
      <c r="K2" s="109" t="s">
        <v>142</v>
      </c>
      <c r="L2" s="109" t="s">
        <v>621</v>
      </c>
      <c r="M2" s="109" t="s">
        <v>142</v>
      </c>
      <c r="N2" s="142"/>
      <c r="O2" s="143"/>
    </row>
    <row r="3" spans="1:16" ht="17.25" customHeight="1" x14ac:dyDescent="0.35">
      <c r="A3" s="109" t="s">
        <v>622</v>
      </c>
      <c r="B3" s="109"/>
      <c r="C3" s="109"/>
      <c r="D3" s="109">
        <v>70</v>
      </c>
      <c r="E3" s="109">
        <v>282</v>
      </c>
      <c r="F3" s="109">
        <v>52</v>
      </c>
      <c r="G3" s="109">
        <v>270</v>
      </c>
      <c r="H3" s="109">
        <v>19</v>
      </c>
      <c r="I3" s="109">
        <v>140</v>
      </c>
      <c r="J3" s="85">
        <f>D3+F3-H3</f>
        <v>103</v>
      </c>
      <c r="K3" s="86">
        <f>E3+G3-I3</f>
        <v>412</v>
      </c>
      <c r="L3" s="109"/>
      <c r="M3" s="109"/>
      <c r="N3" s="87"/>
      <c r="O3" s="110"/>
    </row>
    <row r="4" spans="1:16" ht="17.25" customHeight="1" x14ac:dyDescent="0.35">
      <c r="A4" s="109" t="s">
        <v>623</v>
      </c>
      <c r="B4" s="109"/>
      <c r="C4" s="109"/>
      <c r="D4" s="109"/>
      <c r="E4" s="109"/>
      <c r="F4" s="109"/>
      <c r="G4" s="109"/>
      <c r="H4" s="109"/>
      <c r="I4" s="109"/>
      <c r="J4" s="112">
        <f>SUM(J6:J95)</f>
        <v>103</v>
      </c>
      <c r="K4" s="112">
        <f>SUM(K6:K95)</f>
        <v>439</v>
      </c>
      <c r="L4" s="109"/>
      <c r="M4" s="109"/>
      <c r="N4" s="87"/>
      <c r="O4" s="110"/>
    </row>
    <row r="5" spans="1:16" ht="17.25" customHeight="1" x14ac:dyDescent="0.35">
      <c r="A5" s="109" t="s">
        <v>624</v>
      </c>
      <c r="B5" s="109"/>
      <c r="C5" s="109"/>
      <c r="D5" s="109"/>
      <c r="E5" s="109"/>
      <c r="F5" s="109"/>
      <c r="G5" s="109"/>
      <c r="H5" s="109"/>
      <c r="I5" s="109"/>
      <c r="J5" s="112">
        <f>J4-J3</f>
        <v>0</v>
      </c>
      <c r="K5" s="112">
        <f>K4-K3</f>
        <v>27</v>
      </c>
      <c r="L5" s="109"/>
      <c r="M5" s="109"/>
      <c r="N5" s="87"/>
      <c r="O5" s="110"/>
    </row>
    <row r="6" spans="1:16" ht="17.25" customHeight="1" x14ac:dyDescent="0.35">
      <c r="A6" s="119" t="s">
        <v>44</v>
      </c>
      <c r="B6" s="113" t="s">
        <v>632</v>
      </c>
      <c r="C6" s="113"/>
      <c r="D6" s="113"/>
      <c r="E6" s="113"/>
      <c r="F6" s="113"/>
      <c r="G6" s="113">
        <v>125</v>
      </c>
      <c r="H6" s="113"/>
      <c r="I6" s="113"/>
      <c r="J6" s="85">
        <f t="shared" ref="J6:K37" si="0">D6+F6-H6</f>
        <v>0</v>
      </c>
      <c r="K6" s="86">
        <f t="shared" si="0"/>
        <v>125</v>
      </c>
      <c r="L6" s="109"/>
      <c r="M6" s="109"/>
      <c r="N6" s="87"/>
      <c r="O6" s="110"/>
    </row>
    <row r="7" spans="1:16" x14ac:dyDescent="0.35">
      <c r="A7" s="120" t="s">
        <v>44</v>
      </c>
      <c r="B7" s="115" t="s">
        <v>625</v>
      </c>
      <c r="C7" s="115"/>
      <c r="D7" s="117">
        <v>1</v>
      </c>
      <c r="E7" s="117"/>
      <c r="F7" s="117"/>
      <c r="G7" s="117"/>
      <c r="H7" s="117"/>
      <c r="I7" s="117"/>
      <c r="J7" s="85">
        <f>D7+F7-H7</f>
        <v>1</v>
      </c>
      <c r="K7" s="86">
        <f>E7+G7-I7</f>
        <v>0</v>
      </c>
      <c r="L7" s="93"/>
      <c r="M7" s="93"/>
      <c r="N7" s="64"/>
      <c r="O7" s="64"/>
    </row>
    <row r="8" spans="1:16" ht="17.25" customHeight="1" x14ac:dyDescent="0.35">
      <c r="A8" s="119" t="s">
        <v>158</v>
      </c>
      <c r="B8" s="113" t="s">
        <v>631</v>
      </c>
      <c r="C8" s="113"/>
      <c r="D8" s="113">
        <v>5</v>
      </c>
      <c r="E8" s="113"/>
      <c r="F8" s="113">
        <v>11</v>
      </c>
      <c r="G8" s="113"/>
      <c r="H8" s="113"/>
      <c r="I8" s="113"/>
      <c r="J8" s="85">
        <f t="shared" si="0"/>
        <v>16</v>
      </c>
      <c r="K8" s="86">
        <f t="shared" si="0"/>
        <v>0</v>
      </c>
      <c r="L8" s="109"/>
      <c r="M8" s="109"/>
      <c r="N8" s="87"/>
      <c r="O8" s="110"/>
    </row>
    <row r="9" spans="1:16" ht="20.25" customHeight="1" x14ac:dyDescent="0.35">
      <c r="A9" s="120" t="s">
        <v>158</v>
      </c>
      <c r="B9" s="115" t="s">
        <v>643</v>
      </c>
      <c r="C9" s="115"/>
      <c r="D9" s="117">
        <v>10</v>
      </c>
      <c r="E9" s="117">
        <v>35</v>
      </c>
      <c r="F9" s="117"/>
      <c r="G9" s="117">
        <v>22</v>
      </c>
      <c r="H9" s="117"/>
      <c r="I9" s="117"/>
      <c r="J9" s="85">
        <f t="shared" ref="J9:K11" si="1">D9+F9-H9</f>
        <v>10</v>
      </c>
      <c r="K9" s="86">
        <f t="shared" si="1"/>
        <v>57</v>
      </c>
      <c r="L9" s="92"/>
      <c r="M9" s="92"/>
      <c r="N9" s="90"/>
      <c r="O9" s="90"/>
      <c r="P9" s="49"/>
    </row>
    <row r="10" spans="1:16" x14ac:dyDescent="0.35">
      <c r="A10" s="120" t="s">
        <v>158</v>
      </c>
      <c r="B10" s="115" t="s">
        <v>159</v>
      </c>
      <c r="C10" s="115"/>
      <c r="D10" s="117">
        <v>1</v>
      </c>
      <c r="E10" s="117"/>
      <c r="F10" s="117"/>
      <c r="G10" s="117"/>
      <c r="H10" s="117"/>
      <c r="I10" s="117"/>
      <c r="J10" s="85">
        <f t="shared" si="1"/>
        <v>1</v>
      </c>
      <c r="K10" s="86">
        <f t="shared" si="1"/>
        <v>0</v>
      </c>
      <c r="L10" s="93"/>
      <c r="M10" s="93"/>
      <c r="N10" s="64"/>
      <c r="O10" s="64"/>
    </row>
    <row r="11" spans="1:16" ht="21" customHeight="1" x14ac:dyDescent="0.35">
      <c r="A11" s="120" t="s">
        <v>158</v>
      </c>
      <c r="B11" s="115" t="s">
        <v>656</v>
      </c>
      <c r="C11" s="115"/>
      <c r="D11" s="117"/>
      <c r="E11" s="117">
        <v>3</v>
      </c>
      <c r="F11" s="117"/>
      <c r="G11" s="117"/>
      <c r="H11" s="117"/>
      <c r="I11" s="117"/>
      <c r="J11" s="85">
        <f t="shared" si="1"/>
        <v>0</v>
      </c>
      <c r="K11" s="86">
        <f t="shared" si="1"/>
        <v>3</v>
      </c>
      <c r="L11" s="93"/>
      <c r="M11" s="93"/>
      <c r="N11" s="64"/>
      <c r="O11" s="64"/>
    </row>
    <row r="12" spans="1:16" x14ac:dyDescent="0.35">
      <c r="A12" s="120" t="s">
        <v>43</v>
      </c>
      <c r="B12" s="115" t="s">
        <v>625</v>
      </c>
      <c r="C12" s="115"/>
      <c r="D12" s="116">
        <v>5</v>
      </c>
      <c r="E12" s="116">
        <v>91</v>
      </c>
      <c r="F12" s="116">
        <v>5</v>
      </c>
      <c r="G12" s="116">
        <v>33</v>
      </c>
      <c r="H12" s="116"/>
      <c r="I12" s="116">
        <f>23+21</f>
        <v>44</v>
      </c>
      <c r="J12" s="85">
        <f t="shared" si="0"/>
        <v>10</v>
      </c>
      <c r="K12" s="86">
        <f t="shared" si="0"/>
        <v>80</v>
      </c>
      <c r="L12" s="109"/>
      <c r="M12" s="109"/>
      <c r="N12" s="89"/>
      <c r="O12" s="90"/>
    </row>
    <row r="13" spans="1:16" x14ac:dyDescent="0.35">
      <c r="A13" s="121" t="s">
        <v>43</v>
      </c>
      <c r="B13" s="115" t="s">
        <v>636</v>
      </c>
      <c r="C13" s="115"/>
      <c r="D13" s="117"/>
      <c r="E13" s="117"/>
      <c r="F13" s="117"/>
      <c r="G13" s="117">
        <v>12</v>
      </c>
      <c r="H13" s="117"/>
      <c r="I13" s="117">
        <v>8</v>
      </c>
      <c r="J13" s="85">
        <f>D13+F13-H13</f>
        <v>0</v>
      </c>
      <c r="K13" s="86">
        <f>E13+G13-I13</f>
        <v>4</v>
      </c>
      <c r="L13" s="92"/>
      <c r="M13" s="92"/>
      <c r="N13" s="90"/>
      <c r="O13" s="90"/>
      <c r="P13" s="49"/>
    </row>
    <row r="14" spans="1:16" x14ac:dyDescent="0.35">
      <c r="A14" s="120" t="s">
        <v>43</v>
      </c>
      <c r="B14" s="115" t="s">
        <v>637</v>
      </c>
      <c r="C14" s="115"/>
      <c r="D14" s="117"/>
      <c r="E14" s="117"/>
      <c r="F14" s="117"/>
      <c r="G14" s="117">
        <v>2</v>
      </c>
      <c r="H14" s="117"/>
      <c r="I14" s="117"/>
      <c r="J14" s="85">
        <f>D14+F14-H14</f>
        <v>0</v>
      </c>
      <c r="K14" s="86">
        <f>E14+G14-I14</f>
        <v>2</v>
      </c>
      <c r="L14" s="92"/>
      <c r="M14" s="92"/>
      <c r="N14" s="90"/>
      <c r="O14" s="90"/>
      <c r="P14" s="49" t="s">
        <v>157</v>
      </c>
    </row>
    <row r="15" spans="1:16" x14ac:dyDescent="0.35">
      <c r="A15" s="120" t="s">
        <v>47</v>
      </c>
      <c r="B15" s="115" t="s">
        <v>626</v>
      </c>
      <c r="C15" s="115"/>
      <c r="D15" s="116"/>
      <c r="E15" s="116"/>
      <c r="F15" s="116">
        <v>6</v>
      </c>
      <c r="G15" s="116">
        <v>3</v>
      </c>
      <c r="H15" s="116"/>
      <c r="I15" s="116"/>
      <c r="J15" s="85">
        <f t="shared" si="0"/>
        <v>6</v>
      </c>
      <c r="K15" s="86">
        <f t="shared" si="0"/>
        <v>3</v>
      </c>
      <c r="L15" s="109"/>
      <c r="M15" s="109"/>
      <c r="N15" s="89"/>
      <c r="O15" s="90"/>
    </row>
    <row r="16" spans="1:16" x14ac:dyDescent="0.35">
      <c r="A16" s="120" t="s">
        <v>255</v>
      </c>
      <c r="B16" s="115" t="s">
        <v>627</v>
      </c>
      <c r="C16" s="115"/>
      <c r="D16" s="116"/>
      <c r="E16" s="116"/>
      <c r="F16" s="116">
        <v>11</v>
      </c>
      <c r="G16" s="116"/>
      <c r="H16" s="116"/>
      <c r="I16" s="116"/>
      <c r="J16" s="85">
        <f t="shared" si="0"/>
        <v>11</v>
      </c>
      <c r="K16" s="86">
        <f t="shared" si="0"/>
        <v>0</v>
      </c>
      <c r="L16" s="109"/>
      <c r="M16" s="109"/>
      <c r="N16" s="89"/>
      <c r="O16" s="90"/>
    </row>
    <row r="17" spans="1:16" x14ac:dyDescent="0.35">
      <c r="A17" s="120" t="s">
        <v>45</v>
      </c>
      <c r="B17" s="115" t="s">
        <v>654</v>
      </c>
      <c r="C17" s="115"/>
      <c r="D17" s="116"/>
      <c r="E17" s="116">
        <v>12</v>
      </c>
      <c r="F17" s="116"/>
      <c r="G17" s="116">
        <v>11</v>
      </c>
      <c r="H17" s="116"/>
      <c r="I17" s="116">
        <v>8</v>
      </c>
      <c r="J17" s="85">
        <f t="shared" si="0"/>
        <v>0</v>
      </c>
      <c r="K17" s="86">
        <f t="shared" si="0"/>
        <v>15</v>
      </c>
      <c r="L17" s="109"/>
      <c r="M17" s="109"/>
      <c r="N17" s="89"/>
      <c r="O17" s="90"/>
    </row>
    <row r="18" spans="1:16" x14ac:dyDescent="0.35">
      <c r="A18" s="120" t="s">
        <v>628</v>
      </c>
      <c r="B18" s="115" t="s">
        <v>629</v>
      </c>
      <c r="C18" s="115"/>
      <c r="D18" s="117"/>
      <c r="E18" s="117"/>
      <c r="F18" s="117"/>
      <c r="G18" s="117">
        <v>16</v>
      </c>
      <c r="H18" s="117"/>
      <c r="I18" s="117"/>
      <c r="J18" s="85">
        <f t="shared" si="0"/>
        <v>0</v>
      </c>
      <c r="K18" s="86">
        <f t="shared" si="0"/>
        <v>16</v>
      </c>
      <c r="L18" s="92"/>
      <c r="M18" s="92"/>
      <c r="N18" s="90"/>
      <c r="O18" s="90"/>
    </row>
    <row r="19" spans="1:16" ht="21.75" customHeight="1" x14ac:dyDescent="0.35">
      <c r="A19" s="120" t="s">
        <v>41</v>
      </c>
      <c r="B19" s="115" t="s">
        <v>630</v>
      </c>
      <c r="C19" s="115"/>
      <c r="D19" s="117"/>
      <c r="E19" s="117"/>
      <c r="F19" s="117"/>
      <c r="G19" s="117">
        <v>24</v>
      </c>
      <c r="H19" s="117"/>
      <c r="I19" s="117"/>
      <c r="J19" s="85">
        <f t="shared" si="0"/>
        <v>0</v>
      </c>
      <c r="K19" s="86">
        <f t="shared" si="0"/>
        <v>24</v>
      </c>
      <c r="L19" s="92"/>
      <c r="M19" s="92"/>
      <c r="N19" s="90"/>
      <c r="O19" s="90"/>
      <c r="P19" s="49"/>
    </row>
    <row r="20" spans="1:16" x14ac:dyDescent="0.35">
      <c r="A20" s="120" t="s">
        <v>153</v>
      </c>
      <c r="B20" s="115" t="s">
        <v>653</v>
      </c>
      <c r="C20" s="115"/>
      <c r="D20" s="117">
        <v>2</v>
      </c>
      <c r="E20" s="117"/>
      <c r="F20" s="117">
        <v>6</v>
      </c>
      <c r="G20" s="117">
        <v>5</v>
      </c>
      <c r="H20" s="117"/>
      <c r="I20" s="117"/>
      <c r="J20" s="85">
        <f t="shared" si="0"/>
        <v>8</v>
      </c>
      <c r="K20" s="86">
        <f t="shared" si="0"/>
        <v>5</v>
      </c>
      <c r="L20" s="92"/>
      <c r="M20" s="92"/>
      <c r="N20" s="90"/>
      <c r="O20" s="90"/>
      <c r="P20" s="49"/>
    </row>
    <row r="21" spans="1:16" x14ac:dyDescent="0.35">
      <c r="A21" s="120" t="s">
        <v>153</v>
      </c>
      <c r="B21" s="115" t="s">
        <v>645</v>
      </c>
      <c r="C21" s="115"/>
      <c r="D21" s="117"/>
      <c r="E21" s="117"/>
      <c r="F21" s="117"/>
      <c r="G21" s="117">
        <v>11</v>
      </c>
      <c r="H21" s="117"/>
      <c r="I21" s="117">
        <v>5</v>
      </c>
      <c r="J21" s="85">
        <f>D21+F21-H21</f>
        <v>0</v>
      </c>
      <c r="K21" s="86">
        <f>E21+G21-I21</f>
        <v>6</v>
      </c>
      <c r="L21" s="93"/>
      <c r="M21" s="93"/>
      <c r="N21" s="64"/>
      <c r="O21" s="64"/>
    </row>
    <row r="22" spans="1:16" x14ac:dyDescent="0.35">
      <c r="A22" s="120" t="s">
        <v>397</v>
      </c>
      <c r="B22" s="115" t="s">
        <v>633</v>
      </c>
      <c r="C22" s="115"/>
      <c r="D22" s="117"/>
      <c r="E22" s="117"/>
      <c r="F22" s="117">
        <v>8</v>
      </c>
      <c r="G22" s="117">
        <v>3</v>
      </c>
      <c r="H22" s="117"/>
      <c r="I22" s="117"/>
      <c r="J22" s="85">
        <f t="shared" si="0"/>
        <v>8</v>
      </c>
      <c r="K22" s="86">
        <f t="shared" si="0"/>
        <v>3</v>
      </c>
      <c r="L22" s="92"/>
      <c r="M22" s="92"/>
      <c r="N22" s="90"/>
      <c r="O22" s="90"/>
      <c r="P22" s="49"/>
    </row>
    <row r="23" spans="1:16" x14ac:dyDescent="0.35">
      <c r="A23" s="120" t="s">
        <v>403</v>
      </c>
      <c r="B23" s="115" t="s">
        <v>634</v>
      </c>
      <c r="C23" s="115"/>
      <c r="D23" s="117"/>
      <c r="E23" s="117"/>
      <c r="F23" s="117">
        <v>5</v>
      </c>
      <c r="G23" s="117">
        <f>17+11</f>
        <v>28</v>
      </c>
      <c r="H23" s="117"/>
      <c r="I23" s="117"/>
      <c r="J23" s="85">
        <f t="shared" si="0"/>
        <v>5</v>
      </c>
      <c r="K23" s="86">
        <f t="shared" si="0"/>
        <v>28</v>
      </c>
      <c r="L23" s="92"/>
      <c r="M23" s="92"/>
      <c r="N23" s="90"/>
      <c r="O23" s="90"/>
      <c r="P23" s="49"/>
    </row>
    <row r="24" spans="1:16" x14ac:dyDescent="0.35">
      <c r="A24" s="120" t="s">
        <v>487</v>
      </c>
      <c r="B24" s="115" t="s">
        <v>635</v>
      </c>
      <c r="C24" s="115"/>
      <c r="D24" s="117"/>
      <c r="E24" s="117"/>
      <c r="F24" s="117"/>
      <c r="G24" s="117">
        <v>2</v>
      </c>
      <c r="H24" s="117"/>
      <c r="I24" s="117"/>
      <c r="J24" s="85">
        <f t="shared" si="0"/>
        <v>0</v>
      </c>
      <c r="K24" s="86">
        <f t="shared" si="0"/>
        <v>2</v>
      </c>
      <c r="L24" s="92"/>
      <c r="M24" s="92"/>
      <c r="N24" s="90"/>
      <c r="O24" s="90"/>
      <c r="P24" s="49"/>
    </row>
    <row r="25" spans="1:16" ht="18" customHeight="1" x14ac:dyDescent="0.35">
      <c r="A25" s="120" t="s">
        <v>487</v>
      </c>
      <c r="B25" s="115" t="s">
        <v>655</v>
      </c>
      <c r="C25" s="115"/>
      <c r="D25" s="117"/>
      <c r="E25" s="117"/>
      <c r="F25" s="117"/>
      <c r="G25" s="117">
        <v>1</v>
      </c>
      <c r="H25" s="117"/>
      <c r="I25" s="117"/>
      <c r="J25" s="85">
        <f>D25+F25-H25</f>
        <v>0</v>
      </c>
      <c r="K25" s="86">
        <f>E25+G25-I25</f>
        <v>1</v>
      </c>
      <c r="L25" s="92"/>
      <c r="M25" s="92"/>
      <c r="N25" s="90"/>
      <c r="O25" s="90"/>
      <c r="P25" s="49"/>
    </row>
    <row r="26" spans="1:16" x14ac:dyDescent="0.35">
      <c r="A26" s="120" t="s">
        <v>638</v>
      </c>
      <c r="B26" s="115" t="s">
        <v>639</v>
      </c>
      <c r="C26" s="118" t="s">
        <v>640</v>
      </c>
      <c r="D26" s="117"/>
      <c r="E26" s="117"/>
      <c r="F26" s="117"/>
      <c r="G26" s="117">
        <v>2</v>
      </c>
      <c r="H26" s="117"/>
      <c r="I26" s="117"/>
      <c r="J26" s="85">
        <f t="shared" si="0"/>
        <v>0</v>
      </c>
      <c r="K26" s="86">
        <f t="shared" si="0"/>
        <v>2</v>
      </c>
      <c r="L26" s="92"/>
      <c r="M26" s="92"/>
      <c r="N26" s="90"/>
      <c r="O26" s="90"/>
      <c r="P26" s="49"/>
    </row>
    <row r="27" spans="1:16" x14ac:dyDescent="0.35">
      <c r="A27" s="120" t="s">
        <v>526</v>
      </c>
      <c r="B27" s="115" t="s">
        <v>641</v>
      </c>
      <c r="C27" s="118" t="s">
        <v>642</v>
      </c>
      <c r="D27" s="117"/>
      <c r="E27" s="117"/>
      <c r="F27" s="117"/>
      <c r="G27" s="117">
        <v>2</v>
      </c>
      <c r="H27" s="117"/>
      <c r="I27" s="117"/>
      <c r="J27" s="85">
        <f t="shared" si="0"/>
        <v>0</v>
      </c>
      <c r="K27" s="86">
        <f t="shared" si="0"/>
        <v>2</v>
      </c>
      <c r="L27" s="92"/>
      <c r="M27" s="92"/>
      <c r="N27" s="90"/>
      <c r="O27" s="90">
        <v>0.14285714285714299</v>
      </c>
      <c r="P27" s="49"/>
    </row>
    <row r="28" spans="1:16" x14ac:dyDescent="0.35">
      <c r="A28" s="120" t="s">
        <v>526</v>
      </c>
      <c r="B28" s="115"/>
      <c r="C28" s="118" t="s">
        <v>651</v>
      </c>
      <c r="D28" s="117"/>
      <c r="E28" s="117">
        <v>1</v>
      </c>
      <c r="F28" s="117"/>
      <c r="G28" s="117"/>
      <c r="H28" s="117"/>
      <c r="I28" s="117"/>
      <c r="J28" s="85">
        <f>D28+F28-H28</f>
        <v>0</v>
      </c>
      <c r="K28" s="86">
        <f>E28+G28-I28</f>
        <v>1</v>
      </c>
      <c r="L28" s="93"/>
      <c r="M28" s="93"/>
      <c r="N28" s="64">
        <v>50000</v>
      </c>
      <c r="O28" s="64"/>
    </row>
    <row r="29" spans="1:16" x14ac:dyDescent="0.35">
      <c r="A29" s="120" t="s">
        <v>526</v>
      </c>
      <c r="B29" s="88" t="s">
        <v>148</v>
      </c>
      <c r="C29" s="118" t="s">
        <v>149</v>
      </c>
      <c r="D29" s="117"/>
      <c r="E29" s="117"/>
      <c r="F29" s="117"/>
      <c r="G29" s="117">
        <v>2</v>
      </c>
      <c r="H29" s="117"/>
      <c r="I29" s="117"/>
      <c r="J29" s="85">
        <f>D29+F29-H29</f>
        <v>0</v>
      </c>
      <c r="K29" s="86">
        <f>E29+G29-I29</f>
        <v>2</v>
      </c>
      <c r="L29" s="92"/>
      <c r="M29" s="92"/>
      <c r="N29" s="90">
        <v>100000</v>
      </c>
      <c r="O29" s="90"/>
      <c r="P29" s="49"/>
    </row>
    <row r="30" spans="1:16" x14ac:dyDescent="0.35">
      <c r="A30" s="120" t="s">
        <v>189</v>
      </c>
      <c r="B30" s="115" t="s">
        <v>655</v>
      </c>
      <c r="C30" s="115"/>
      <c r="D30" s="117"/>
      <c r="E30" s="117"/>
      <c r="F30" s="117"/>
      <c r="G30" s="117">
        <v>3</v>
      </c>
      <c r="H30" s="117"/>
      <c r="I30" s="117"/>
      <c r="J30" s="85">
        <f t="shared" si="0"/>
        <v>0</v>
      </c>
      <c r="K30" s="86">
        <f t="shared" si="0"/>
        <v>3</v>
      </c>
      <c r="L30" s="92"/>
      <c r="M30" s="92"/>
      <c r="N30" s="90"/>
      <c r="O30" s="90"/>
      <c r="P30" s="49"/>
    </row>
    <row r="31" spans="1:16" x14ac:dyDescent="0.35">
      <c r="A31" s="120" t="s">
        <v>203</v>
      </c>
      <c r="B31" s="115" t="s">
        <v>655</v>
      </c>
      <c r="C31" s="115"/>
      <c r="D31" s="117"/>
      <c r="E31" s="117"/>
      <c r="F31" s="117"/>
      <c r="G31" s="117">
        <v>2</v>
      </c>
      <c r="H31" s="117"/>
      <c r="I31" s="117"/>
      <c r="J31" s="85">
        <f t="shared" si="0"/>
        <v>0</v>
      </c>
      <c r="K31" s="86">
        <f t="shared" si="0"/>
        <v>2</v>
      </c>
      <c r="L31" s="92"/>
      <c r="M31" s="92"/>
      <c r="N31" s="90"/>
      <c r="O31" s="90"/>
      <c r="P31" s="49"/>
    </row>
    <row r="32" spans="1:16" ht="30" customHeight="1" x14ac:dyDescent="0.35">
      <c r="A32" s="122" t="s">
        <v>166</v>
      </c>
      <c r="B32" s="91" t="s">
        <v>650</v>
      </c>
      <c r="C32" s="118" t="s">
        <v>649</v>
      </c>
      <c r="D32" s="117"/>
      <c r="E32" s="117">
        <v>1</v>
      </c>
      <c r="F32" s="117"/>
      <c r="G32" s="117"/>
      <c r="H32" s="117"/>
      <c r="I32" s="117"/>
      <c r="J32" s="85">
        <f>D32+F32-H32</f>
        <v>0</v>
      </c>
      <c r="K32" s="86">
        <f>E32+G32-I32</f>
        <v>1</v>
      </c>
      <c r="L32" s="93"/>
      <c r="M32" s="93"/>
      <c r="N32" s="64"/>
      <c r="O32" s="64" t="s">
        <v>169</v>
      </c>
    </row>
    <row r="33" spans="1:16" x14ac:dyDescent="0.35">
      <c r="A33" s="123" t="s">
        <v>644</v>
      </c>
      <c r="B33" s="88" t="s">
        <v>143</v>
      </c>
      <c r="C33" s="88" t="s">
        <v>144</v>
      </c>
      <c r="D33" s="117"/>
      <c r="E33" s="117"/>
      <c r="F33" s="117"/>
      <c r="G33" s="117">
        <v>2</v>
      </c>
      <c r="H33" s="117"/>
      <c r="I33" s="117"/>
      <c r="J33" s="85">
        <f t="shared" si="0"/>
        <v>0</v>
      </c>
      <c r="K33" s="86">
        <f t="shared" si="0"/>
        <v>2</v>
      </c>
      <c r="L33" s="92"/>
      <c r="M33" s="92"/>
      <c r="N33" s="90"/>
      <c r="O33" s="90" t="s">
        <v>164</v>
      </c>
      <c r="P33" s="49"/>
    </row>
    <row r="34" spans="1:16" x14ac:dyDescent="0.35">
      <c r="A34" s="124" t="s">
        <v>145</v>
      </c>
      <c r="B34" s="88" t="s">
        <v>146</v>
      </c>
      <c r="C34" s="88" t="s">
        <v>147</v>
      </c>
      <c r="D34" s="117"/>
      <c r="E34" s="117">
        <v>2</v>
      </c>
      <c r="F34" s="117"/>
      <c r="G34" s="117"/>
      <c r="H34" s="117"/>
      <c r="I34" s="117"/>
      <c r="J34" s="85">
        <f t="shared" si="0"/>
        <v>0</v>
      </c>
      <c r="K34" s="86">
        <f t="shared" si="0"/>
        <v>2</v>
      </c>
      <c r="L34" s="92"/>
      <c r="M34" s="92"/>
      <c r="N34" s="90">
        <v>100000</v>
      </c>
      <c r="O34" s="90"/>
      <c r="P34" s="49"/>
    </row>
    <row r="35" spans="1:16" x14ac:dyDescent="0.35">
      <c r="A35" s="120" t="s">
        <v>170</v>
      </c>
      <c r="B35" s="115" t="s">
        <v>655</v>
      </c>
      <c r="C35" s="115"/>
      <c r="D35" s="117"/>
      <c r="E35" s="117">
        <v>1</v>
      </c>
      <c r="F35" s="117"/>
      <c r="G35" s="117"/>
      <c r="H35" s="117"/>
      <c r="I35" s="117"/>
      <c r="J35" s="85">
        <f t="shared" si="0"/>
        <v>0</v>
      </c>
      <c r="K35" s="86">
        <f t="shared" si="0"/>
        <v>1</v>
      </c>
      <c r="L35" s="93"/>
      <c r="M35" s="93"/>
      <c r="N35" s="64"/>
      <c r="O35" s="90"/>
    </row>
    <row r="36" spans="1:16" x14ac:dyDescent="0.35">
      <c r="A36" s="123" t="s">
        <v>644</v>
      </c>
      <c r="B36" s="91" t="s">
        <v>150</v>
      </c>
      <c r="C36" s="91" t="s">
        <v>151</v>
      </c>
      <c r="D36" s="117"/>
      <c r="E36" s="117">
        <v>2</v>
      </c>
      <c r="F36" s="117"/>
      <c r="G36" s="117"/>
      <c r="H36" s="117"/>
      <c r="I36" s="117"/>
      <c r="J36" s="85">
        <f t="shared" si="0"/>
        <v>0</v>
      </c>
      <c r="K36" s="86">
        <f t="shared" si="0"/>
        <v>2</v>
      </c>
      <c r="L36" s="93"/>
      <c r="M36" s="93"/>
      <c r="N36" s="64">
        <v>100000</v>
      </c>
      <c r="O36" s="64"/>
    </row>
    <row r="37" spans="1:16" x14ac:dyDescent="0.35">
      <c r="A37" s="126" t="s">
        <v>152</v>
      </c>
      <c r="B37" s="127" t="s">
        <v>655</v>
      </c>
      <c r="C37" s="127"/>
      <c r="D37" s="128"/>
      <c r="E37" s="128">
        <v>15</v>
      </c>
      <c r="F37" s="117"/>
      <c r="G37" s="117"/>
      <c r="H37" s="117"/>
      <c r="I37" s="117"/>
      <c r="J37" s="85">
        <f t="shared" si="0"/>
        <v>0</v>
      </c>
      <c r="K37" s="86">
        <f t="shared" si="0"/>
        <v>15</v>
      </c>
      <c r="L37" s="93"/>
      <c r="M37" s="93"/>
      <c r="N37" s="64"/>
      <c r="O37" s="64"/>
    </row>
    <row r="38" spans="1:16" x14ac:dyDescent="0.35">
      <c r="A38" s="120" t="s">
        <v>128</v>
      </c>
      <c r="B38" s="115" t="s">
        <v>655</v>
      </c>
      <c r="C38" s="115"/>
      <c r="D38" s="117"/>
      <c r="E38" s="117">
        <v>14</v>
      </c>
      <c r="F38" s="117"/>
      <c r="G38" s="117"/>
      <c r="H38" s="117"/>
      <c r="I38" s="117">
        <v>13</v>
      </c>
      <c r="J38" s="85">
        <f t="shared" ref="J38:K65" si="2">D38+F38-H38</f>
        <v>0</v>
      </c>
      <c r="K38" s="86">
        <f t="shared" si="2"/>
        <v>1</v>
      </c>
      <c r="L38" s="93"/>
      <c r="M38" s="93"/>
      <c r="N38" s="64"/>
      <c r="O38" s="64"/>
    </row>
    <row r="39" spans="1:16" ht="24.6" customHeight="1" x14ac:dyDescent="0.35">
      <c r="A39" s="120" t="s">
        <v>160</v>
      </c>
      <c r="B39" s="115" t="s">
        <v>655</v>
      </c>
      <c r="C39" s="115"/>
      <c r="D39" s="117">
        <v>10</v>
      </c>
      <c r="E39" s="117">
        <v>15</v>
      </c>
      <c r="F39" s="117"/>
      <c r="G39" s="117"/>
      <c r="H39" s="117"/>
      <c r="I39" s="117"/>
      <c r="J39" s="85">
        <f t="shared" si="2"/>
        <v>10</v>
      </c>
      <c r="K39" s="86">
        <f t="shared" si="2"/>
        <v>15</v>
      </c>
      <c r="L39" s="93"/>
      <c r="M39" s="93"/>
      <c r="N39" s="64">
        <v>1250000</v>
      </c>
      <c r="O39" s="64"/>
    </row>
    <row r="40" spans="1:16" x14ac:dyDescent="0.35">
      <c r="A40" s="120" t="s">
        <v>161</v>
      </c>
      <c r="B40" s="115" t="s">
        <v>646</v>
      </c>
      <c r="C40" s="115"/>
      <c r="D40" s="117">
        <v>5</v>
      </c>
      <c r="E40" s="117"/>
      <c r="F40" s="117"/>
      <c r="G40" s="117"/>
      <c r="H40" s="117"/>
      <c r="I40" s="117"/>
      <c r="J40" s="85">
        <f t="shared" si="2"/>
        <v>5</v>
      </c>
      <c r="K40" s="86">
        <f t="shared" si="2"/>
        <v>0</v>
      </c>
      <c r="L40" s="93"/>
      <c r="M40" s="93"/>
      <c r="N40" s="64"/>
      <c r="O40" s="64"/>
    </row>
    <row r="41" spans="1:16" ht="24.6" customHeight="1" x14ac:dyDescent="0.35">
      <c r="A41" s="120" t="s">
        <v>163</v>
      </c>
      <c r="B41" s="115" t="s">
        <v>647</v>
      </c>
      <c r="C41" s="115"/>
      <c r="D41" s="117"/>
      <c r="E41" s="117">
        <v>12</v>
      </c>
      <c r="F41" s="117"/>
      <c r="G41" s="117"/>
      <c r="H41" s="117"/>
      <c r="I41" s="117"/>
      <c r="J41" s="85">
        <f t="shared" si="2"/>
        <v>0</v>
      </c>
      <c r="K41" s="86">
        <f t="shared" si="2"/>
        <v>12</v>
      </c>
      <c r="L41" s="93"/>
      <c r="M41" s="93"/>
      <c r="N41" s="64"/>
      <c r="O41" s="64" t="s">
        <v>168</v>
      </c>
    </row>
    <row r="42" spans="1:16" x14ac:dyDescent="0.35">
      <c r="A42" s="120" t="s">
        <v>648</v>
      </c>
      <c r="B42" s="115" t="s">
        <v>171</v>
      </c>
      <c r="C42" s="115"/>
      <c r="D42" s="117"/>
      <c r="E42" s="117">
        <v>2</v>
      </c>
      <c r="F42" s="117"/>
      <c r="G42" s="117"/>
      <c r="H42" s="117"/>
      <c r="I42" s="117"/>
      <c r="J42" s="85">
        <f t="shared" si="2"/>
        <v>0</v>
      </c>
      <c r="K42" s="86">
        <f t="shared" si="2"/>
        <v>2</v>
      </c>
      <c r="L42" s="93"/>
      <c r="M42" s="93"/>
      <c r="N42" s="64"/>
      <c r="O42" s="64"/>
    </row>
    <row r="43" spans="1:16" x14ac:dyDescent="0.35">
      <c r="A43" s="125" t="s">
        <v>156</v>
      </c>
      <c r="B43" s="115"/>
      <c r="C43" s="115"/>
      <c r="D43" s="117">
        <v>2</v>
      </c>
      <c r="E43" s="117"/>
      <c r="F43" s="117"/>
      <c r="G43" s="117"/>
      <c r="H43" s="117"/>
      <c r="I43" s="117"/>
      <c r="J43" s="85">
        <f>D43+F43-H43</f>
        <v>2</v>
      </c>
      <c r="K43" s="86">
        <f>E43+G43-I43</f>
        <v>0</v>
      </c>
      <c r="L43" s="93"/>
      <c r="M43" s="93"/>
      <c r="N43" s="64"/>
      <c r="O43" s="64"/>
    </row>
    <row r="44" spans="1:16" x14ac:dyDescent="0.35">
      <c r="A44" s="120" t="s">
        <v>652</v>
      </c>
      <c r="B44" s="115"/>
      <c r="C44" s="115"/>
      <c r="D44" s="117">
        <v>10</v>
      </c>
      <c r="E44" s="117"/>
      <c r="F44" s="117"/>
      <c r="G44" s="117"/>
      <c r="H44" s="117"/>
      <c r="I44" s="117"/>
      <c r="J44" s="85">
        <f t="shared" si="2"/>
        <v>10</v>
      </c>
      <c r="K44" s="86">
        <f t="shared" si="2"/>
        <v>0</v>
      </c>
      <c r="L44" s="93"/>
      <c r="M44" s="93"/>
      <c r="N44" s="64"/>
      <c r="O44" s="64"/>
    </row>
    <row r="45" spans="1:16" x14ac:dyDescent="0.35">
      <c r="A45" s="114"/>
      <c r="B45" s="115"/>
      <c r="C45" s="115"/>
      <c r="D45" s="117"/>
      <c r="E45" s="117"/>
      <c r="F45" s="117"/>
      <c r="G45" s="117"/>
      <c r="H45" s="117"/>
      <c r="I45" s="117"/>
      <c r="J45" s="85">
        <f t="shared" si="2"/>
        <v>0</v>
      </c>
      <c r="K45" s="86">
        <f t="shared" si="2"/>
        <v>0</v>
      </c>
      <c r="L45" s="93"/>
      <c r="M45" s="93"/>
      <c r="N45" s="64"/>
      <c r="O45" s="64"/>
    </row>
    <row r="46" spans="1:16" x14ac:dyDescent="0.35">
      <c r="A46" s="114"/>
      <c r="B46" s="115"/>
      <c r="C46" s="115"/>
      <c r="D46" s="117"/>
      <c r="E46" s="117"/>
      <c r="F46" s="117"/>
      <c r="G46" s="117"/>
      <c r="H46" s="117"/>
      <c r="I46" s="117"/>
      <c r="J46" s="85">
        <f t="shared" si="2"/>
        <v>0</v>
      </c>
      <c r="K46" s="86">
        <f t="shared" si="2"/>
        <v>0</v>
      </c>
      <c r="L46" s="93"/>
      <c r="M46" s="93"/>
      <c r="N46" s="64"/>
      <c r="O46" s="64"/>
    </row>
    <row r="47" spans="1:16" x14ac:dyDescent="0.35">
      <c r="A47" s="114"/>
      <c r="B47" s="115"/>
      <c r="C47" s="115"/>
      <c r="D47" s="117"/>
      <c r="E47" s="117"/>
      <c r="F47" s="117"/>
      <c r="G47" s="117"/>
      <c r="H47" s="117"/>
      <c r="I47" s="117"/>
      <c r="J47" s="85">
        <f t="shared" si="2"/>
        <v>0</v>
      </c>
      <c r="K47" s="86">
        <f t="shared" si="2"/>
        <v>0</v>
      </c>
      <c r="L47" s="93"/>
      <c r="M47" s="93"/>
      <c r="N47" s="64"/>
      <c r="O47" s="64"/>
    </row>
    <row r="48" spans="1:16" x14ac:dyDescent="0.35">
      <c r="A48" s="114"/>
      <c r="B48" s="115"/>
      <c r="C48" s="115"/>
      <c r="D48" s="117"/>
      <c r="E48" s="117"/>
      <c r="F48" s="117"/>
      <c r="G48" s="117"/>
      <c r="H48" s="117"/>
      <c r="I48" s="117"/>
      <c r="J48" s="85">
        <f t="shared" si="2"/>
        <v>0</v>
      </c>
      <c r="K48" s="86">
        <f t="shared" si="2"/>
        <v>0</v>
      </c>
      <c r="L48" s="93"/>
      <c r="M48" s="93"/>
      <c r="N48" s="64"/>
      <c r="O48" s="64"/>
    </row>
    <row r="49" spans="1:15" x14ac:dyDescent="0.35">
      <c r="A49" s="114"/>
      <c r="B49" s="115"/>
      <c r="C49" s="115"/>
      <c r="D49" s="117"/>
      <c r="E49" s="117"/>
      <c r="F49" s="117"/>
      <c r="G49" s="117"/>
      <c r="H49" s="117"/>
      <c r="I49" s="117"/>
      <c r="J49" s="85">
        <f t="shared" si="2"/>
        <v>0</v>
      </c>
      <c r="K49" s="86">
        <f t="shared" si="2"/>
        <v>0</v>
      </c>
      <c r="L49" s="93"/>
      <c r="M49" s="93"/>
      <c r="N49" s="64"/>
      <c r="O49" s="64"/>
    </row>
    <row r="50" spans="1:15" x14ac:dyDescent="0.35">
      <c r="A50" s="114"/>
      <c r="B50" s="115"/>
      <c r="C50" s="115"/>
      <c r="D50" s="117"/>
      <c r="E50" s="117"/>
      <c r="F50" s="117"/>
      <c r="G50" s="117"/>
      <c r="H50" s="117"/>
      <c r="I50" s="117"/>
      <c r="J50" s="85">
        <f t="shared" si="2"/>
        <v>0</v>
      </c>
      <c r="K50" s="86">
        <f t="shared" si="2"/>
        <v>0</v>
      </c>
      <c r="L50" s="93"/>
      <c r="M50" s="93"/>
      <c r="N50" s="64"/>
      <c r="O50" s="64"/>
    </row>
    <row r="51" spans="1:15" x14ac:dyDescent="0.35">
      <c r="A51" s="114"/>
      <c r="B51" s="115"/>
      <c r="C51" s="115"/>
      <c r="D51" s="117"/>
      <c r="E51" s="117"/>
      <c r="F51" s="117"/>
      <c r="G51" s="117"/>
      <c r="H51" s="117"/>
      <c r="I51" s="117"/>
      <c r="J51" s="85">
        <f t="shared" si="2"/>
        <v>0</v>
      </c>
      <c r="K51" s="86">
        <f t="shared" si="2"/>
        <v>0</v>
      </c>
      <c r="L51" s="93"/>
      <c r="M51" s="93"/>
      <c r="N51" s="64"/>
      <c r="O51" s="64"/>
    </row>
    <row r="52" spans="1:15" x14ac:dyDescent="0.35">
      <c r="A52" s="114"/>
      <c r="B52" s="115"/>
      <c r="C52" s="115"/>
      <c r="D52" s="117"/>
      <c r="E52" s="117"/>
      <c r="F52" s="117"/>
      <c r="G52" s="117"/>
      <c r="H52" s="117"/>
      <c r="I52" s="117"/>
      <c r="J52" s="85">
        <f t="shared" si="2"/>
        <v>0</v>
      </c>
      <c r="K52" s="86">
        <f t="shared" si="2"/>
        <v>0</v>
      </c>
      <c r="L52" s="93"/>
      <c r="M52" s="93"/>
      <c r="N52" s="64"/>
      <c r="O52" s="64"/>
    </row>
    <row r="53" spans="1:15" x14ac:dyDescent="0.35">
      <c r="A53" s="114"/>
      <c r="B53" s="115"/>
      <c r="C53" s="115"/>
      <c r="D53" s="117"/>
      <c r="E53" s="117"/>
      <c r="F53" s="117"/>
      <c r="G53" s="117"/>
      <c r="H53" s="117"/>
      <c r="I53" s="117"/>
      <c r="J53" s="85">
        <f t="shared" si="2"/>
        <v>0</v>
      </c>
      <c r="K53" s="86">
        <f t="shared" si="2"/>
        <v>0</v>
      </c>
      <c r="L53" s="93"/>
      <c r="M53" s="93"/>
      <c r="N53" s="64"/>
      <c r="O53" s="64"/>
    </row>
    <row r="54" spans="1:15" x14ac:dyDescent="0.35">
      <c r="A54" s="114"/>
      <c r="B54" s="115"/>
      <c r="C54" s="115"/>
      <c r="D54" s="117"/>
      <c r="E54" s="117"/>
      <c r="F54" s="117"/>
      <c r="G54" s="117"/>
      <c r="H54" s="117"/>
      <c r="I54" s="117"/>
      <c r="J54" s="85">
        <f t="shared" si="2"/>
        <v>0</v>
      </c>
      <c r="K54" s="86">
        <f t="shared" si="2"/>
        <v>0</v>
      </c>
      <c r="L54" s="93"/>
      <c r="M54" s="93"/>
      <c r="N54" s="64"/>
      <c r="O54" s="64"/>
    </row>
    <row r="55" spans="1:15" ht="24" customHeight="1" x14ac:dyDescent="0.35">
      <c r="A55" s="114"/>
      <c r="B55" s="115"/>
      <c r="C55" s="115"/>
      <c r="D55" s="117"/>
      <c r="E55" s="117"/>
      <c r="F55" s="117"/>
      <c r="G55" s="117"/>
      <c r="H55" s="117"/>
      <c r="I55" s="117"/>
      <c r="J55" s="85">
        <f t="shared" si="2"/>
        <v>0</v>
      </c>
      <c r="K55" s="86">
        <f t="shared" si="2"/>
        <v>0</v>
      </c>
      <c r="L55" s="93"/>
      <c r="M55" s="93"/>
      <c r="N55" s="64"/>
      <c r="O55" s="64"/>
    </row>
    <row r="56" spans="1:15" x14ac:dyDescent="0.35">
      <c r="A56" s="114"/>
      <c r="B56" s="115"/>
      <c r="C56" s="115"/>
      <c r="D56" s="117"/>
      <c r="E56" s="117"/>
      <c r="F56" s="117"/>
      <c r="G56" s="117"/>
      <c r="H56" s="117"/>
      <c r="I56" s="117"/>
      <c r="J56" s="85">
        <f t="shared" si="2"/>
        <v>0</v>
      </c>
      <c r="K56" s="86">
        <f t="shared" si="2"/>
        <v>0</v>
      </c>
      <c r="L56" s="93"/>
      <c r="M56" s="93"/>
      <c r="N56" s="64"/>
      <c r="O56" s="64"/>
    </row>
    <row r="57" spans="1:15" x14ac:dyDescent="0.35">
      <c r="A57" s="114"/>
      <c r="B57" s="115"/>
      <c r="C57" s="115"/>
      <c r="D57" s="117"/>
      <c r="E57" s="117"/>
      <c r="F57" s="117"/>
      <c r="G57" s="117"/>
      <c r="H57" s="117"/>
      <c r="I57" s="117"/>
      <c r="J57" s="85">
        <f t="shared" si="2"/>
        <v>0</v>
      </c>
      <c r="K57" s="86">
        <f t="shared" si="2"/>
        <v>0</v>
      </c>
      <c r="L57" s="93"/>
      <c r="M57" s="93"/>
      <c r="N57" s="64"/>
      <c r="O57" s="64"/>
    </row>
    <row r="58" spans="1:15" x14ac:dyDescent="0.35">
      <c r="A58" s="114"/>
      <c r="B58" s="115"/>
      <c r="C58" s="115"/>
      <c r="D58" s="117"/>
      <c r="E58" s="117"/>
      <c r="F58" s="117"/>
      <c r="G58" s="117"/>
      <c r="H58" s="117"/>
      <c r="I58" s="117"/>
      <c r="J58" s="85">
        <f t="shared" si="2"/>
        <v>0</v>
      </c>
      <c r="K58" s="86">
        <f t="shared" si="2"/>
        <v>0</v>
      </c>
      <c r="L58" s="93"/>
      <c r="M58" s="93"/>
      <c r="N58" s="64"/>
      <c r="O58" s="64"/>
    </row>
    <row r="59" spans="1:15" x14ac:dyDescent="0.35">
      <c r="A59" s="114"/>
      <c r="B59" s="115"/>
      <c r="C59" s="115"/>
      <c r="D59" s="117"/>
      <c r="E59" s="117"/>
      <c r="F59" s="117"/>
      <c r="G59" s="117"/>
      <c r="H59" s="117"/>
      <c r="I59" s="117"/>
      <c r="J59" s="85">
        <f t="shared" si="2"/>
        <v>0</v>
      </c>
      <c r="K59" s="86">
        <f t="shared" si="2"/>
        <v>0</v>
      </c>
      <c r="L59" s="93"/>
      <c r="M59" s="93"/>
      <c r="N59" s="64"/>
      <c r="O59" s="64"/>
    </row>
    <row r="60" spans="1:15" x14ac:dyDescent="0.35">
      <c r="A60" s="114"/>
      <c r="B60" s="115"/>
      <c r="C60" s="115"/>
      <c r="D60" s="117"/>
      <c r="E60" s="117"/>
      <c r="F60" s="117"/>
      <c r="G60" s="117"/>
      <c r="H60" s="117"/>
      <c r="I60" s="117"/>
      <c r="J60" s="85">
        <f t="shared" si="2"/>
        <v>0</v>
      </c>
      <c r="K60" s="86">
        <f t="shared" si="2"/>
        <v>0</v>
      </c>
      <c r="L60" s="93"/>
      <c r="M60" s="93"/>
      <c r="N60" s="64"/>
      <c r="O60" s="64"/>
    </row>
    <row r="61" spans="1:15" x14ac:dyDescent="0.35">
      <c r="A61" s="114"/>
      <c r="B61" s="115"/>
      <c r="C61" s="115"/>
      <c r="D61" s="117"/>
      <c r="E61" s="117"/>
      <c r="F61" s="117"/>
      <c r="G61" s="117"/>
      <c r="H61" s="117"/>
      <c r="I61" s="117"/>
      <c r="J61" s="85">
        <f t="shared" si="2"/>
        <v>0</v>
      </c>
      <c r="K61" s="86">
        <f t="shared" si="2"/>
        <v>0</v>
      </c>
      <c r="L61" s="93"/>
      <c r="M61" s="93"/>
      <c r="N61" s="64"/>
      <c r="O61" s="64"/>
    </row>
    <row r="62" spans="1:15" x14ac:dyDescent="0.35">
      <c r="A62" s="114"/>
      <c r="B62" s="115"/>
      <c r="C62" s="115"/>
      <c r="D62" s="117"/>
      <c r="E62" s="117"/>
      <c r="F62" s="117"/>
      <c r="G62" s="117"/>
      <c r="H62" s="117"/>
      <c r="I62" s="117"/>
      <c r="J62" s="85">
        <f t="shared" si="2"/>
        <v>0</v>
      </c>
      <c r="K62" s="86">
        <f t="shared" si="2"/>
        <v>0</v>
      </c>
      <c r="L62" s="93"/>
      <c r="M62" s="93"/>
      <c r="N62" s="64"/>
      <c r="O62" s="64"/>
    </row>
    <row r="63" spans="1:15" x14ac:dyDescent="0.35">
      <c r="A63" s="114"/>
      <c r="B63" s="115"/>
      <c r="C63" s="115"/>
      <c r="D63" s="117"/>
      <c r="E63" s="117"/>
      <c r="F63" s="117"/>
      <c r="G63" s="117"/>
      <c r="H63" s="117"/>
      <c r="I63" s="117"/>
      <c r="J63" s="85">
        <f t="shared" si="2"/>
        <v>0</v>
      </c>
      <c r="K63" s="86">
        <f t="shared" si="2"/>
        <v>0</v>
      </c>
      <c r="L63" s="93"/>
      <c r="M63" s="93"/>
      <c r="N63" s="64"/>
      <c r="O63" s="64"/>
    </row>
    <row r="64" spans="1:15" x14ac:dyDescent="0.35">
      <c r="A64" s="114"/>
      <c r="B64" s="115"/>
      <c r="C64" s="115"/>
      <c r="D64" s="117"/>
      <c r="E64" s="117"/>
      <c r="F64" s="117"/>
      <c r="G64" s="117"/>
      <c r="H64" s="117"/>
      <c r="I64" s="117"/>
      <c r="J64" s="85">
        <f t="shared" si="2"/>
        <v>0</v>
      </c>
      <c r="K64" s="86">
        <f t="shared" si="2"/>
        <v>0</v>
      </c>
      <c r="L64" s="93"/>
      <c r="M64" s="93"/>
      <c r="N64" s="64"/>
      <c r="O64" s="64"/>
    </row>
    <row r="65" spans="1:15" x14ac:dyDescent="0.35">
      <c r="A65" s="114"/>
      <c r="B65" s="115"/>
      <c r="C65" s="115"/>
      <c r="D65" s="117"/>
      <c r="E65" s="117"/>
      <c r="F65" s="117"/>
      <c r="G65" s="117"/>
      <c r="H65" s="117"/>
      <c r="I65" s="117"/>
      <c r="J65" s="85">
        <f t="shared" si="2"/>
        <v>0</v>
      </c>
      <c r="K65" s="86">
        <f t="shared" si="2"/>
        <v>0</v>
      </c>
      <c r="L65" s="93"/>
      <c r="M65" s="93"/>
      <c r="N65" s="64"/>
      <c r="O65" s="64"/>
    </row>
    <row r="66" spans="1:15" x14ac:dyDescent="0.35">
      <c r="A66" s="114"/>
      <c r="B66" s="115"/>
      <c r="C66" s="115"/>
      <c r="D66" s="117"/>
      <c r="E66" s="117"/>
      <c r="F66" s="117"/>
      <c r="G66" s="117"/>
      <c r="H66" s="117"/>
      <c r="I66" s="117"/>
      <c r="J66" s="85">
        <f t="shared" ref="J66:K95" si="3">D66+F66-H66</f>
        <v>0</v>
      </c>
      <c r="K66" s="86">
        <f t="shared" si="3"/>
        <v>0</v>
      </c>
      <c r="L66" s="93"/>
      <c r="M66" s="93"/>
      <c r="N66" s="64"/>
      <c r="O66" s="64"/>
    </row>
    <row r="67" spans="1:15" x14ac:dyDescent="0.35">
      <c r="A67" s="114"/>
      <c r="B67" s="115"/>
      <c r="C67" s="115"/>
      <c r="D67" s="117"/>
      <c r="E67" s="117"/>
      <c r="F67" s="117"/>
      <c r="G67" s="117"/>
      <c r="H67" s="117"/>
      <c r="I67" s="117"/>
      <c r="J67" s="85">
        <f t="shared" si="3"/>
        <v>0</v>
      </c>
      <c r="K67" s="86">
        <f t="shared" si="3"/>
        <v>0</v>
      </c>
      <c r="L67" s="93"/>
      <c r="M67" s="93"/>
      <c r="N67" s="64"/>
      <c r="O67" s="64"/>
    </row>
    <row r="68" spans="1:15" x14ac:dyDescent="0.35">
      <c r="A68" s="114"/>
      <c r="B68" s="115"/>
      <c r="C68" s="115"/>
      <c r="D68" s="117"/>
      <c r="E68" s="117"/>
      <c r="F68" s="117"/>
      <c r="G68" s="117"/>
      <c r="H68" s="117"/>
      <c r="I68" s="117"/>
      <c r="J68" s="85">
        <f t="shared" si="3"/>
        <v>0</v>
      </c>
      <c r="K68" s="86">
        <f t="shared" si="3"/>
        <v>0</v>
      </c>
      <c r="L68" s="93"/>
      <c r="M68" s="93"/>
      <c r="N68" s="64"/>
      <c r="O68" s="64"/>
    </row>
    <row r="69" spans="1:15" x14ac:dyDescent="0.35">
      <c r="A69" s="114"/>
      <c r="B69" s="115"/>
      <c r="C69" s="115"/>
      <c r="D69" s="117"/>
      <c r="E69" s="117"/>
      <c r="F69" s="117"/>
      <c r="G69" s="117"/>
      <c r="H69" s="117"/>
      <c r="I69" s="117"/>
      <c r="J69" s="85">
        <f t="shared" si="3"/>
        <v>0</v>
      </c>
      <c r="K69" s="86">
        <f t="shared" si="3"/>
        <v>0</v>
      </c>
      <c r="L69" s="93"/>
      <c r="M69" s="93"/>
      <c r="N69" s="64"/>
      <c r="O69" s="64"/>
    </row>
    <row r="70" spans="1:15" x14ac:dyDescent="0.35">
      <c r="A70" s="114"/>
      <c r="B70" s="115"/>
      <c r="C70" s="115"/>
      <c r="D70" s="117"/>
      <c r="E70" s="117"/>
      <c r="F70" s="117"/>
      <c r="G70" s="117"/>
      <c r="H70" s="117"/>
      <c r="I70" s="117"/>
      <c r="J70" s="85">
        <f t="shared" si="3"/>
        <v>0</v>
      </c>
      <c r="K70" s="86">
        <f t="shared" si="3"/>
        <v>0</v>
      </c>
      <c r="L70" s="93"/>
      <c r="M70" s="93"/>
      <c r="N70" s="64"/>
      <c r="O70" s="64"/>
    </row>
    <row r="71" spans="1:15" x14ac:dyDescent="0.35">
      <c r="A71" s="114"/>
      <c r="B71" s="115"/>
      <c r="C71" s="115"/>
      <c r="D71" s="117"/>
      <c r="E71" s="117"/>
      <c r="F71" s="117"/>
      <c r="G71" s="117"/>
      <c r="H71" s="117"/>
      <c r="I71" s="117"/>
      <c r="J71" s="85">
        <f t="shared" si="3"/>
        <v>0</v>
      </c>
      <c r="K71" s="86">
        <f t="shared" si="3"/>
        <v>0</v>
      </c>
      <c r="L71" s="93"/>
      <c r="M71" s="93"/>
      <c r="N71" s="64"/>
      <c r="O71" s="64"/>
    </row>
    <row r="72" spans="1:15" x14ac:dyDescent="0.35">
      <c r="A72" s="114"/>
      <c r="B72" s="115"/>
      <c r="C72" s="115"/>
      <c r="D72" s="117"/>
      <c r="E72" s="117"/>
      <c r="F72" s="117"/>
      <c r="G72" s="117"/>
      <c r="H72" s="117"/>
      <c r="I72" s="117"/>
      <c r="J72" s="85">
        <f t="shared" si="3"/>
        <v>0</v>
      </c>
      <c r="K72" s="86">
        <f t="shared" si="3"/>
        <v>0</v>
      </c>
      <c r="L72" s="93"/>
      <c r="M72" s="93"/>
      <c r="N72" s="64"/>
      <c r="O72" s="64"/>
    </row>
    <row r="73" spans="1:15" x14ac:dyDescent="0.35">
      <c r="A73" s="114"/>
      <c r="B73" s="115"/>
      <c r="C73" s="115"/>
      <c r="D73" s="117"/>
      <c r="E73" s="117"/>
      <c r="F73" s="117"/>
      <c r="G73" s="117"/>
      <c r="H73" s="117"/>
      <c r="I73" s="117"/>
      <c r="J73" s="85">
        <f t="shared" si="3"/>
        <v>0</v>
      </c>
      <c r="K73" s="86">
        <f t="shared" si="3"/>
        <v>0</v>
      </c>
      <c r="L73" s="93"/>
      <c r="M73" s="93"/>
      <c r="N73" s="64"/>
      <c r="O73" s="64"/>
    </row>
    <row r="74" spans="1:15" ht="8.25" customHeight="1" x14ac:dyDescent="0.35">
      <c r="A74" s="114"/>
      <c r="B74" s="115"/>
      <c r="C74" s="115"/>
      <c r="D74" s="117"/>
      <c r="E74" s="117"/>
      <c r="F74" s="117"/>
      <c r="G74" s="117"/>
      <c r="H74" s="117"/>
      <c r="I74" s="117"/>
      <c r="J74" s="85">
        <f t="shared" si="3"/>
        <v>0</v>
      </c>
      <c r="K74" s="86">
        <f t="shared" si="3"/>
        <v>0</v>
      </c>
      <c r="L74" s="93"/>
      <c r="M74" s="93"/>
      <c r="N74" s="64"/>
      <c r="O74" s="64"/>
    </row>
    <row r="75" spans="1:15" x14ac:dyDescent="0.35">
      <c r="A75" s="114"/>
      <c r="B75" s="115"/>
      <c r="C75" s="115"/>
      <c r="D75" s="117"/>
      <c r="E75" s="117"/>
      <c r="F75" s="117"/>
      <c r="G75" s="117"/>
      <c r="H75" s="117"/>
      <c r="I75" s="117"/>
      <c r="J75" s="85">
        <f t="shared" si="3"/>
        <v>0</v>
      </c>
      <c r="K75" s="86">
        <f t="shared" si="3"/>
        <v>0</v>
      </c>
      <c r="L75" s="93"/>
      <c r="M75" s="93"/>
      <c r="N75" s="64"/>
      <c r="O75" s="64"/>
    </row>
    <row r="76" spans="1:15" x14ac:dyDescent="0.35">
      <c r="A76" s="114"/>
      <c r="B76" s="115"/>
      <c r="C76" s="115"/>
      <c r="D76" s="117"/>
      <c r="E76" s="117"/>
      <c r="F76" s="117"/>
      <c r="G76" s="117"/>
      <c r="H76" s="117"/>
      <c r="I76" s="117"/>
      <c r="J76" s="85">
        <f t="shared" si="3"/>
        <v>0</v>
      </c>
      <c r="K76" s="86">
        <f t="shared" si="3"/>
        <v>0</v>
      </c>
      <c r="L76" s="93"/>
      <c r="M76" s="93"/>
      <c r="N76" s="64"/>
      <c r="O76" s="64"/>
    </row>
    <row r="77" spans="1:15" x14ac:dyDescent="0.35">
      <c r="A77" s="114"/>
      <c r="B77" s="115"/>
      <c r="C77" s="115"/>
      <c r="D77" s="117"/>
      <c r="E77" s="117"/>
      <c r="F77" s="117"/>
      <c r="G77" s="117"/>
      <c r="H77" s="117"/>
      <c r="I77" s="117"/>
      <c r="J77" s="85">
        <f t="shared" si="3"/>
        <v>0</v>
      </c>
      <c r="K77" s="86">
        <f t="shared" si="3"/>
        <v>0</v>
      </c>
      <c r="L77" s="93"/>
      <c r="M77" s="93"/>
      <c r="N77" s="64"/>
      <c r="O77" s="64"/>
    </row>
    <row r="78" spans="1:15" x14ac:dyDescent="0.35">
      <c r="A78" s="114"/>
      <c r="B78" s="115"/>
      <c r="C78" s="115"/>
      <c r="D78" s="117"/>
      <c r="E78" s="117"/>
      <c r="F78" s="117"/>
      <c r="G78" s="117"/>
      <c r="H78" s="117"/>
      <c r="I78" s="117"/>
      <c r="J78" s="85">
        <f t="shared" si="3"/>
        <v>0</v>
      </c>
      <c r="K78" s="86">
        <f t="shared" si="3"/>
        <v>0</v>
      </c>
      <c r="L78" s="93"/>
      <c r="M78" s="93"/>
      <c r="N78" s="64"/>
      <c r="O78" s="64"/>
    </row>
    <row r="79" spans="1:15" x14ac:dyDescent="0.35">
      <c r="A79" s="114"/>
      <c r="B79" s="115"/>
      <c r="C79" s="115"/>
      <c r="D79" s="117"/>
      <c r="E79" s="117"/>
      <c r="F79" s="117"/>
      <c r="G79" s="117"/>
      <c r="H79" s="117"/>
      <c r="I79" s="117"/>
      <c r="J79" s="85">
        <f t="shared" si="3"/>
        <v>0</v>
      </c>
      <c r="K79" s="86">
        <f t="shared" si="3"/>
        <v>0</v>
      </c>
      <c r="L79" s="93"/>
      <c r="M79" s="93"/>
      <c r="N79" s="64"/>
      <c r="O79" s="64"/>
    </row>
    <row r="80" spans="1:15" x14ac:dyDescent="0.35">
      <c r="A80" s="114"/>
      <c r="B80" s="115"/>
      <c r="C80" s="115"/>
      <c r="D80" s="117"/>
      <c r="E80" s="117"/>
      <c r="F80" s="117"/>
      <c r="G80" s="117"/>
      <c r="H80" s="117"/>
      <c r="I80" s="117"/>
      <c r="J80" s="85">
        <f t="shared" si="3"/>
        <v>0</v>
      </c>
      <c r="K80" s="86">
        <f t="shared" si="3"/>
        <v>0</v>
      </c>
      <c r="L80" s="93"/>
      <c r="M80" s="93"/>
      <c r="N80" s="64"/>
      <c r="O80" s="64"/>
    </row>
    <row r="81" spans="1:15" x14ac:dyDescent="0.35">
      <c r="A81" s="114"/>
      <c r="B81" s="115"/>
      <c r="C81" s="115"/>
      <c r="D81" s="117"/>
      <c r="E81" s="117"/>
      <c r="F81" s="117"/>
      <c r="G81" s="117"/>
      <c r="H81" s="117"/>
      <c r="I81" s="117"/>
      <c r="J81" s="85">
        <f t="shared" si="3"/>
        <v>0</v>
      </c>
      <c r="K81" s="86">
        <f t="shared" si="3"/>
        <v>0</v>
      </c>
      <c r="L81" s="93"/>
      <c r="M81" s="93"/>
      <c r="N81" s="64"/>
      <c r="O81" s="64"/>
    </row>
    <row r="82" spans="1:15" x14ac:dyDescent="0.35">
      <c r="A82" s="114"/>
      <c r="B82" s="115"/>
      <c r="C82" s="115"/>
      <c r="D82" s="117"/>
      <c r="E82" s="117"/>
      <c r="F82" s="117"/>
      <c r="G82" s="117"/>
      <c r="H82" s="117"/>
      <c r="I82" s="117"/>
      <c r="J82" s="85">
        <f t="shared" si="3"/>
        <v>0</v>
      </c>
      <c r="K82" s="86">
        <f t="shared" si="3"/>
        <v>0</v>
      </c>
      <c r="L82" s="93"/>
      <c r="M82" s="93"/>
      <c r="N82" s="64"/>
      <c r="O82" s="64"/>
    </row>
    <row r="83" spans="1:15" x14ac:dyDescent="0.35">
      <c r="A83" s="114"/>
      <c r="B83" s="115"/>
      <c r="C83" s="115"/>
      <c r="D83" s="117"/>
      <c r="E83" s="117"/>
      <c r="F83" s="117"/>
      <c r="G83" s="117"/>
      <c r="H83" s="117"/>
      <c r="I83" s="117"/>
      <c r="J83" s="85">
        <f t="shared" si="3"/>
        <v>0</v>
      </c>
      <c r="K83" s="86">
        <f t="shared" si="3"/>
        <v>0</v>
      </c>
      <c r="L83" s="93"/>
      <c r="M83" s="93"/>
      <c r="N83" s="64"/>
      <c r="O83" s="64"/>
    </row>
    <row r="84" spans="1:15" x14ac:dyDescent="0.35">
      <c r="A84" s="114"/>
      <c r="B84" s="115"/>
      <c r="C84" s="115"/>
      <c r="D84" s="117"/>
      <c r="E84" s="117"/>
      <c r="F84" s="117"/>
      <c r="G84" s="117"/>
      <c r="H84" s="117"/>
      <c r="I84" s="117"/>
      <c r="J84" s="85">
        <f t="shared" si="3"/>
        <v>0</v>
      </c>
      <c r="K84" s="86">
        <f t="shared" si="3"/>
        <v>0</v>
      </c>
      <c r="L84" s="93"/>
      <c r="M84" s="93"/>
      <c r="N84" s="64"/>
      <c r="O84" s="64"/>
    </row>
    <row r="85" spans="1:15" x14ac:dyDescent="0.35">
      <c r="A85" s="114"/>
      <c r="B85" s="115"/>
      <c r="C85" s="115"/>
      <c r="D85" s="117"/>
      <c r="E85" s="117"/>
      <c r="F85" s="117"/>
      <c r="G85" s="117"/>
      <c r="H85" s="117"/>
      <c r="I85" s="117"/>
      <c r="J85" s="85">
        <f t="shared" si="3"/>
        <v>0</v>
      </c>
      <c r="K85" s="86">
        <f t="shared" si="3"/>
        <v>0</v>
      </c>
      <c r="L85" s="93"/>
      <c r="M85" s="93"/>
      <c r="N85" s="64"/>
      <c r="O85" s="64"/>
    </row>
    <row r="86" spans="1:15" x14ac:dyDescent="0.35">
      <c r="A86" s="114"/>
      <c r="B86" s="115"/>
      <c r="C86" s="115"/>
      <c r="D86" s="117"/>
      <c r="E86" s="117"/>
      <c r="F86" s="117"/>
      <c r="G86" s="117"/>
      <c r="H86" s="117"/>
      <c r="I86" s="117"/>
      <c r="J86" s="85">
        <f t="shared" si="3"/>
        <v>0</v>
      </c>
      <c r="K86" s="86">
        <f t="shared" si="3"/>
        <v>0</v>
      </c>
      <c r="L86" s="93"/>
      <c r="M86" s="93"/>
      <c r="N86" s="64"/>
      <c r="O86" s="64"/>
    </row>
    <row r="87" spans="1:15" x14ac:dyDescent="0.35">
      <c r="A87" s="114"/>
      <c r="B87" s="115"/>
      <c r="C87" s="115"/>
      <c r="D87" s="117"/>
      <c r="E87" s="117"/>
      <c r="F87" s="117"/>
      <c r="G87" s="117"/>
      <c r="H87" s="117"/>
      <c r="I87" s="117"/>
      <c r="J87" s="85">
        <f t="shared" si="3"/>
        <v>0</v>
      </c>
      <c r="K87" s="86">
        <f t="shared" si="3"/>
        <v>0</v>
      </c>
      <c r="L87" s="93"/>
      <c r="M87" s="93"/>
      <c r="N87" s="64"/>
      <c r="O87" s="64"/>
    </row>
    <row r="88" spans="1:15" x14ac:dyDescent="0.35">
      <c r="A88" s="114"/>
      <c r="B88" s="115"/>
      <c r="C88" s="115"/>
      <c r="D88" s="117"/>
      <c r="E88" s="117"/>
      <c r="F88" s="117"/>
      <c r="G88" s="117"/>
      <c r="H88" s="117"/>
      <c r="I88" s="117"/>
      <c r="J88" s="85">
        <f t="shared" si="3"/>
        <v>0</v>
      </c>
      <c r="K88" s="86">
        <f t="shared" si="3"/>
        <v>0</v>
      </c>
      <c r="L88" s="93"/>
      <c r="M88" s="93"/>
      <c r="N88" s="64"/>
      <c r="O88" s="64"/>
    </row>
    <row r="89" spans="1:15" x14ac:dyDescent="0.35">
      <c r="A89" s="114"/>
      <c r="B89" s="115"/>
      <c r="C89" s="115"/>
      <c r="D89" s="117"/>
      <c r="E89" s="117"/>
      <c r="F89" s="117"/>
      <c r="G89" s="117"/>
      <c r="H89" s="117"/>
      <c r="I89" s="117"/>
      <c r="J89" s="85">
        <f t="shared" si="3"/>
        <v>0</v>
      </c>
      <c r="K89" s="86">
        <f t="shared" si="3"/>
        <v>0</v>
      </c>
      <c r="L89" s="93"/>
      <c r="M89" s="93"/>
      <c r="N89" s="64"/>
      <c r="O89" s="64"/>
    </row>
    <row r="90" spans="1:15" x14ac:dyDescent="0.35">
      <c r="A90" s="114"/>
      <c r="B90" s="115"/>
      <c r="C90" s="115"/>
      <c r="D90" s="117"/>
      <c r="E90" s="117"/>
      <c r="F90" s="117"/>
      <c r="G90" s="117"/>
      <c r="H90" s="117"/>
      <c r="I90" s="117"/>
      <c r="J90" s="85">
        <f t="shared" si="3"/>
        <v>0</v>
      </c>
      <c r="K90" s="86">
        <f t="shared" si="3"/>
        <v>0</v>
      </c>
      <c r="L90" s="93"/>
      <c r="M90" s="93"/>
      <c r="N90" s="64"/>
      <c r="O90" s="64"/>
    </row>
    <row r="91" spans="1:15" x14ac:dyDescent="0.35">
      <c r="A91" s="114"/>
      <c r="B91" s="115"/>
      <c r="C91" s="115"/>
      <c r="D91" s="117"/>
      <c r="E91" s="117"/>
      <c r="F91" s="117"/>
      <c r="G91" s="117"/>
      <c r="H91" s="117"/>
      <c r="I91" s="117"/>
      <c r="J91" s="85">
        <f t="shared" si="3"/>
        <v>0</v>
      </c>
      <c r="K91" s="86">
        <f t="shared" si="3"/>
        <v>0</v>
      </c>
      <c r="L91" s="93"/>
      <c r="M91" s="93"/>
      <c r="N91" s="64"/>
      <c r="O91" s="64"/>
    </row>
    <row r="92" spans="1:15" x14ac:dyDescent="0.35">
      <c r="A92" s="114"/>
      <c r="B92" s="115"/>
      <c r="C92" s="115"/>
      <c r="D92" s="117"/>
      <c r="E92" s="117"/>
      <c r="F92" s="117"/>
      <c r="G92" s="117"/>
      <c r="H92" s="117"/>
      <c r="I92" s="117"/>
      <c r="J92" s="85">
        <f t="shared" si="3"/>
        <v>0</v>
      </c>
      <c r="K92" s="86">
        <f t="shared" si="3"/>
        <v>0</v>
      </c>
      <c r="L92" s="93"/>
      <c r="M92" s="93"/>
      <c r="N92" s="64"/>
      <c r="O92" s="64"/>
    </row>
    <row r="93" spans="1:15" x14ac:dyDescent="0.35">
      <c r="A93" s="114"/>
      <c r="B93" s="115"/>
      <c r="C93" s="115"/>
      <c r="D93" s="117"/>
      <c r="E93" s="117"/>
      <c r="F93" s="117"/>
      <c r="G93" s="117"/>
      <c r="H93" s="117"/>
      <c r="I93" s="117"/>
      <c r="J93" s="85">
        <f t="shared" si="3"/>
        <v>0</v>
      </c>
      <c r="K93" s="86">
        <f t="shared" si="3"/>
        <v>0</v>
      </c>
      <c r="L93" s="93"/>
      <c r="M93" s="93"/>
      <c r="N93" s="64"/>
      <c r="O93" s="64"/>
    </row>
    <row r="94" spans="1:15" x14ac:dyDescent="0.35">
      <c r="A94" s="114"/>
      <c r="B94" s="115"/>
      <c r="C94" s="115"/>
      <c r="D94" s="117"/>
      <c r="E94" s="117"/>
      <c r="F94" s="117"/>
      <c r="G94" s="117"/>
      <c r="H94" s="117"/>
      <c r="I94" s="117"/>
      <c r="J94" s="85">
        <f t="shared" si="3"/>
        <v>0</v>
      </c>
      <c r="K94" s="86">
        <f t="shared" si="3"/>
        <v>0</v>
      </c>
      <c r="L94" s="93"/>
      <c r="M94" s="93"/>
      <c r="N94" s="64"/>
      <c r="O94" s="64"/>
    </row>
    <row r="95" spans="1:15" x14ac:dyDescent="0.35">
      <c r="A95" s="114"/>
      <c r="B95" s="115"/>
      <c r="C95" s="115"/>
      <c r="D95" s="117"/>
      <c r="E95" s="117"/>
      <c r="F95" s="117"/>
      <c r="G95" s="117"/>
      <c r="H95" s="117"/>
      <c r="I95" s="117"/>
      <c r="J95" s="85">
        <f t="shared" si="3"/>
        <v>0</v>
      </c>
      <c r="K95" s="86">
        <f t="shared" si="3"/>
        <v>0</v>
      </c>
      <c r="L95" s="93"/>
      <c r="M95" s="93"/>
      <c r="N95" s="64"/>
      <c r="O95" s="64"/>
    </row>
    <row r="96" spans="1:15" x14ac:dyDescent="0.35">
      <c r="J96" s="94">
        <f>SUM(J12:J95)</f>
        <v>75</v>
      </c>
      <c r="K96" s="94">
        <f>SUM(K12:K95)</f>
        <v>254</v>
      </c>
      <c r="L96" s="94">
        <f>SUM(L12:L95)</f>
        <v>0</v>
      </c>
      <c r="M96" s="94">
        <f>SUM(M12:M95)</f>
        <v>0</v>
      </c>
    </row>
    <row r="97" spans="10:11" x14ac:dyDescent="0.35">
      <c r="J97" s="144"/>
      <c r="K97" s="144"/>
    </row>
  </sheetData>
  <autoFilter ref="A1:O96" xr:uid="{00000000-0009-0000-0000-000009000000}"/>
  <mergeCells count="11">
    <mergeCell ref="H1:I1"/>
    <mergeCell ref="A1:A2"/>
    <mergeCell ref="B1:B2"/>
    <mergeCell ref="C1:C2"/>
    <mergeCell ref="D1:E1"/>
    <mergeCell ref="F1:G1"/>
    <mergeCell ref="J1:K1"/>
    <mergeCell ref="L1:M1"/>
    <mergeCell ref="N1:N2"/>
    <mergeCell ref="O1:O2"/>
    <mergeCell ref="J97:K97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1"/>
  <sheetViews>
    <sheetView zoomScaleNormal="100" workbookViewId="0">
      <selection activeCell="D36" sqref="D36"/>
    </sheetView>
  </sheetViews>
  <sheetFormatPr defaultColWidth="8.54296875" defaultRowHeight="18" x14ac:dyDescent="0.35"/>
  <cols>
    <col min="1" max="1" width="21.54296875" customWidth="1"/>
    <col min="2" max="2" width="13.81640625" customWidth="1"/>
    <col min="3" max="3" width="17.90625" customWidth="1"/>
    <col min="4" max="4" width="26.54296875" customWidth="1"/>
    <col min="5" max="5" width="16.1796875" customWidth="1"/>
    <col min="6" max="6" width="12" customWidth="1"/>
    <col min="7" max="7" width="10.08984375" customWidth="1"/>
    <col min="8" max="8" width="12.6328125" customWidth="1"/>
  </cols>
  <sheetData>
    <row r="1" spans="1:8" x14ac:dyDescent="0.35">
      <c r="A1" s="95" t="s">
        <v>204</v>
      </c>
      <c r="B1" s="95" t="s">
        <v>204</v>
      </c>
      <c r="C1" s="96" t="s">
        <v>205</v>
      </c>
      <c r="D1" t="s">
        <v>30</v>
      </c>
    </row>
    <row r="2" spans="1:8" ht="24.75" customHeight="1" x14ac:dyDescent="0.35">
      <c r="A2" s="95" t="s">
        <v>65</v>
      </c>
      <c r="B2" s="95" t="s">
        <v>65</v>
      </c>
      <c r="C2" s="97" t="s">
        <v>206</v>
      </c>
      <c r="D2" s="98" t="s">
        <v>31</v>
      </c>
    </row>
    <row r="3" spans="1:8" s="16" customFormat="1" ht="27.75" customHeight="1" x14ac:dyDescent="0.35">
      <c r="A3" s="99" t="s">
        <v>207</v>
      </c>
      <c r="B3" s="99" t="s">
        <v>207</v>
      </c>
      <c r="C3" s="24" t="s">
        <v>208</v>
      </c>
      <c r="D3" s="100" t="s">
        <v>209</v>
      </c>
      <c r="E3" s="31"/>
      <c r="F3" s="31"/>
      <c r="G3" s="31"/>
      <c r="H3" s="31"/>
    </row>
    <row r="4" spans="1:8" s="16" customFormat="1" ht="17.399999999999999" x14ac:dyDescent="0.3">
      <c r="A4" s="99" t="s">
        <v>210</v>
      </c>
      <c r="B4" s="99" t="s">
        <v>210</v>
      </c>
      <c r="C4" s="17"/>
      <c r="D4" s="101"/>
      <c r="E4" s="101"/>
      <c r="F4" s="101"/>
      <c r="G4" s="101"/>
      <c r="H4" s="101"/>
    </row>
    <row r="5" spans="1:8" s="16" customFormat="1" ht="17.399999999999999" x14ac:dyDescent="0.3">
      <c r="A5" s="99" t="s">
        <v>211</v>
      </c>
      <c r="B5" s="99" t="s">
        <v>211</v>
      </c>
      <c r="C5" s="17"/>
      <c r="D5" s="17"/>
      <c r="E5" s="17"/>
      <c r="F5" s="17"/>
      <c r="G5" s="17"/>
      <c r="H5" s="17"/>
    </row>
    <row r="6" spans="1:8" s="16" customFormat="1" ht="17.399999999999999" x14ac:dyDescent="0.3">
      <c r="A6" s="99" t="s">
        <v>212</v>
      </c>
      <c r="B6" s="99" t="s">
        <v>212</v>
      </c>
      <c r="C6" s="17"/>
      <c r="D6" s="17"/>
      <c r="E6" s="17"/>
      <c r="F6" s="17"/>
      <c r="G6" s="17"/>
      <c r="H6" s="17"/>
    </row>
    <row r="7" spans="1:8" s="16" customFormat="1" ht="17.399999999999999" x14ac:dyDescent="0.3">
      <c r="A7" s="99" t="s">
        <v>213</v>
      </c>
      <c r="B7" s="99" t="s">
        <v>213</v>
      </c>
      <c r="C7" s="17"/>
      <c r="D7" s="17"/>
      <c r="E7" s="17"/>
      <c r="F7" s="17"/>
      <c r="G7" s="17"/>
      <c r="H7" s="17"/>
    </row>
    <row r="8" spans="1:8" s="16" customFormat="1" ht="17.399999999999999" x14ac:dyDescent="0.3">
      <c r="A8" s="99" t="s">
        <v>214</v>
      </c>
      <c r="B8" s="99" t="s">
        <v>214</v>
      </c>
      <c r="C8" s="17"/>
      <c r="D8" s="17"/>
      <c r="E8" s="17"/>
      <c r="F8" s="17"/>
      <c r="G8" s="17"/>
      <c r="H8" s="17"/>
    </row>
    <row r="9" spans="1:8" s="16" customFormat="1" ht="17.399999999999999" x14ac:dyDescent="0.3">
      <c r="A9" s="99" t="s">
        <v>215</v>
      </c>
      <c r="B9" s="99" t="s">
        <v>215</v>
      </c>
      <c r="C9" s="17"/>
      <c r="D9" s="17"/>
      <c r="E9" s="17"/>
      <c r="F9" s="17"/>
      <c r="G9" s="17"/>
      <c r="H9" s="17"/>
    </row>
    <row r="10" spans="1:8" s="16" customFormat="1" ht="17.399999999999999" x14ac:dyDescent="0.3">
      <c r="A10" s="99" t="s">
        <v>216</v>
      </c>
      <c r="B10" s="99" t="s">
        <v>216</v>
      </c>
      <c r="C10" s="17"/>
      <c r="D10" s="17"/>
      <c r="E10" s="17"/>
      <c r="F10" s="17"/>
      <c r="G10" s="17"/>
      <c r="H10" s="17"/>
    </row>
    <row r="11" spans="1:8" s="16" customFormat="1" ht="17.399999999999999" x14ac:dyDescent="0.3">
      <c r="A11" s="102" t="s">
        <v>217</v>
      </c>
      <c r="B11" s="99" t="s">
        <v>218</v>
      </c>
      <c r="C11" s="17"/>
      <c r="D11" s="17"/>
      <c r="E11" s="17"/>
      <c r="F11" s="17"/>
      <c r="G11" s="17"/>
      <c r="H11" s="17"/>
    </row>
    <row r="12" spans="1:8" s="16" customFormat="1" ht="17.399999999999999" x14ac:dyDescent="0.3">
      <c r="A12" s="102" t="s">
        <v>219</v>
      </c>
      <c r="B12" s="99" t="s">
        <v>154</v>
      </c>
      <c r="C12" s="17"/>
      <c r="D12" s="17"/>
      <c r="E12" s="17"/>
      <c r="F12" s="17"/>
      <c r="G12" s="17"/>
      <c r="H12" s="17"/>
    </row>
    <row r="13" spans="1:8" s="16" customFormat="1" ht="17.399999999999999" x14ac:dyDescent="0.3">
      <c r="A13" s="102" t="s">
        <v>220</v>
      </c>
      <c r="B13" s="99" t="s">
        <v>221</v>
      </c>
      <c r="C13" s="17"/>
      <c r="D13" s="17"/>
      <c r="E13" s="17"/>
      <c r="F13" s="17"/>
      <c r="G13" s="17"/>
      <c r="H13" s="17"/>
    </row>
    <row r="14" spans="1:8" s="16" customFormat="1" ht="17.399999999999999" x14ac:dyDescent="0.3">
      <c r="A14" s="102" t="s">
        <v>222</v>
      </c>
      <c r="B14" s="99" t="s">
        <v>223</v>
      </c>
      <c r="C14" s="17"/>
      <c r="D14" s="17"/>
      <c r="E14" s="17"/>
      <c r="F14" s="17"/>
      <c r="G14" s="17"/>
      <c r="H14" s="17"/>
    </row>
    <row r="15" spans="1:8" s="16" customFormat="1" ht="17.399999999999999" x14ac:dyDescent="0.3">
      <c r="A15" s="102" t="s">
        <v>224</v>
      </c>
      <c r="B15" s="99" t="s">
        <v>225</v>
      </c>
      <c r="C15" s="17"/>
      <c r="D15" s="17"/>
      <c r="E15" s="17"/>
      <c r="F15" s="17"/>
      <c r="G15" s="17"/>
      <c r="H15" s="17"/>
    </row>
    <row r="16" spans="1:8" s="16" customFormat="1" ht="31.2" x14ac:dyDescent="0.3">
      <c r="A16" s="102" t="s">
        <v>226</v>
      </c>
      <c r="B16" s="99" t="s">
        <v>227</v>
      </c>
      <c r="C16" s="17"/>
      <c r="D16" s="17"/>
      <c r="E16" s="17"/>
      <c r="F16" s="17"/>
      <c r="G16" s="17"/>
      <c r="H16" s="17"/>
    </row>
    <row r="17" spans="1:8" s="16" customFormat="1" ht="17.399999999999999" x14ac:dyDescent="0.3">
      <c r="A17" s="102" t="s">
        <v>228</v>
      </c>
      <c r="B17" s="99" t="s">
        <v>229</v>
      </c>
      <c r="C17" s="17"/>
      <c r="D17" s="17"/>
      <c r="E17" s="17"/>
      <c r="F17" s="17"/>
      <c r="G17" s="17"/>
      <c r="H17" s="17"/>
    </row>
    <row r="18" spans="1:8" s="16" customFormat="1" ht="28.5" customHeight="1" x14ac:dyDescent="0.3">
      <c r="A18" s="102" t="s">
        <v>230</v>
      </c>
      <c r="B18" s="99" t="s">
        <v>231</v>
      </c>
      <c r="C18" s="17"/>
      <c r="D18" s="17"/>
      <c r="E18" s="17"/>
      <c r="F18" s="17"/>
      <c r="G18" s="17"/>
      <c r="H18" s="17"/>
    </row>
    <row r="19" spans="1:8" s="16" customFormat="1" ht="17.399999999999999" x14ac:dyDescent="0.3">
      <c r="A19" s="102" t="s">
        <v>232</v>
      </c>
      <c r="B19" s="99" t="s">
        <v>233</v>
      </c>
      <c r="C19" s="17"/>
      <c r="D19" s="17"/>
      <c r="E19" s="17"/>
      <c r="F19" s="17"/>
      <c r="G19" s="17"/>
      <c r="H19" s="17"/>
    </row>
    <row r="20" spans="1:8" s="16" customFormat="1" ht="31.2" x14ac:dyDescent="0.3">
      <c r="A20" s="102" t="s">
        <v>234</v>
      </c>
      <c r="B20" s="99" t="s">
        <v>235</v>
      </c>
      <c r="C20" s="17"/>
      <c r="D20" s="17"/>
      <c r="E20" s="17"/>
      <c r="F20" s="17"/>
      <c r="G20" s="17"/>
      <c r="H20" s="17"/>
    </row>
    <row r="21" spans="1:8" s="16" customFormat="1" ht="17.399999999999999" x14ac:dyDescent="0.3">
      <c r="A21" s="103" t="s">
        <v>236</v>
      </c>
      <c r="B21" s="99" t="s">
        <v>237</v>
      </c>
      <c r="C21" s="17"/>
      <c r="D21" s="17"/>
      <c r="E21" s="17"/>
      <c r="F21" s="17"/>
      <c r="G21" s="17"/>
      <c r="H21" s="17"/>
    </row>
    <row r="22" spans="1:8" s="16" customFormat="1" ht="17.399999999999999" x14ac:dyDescent="0.3">
      <c r="A22" s="103" t="s">
        <v>238</v>
      </c>
      <c r="B22" s="99" t="s">
        <v>239</v>
      </c>
      <c r="C22" s="17"/>
      <c r="D22" s="17"/>
      <c r="E22" s="17"/>
      <c r="F22" s="17"/>
      <c r="G22" s="17"/>
      <c r="H22" s="17"/>
    </row>
    <row r="23" spans="1:8" s="16" customFormat="1" ht="31.2" x14ac:dyDescent="0.3">
      <c r="A23" s="103" t="s">
        <v>240</v>
      </c>
      <c r="B23" s="99" t="s">
        <v>241</v>
      </c>
      <c r="C23" s="17"/>
      <c r="D23" s="17"/>
      <c r="E23" s="17"/>
      <c r="F23" s="17"/>
      <c r="G23" s="17"/>
      <c r="H23" s="17"/>
    </row>
    <row r="24" spans="1:8" s="16" customFormat="1" ht="17.399999999999999" x14ac:dyDescent="0.3">
      <c r="A24" s="102" t="s">
        <v>242</v>
      </c>
      <c r="B24" s="99" t="s">
        <v>243</v>
      </c>
      <c r="C24" s="17"/>
      <c r="D24" s="17"/>
      <c r="E24" s="17"/>
      <c r="F24" s="17"/>
      <c r="G24" s="17"/>
      <c r="H24" s="17"/>
    </row>
    <row r="25" spans="1:8" s="16" customFormat="1" ht="17.399999999999999" x14ac:dyDescent="0.3">
      <c r="A25" s="102" t="s">
        <v>244</v>
      </c>
      <c r="B25" s="99" t="s">
        <v>245</v>
      </c>
      <c r="C25" s="17"/>
      <c r="D25" s="17"/>
      <c r="E25" s="17"/>
      <c r="F25" s="17"/>
      <c r="G25" s="17"/>
      <c r="H25" s="17"/>
    </row>
    <row r="26" spans="1:8" s="16" customFormat="1" ht="17.399999999999999" x14ac:dyDescent="0.3">
      <c r="A26" s="102" t="s">
        <v>246</v>
      </c>
      <c r="B26" s="99" t="s">
        <v>247</v>
      </c>
      <c r="C26" s="17"/>
      <c r="D26" s="17"/>
      <c r="E26" s="17"/>
      <c r="F26" s="17"/>
      <c r="G26" s="17"/>
      <c r="H26" s="17"/>
    </row>
    <row r="27" spans="1:8" s="16" customFormat="1" ht="17.399999999999999" x14ac:dyDescent="0.3">
      <c r="A27" s="102" t="s">
        <v>248</v>
      </c>
      <c r="B27" s="99" t="s">
        <v>249</v>
      </c>
      <c r="C27" s="17"/>
      <c r="D27" s="17"/>
      <c r="E27" s="17"/>
      <c r="F27" s="17"/>
      <c r="G27" s="17"/>
      <c r="H27" s="17"/>
    </row>
    <row r="28" spans="1:8" s="16" customFormat="1" ht="17.399999999999999" x14ac:dyDescent="0.3">
      <c r="A28" s="102" t="s">
        <v>250</v>
      </c>
      <c r="B28" s="99" t="s">
        <v>173</v>
      </c>
      <c r="C28" s="17"/>
      <c r="D28" s="17"/>
      <c r="E28" s="17"/>
      <c r="F28" s="17"/>
      <c r="G28" s="17"/>
      <c r="H28" s="17"/>
    </row>
    <row r="29" spans="1:8" s="16" customFormat="1" ht="17.399999999999999" x14ac:dyDescent="0.3">
      <c r="A29" s="102" t="s">
        <v>251</v>
      </c>
      <c r="B29" s="99" t="s">
        <v>252</v>
      </c>
      <c r="C29" s="17"/>
      <c r="D29" s="17"/>
      <c r="E29" s="17"/>
      <c r="F29" s="17"/>
      <c r="G29" s="17"/>
      <c r="H29" s="17"/>
    </row>
    <row r="30" spans="1:8" s="16" customFormat="1" ht="17.399999999999999" x14ac:dyDescent="0.3">
      <c r="A30" s="102" t="s">
        <v>199</v>
      </c>
      <c r="B30" s="99" t="s">
        <v>187</v>
      </c>
      <c r="C30" s="17"/>
      <c r="D30" s="17"/>
      <c r="E30" s="17"/>
      <c r="F30" s="17"/>
      <c r="G30" s="17"/>
      <c r="H30" s="17"/>
    </row>
    <row r="31" spans="1:8" s="16" customFormat="1" ht="17.399999999999999" x14ac:dyDescent="0.3">
      <c r="A31" s="102" t="s">
        <v>253</v>
      </c>
      <c r="B31" s="99" t="s">
        <v>254</v>
      </c>
      <c r="C31" s="17"/>
      <c r="D31" s="17"/>
      <c r="E31" s="17"/>
      <c r="F31" s="17"/>
      <c r="G31" s="17"/>
      <c r="H31" s="17"/>
    </row>
    <row r="32" spans="1:8" s="16" customFormat="1" ht="17.399999999999999" x14ac:dyDescent="0.3">
      <c r="A32" s="102" t="s">
        <v>255</v>
      </c>
      <c r="B32" s="99" t="s">
        <v>256</v>
      </c>
      <c r="C32" s="17"/>
      <c r="D32" s="17"/>
      <c r="E32" s="17"/>
      <c r="F32" s="17"/>
      <c r="G32" s="17"/>
      <c r="H32" s="17"/>
    </row>
    <row r="33" spans="1:8" s="16" customFormat="1" ht="17.399999999999999" x14ac:dyDescent="0.3">
      <c r="A33" s="102" t="s">
        <v>257</v>
      </c>
      <c r="B33" s="99" t="s">
        <v>258</v>
      </c>
      <c r="C33" s="17"/>
      <c r="D33" s="17"/>
      <c r="E33" s="17"/>
      <c r="F33" s="17"/>
      <c r="G33" s="17"/>
      <c r="H33" s="17"/>
    </row>
    <row r="34" spans="1:8" s="16" customFormat="1" ht="17.399999999999999" x14ac:dyDescent="0.3">
      <c r="A34" s="102" t="s">
        <v>259</v>
      </c>
      <c r="B34" s="99" t="s">
        <v>260</v>
      </c>
      <c r="C34" s="17"/>
      <c r="D34" s="17"/>
      <c r="E34" s="17"/>
      <c r="F34" s="17"/>
      <c r="G34" s="17"/>
      <c r="H34" s="17"/>
    </row>
    <row r="35" spans="1:8" s="16" customFormat="1" ht="17.399999999999999" x14ac:dyDescent="0.3">
      <c r="A35" s="102" t="s">
        <v>261</v>
      </c>
      <c r="B35" s="99" t="s">
        <v>262</v>
      </c>
      <c r="C35" s="17"/>
      <c r="D35" s="17"/>
      <c r="E35" s="17"/>
      <c r="F35" s="17"/>
      <c r="G35" s="17"/>
      <c r="H35" s="17"/>
    </row>
    <row r="36" spans="1:8" s="16" customFormat="1" ht="17.399999999999999" x14ac:dyDescent="0.3">
      <c r="A36" s="102" t="s">
        <v>263</v>
      </c>
      <c r="B36" s="99" t="s">
        <v>65</v>
      </c>
      <c r="C36" s="17"/>
      <c r="D36" s="17"/>
      <c r="E36" s="17"/>
      <c r="F36" s="17"/>
      <c r="G36" s="17"/>
      <c r="H36" s="17"/>
    </row>
    <row r="37" spans="1:8" s="16" customFormat="1" ht="17.399999999999999" x14ac:dyDescent="0.3">
      <c r="A37" s="102" t="s">
        <v>175</v>
      </c>
      <c r="B37" s="99" t="s">
        <v>62</v>
      </c>
      <c r="C37" s="17"/>
      <c r="D37" s="17"/>
      <c r="E37" s="17"/>
      <c r="F37" s="17"/>
      <c r="G37" s="17"/>
      <c r="H37" s="17"/>
    </row>
    <row r="38" spans="1:8" s="16" customFormat="1" ht="17.399999999999999" x14ac:dyDescent="0.3">
      <c r="A38" s="103" t="s">
        <v>264</v>
      </c>
      <c r="B38" s="17"/>
      <c r="C38" s="17"/>
      <c r="D38" s="17"/>
      <c r="E38" s="17"/>
      <c r="F38" s="17"/>
      <c r="G38" s="17"/>
      <c r="H38" s="17"/>
    </row>
    <row r="39" spans="1:8" s="16" customFormat="1" ht="17.399999999999999" x14ac:dyDescent="0.3">
      <c r="A39" s="102" t="s">
        <v>265</v>
      </c>
      <c r="B39" s="17"/>
      <c r="C39" s="101"/>
      <c r="D39" s="17"/>
      <c r="E39" s="17"/>
      <c r="F39" s="17"/>
      <c r="G39" s="17"/>
      <c r="H39" s="17"/>
    </row>
    <row r="40" spans="1:8" s="16" customFormat="1" ht="17.399999999999999" x14ac:dyDescent="0.3">
      <c r="A40" s="99" t="s">
        <v>218</v>
      </c>
      <c r="B40" s="17"/>
      <c r="C40" s="17"/>
      <c r="D40" s="17"/>
      <c r="E40" s="17"/>
      <c r="F40" s="17"/>
      <c r="G40" s="17"/>
      <c r="H40" s="17"/>
    </row>
    <row r="41" spans="1:8" s="16" customFormat="1" ht="17.399999999999999" x14ac:dyDescent="0.3">
      <c r="A41" s="102" t="s">
        <v>266</v>
      </c>
      <c r="B41" s="17"/>
      <c r="C41" s="17"/>
      <c r="D41" s="17"/>
      <c r="E41" s="17"/>
      <c r="F41" s="17"/>
      <c r="G41" s="17"/>
      <c r="H41" s="17"/>
    </row>
    <row r="42" spans="1:8" s="16" customFormat="1" ht="17.399999999999999" x14ac:dyDescent="0.3">
      <c r="A42" s="102" t="s">
        <v>50</v>
      </c>
      <c r="B42" s="17"/>
      <c r="C42" s="17"/>
      <c r="D42" s="17"/>
      <c r="E42" s="17"/>
      <c r="F42" s="17"/>
      <c r="G42" s="17"/>
      <c r="H42" s="17"/>
    </row>
    <row r="43" spans="1:8" s="16" customFormat="1" ht="17.399999999999999" x14ac:dyDescent="0.3">
      <c r="A43" s="103" t="s">
        <v>267</v>
      </c>
      <c r="B43" s="17"/>
      <c r="C43" s="17"/>
      <c r="D43" s="17"/>
      <c r="E43" s="17"/>
      <c r="F43" s="17"/>
      <c r="G43" s="17"/>
      <c r="H43" s="17"/>
    </row>
    <row r="44" spans="1:8" s="16" customFormat="1" ht="17.399999999999999" x14ac:dyDescent="0.3">
      <c r="A44" s="103" t="s">
        <v>268</v>
      </c>
      <c r="B44" s="17"/>
      <c r="C44" s="17"/>
      <c r="D44" s="17"/>
      <c r="E44" s="17"/>
      <c r="F44" s="17"/>
      <c r="G44" s="17"/>
      <c r="H44" s="17"/>
    </row>
    <row r="45" spans="1:8" s="16" customFormat="1" ht="17.399999999999999" x14ac:dyDescent="0.3">
      <c r="A45" s="102" t="s">
        <v>269</v>
      </c>
      <c r="B45" s="17"/>
      <c r="C45" s="17"/>
      <c r="D45" s="17"/>
      <c r="E45" s="17"/>
      <c r="F45" s="17"/>
      <c r="G45" s="17"/>
      <c r="H45" s="17"/>
    </row>
    <row r="46" spans="1:8" s="16" customFormat="1" ht="17.399999999999999" x14ac:dyDescent="0.3">
      <c r="A46" s="102" t="s">
        <v>270</v>
      </c>
      <c r="B46" s="17"/>
      <c r="C46" s="17"/>
      <c r="D46" s="17"/>
      <c r="E46" s="17"/>
      <c r="F46" s="17"/>
      <c r="G46" s="17"/>
      <c r="H46" s="17"/>
    </row>
    <row r="47" spans="1:8" s="16" customFormat="1" ht="17.399999999999999" x14ac:dyDescent="0.3">
      <c r="A47" s="103" t="s">
        <v>271</v>
      </c>
      <c r="B47" s="17"/>
      <c r="C47" s="17"/>
      <c r="D47" s="17"/>
      <c r="E47" s="17"/>
      <c r="F47" s="17"/>
      <c r="G47" s="17"/>
      <c r="H47" s="17"/>
    </row>
    <row r="48" spans="1:8" s="16" customFormat="1" ht="17.399999999999999" x14ac:dyDescent="0.3">
      <c r="A48" s="102" t="s">
        <v>272</v>
      </c>
      <c r="B48" s="17"/>
      <c r="C48" s="17"/>
      <c r="D48" s="17"/>
      <c r="E48" s="17"/>
      <c r="F48" s="17"/>
      <c r="G48" s="17"/>
      <c r="H48" s="17"/>
    </row>
    <row r="49" spans="1:8" s="16" customFormat="1" ht="17.399999999999999" x14ac:dyDescent="0.3">
      <c r="A49" s="103" t="s">
        <v>273</v>
      </c>
      <c r="B49" s="17"/>
      <c r="C49" s="17"/>
      <c r="D49" s="17"/>
      <c r="E49" s="17"/>
      <c r="F49" s="17"/>
      <c r="G49" s="17"/>
      <c r="H49" s="17"/>
    </row>
    <row r="50" spans="1:8" s="16" customFormat="1" ht="17.399999999999999" x14ac:dyDescent="0.3">
      <c r="A50" s="102" t="s">
        <v>274</v>
      </c>
      <c r="B50" s="17"/>
      <c r="C50" s="17"/>
      <c r="D50" s="17"/>
      <c r="E50" s="17"/>
      <c r="F50" s="17"/>
      <c r="G50" s="17"/>
      <c r="H50" s="17"/>
    </row>
    <row r="51" spans="1:8" s="16" customFormat="1" ht="17.399999999999999" x14ac:dyDescent="0.3">
      <c r="A51" s="102" t="s">
        <v>275</v>
      </c>
      <c r="B51" s="17"/>
      <c r="C51" s="17"/>
      <c r="D51" s="17"/>
      <c r="E51" s="17"/>
      <c r="F51" s="17"/>
      <c r="G51" s="17"/>
      <c r="H51" s="17"/>
    </row>
    <row r="52" spans="1:8" s="16" customFormat="1" ht="17.399999999999999" x14ac:dyDescent="0.3">
      <c r="A52" s="102" t="s">
        <v>276</v>
      </c>
      <c r="B52" s="17"/>
      <c r="C52" s="17"/>
      <c r="D52" s="17"/>
      <c r="E52" s="17"/>
      <c r="F52" s="17"/>
      <c r="G52" s="17"/>
      <c r="H52" s="17"/>
    </row>
    <row r="53" spans="1:8" s="16" customFormat="1" ht="17.399999999999999" x14ac:dyDescent="0.3">
      <c r="A53" s="102" t="s">
        <v>43</v>
      </c>
      <c r="B53" s="17"/>
      <c r="C53" s="17"/>
      <c r="D53" s="17"/>
      <c r="E53" s="17"/>
      <c r="F53" s="17"/>
      <c r="G53" s="17"/>
      <c r="H53" s="17"/>
    </row>
    <row r="54" spans="1:8" s="16" customFormat="1" ht="17.399999999999999" x14ac:dyDescent="0.3">
      <c r="A54" s="102" t="s">
        <v>277</v>
      </c>
      <c r="B54" s="17"/>
      <c r="C54" s="17"/>
      <c r="D54" s="17"/>
      <c r="E54" s="17"/>
      <c r="F54" s="17"/>
      <c r="G54" s="17"/>
      <c r="H54" s="17"/>
    </row>
    <row r="55" spans="1:8" s="16" customFormat="1" ht="17.399999999999999" x14ac:dyDescent="0.3">
      <c r="A55" s="102" t="s">
        <v>278</v>
      </c>
      <c r="B55" s="17"/>
      <c r="C55" s="17"/>
      <c r="D55" s="17"/>
      <c r="E55" s="17"/>
      <c r="F55" s="17"/>
      <c r="G55" s="17"/>
      <c r="H55" s="17"/>
    </row>
    <row r="56" spans="1:8" s="16" customFormat="1" ht="17.399999999999999" x14ac:dyDescent="0.3">
      <c r="A56" s="102" t="s">
        <v>279</v>
      </c>
      <c r="B56" s="17"/>
      <c r="C56" s="17"/>
      <c r="D56" s="17"/>
      <c r="E56" s="17"/>
      <c r="F56" s="17"/>
      <c r="G56" s="17"/>
      <c r="H56" s="17"/>
    </row>
    <row r="57" spans="1:8" s="16" customFormat="1" ht="17.399999999999999" x14ac:dyDescent="0.3">
      <c r="A57" s="102" t="s">
        <v>280</v>
      </c>
      <c r="B57" s="17"/>
      <c r="C57" s="17"/>
      <c r="D57" s="17"/>
      <c r="E57" s="17"/>
      <c r="F57" s="17"/>
      <c r="G57" s="17"/>
      <c r="H57" s="17"/>
    </row>
    <row r="58" spans="1:8" s="16" customFormat="1" ht="17.399999999999999" x14ac:dyDescent="0.3">
      <c r="A58" s="102" t="s">
        <v>281</v>
      </c>
      <c r="B58" s="17"/>
      <c r="C58" s="17"/>
      <c r="D58" s="17"/>
      <c r="E58" s="17"/>
      <c r="F58" s="17"/>
      <c r="G58" s="17"/>
      <c r="H58" s="17"/>
    </row>
    <row r="59" spans="1:8" s="16" customFormat="1" ht="17.399999999999999" x14ac:dyDescent="0.3">
      <c r="A59" s="102" t="s">
        <v>282</v>
      </c>
      <c r="B59" s="17"/>
      <c r="C59" s="17"/>
      <c r="D59" s="17"/>
      <c r="E59" s="17"/>
      <c r="F59" s="17"/>
      <c r="G59" s="17"/>
      <c r="H59" s="17"/>
    </row>
    <row r="60" spans="1:8" s="16" customFormat="1" ht="17.399999999999999" x14ac:dyDescent="0.3">
      <c r="A60" s="102" t="s">
        <v>200</v>
      </c>
      <c r="B60" s="17"/>
      <c r="C60" s="17"/>
      <c r="D60" s="17"/>
      <c r="E60" s="17"/>
      <c r="F60" s="17"/>
      <c r="G60" s="17"/>
      <c r="H60" s="17"/>
    </row>
    <row r="61" spans="1:8" s="16" customFormat="1" ht="17.399999999999999" x14ac:dyDescent="0.3">
      <c r="A61" s="103" t="s">
        <v>283</v>
      </c>
      <c r="B61" s="17"/>
      <c r="C61" s="17"/>
      <c r="D61" s="17"/>
      <c r="E61" s="17"/>
      <c r="F61" s="17"/>
      <c r="G61" s="17"/>
      <c r="H61" s="17"/>
    </row>
    <row r="62" spans="1:8" s="16" customFormat="1" ht="17.399999999999999" x14ac:dyDescent="0.3">
      <c r="A62" s="102" t="s">
        <v>284</v>
      </c>
      <c r="B62" s="17"/>
      <c r="C62" s="17"/>
      <c r="D62" s="17"/>
      <c r="E62" s="17"/>
      <c r="F62" s="17"/>
      <c r="G62" s="17"/>
      <c r="H62" s="17"/>
    </row>
    <row r="63" spans="1:8" s="16" customFormat="1" ht="17.399999999999999" x14ac:dyDescent="0.3">
      <c r="A63" s="102" t="s">
        <v>179</v>
      </c>
      <c r="B63" s="17"/>
      <c r="C63" s="17"/>
      <c r="D63" s="17"/>
      <c r="E63" s="17"/>
      <c r="F63" s="17"/>
      <c r="G63" s="17"/>
      <c r="H63" s="17"/>
    </row>
    <row r="64" spans="1:8" s="16" customFormat="1" ht="17.399999999999999" x14ac:dyDescent="0.3">
      <c r="A64" s="102" t="s">
        <v>190</v>
      </c>
      <c r="B64" s="17"/>
      <c r="C64" s="17"/>
      <c r="D64" s="17"/>
      <c r="E64" s="17"/>
      <c r="F64" s="17"/>
      <c r="G64" s="17"/>
      <c r="H64" s="17"/>
    </row>
    <row r="65" spans="1:8" s="16" customFormat="1" ht="17.399999999999999" x14ac:dyDescent="0.3">
      <c r="A65" s="102" t="s">
        <v>285</v>
      </c>
      <c r="B65" s="17"/>
      <c r="C65" s="17"/>
      <c r="D65" s="17"/>
      <c r="E65" s="17"/>
      <c r="F65" s="17"/>
      <c r="G65" s="17"/>
      <c r="H65" s="17"/>
    </row>
    <row r="66" spans="1:8" s="16" customFormat="1" ht="17.399999999999999" x14ac:dyDescent="0.3">
      <c r="A66" s="102" t="s">
        <v>47</v>
      </c>
      <c r="B66" s="17"/>
      <c r="C66" s="17"/>
      <c r="D66" s="17"/>
      <c r="E66" s="17"/>
      <c r="F66" s="17"/>
      <c r="G66" s="17"/>
      <c r="H66" s="17"/>
    </row>
    <row r="67" spans="1:8" s="16" customFormat="1" ht="17.399999999999999" x14ac:dyDescent="0.3">
      <c r="A67" s="102" t="s">
        <v>201</v>
      </c>
      <c r="B67" s="17"/>
      <c r="C67" s="17"/>
      <c r="D67" s="17"/>
      <c r="E67" s="17"/>
      <c r="F67" s="17"/>
      <c r="G67" s="17"/>
      <c r="H67" s="17"/>
    </row>
    <row r="68" spans="1:8" s="16" customFormat="1" ht="17.399999999999999" x14ac:dyDescent="0.3">
      <c r="A68" s="102" t="s">
        <v>166</v>
      </c>
      <c r="B68" s="17"/>
      <c r="C68" s="17"/>
      <c r="D68" s="17"/>
      <c r="E68" s="17"/>
      <c r="F68" s="17"/>
      <c r="G68" s="17"/>
      <c r="H68" s="17"/>
    </row>
    <row r="69" spans="1:8" s="16" customFormat="1" ht="17.399999999999999" x14ac:dyDescent="0.3">
      <c r="A69" s="102" t="s">
        <v>286</v>
      </c>
      <c r="B69" s="17"/>
      <c r="C69" s="17"/>
      <c r="D69" s="17"/>
      <c r="E69" s="17"/>
      <c r="F69" s="17"/>
      <c r="G69" s="17"/>
      <c r="H69" s="17"/>
    </row>
    <row r="70" spans="1:8" s="16" customFormat="1" ht="17.399999999999999" x14ac:dyDescent="0.3">
      <c r="A70" s="102" t="s">
        <v>287</v>
      </c>
      <c r="B70" s="17"/>
      <c r="C70" s="17"/>
      <c r="D70" s="17"/>
      <c r="E70" s="17"/>
      <c r="F70" s="17"/>
      <c r="G70" s="17"/>
      <c r="H70" s="17"/>
    </row>
    <row r="71" spans="1:8" s="16" customFormat="1" ht="17.399999999999999" x14ac:dyDescent="0.3">
      <c r="A71" s="102" t="s">
        <v>288</v>
      </c>
      <c r="B71" s="17"/>
      <c r="C71" s="17"/>
      <c r="D71" s="17"/>
      <c r="E71" s="17"/>
      <c r="F71" s="17"/>
      <c r="G71" s="17"/>
      <c r="H71" s="17"/>
    </row>
    <row r="72" spans="1:8" s="16" customFormat="1" ht="17.399999999999999" x14ac:dyDescent="0.3">
      <c r="A72" s="102" t="s">
        <v>202</v>
      </c>
      <c r="B72" s="17"/>
      <c r="C72" s="17"/>
      <c r="D72" s="17"/>
      <c r="E72" s="17"/>
      <c r="F72" s="17"/>
      <c r="G72" s="17"/>
      <c r="H72" s="17"/>
    </row>
    <row r="73" spans="1:8" s="16" customFormat="1" ht="17.399999999999999" x14ac:dyDescent="0.3">
      <c r="A73" s="102" t="s">
        <v>289</v>
      </c>
      <c r="B73" s="17"/>
      <c r="C73" s="17"/>
      <c r="D73" s="17"/>
      <c r="E73" s="17"/>
      <c r="F73" s="17"/>
      <c r="G73" s="17"/>
      <c r="H73" s="17"/>
    </row>
    <row r="74" spans="1:8" s="16" customFormat="1" ht="17.399999999999999" x14ac:dyDescent="0.3">
      <c r="A74" s="102" t="s">
        <v>290</v>
      </c>
      <c r="B74" s="17"/>
      <c r="C74" s="17"/>
      <c r="D74" s="17"/>
      <c r="E74" s="17"/>
      <c r="F74" s="17"/>
      <c r="G74" s="17"/>
      <c r="H74" s="17"/>
    </row>
    <row r="75" spans="1:8" s="16" customFormat="1" ht="17.399999999999999" x14ac:dyDescent="0.3">
      <c r="A75" s="102" t="s">
        <v>291</v>
      </c>
      <c r="B75" s="17"/>
      <c r="C75" s="17"/>
      <c r="D75" s="17"/>
      <c r="E75" s="17"/>
      <c r="F75" s="17"/>
      <c r="G75" s="17"/>
      <c r="H75" s="17"/>
    </row>
    <row r="76" spans="1:8" s="16" customFormat="1" ht="17.399999999999999" x14ac:dyDescent="0.3">
      <c r="A76" s="102" t="s">
        <v>292</v>
      </c>
      <c r="B76" s="17"/>
      <c r="C76" s="17"/>
      <c r="D76" s="17"/>
      <c r="E76" s="17"/>
      <c r="F76" s="17"/>
      <c r="G76" s="17"/>
      <c r="H76" s="17"/>
    </row>
    <row r="77" spans="1:8" s="16" customFormat="1" ht="17.399999999999999" x14ac:dyDescent="0.3">
      <c r="A77" s="99" t="s">
        <v>154</v>
      </c>
      <c r="B77" s="17"/>
      <c r="C77" s="17"/>
      <c r="D77" s="17"/>
      <c r="E77" s="17"/>
      <c r="F77" s="17"/>
      <c r="G77" s="17"/>
      <c r="H77" s="17"/>
    </row>
    <row r="78" spans="1:8" s="16" customFormat="1" ht="17.399999999999999" x14ac:dyDescent="0.3">
      <c r="A78" s="103" t="s">
        <v>293</v>
      </c>
      <c r="B78" s="17"/>
      <c r="C78" s="17"/>
      <c r="D78" s="17"/>
      <c r="E78" s="17"/>
      <c r="F78" s="17"/>
      <c r="G78" s="17"/>
      <c r="H78" s="17"/>
    </row>
    <row r="79" spans="1:8" s="16" customFormat="1" ht="17.399999999999999" x14ac:dyDescent="0.3">
      <c r="A79" s="103" t="s">
        <v>294</v>
      </c>
      <c r="B79" s="17"/>
      <c r="C79" s="17"/>
      <c r="D79" s="17"/>
      <c r="E79" s="17"/>
      <c r="F79" s="17"/>
      <c r="G79" s="17"/>
      <c r="H79" s="17"/>
    </row>
    <row r="80" spans="1:8" s="16" customFormat="1" ht="17.399999999999999" x14ac:dyDescent="0.3">
      <c r="A80" s="102" t="s">
        <v>295</v>
      </c>
      <c r="B80" s="17"/>
      <c r="C80" s="17"/>
      <c r="D80" s="17"/>
      <c r="E80" s="17"/>
      <c r="F80" s="17"/>
      <c r="G80" s="17"/>
      <c r="H80" s="17"/>
    </row>
    <row r="81" spans="1:8" s="16" customFormat="1" ht="17.399999999999999" x14ac:dyDescent="0.3">
      <c r="A81" s="102" t="s">
        <v>196</v>
      </c>
      <c r="B81" s="17"/>
      <c r="C81" s="17"/>
      <c r="D81" s="17"/>
      <c r="E81" s="17"/>
      <c r="F81" s="17"/>
      <c r="G81" s="17"/>
      <c r="H81" s="17"/>
    </row>
    <row r="82" spans="1:8" s="16" customFormat="1" ht="17.399999999999999" x14ac:dyDescent="0.3">
      <c r="A82" s="102" t="s">
        <v>296</v>
      </c>
      <c r="B82" s="17"/>
      <c r="C82" s="17"/>
      <c r="D82" s="17"/>
      <c r="E82" s="17"/>
      <c r="F82" s="17"/>
      <c r="G82" s="17"/>
      <c r="H82" s="17"/>
    </row>
    <row r="83" spans="1:8" s="16" customFormat="1" ht="17.399999999999999" x14ac:dyDescent="0.3">
      <c r="A83" s="102" t="s">
        <v>297</v>
      </c>
      <c r="B83" s="17"/>
      <c r="C83" s="17"/>
      <c r="D83" s="17"/>
      <c r="E83" s="17"/>
      <c r="F83" s="17"/>
      <c r="G83" s="17"/>
      <c r="H83" s="17"/>
    </row>
    <row r="84" spans="1:8" s="16" customFormat="1" ht="17.399999999999999" x14ac:dyDescent="0.3">
      <c r="A84" s="102" t="s">
        <v>298</v>
      </c>
      <c r="B84" s="17"/>
      <c r="C84" s="17"/>
      <c r="D84" s="17"/>
      <c r="E84" s="17"/>
      <c r="F84" s="17"/>
      <c r="G84" s="17"/>
      <c r="H84" s="17"/>
    </row>
    <row r="85" spans="1:8" s="16" customFormat="1" ht="17.399999999999999" x14ac:dyDescent="0.3">
      <c r="A85" s="102" t="s">
        <v>299</v>
      </c>
      <c r="B85" s="17"/>
      <c r="C85" s="17"/>
      <c r="D85" s="17"/>
      <c r="E85" s="17"/>
      <c r="F85" s="17"/>
      <c r="G85" s="17"/>
      <c r="H85" s="17"/>
    </row>
    <row r="86" spans="1:8" s="16" customFormat="1" ht="17.399999999999999" x14ac:dyDescent="0.3">
      <c r="A86" s="102" t="s">
        <v>300</v>
      </c>
      <c r="B86" s="17"/>
      <c r="C86" s="17"/>
      <c r="D86" s="17"/>
      <c r="E86" s="17"/>
      <c r="F86" s="17"/>
      <c r="G86" s="17"/>
      <c r="H86" s="17"/>
    </row>
    <row r="87" spans="1:8" s="16" customFormat="1" ht="17.399999999999999" x14ac:dyDescent="0.3">
      <c r="A87" s="104" t="s">
        <v>161</v>
      </c>
      <c r="B87" s="17"/>
      <c r="C87" s="17"/>
      <c r="D87" s="17"/>
      <c r="E87" s="17"/>
      <c r="F87" s="17"/>
      <c r="G87" s="17"/>
      <c r="H87" s="17"/>
    </row>
    <row r="88" spans="1:8" s="16" customFormat="1" ht="17.399999999999999" x14ac:dyDescent="0.3">
      <c r="A88" s="102" t="s">
        <v>301</v>
      </c>
      <c r="B88" s="17"/>
      <c r="C88" s="17"/>
      <c r="D88" s="17"/>
      <c r="E88" s="17"/>
      <c r="F88" s="17"/>
      <c r="G88" s="17"/>
      <c r="H88" s="17"/>
    </row>
    <row r="89" spans="1:8" s="16" customFormat="1" ht="17.399999999999999" x14ac:dyDescent="0.3">
      <c r="A89" s="102" t="s">
        <v>302</v>
      </c>
      <c r="B89" s="17"/>
      <c r="C89" s="17"/>
      <c r="D89" s="17"/>
      <c r="E89" s="17"/>
      <c r="F89" s="17"/>
      <c r="G89" s="17"/>
      <c r="H89" s="17"/>
    </row>
    <row r="90" spans="1:8" s="16" customFormat="1" ht="17.399999999999999" x14ac:dyDescent="0.3">
      <c r="A90" s="102" t="s">
        <v>303</v>
      </c>
      <c r="B90" s="17"/>
      <c r="C90" s="17"/>
      <c r="D90" s="17"/>
      <c r="E90" s="17"/>
      <c r="F90" s="17"/>
      <c r="G90" s="17"/>
      <c r="H90" s="17"/>
    </row>
    <row r="91" spans="1:8" s="16" customFormat="1" ht="17.399999999999999" x14ac:dyDescent="0.3">
      <c r="A91" s="102" t="s">
        <v>304</v>
      </c>
      <c r="B91" s="17"/>
      <c r="C91" s="17"/>
      <c r="D91" s="17"/>
      <c r="E91" s="17"/>
      <c r="F91" s="17"/>
      <c r="G91" s="17"/>
      <c r="H91" s="17"/>
    </row>
    <row r="92" spans="1:8" s="16" customFormat="1" ht="17.399999999999999" x14ac:dyDescent="0.3">
      <c r="A92" s="102" t="s">
        <v>305</v>
      </c>
      <c r="B92" s="17"/>
      <c r="C92" s="17"/>
      <c r="D92" s="17"/>
      <c r="E92" s="17"/>
      <c r="F92" s="17"/>
      <c r="G92" s="17"/>
      <c r="H92" s="17"/>
    </row>
    <row r="93" spans="1:8" s="16" customFormat="1" ht="17.399999999999999" x14ac:dyDescent="0.3">
      <c r="A93" s="102" t="s">
        <v>306</v>
      </c>
      <c r="B93" s="17"/>
      <c r="C93" s="17"/>
      <c r="D93" s="17"/>
      <c r="E93" s="17"/>
      <c r="F93" s="17"/>
      <c r="G93" s="17"/>
      <c r="H93" s="17"/>
    </row>
    <row r="94" spans="1:8" s="16" customFormat="1" ht="17.399999999999999" x14ac:dyDescent="0.3">
      <c r="A94" s="102" t="s">
        <v>307</v>
      </c>
      <c r="B94" s="17"/>
      <c r="C94" s="17"/>
      <c r="D94" s="17"/>
      <c r="E94" s="17"/>
      <c r="F94" s="17"/>
      <c r="G94" s="17"/>
      <c r="H94" s="17"/>
    </row>
    <row r="95" spans="1:8" s="16" customFormat="1" ht="17.399999999999999" x14ac:dyDescent="0.3">
      <c r="A95" s="102" t="s">
        <v>308</v>
      </c>
      <c r="B95" s="17"/>
      <c r="C95" s="17"/>
      <c r="D95" s="17"/>
      <c r="E95" s="17"/>
      <c r="F95" s="17"/>
      <c r="G95" s="17"/>
      <c r="H95" s="17"/>
    </row>
    <row r="96" spans="1:8" s="16" customFormat="1" ht="17.399999999999999" x14ac:dyDescent="0.3">
      <c r="A96" s="102" t="s">
        <v>309</v>
      </c>
      <c r="B96" s="17"/>
      <c r="C96" s="17"/>
      <c r="D96" s="17"/>
      <c r="E96" s="17"/>
      <c r="F96" s="17"/>
      <c r="G96" s="17"/>
      <c r="H96" s="17"/>
    </row>
    <row r="97" spans="1:8" s="16" customFormat="1" ht="17.399999999999999" x14ac:dyDescent="0.3">
      <c r="A97" s="103" t="s">
        <v>310</v>
      </c>
      <c r="B97" s="17"/>
      <c r="C97" s="17"/>
      <c r="D97" s="17"/>
      <c r="E97" s="17"/>
      <c r="F97" s="17"/>
      <c r="G97" s="17"/>
      <c r="H97" s="17"/>
    </row>
    <row r="98" spans="1:8" s="16" customFormat="1" ht="17.399999999999999" x14ac:dyDescent="0.3">
      <c r="A98" s="102" t="s">
        <v>311</v>
      </c>
      <c r="B98" s="17"/>
      <c r="C98" s="17"/>
      <c r="D98" s="17"/>
      <c r="E98" s="17"/>
      <c r="F98" s="17"/>
      <c r="G98" s="17"/>
      <c r="H98" s="17"/>
    </row>
    <row r="99" spans="1:8" s="16" customFormat="1" ht="17.399999999999999" x14ac:dyDescent="0.3">
      <c r="A99" s="102" t="s">
        <v>312</v>
      </c>
      <c r="B99" s="17"/>
      <c r="C99" s="17"/>
      <c r="D99" s="17"/>
      <c r="E99" s="17"/>
      <c r="F99" s="17"/>
      <c r="G99" s="17"/>
      <c r="H99" s="17"/>
    </row>
    <row r="100" spans="1:8" s="16" customFormat="1" ht="17.399999999999999" x14ac:dyDescent="0.3">
      <c r="A100" s="102" t="s">
        <v>313</v>
      </c>
      <c r="B100" s="17"/>
      <c r="C100" s="17"/>
      <c r="D100" s="17"/>
      <c r="E100" s="17"/>
      <c r="F100" s="17"/>
      <c r="G100" s="17"/>
      <c r="H100" s="17"/>
    </row>
    <row r="101" spans="1:8" s="16" customFormat="1" ht="17.399999999999999" x14ac:dyDescent="0.3">
      <c r="A101" s="102" t="s">
        <v>314</v>
      </c>
      <c r="B101" s="17"/>
      <c r="C101" s="17"/>
      <c r="D101" s="17"/>
      <c r="E101" s="17"/>
      <c r="F101" s="17"/>
      <c r="G101" s="17"/>
      <c r="H101" s="17"/>
    </row>
    <row r="102" spans="1:8" s="16" customFormat="1" ht="17.399999999999999" x14ac:dyDescent="0.3">
      <c r="A102" s="102" t="s">
        <v>315</v>
      </c>
      <c r="B102" s="17"/>
      <c r="C102" s="17"/>
      <c r="D102" s="17"/>
      <c r="E102" s="17"/>
      <c r="F102" s="17"/>
      <c r="G102" s="17"/>
      <c r="H102" s="17"/>
    </row>
    <row r="103" spans="1:8" s="16" customFormat="1" ht="17.399999999999999" x14ac:dyDescent="0.3">
      <c r="A103" s="102" t="s">
        <v>316</v>
      </c>
      <c r="B103" s="17"/>
      <c r="C103" s="17"/>
      <c r="D103" s="17"/>
      <c r="E103" s="17"/>
      <c r="F103" s="17"/>
      <c r="G103" s="17"/>
      <c r="H103" s="17"/>
    </row>
    <row r="104" spans="1:8" s="16" customFormat="1" ht="17.399999999999999" x14ac:dyDescent="0.3">
      <c r="A104" s="102" t="s">
        <v>317</v>
      </c>
      <c r="B104" s="17"/>
      <c r="C104" s="17"/>
      <c r="D104" s="17"/>
      <c r="E104" s="17"/>
      <c r="F104" s="17"/>
      <c r="G104" s="17"/>
      <c r="H104" s="17"/>
    </row>
    <row r="105" spans="1:8" s="16" customFormat="1" ht="17.399999999999999" x14ac:dyDescent="0.3">
      <c r="A105" s="102" t="s">
        <v>191</v>
      </c>
      <c r="B105" s="17"/>
      <c r="C105" s="17"/>
      <c r="D105" s="17"/>
      <c r="E105" s="17"/>
      <c r="F105" s="17"/>
      <c r="G105" s="17"/>
      <c r="H105" s="17"/>
    </row>
    <row r="106" spans="1:8" s="16" customFormat="1" ht="17.399999999999999" x14ac:dyDescent="0.3">
      <c r="A106" s="102" t="s">
        <v>192</v>
      </c>
      <c r="B106" s="17"/>
      <c r="C106" s="17"/>
      <c r="D106" s="17"/>
      <c r="E106" s="17"/>
      <c r="F106" s="17"/>
      <c r="G106" s="17"/>
      <c r="H106" s="17"/>
    </row>
    <row r="107" spans="1:8" s="16" customFormat="1" ht="17.399999999999999" x14ac:dyDescent="0.3">
      <c r="A107" s="102" t="s">
        <v>318</v>
      </c>
      <c r="B107" s="17"/>
      <c r="C107" s="17"/>
      <c r="D107" s="17"/>
      <c r="E107" s="17"/>
      <c r="F107" s="17"/>
      <c r="G107" s="17"/>
      <c r="H107" s="17"/>
    </row>
    <row r="108" spans="1:8" s="16" customFormat="1" ht="17.399999999999999" x14ac:dyDescent="0.3">
      <c r="A108" s="102" t="s">
        <v>319</v>
      </c>
      <c r="B108" s="17"/>
      <c r="C108" s="17"/>
      <c r="D108" s="17"/>
      <c r="E108" s="17"/>
      <c r="F108" s="17"/>
      <c r="G108" s="17"/>
      <c r="H108" s="17"/>
    </row>
    <row r="109" spans="1:8" s="16" customFormat="1" ht="17.399999999999999" x14ac:dyDescent="0.3">
      <c r="A109" s="102" t="s">
        <v>320</v>
      </c>
      <c r="B109" s="17"/>
      <c r="C109" s="17"/>
      <c r="D109" s="17"/>
      <c r="E109" s="17"/>
      <c r="F109" s="17"/>
      <c r="G109" s="17"/>
      <c r="H109" s="17"/>
    </row>
    <row r="110" spans="1:8" s="16" customFormat="1" ht="17.399999999999999" x14ac:dyDescent="0.3">
      <c r="A110" s="102" t="s">
        <v>321</v>
      </c>
      <c r="B110" s="17"/>
      <c r="C110" s="17"/>
      <c r="D110" s="17"/>
      <c r="E110" s="17"/>
      <c r="F110" s="17"/>
      <c r="G110" s="17"/>
      <c r="H110" s="17"/>
    </row>
    <row r="111" spans="1:8" s="16" customFormat="1" ht="17.399999999999999" x14ac:dyDescent="0.3">
      <c r="A111" s="102" t="s">
        <v>322</v>
      </c>
      <c r="B111" s="17"/>
      <c r="C111" s="17"/>
      <c r="D111" s="17"/>
      <c r="E111" s="17"/>
      <c r="F111" s="17"/>
      <c r="G111" s="17"/>
      <c r="H111" s="17"/>
    </row>
    <row r="112" spans="1:8" s="16" customFormat="1" ht="17.399999999999999" x14ac:dyDescent="0.3">
      <c r="A112" s="102" t="s">
        <v>323</v>
      </c>
      <c r="B112" s="17"/>
      <c r="C112" s="17"/>
      <c r="D112" s="17"/>
      <c r="E112" s="17"/>
      <c r="F112" s="17"/>
      <c r="G112" s="17"/>
      <c r="H112" s="17"/>
    </row>
    <row r="113" spans="1:8" s="16" customFormat="1" ht="17.399999999999999" x14ac:dyDescent="0.3">
      <c r="A113" s="102" t="s">
        <v>324</v>
      </c>
      <c r="B113" s="17"/>
      <c r="C113" s="17"/>
      <c r="D113" s="17"/>
      <c r="E113" s="17"/>
      <c r="F113" s="17"/>
      <c r="G113" s="17"/>
      <c r="H113" s="17"/>
    </row>
    <row r="114" spans="1:8" s="16" customFormat="1" ht="17.399999999999999" x14ac:dyDescent="0.3">
      <c r="A114" s="102" t="s">
        <v>325</v>
      </c>
      <c r="B114" s="17"/>
      <c r="C114" s="17"/>
      <c r="D114" s="17"/>
      <c r="E114" s="17"/>
      <c r="F114" s="17"/>
      <c r="G114" s="17"/>
      <c r="H114" s="17"/>
    </row>
    <row r="115" spans="1:8" s="16" customFormat="1" ht="17.399999999999999" x14ac:dyDescent="0.3">
      <c r="A115" s="102" t="s">
        <v>326</v>
      </c>
      <c r="B115" s="17"/>
      <c r="C115" s="17"/>
      <c r="D115" s="17"/>
      <c r="E115" s="17"/>
      <c r="F115" s="17"/>
      <c r="G115" s="17"/>
      <c r="H115" s="17"/>
    </row>
    <row r="116" spans="1:8" s="16" customFormat="1" ht="17.399999999999999" x14ac:dyDescent="0.3">
      <c r="A116" s="102" t="s">
        <v>327</v>
      </c>
      <c r="B116" s="17"/>
      <c r="C116" s="17"/>
      <c r="D116" s="17"/>
      <c r="E116" s="17"/>
      <c r="F116" s="17"/>
      <c r="G116" s="17"/>
      <c r="H116" s="17"/>
    </row>
    <row r="117" spans="1:8" s="16" customFormat="1" ht="17.399999999999999" x14ac:dyDescent="0.3">
      <c r="A117" s="102" t="s">
        <v>328</v>
      </c>
      <c r="B117" s="17"/>
      <c r="C117" s="17"/>
      <c r="D117" s="17"/>
      <c r="E117" s="17"/>
      <c r="F117" s="17"/>
      <c r="G117" s="17"/>
      <c r="H117" s="17"/>
    </row>
    <row r="118" spans="1:8" s="16" customFormat="1" ht="17.399999999999999" x14ac:dyDescent="0.3">
      <c r="A118" s="103" t="s">
        <v>329</v>
      </c>
      <c r="B118" s="17"/>
      <c r="C118" s="17"/>
      <c r="D118" s="17"/>
      <c r="E118" s="17"/>
      <c r="F118" s="17"/>
      <c r="G118" s="17"/>
      <c r="H118" s="17"/>
    </row>
    <row r="119" spans="1:8" s="16" customFormat="1" ht="17.399999999999999" x14ac:dyDescent="0.3">
      <c r="A119" s="102" t="s">
        <v>330</v>
      </c>
      <c r="B119" s="17"/>
      <c r="C119" s="17"/>
      <c r="D119" s="17"/>
      <c r="E119" s="17"/>
      <c r="F119" s="17"/>
      <c r="G119" s="17"/>
      <c r="H119" s="17"/>
    </row>
    <row r="120" spans="1:8" s="16" customFormat="1" ht="17.399999999999999" x14ac:dyDescent="0.3">
      <c r="A120" s="103" t="s">
        <v>331</v>
      </c>
      <c r="B120" s="17"/>
      <c r="C120" s="17"/>
      <c r="D120" s="17"/>
      <c r="E120" s="17"/>
      <c r="F120" s="17"/>
      <c r="G120" s="17"/>
      <c r="H120" s="17"/>
    </row>
    <row r="121" spans="1:8" s="16" customFormat="1" ht="17.399999999999999" x14ac:dyDescent="0.3">
      <c r="A121" s="102" t="s">
        <v>331</v>
      </c>
      <c r="B121" s="17"/>
      <c r="C121" s="17"/>
      <c r="D121" s="17"/>
      <c r="E121" s="17"/>
      <c r="F121" s="17"/>
      <c r="G121" s="17"/>
      <c r="H121" s="17"/>
    </row>
    <row r="122" spans="1:8" s="16" customFormat="1" ht="17.399999999999999" x14ac:dyDescent="0.3">
      <c r="A122" s="102" t="s">
        <v>332</v>
      </c>
      <c r="B122" s="17"/>
      <c r="C122" s="17"/>
      <c r="D122" s="17"/>
      <c r="E122" s="17"/>
      <c r="F122" s="17"/>
      <c r="G122" s="17"/>
      <c r="H122" s="17"/>
    </row>
    <row r="123" spans="1:8" s="16" customFormat="1" ht="17.399999999999999" x14ac:dyDescent="0.3">
      <c r="A123" s="102" t="s">
        <v>333</v>
      </c>
      <c r="B123" s="17"/>
      <c r="C123" s="17"/>
      <c r="D123" s="17"/>
      <c r="E123" s="17"/>
      <c r="F123" s="17"/>
      <c r="G123" s="17"/>
      <c r="H123" s="17"/>
    </row>
    <row r="124" spans="1:8" s="16" customFormat="1" ht="17.399999999999999" x14ac:dyDescent="0.3">
      <c r="A124" s="102" t="s">
        <v>334</v>
      </c>
      <c r="B124" s="17"/>
      <c r="C124" s="17"/>
      <c r="D124" s="17"/>
      <c r="E124" s="17"/>
      <c r="F124" s="17"/>
      <c r="G124" s="17"/>
      <c r="H124" s="17"/>
    </row>
    <row r="125" spans="1:8" s="16" customFormat="1" ht="17.399999999999999" x14ac:dyDescent="0.3">
      <c r="A125" s="102" t="s">
        <v>335</v>
      </c>
      <c r="B125" s="17"/>
      <c r="C125" s="17"/>
      <c r="D125" s="17"/>
      <c r="E125" s="17"/>
      <c r="F125" s="17"/>
      <c r="G125" s="17"/>
      <c r="H125" s="17"/>
    </row>
    <row r="126" spans="1:8" s="16" customFormat="1" ht="17.399999999999999" x14ac:dyDescent="0.3">
      <c r="A126" s="102" t="s">
        <v>336</v>
      </c>
      <c r="B126" s="17"/>
      <c r="C126" s="17"/>
      <c r="D126" s="17"/>
      <c r="E126" s="17"/>
      <c r="F126" s="17"/>
      <c r="G126" s="17"/>
      <c r="H126" s="17"/>
    </row>
    <row r="127" spans="1:8" s="16" customFormat="1" ht="17.399999999999999" x14ac:dyDescent="0.3">
      <c r="A127" s="102" t="s">
        <v>337</v>
      </c>
      <c r="B127" s="17"/>
      <c r="C127" s="17"/>
      <c r="D127" s="17"/>
      <c r="E127" s="17"/>
      <c r="F127" s="17"/>
      <c r="G127" s="17"/>
      <c r="H127" s="17"/>
    </row>
    <row r="128" spans="1:8" s="16" customFormat="1" ht="17.399999999999999" x14ac:dyDescent="0.3">
      <c r="A128" s="103" t="s">
        <v>338</v>
      </c>
      <c r="B128" s="17"/>
      <c r="C128" s="17"/>
      <c r="D128" s="17"/>
      <c r="E128" s="17"/>
      <c r="F128" s="17"/>
      <c r="G128" s="17"/>
      <c r="H128" s="17"/>
    </row>
    <row r="129" spans="1:8" s="16" customFormat="1" ht="17.399999999999999" x14ac:dyDescent="0.3">
      <c r="A129" s="103" t="s">
        <v>339</v>
      </c>
      <c r="B129" s="17"/>
      <c r="C129" s="17"/>
      <c r="D129" s="17"/>
      <c r="E129" s="17"/>
      <c r="F129" s="17"/>
      <c r="G129" s="17"/>
      <c r="H129" s="17"/>
    </row>
    <row r="130" spans="1:8" s="16" customFormat="1" ht="17.399999999999999" x14ac:dyDescent="0.3">
      <c r="A130" s="102" t="s">
        <v>41</v>
      </c>
      <c r="B130" s="17"/>
      <c r="C130" s="17"/>
      <c r="D130" s="17"/>
      <c r="E130" s="17"/>
      <c r="F130" s="17"/>
      <c r="G130" s="17"/>
      <c r="H130" s="17"/>
    </row>
    <row r="131" spans="1:8" s="16" customFormat="1" ht="17.399999999999999" x14ac:dyDescent="0.3">
      <c r="A131" s="102" t="s">
        <v>340</v>
      </c>
      <c r="B131" s="17"/>
      <c r="C131" s="17"/>
      <c r="D131" s="17"/>
      <c r="E131" s="17"/>
      <c r="F131" s="17"/>
      <c r="G131" s="17"/>
      <c r="H131" s="17"/>
    </row>
    <row r="132" spans="1:8" s="16" customFormat="1" ht="17.399999999999999" x14ac:dyDescent="0.3">
      <c r="A132" s="102" t="s">
        <v>341</v>
      </c>
      <c r="B132" s="17"/>
      <c r="C132" s="17"/>
      <c r="D132" s="17"/>
      <c r="E132" s="17"/>
      <c r="F132" s="17"/>
      <c r="G132" s="17"/>
      <c r="H132" s="17"/>
    </row>
    <row r="133" spans="1:8" s="16" customFormat="1" ht="17.399999999999999" x14ac:dyDescent="0.3">
      <c r="A133" s="102" t="s">
        <v>342</v>
      </c>
      <c r="B133" s="17"/>
      <c r="C133" s="17"/>
      <c r="D133" s="17"/>
      <c r="E133" s="17"/>
      <c r="F133" s="17"/>
      <c r="G133" s="17"/>
      <c r="H133" s="17"/>
    </row>
    <row r="134" spans="1:8" s="16" customFormat="1" ht="17.399999999999999" x14ac:dyDescent="0.3">
      <c r="A134" s="102" t="s">
        <v>343</v>
      </c>
      <c r="B134" s="17"/>
      <c r="C134" s="17"/>
      <c r="D134" s="17"/>
      <c r="E134" s="17"/>
      <c r="F134" s="17"/>
      <c r="G134" s="17"/>
      <c r="H134" s="17"/>
    </row>
    <row r="135" spans="1:8" s="16" customFormat="1" ht="17.399999999999999" x14ac:dyDescent="0.3">
      <c r="A135" s="102" t="s">
        <v>197</v>
      </c>
      <c r="B135" s="17"/>
      <c r="C135" s="17"/>
      <c r="D135" s="17"/>
      <c r="E135" s="17"/>
      <c r="F135" s="17"/>
      <c r="G135" s="17"/>
      <c r="H135" s="17"/>
    </row>
    <row r="136" spans="1:8" s="16" customFormat="1" ht="17.399999999999999" x14ac:dyDescent="0.3">
      <c r="A136" s="102" t="s">
        <v>344</v>
      </c>
      <c r="B136" s="17"/>
      <c r="C136" s="17"/>
      <c r="D136" s="17"/>
      <c r="E136" s="17"/>
      <c r="F136" s="17"/>
      <c r="G136" s="17"/>
      <c r="H136" s="17"/>
    </row>
    <row r="137" spans="1:8" s="16" customFormat="1" ht="17.399999999999999" x14ac:dyDescent="0.3">
      <c r="A137" s="102" t="s">
        <v>345</v>
      </c>
      <c r="B137" s="17"/>
      <c r="C137" s="17"/>
      <c r="D137" s="17"/>
      <c r="E137" s="17"/>
      <c r="F137" s="17"/>
      <c r="G137" s="17"/>
      <c r="H137" s="17"/>
    </row>
    <row r="138" spans="1:8" s="16" customFormat="1" ht="17.399999999999999" x14ac:dyDescent="0.3">
      <c r="A138" s="102" t="s">
        <v>346</v>
      </c>
      <c r="B138" s="17"/>
      <c r="C138" s="17"/>
      <c r="D138" s="17"/>
      <c r="E138" s="17"/>
      <c r="F138" s="17"/>
      <c r="G138" s="17"/>
      <c r="H138" s="17"/>
    </row>
    <row r="139" spans="1:8" s="16" customFormat="1" ht="17.399999999999999" x14ac:dyDescent="0.3">
      <c r="A139" s="103" t="s">
        <v>347</v>
      </c>
      <c r="B139" s="17"/>
      <c r="C139" s="17"/>
      <c r="D139" s="17"/>
      <c r="E139" s="17"/>
      <c r="F139" s="17"/>
      <c r="G139" s="17"/>
      <c r="H139" s="17"/>
    </row>
    <row r="140" spans="1:8" s="16" customFormat="1" ht="17.399999999999999" x14ac:dyDescent="0.3">
      <c r="A140" s="103" t="s">
        <v>348</v>
      </c>
      <c r="B140" s="17"/>
      <c r="C140" s="17"/>
      <c r="D140" s="17"/>
      <c r="E140" s="17"/>
      <c r="F140" s="17"/>
      <c r="G140" s="17"/>
      <c r="H140" s="17"/>
    </row>
    <row r="141" spans="1:8" s="16" customFormat="1" ht="17.399999999999999" x14ac:dyDescent="0.3">
      <c r="A141" s="102" t="s">
        <v>193</v>
      </c>
      <c r="B141" s="17"/>
      <c r="C141" s="17"/>
      <c r="D141" s="17"/>
      <c r="E141" s="17"/>
      <c r="F141" s="17"/>
      <c r="G141" s="17"/>
      <c r="H141" s="17"/>
    </row>
    <row r="142" spans="1:8" s="16" customFormat="1" ht="17.399999999999999" x14ac:dyDescent="0.3">
      <c r="A142" s="103" t="s">
        <v>349</v>
      </c>
      <c r="B142" s="17"/>
      <c r="C142" s="17"/>
      <c r="D142" s="17"/>
      <c r="E142" s="17"/>
      <c r="F142" s="17"/>
      <c r="G142" s="17"/>
      <c r="H142" s="17"/>
    </row>
    <row r="143" spans="1:8" s="16" customFormat="1" ht="17.399999999999999" x14ac:dyDescent="0.3">
      <c r="A143" s="102" t="s">
        <v>350</v>
      </c>
      <c r="B143" s="17"/>
      <c r="C143" s="17"/>
      <c r="D143" s="17"/>
      <c r="E143" s="17"/>
      <c r="F143" s="17"/>
      <c r="G143" s="17"/>
      <c r="H143" s="17"/>
    </row>
    <row r="144" spans="1:8" s="16" customFormat="1" ht="17.399999999999999" x14ac:dyDescent="0.3">
      <c r="A144" s="103" t="s">
        <v>351</v>
      </c>
      <c r="B144" s="17"/>
      <c r="C144" s="17"/>
      <c r="D144" s="17"/>
      <c r="E144" s="17"/>
      <c r="F144" s="17"/>
      <c r="G144" s="17"/>
      <c r="H144" s="17"/>
    </row>
    <row r="145" spans="1:8" s="16" customFormat="1" ht="17.399999999999999" x14ac:dyDescent="0.3">
      <c r="A145" s="103" t="s">
        <v>352</v>
      </c>
      <c r="B145" s="17"/>
      <c r="C145" s="17"/>
      <c r="D145" s="17"/>
      <c r="E145" s="17"/>
      <c r="F145" s="17"/>
      <c r="G145" s="17"/>
      <c r="H145" s="17"/>
    </row>
    <row r="146" spans="1:8" s="16" customFormat="1" ht="17.399999999999999" x14ac:dyDescent="0.3">
      <c r="A146" s="102" t="s">
        <v>353</v>
      </c>
      <c r="B146" s="17"/>
      <c r="C146" s="17"/>
      <c r="D146" s="17"/>
      <c r="E146" s="17"/>
      <c r="F146" s="17"/>
      <c r="G146" s="17"/>
      <c r="H146" s="17"/>
    </row>
    <row r="147" spans="1:8" s="16" customFormat="1" ht="17.399999999999999" x14ac:dyDescent="0.3">
      <c r="A147" s="102" t="s">
        <v>354</v>
      </c>
      <c r="B147" s="17"/>
      <c r="C147" s="17"/>
      <c r="D147" s="17"/>
      <c r="E147" s="17"/>
      <c r="F147" s="17"/>
      <c r="G147" s="17"/>
      <c r="H147" s="17"/>
    </row>
    <row r="148" spans="1:8" s="16" customFormat="1" ht="17.399999999999999" x14ac:dyDescent="0.3">
      <c r="A148" s="102" t="s">
        <v>355</v>
      </c>
      <c r="B148" s="17"/>
      <c r="C148" s="17"/>
      <c r="D148" s="17"/>
      <c r="E148" s="17"/>
      <c r="F148" s="17"/>
      <c r="G148" s="17"/>
      <c r="H148" s="17"/>
    </row>
    <row r="149" spans="1:8" s="16" customFormat="1" ht="17.399999999999999" x14ac:dyDescent="0.3">
      <c r="A149" s="99" t="s">
        <v>221</v>
      </c>
      <c r="B149" s="17"/>
      <c r="C149" s="17"/>
      <c r="D149" s="17"/>
      <c r="E149" s="17"/>
      <c r="F149" s="17"/>
      <c r="G149" s="17"/>
      <c r="H149" s="17"/>
    </row>
    <row r="150" spans="1:8" s="16" customFormat="1" ht="17.399999999999999" x14ac:dyDescent="0.3">
      <c r="A150" s="99" t="s">
        <v>223</v>
      </c>
      <c r="B150" s="17"/>
      <c r="C150" s="17"/>
      <c r="D150" s="17"/>
      <c r="E150" s="17"/>
      <c r="F150" s="17"/>
      <c r="G150" s="17"/>
      <c r="H150" s="17"/>
    </row>
    <row r="151" spans="1:8" s="16" customFormat="1" ht="17.399999999999999" x14ac:dyDescent="0.3">
      <c r="A151" s="103" t="s">
        <v>356</v>
      </c>
      <c r="B151" s="17"/>
      <c r="C151" s="17"/>
      <c r="D151" s="17"/>
      <c r="E151" s="17"/>
      <c r="F151" s="17"/>
      <c r="G151" s="17"/>
      <c r="H151" s="17"/>
    </row>
    <row r="152" spans="1:8" s="16" customFormat="1" ht="17.399999999999999" x14ac:dyDescent="0.3">
      <c r="A152" s="102" t="s">
        <v>357</v>
      </c>
      <c r="B152" s="17"/>
      <c r="C152" s="17"/>
      <c r="D152" s="17"/>
      <c r="E152" s="17"/>
      <c r="F152" s="17"/>
      <c r="G152" s="17"/>
      <c r="H152" s="17"/>
    </row>
    <row r="153" spans="1:8" s="16" customFormat="1" ht="17.399999999999999" x14ac:dyDescent="0.3">
      <c r="A153" s="102" t="s">
        <v>358</v>
      </c>
      <c r="B153" s="17"/>
      <c r="C153" s="17"/>
      <c r="D153" s="17"/>
      <c r="E153" s="17"/>
      <c r="F153" s="17"/>
      <c r="G153" s="17"/>
      <c r="H153" s="17"/>
    </row>
    <row r="154" spans="1:8" s="16" customFormat="1" ht="17.399999999999999" x14ac:dyDescent="0.3">
      <c r="A154" s="102" t="s">
        <v>359</v>
      </c>
      <c r="B154" s="17"/>
      <c r="C154" s="17"/>
      <c r="D154" s="17"/>
      <c r="E154" s="17"/>
      <c r="F154" s="17"/>
      <c r="G154" s="17"/>
      <c r="H154" s="17"/>
    </row>
    <row r="155" spans="1:8" s="16" customFormat="1" ht="17.399999999999999" x14ac:dyDescent="0.3">
      <c r="A155" s="102" t="s">
        <v>360</v>
      </c>
      <c r="B155" s="17"/>
      <c r="C155" s="17"/>
      <c r="D155" s="17"/>
      <c r="E155" s="17"/>
      <c r="F155" s="17"/>
      <c r="G155" s="17"/>
      <c r="H155" s="17"/>
    </row>
    <row r="156" spans="1:8" s="16" customFormat="1" ht="17.399999999999999" x14ac:dyDescent="0.3">
      <c r="A156" s="102" t="s">
        <v>361</v>
      </c>
      <c r="B156" s="17"/>
      <c r="C156" s="17"/>
      <c r="D156" s="17"/>
      <c r="E156" s="17"/>
      <c r="F156" s="17"/>
      <c r="G156" s="17"/>
      <c r="H156" s="17"/>
    </row>
    <row r="157" spans="1:8" s="16" customFormat="1" ht="17.399999999999999" x14ac:dyDescent="0.3">
      <c r="A157" s="102" t="s">
        <v>362</v>
      </c>
      <c r="B157" s="17"/>
      <c r="C157" s="17"/>
      <c r="D157" s="17"/>
      <c r="E157" s="17"/>
      <c r="F157" s="17"/>
      <c r="G157" s="17"/>
      <c r="H157" s="17"/>
    </row>
    <row r="158" spans="1:8" s="16" customFormat="1" ht="17.399999999999999" x14ac:dyDescent="0.3">
      <c r="A158" s="102" t="s">
        <v>363</v>
      </c>
      <c r="B158" s="17"/>
      <c r="C158" s="17"/>
      <c r="D158" s="17"/>
      <c r="E158" s="17"/>
      <c r="F158" s="17"/>
      <c r="G158" s="17"/>
      <c r="H158" s="17"/>
    </row>
    <row r="159" spans="1:8" s="16" customFormat="1" ht="17.399999999999999" x14ac:dyDescent="0.3">
      <c r="A159" s="102" t="s">
        <v>364</v>
      </c>
      <c r="B159" s="17"/>
      <c r="C159" s="17"/>
      <c r="D159" s="17"/>
      <c r="E159" s="17"/>
      <c r="F159" s="17"/>
      <c r="G159" s="17"/>
      <c r="H159" s="17"/>
    </row>
    <row r="160" spans="1:8" s="16" customFormat="1" ht="17.399999999999999" x14ac:dyDescent="0.3">
      <c r="A160" s="102" t="s">
        <v>365</v>
      </c>
      <c r="B160" s="17"/>
      <c r="C160" s="17"/>
      <c r="D160" s="17"/>
      <c r="E160" s="17"/>
      <c r="F160" s="17"/>
      <c r="G160" s="17"/>
      <c r="H160" s="17"/>
    </row>
    <row r="161" spans="1:8" s="16" customFormat="1" ht="17.399999999999999" x14ac:dyDescent="0.3">
      <c r="A161" s="102" t="s">
        <v>366</v>
      </c>
      <c r="B161" s="17"/>
      <c r="C161" s="17"/>
      <c r="D161" s="17"/>
      <c r="E161" s="17"/>
      <c r="F161" s="17"/>
      <c r="G161" s="17"/>
      <c r="H161" s="17"/>
    </row>
    <row r="162" spans="1:8" s="16" customFormat="1" ht="17.399999999999999" x14ac:dyDescent="0.3">
      <c r="A162" s="102" t="s">
        <v>367</v>
      </c>
      <c r="B162" s="17"/>
      <c r="C162" s="17"/>
      <c r="D162" s="17"/>
      <c r="E162" s="17"/>
      <c r="F162" s="17"/>
      <c r="G162" s="17"/>
      <c r="H162" s="17"/>
    </row>
    <row r="163" spans="1:8" s="16" customFormat="1" ht="17.399999999999999" x14ac:dyDescent="0.3">
      <c r="A163" s="102" t="s">
        <v>183</v>
      </c>
      <c r="B163" s="17"/>
      <c r="C163" s="17"/>
      <c r="D163" s="17"/>
      <c r="E163" s="17"/>
      <c r="F163" s="17"/>
      <c r="G163" s="17"/>
      <c r="H163" s="17"/>
    </row>
    <row r="164" spans="1:8" s="16" customFormat="1" ht="17.399999999999999" x14ac:dyDescent="0.3">
      <c r="A164" s="102" t="s">
        <v>368</v>
      </c>
      <c r="B164" s="17"/>
      <c r="C164" s="17"/>
      <c r="D164" s="17"/>
      <c r="E164" s="17"/>
      <c r="F164" s="17"/>
      <c r="G164" s="17"/>
      <c r="H164" s="17"/>
    </row>
    <row r="165" spans="1:8" s="16" customFormat="1" ht="17.399999999999999" x14ac:dyDescent="0.3">
      <c r="A165" s="102" t="s">
        <v>369</v>
      </c>
      <c r="B165" s="17"/>
      <c r="C165" s="17"/>
      <c r="D165" s="17"/>
      <c r="E165" s="17"/>
      <c r="F165" s="17"/>
      <c r="G165" s="17"/>
      <c r="H165" s="17"/>
    </row>
    <row r="166" spans="1:8" s="16" customFormat="1" ht="17.399999999999999" x14ac:dyDescent="0.3">
      <c r="A166" s="102" t="s">
        <v>370</v>
      </c>
      <c r="B166" s="17"/>
      <c r="C166" s="17"/>
      <c r="D166" s="17"/>
      <c r="E166" s="17"/>
      <c r="F166" s="17"/>
      <c r="G166" s="17"/>
      <c r="H166" s="17"/>
    </row>
    <row r="167" spans="1:8" s="16" customFormat="1" ht="17.399999999999999" x14ac:dyDescent="0.3">
      <c r="A167" s="102" t="s">
        <v>371</v>
      </c>
      <c r="B167" s="17"/>
      <c r="C167" s="17"/>
      <c r="D167" s="17"/>
      <c r="E167" s="17"/>
      <c r="F167" s="17"/>
      <c r="G167" s="17"/>
      <c r="H167" s="17"/>
    </row>
    <row r="168" spans="1:8" s="16" customFormat="1" ht="17.399999999999999" x14ac:dyDescent="0.3">
      <c r="A168" s="102" t="s">
        <v>372</v>
      </c>
      <c r="B168" s="17"/>
      <c r="C168" s="17"/>
      <c r="D168" s="17"/>
      <c r="E168" s="17"/>
      <c r="F168" s="17"/>
      <c r="G168" s="17"/>
      <c r="H168" s="17"/>
    </row>
    <row r="169" spans="1:8" s="16" customFormat="1" ht="17.399999999999999" x14ac:dyDescent="0.3">
      <c r="A169" s="102" t="s">
        <v>373</v>
      </c>
      <c r="B169" s="17"/>
      <c r="C169" s="17"/>
      <c r="D169" s="17"/>
      <c r="E169" s="17"/>
      <c r="F169" s="17"/>
      <c r="G169" s="17"/>
      <c r="H169" s="17"/>
    </row>
    <row r="170" spans="1:8" s="16" customFormat="1" ht="17.399999999999999" x14ac:dyDescent="0.3">
      <c r="A170" s="102" t="s">
        <v>374</v>
      </c>
      <c r="B170" s="17"/>
      <c r="C170" s="17"/>
      <c r="D170" s="17"/>
      <c r="E170" s="17"/>
      <c r="F170" s="17"/>
      <c r="G170" s="17"/>
      <c r="H170" s="17"/>
    </row>
    <row r="171" spans="1:8" s="16" customFormat="1" ht="17.399999999999999" x14ac:dyDescent="0.3">
      <c r="A171" s="102" t="s">
        <v>174</v>
      </c>
      <c r="B171" s="17"/>
      <c r="C171" s="17"/>
      <c r="D171" s="17"/>
      <c r="E171" s="17"/>
      <c r="F171" s="17"/>
      <c r="G171" s="17"/>
      <c r="H171" s="17"/>
    </row>
    <row r="172" spans="1:8" s="16" customFormat="1" ht="17.399999999999999" x14ac:dyDescent="0.3">
      <c r="A172" s="102" t="s">
        <v>375</v>
      </c>
      <c r="B172" s="17"/>
      <c r="C172" s="17"/>
      <c r="D172" s="17"/>
      <c r="E172" s="17"/>
      <c r="F172" s="17"/>
      <c r="G172" s="17"/>
      <c r="H172" s="17"/>
    </row>
    <row r="173" spans="1:8" s="16" customFormat="1" ht="17.399999999999999" x14ac:dyDescent="0.3">
      <c r="A173" s="102" t="s">
        <v>376</v>
      </c>
      <c r="B173" s="17"/>
      <c r="C173" s="17"/>
      <c r="D173" s="17"/>
      <c r="E173" s="17"/>
      <c r="F173" s="17"/>
      <c r="G173" s="17"/>
      <c r="H173" s="17"/>
    </row>
    <row r="174" spans="1:8" s="16" customFormat="1" ht="17.399999999999999" x14ac:dyDescent="0.3">
      <c r="A174" s="102" t="s">
        <v>377</v>
      </c>
      <c r="B174" s="17"/>
      <c r="C174" s="17"/>
      <c r="D174" s="17"/>
      <c r="E174" s="17"/>
      <c r="F174" s="17"/>
      <c r="G174" s="17"/>
      <c r="H174" s="17"/>
    </row>
    <row r="175" spans="1:8" s="16" customFormat="1" ht="17.399999999999999" x14ac:dyDescent="0.3">
      <c r="A175" s="103" t="s">
        <v>378</v>
      </c>
      <c r="B175" s="17"/>
      <c r="C175" s="17"/>
      <c r="D175" s="17"/>
      <c r="E175" s="17"/>
      <c r="F175" s="17"/>
      <c r="G175" s="17"/>
      <c r="H175" s="17"/>
    </row>
    <row r="176" spans="1:8" s="16" customFormat="1" ht="17.399999999999999" x14ac:dyDescent="0.3">
      <c r="A176" s="102" t="s">
        <v>379</v>
      </c>
      <c r="B176" s="17"/>
      <c r="C176" s="17"/>
      <c r="D176" s="17"/>
      <c r="E176" s="17"/>
      <c r="F176" s="17"/>
      <c r="G176" s="17"/>
      <c r="H176" s="17"/>
    </row>
    <row r="177" spans="1:8" s="16" customFormat="1" ht="17.399999999999999" x14ac:dyDescent="0.3">
      <c r="A177" s="102" t="s">
        <v>380</v>
      </c>
      <c r="B177" s="17"/>
      <c r="C177" s="17"/>
      <c r="D177" s="17"/>
      <c r="E177" s="17"/>
      <c r="F177" s="17"/>
      <c r="G177" s="17"/>
      <c r="H177" s="17"/>
    </row>
    <row r="178" spans="1:8" s="16" customFormat="1" ht="17.399999999999999" x14ac:dyDescent="0.3">
      <c r="A178" s="103" t="s">
        <v>381</v>
      </c>
      <c r="B178" s="17"/>
      <c r="C178" s="17"/>
      <c r="D178" s="17"/>
      <c r="E178" s="17"/>
      <c r="F178" s="17"/>
      <c r="G178" s="17"/>
      <c r="H178" s="17"/>
    </row>
    <row r="179" spans="1:8" s="16" customFormat="1" ht="17.399999999999999" x14ac:dyDescent="0.3">
      <c r="A179" s="102" t="s">
        <v>382</v>
      </c>
      <c r="B179" s="17"/>
      <c r="C179" s="17"/>
      <c r="D179" s="17"/>
      <c r="E179" s="17"/>
      <c r="F179" s="17"/>
      <c r="G179" s="17"/>
      <c r="H179" s="17"/>
    </row>
    <row r="180" spans="1:8" s="16" customFormat="1" ht="17.399999999999999" x14ac:dyDescent="0.3">
      <c r="A180" s="102" t="s">
        <v>128</v>
      </c>
      <c r="B180" s="17"/>
      <c r="C180" s="17"/>
      <c r="D180" s="17"/>
      <c r="E180" s="17"/>
      <c r="F180" s="17"/>
      <c r="G180" s="17"/>
      <c r="H180" s="17"/>
    </row>
    <row r="181" spans="1:8" s="16" customFormat="1" ht="17.399999999999999" x14ac:dyDescent="0.3">
      <c r="A181" s="102" t="s">
        <v>383</v>
      </c>
      <c r="B181" s="17"/>
      <c r="C181" s="17"/>
      <c r="D181" s="17"/>
      <c r="E181" s="17"/>
      <c r="F181" s="17"/>
      <c r="G181" s="17"/>
      <c r="H181" s="17"/>
    </row>
    <row r="182" spans="1:8" s="16" customFormat="1" ht="17.399999999999999" x14ac:dyDescent="0.3">
      <c r="A182" s="103" t="s">
        <v>384</v>
      </c>
      <c r="B182" s="17"/>
      <c r="C182" s="17"/>
      <c r="D182" s="17"/>
      <c r="E182" s="17"/>
      <c r="F182" s="17"/>
      <c r="G182" s="17"/>
      <c r="H182" s="17"/>
    </row>
    <row r="183" spans="1:8" s="16" customFormat="1" ht="17.399999999999999" x14ac:dyDescent="0.3">
      <c r="A183" s="102" t="s">
        <v>385</v>
      </c>
      <c r="B183" s="17"/>
      <c r="C183" s="17"/>
      <c r="D183" s="17"/>
      <c r="E183" s="17"/>
      <c r="F183" s="17"/>
      <c r="G183" s="17"/>
      <c r="H183" s="17"/>
    </row>
    <row r="184" spans="1:8" s="16" customFormat="1" ht="17.399999999999999" x14ac:dyDescent="0.3">
      <c r="A184" s="102" t="s">
        <v>386</v>
      </c>
      <c r="B184" s="17"/>
      <c r="C184" s="17"/>
      <c r="D184" s="17"/>
      <c r="E184" s="17"/>
      <c r="F184" s="17"/>
      <c r="G184" s="17"/>
      <c r="H184" s="17"/>
    </row>
    <row r="185" spans="1:8" s="16" customFormat="1" ht="17.399999999999999" x14ac:dyDescent="0.3">
      <c r="A185" s="102" t="s">
        <v>387</v>
      </c>
      <c r="B185" s="17"/>
      <c r="C185" s="17"/>
      <c r="D185" s="17"/>
      <c r="E185" s="17"/>
      <c r="F185" s="17"/>
      <c r="G185" s="17"/>
      <c r="H185" s="17"/>
    </row>
    <row r="186" spans="1:8" s="16" customFormat="1" ht="17.399999999999999" x14ac:dyDescent="0.3">
      <c r="A186" s="102" t="s">
        <v>388</v>
      </c>
      <c r="B186" s="17"/>
      <c r="C186" s="17"/>
      <c r="D186" s="17"/>
      <c r="E186" s="17"/>
      <c r="F186" s="17"/>
      <c r="G186" s="17"/>
      <c r="H186" s="17"/>
    </row>
    <row r="187" spans="1:8" s="16" customFormat="1" ht="17.399999999999999" x14ac:dyDescent="0.3">
      <c r="A187" s="103" t="s">
        <v>389</v>
      </c>
      <c r="B187" s="17"/>
      <c r="C187" s="17"/>
      <c r="D187" s="17"/>
      <c r="E187" s="17"/>
      <c r="F187" s="17"/>
      <c r="G187" s="17"/>
      <c r="H187" s="17"/>
    </row>
    <row r="188" spans="1:8" s="16" customFormat="1" ht="17.399999999999999" x14ac:dyDescent="0.3">
      <c r="A188" s="102" t="s">
        <v>390</v>
      </c>
      <c r="B188" s="17"/>
      <c r="C188" s="17"/>
      <c r="D188" s="17"/>
      <c r="E188" s="17"/>
      <c r="F188" s="17"/>
      <c r="G188" s="17"/>
      <c r="H188" s="17"/>
    </row>
    <row r="189" spans="1:8" s="16" customFormat="1" ht="17.399999999999999" x14ac:dyDescent="0.3">
      <c r="A189" s="102" t="s">
        <v>391</v>
      </c>
      <c r="B189" s="17"/>
      <c r="C189" s="17"/>
      <c r="D189" s="17"/>
      <c r="E189" s="17"/>
      <c r="F189" s="17"/>
      <c r="G189" s="17"/>
      <c r="H189" s="17"/>
    </row>
    <row r="190" spans="1:8" s="16" customFormat="1" ht="17.399999999999999" x14ac:dyDescent="0.3">
      <c r="A190" s="102" t="s">
        <v>392</v>
      </c>
      <c r="B190" s="17"/>
      <c r="C190" s="17"/>
      <c r="D190" s="17"/>
      <c r="E190" s="17"/>
      <c r="F190" s="17"/>
      <c r="G190" s="17"/>
      <c r="H190" s="17"/>
    </row>
    <row r="191" spans="1:8" s="16" customFormat="1" ht="17.399999999999999" x14ac:dyDescent="0.3">
      <c r="A191" s="102" t="s">
        <v>393</v>
      </c>
      <c r="B191" s="17"/>
      <c r="C191" s="17"/>
      <c r="D191" s="17"/>
      <c r="E191" s="17"/>
      <c r="F191" s="17"/>
      <c r="G191" s="17"/>
      <c r="H191" s="17"/>
    </row>
    <row r="192" spans="1:8" s="16" customFormat="1" ht="17.399999999999999" x14ac:dyDescent="0.3">
      <c r="A192" s="102" t="s">
        <v>394</v>
      </c>
      <c r="B192" s="17"/>
      <c r="C192" s="17"/>
      <c r="D192" s="17"/>
      <c r="E192" s="17"/>
      <c r="F192" s="17"/>
      <c r="G192" s="17"/>
      <c r="H192" s="17"/>
    </row>
    <row r="193" spans="1:8" s="16" customFormat="1" ht="17.399999999999999" x14ac:dyDescent="0.3">
      <c r="A193" s="102" t="s">
        <v>195</v>
      </c>
      <c r="B193" s="17"/>
      <c r="C193" s="17"/>
      <c r="D193" s="17"/>
      <c r="E193" s="17"/>
      <c r="F193" s="17"/>
      <c r="G193" s="17"/>
      <c r="H193" s="17"/>
    </row>
    <row r="194" spans="1:8" s="16" customFormat="1" ht="17.399999999999999" x14ac:dyDescent="0.3">
      <c r="A194" s="102" t="s">
        <v>395</v>
      </c>
      <c r="B194" s="17"/>
      <c r="C194" s="17"/>
      <c r="D194" s="17"/>
      <c r="E194" s="17"/>
      <c r="F194" s="17"/>
      <c r="G194" s="17"/>
      <c r="H194" s="17"/>
    </row>
    <row r="195" spans="1:8" s="16" customFormat="1" ht="17.399999999999999" x14ac:dyDescent="0.3">
      <c r="A195" s="102" t="s">
        <v>172</v>
      </c>
      <c r="B195" s="17"/>
      <c r="C195" s="17"/>
      <c r="D195" s="17"/>
      <c r="E195" s="17"/>
      <c r="F195" s="17"/>
      <c r="G195" s="17"/>
      <c r="H195" s="17"/>
    </row>
    <row r="196" spans="1:8" s="16" customFormat="1" ht="17.399999999999999" x14ac:dyDescent="0.3">
      <c r="A196" s="103" t="s">
        <v>396</v>
      </c>
      <c r="B196" s="17"/>
      <c r="C196" s="17"/>
      <c r="D196" s="17"/>
      <c r="E196" s="17"/>
      <c r="F196" s="17"/>
      <c r="G196" s="17"/>
      <c r="H196" s="17"/>
    </row>
    <row r="197" spans="1:8" s="16" customFormat="1" ht="17.399999999999999" x14ac:dyDescent="0.3">
      <c r="A197" s="102" t="s">
        <v>397</v>
      </c>
      <c r="B197" s="17"/>
      <c r="C197" s="17"/>
      <c r="D197" s="17"/>
      <c r="E197" s="17"/>
      <c r="F197" s="17"/>
      <c r="G197" s="17"/>
      <c r="H197" s="17"/>
    </row>
    <row r="198" spans="1:8" s="16" customFormat="1" ht="17.399999999999999" x14ac:dyDescent="0.3">
      <c r="A198" s="102" t="s">
        <v>398</v>
      </c>
      <c r="B198" s="17"/>
      <c r="C198" s="17"/>
      <c r="D198" s="17"/>
      <c r="E198" s="17"/>
      <c r="F198" s="17"/>
      <c r="G198" s="17"/>
      <c r="H198" s="17"/>
    </row>
    <row r="199" spans="1:8" s="16" customFormat="1" ht="17.399999999999999" x14ac:dyDescent="0.3">
      <c r="A199" s="102" t="s">
        <v>399</v>
      </c>
      <c r="B199" s="17"/>
      <c r="C199" s="17"/>
      <c r="D199" s="17"/>
      <c r="E199" s="17"/>
      <c r="F199" s="17"/>
      <c r="G199" s="17"/>
      <c r="H199" s="17"/>
    </row>
    <row r="200" spans="1:8" s="16" customFormat="1" ht="17.399999999999999" x14ac:dyDescent="0.3">
      <c r="A200" s="102" t="s">
        <v>400</v>
      </c>
      <c r="B200" s="17"/>
      <c r="C200" s="17"/>
      <c r="D200" s="17"/>
      <c r="E200" s="17"/>
      <c r="F200" s="17"/>
      <c r="G200" s="17"/>
      <c r="H200" s="17"/>
    </row>
    <row r="201" spans="1:8" s="16" customFormat="1" ht="17.399999999999999" x14ac:dyDescent="0.3">
      <c r="A201" s="102" t="s">
        <v>401</v>
      </c>
      <c r="B201" s="17"/>
      <c r="C201" s="17"/>
      <c r="D201" s="17"/>
      <c r="E201" s="17"/>
      <c r="F201" s="17"/>
      <c r="G201" s="17"/>
      <c r="H201" s="17"/>
    </row>
    <row r="202" spans="1:8" s="16" customFormat="1" ht="17.399999999999999" x14ac:dyDescent="0.3">
      <c r="A202" s="102" t="s">
        <v>115</v>
      </c>
      <c r="B202" s="17"/>
      <c r="C202" s="17"/>
      <c r="D202" s="17"/>
      <c r="E202" s="17"/>
      <c r="F202" s="17"/>
      <c r="G202" s="17"/>
      <c r="H202" s="17"/>
    </row>
    <row r="203" spans="1:8" s="16" customFormat="1" ht="17.399999999999999" x14ac:dyDescent="0.3">
      <c r="A203" s="102" t="s">
        <v>402</v>
      </c>
      <c r="B203" s="17"/>
      <c r="C203" s="17"/>
      <c r="D203" s="17"/>
      <c r="E203" s="17"/>
      <c r="F203" s="17"/>
      <c r="G203" s="17"/>
      <c r="H203" s="17"/>
    </row>
    <row r="204" spans="1:8" s="16" customFormat="1" ht="17.399999999999999" x14ac:dyDescent="0.3">
      <c r="A204" s="103" t="s">
        <v>198</v>
      </c>
      <c r="B204" s="17"/>
      <c r="C204" s="17"/>
      <c r="D204" s="17"/>
      <c r="E204" s="17"/>
      <c r="F204" s="17"/>
      <c r="G204" s="17"/>
      <c r="H204" s="17"/>
    </row>
    <row r="205" spans="1:8" s="16" customFormat="1" ht="17.399999999999999" x14ac:dyDescent="0.3">
      <c r="A205" s="102" t="s">
        <v>181</v>
      </c>
      <c r="B205" s="17"/>
      <c r="C205" s="17"/>
      <c r="D205" s="17"/>
      <c r="E205" s="17"/>
      <c r="F205" s="17"/>
      <c r="G205" s="17"/>
      <c r="H205" s="17"/>
    </row>
    <row r="206" spans="1:8" s="16" customFormat="1" ht="17.399999999999999" x14ac:dyDescent="0.3">
      <c r="A206" s="102" t="s">
        <v>403</v>
      </c>
      <c r="B206" s="17"/>
      <c r="C206" s="17"/>
      <c r="D206" s="17"/>
      <c r="E206" s="17"/>
      <c r="F206" s="17"/>
      <c r="G206" s="17"/>
      <c r="H206" s="17"/>
    </row>
    <row r="207" spans="1:8" s="16" customFormat="1" ht="17.399999999999999" x14ac:dyDescent="0.3">
      <c r="A207" s="102" t="s">
        <v>404</v>
      </c>
      <c r="B207" s="17"/>
      <c r="C207" s="17"/>
      <c r="D207" s="17"/>
      <c r="E207" s="17"/>
      <c r="F207" s="17"/>
      <c r="G207" s="17"/>
      <c r="H207" s="17"/>
    </row>
    <row r="208" spans="1:8" s="16" customFormat="1" ht="17.399999999999999" x14ac:dyDescent="0.3">
      <c r="A208" s="102" t="s">
        <v>405</v>
      </c>
      <c r="B208" s="17"/>
      <c r="C208" s="17"/>
      <c r="D208" s="17"/>
      <c r="E208" s="17"/>
      <c r="F208" s="17"/>
      <c r="G208" s="17"/>
      <c r="H208" s="17"/>
    </row>
    <row r="209" spans="1:8" s="16" customFormat="1" ht="17.399999999999999" x14ac:dyDescent="0.3">
      <c r="A209" s="102" t="s">
        <v>406</v>
      </c>
      <c r="B209" s="17"/>
      <c r="C209" s="17"/>
      <c r="D209" s="17"/>
      <c r="E209" s="17"/>
      <c r="F209" s="17"/>
      <c r="G209" s="17"/>
      <c r="H209" s="17"/>
    </row>
    <row r="210" spans="1:8" s="16" customFormat="1" ht="17.399999999999999" x14ac:dyDescent="0.3">
      <c r="A210" s="102" t="s">
        <v>162</v>
      </c>
      <c r="B210" s="17"/>
      <c r="C210" s="17"/>
      <c r="D210" s="17"/>
      <c r="E210" s="17"/>
      <c r="F210" s="17"/>
      <c r="G210" s="17"/>
      <c r="H210" s="17"/>
    </row>
    <row r="211" spans="1:8" s="16" customFormat="1" ht="17.399999999999999" x14ac:dyDescent="0.3">
      <c r="A211" s="102" t="s">
        <v>407</v>
      </c>
      <c r="B211" s="17"/>
      <c r="C211" s="17"/>
      <c r="D211" s="17"/>
      <c r="E211" s="17"/>
      <c r="F211" s="17"/>
      <c r="G211" s="17"/>
      <c r="H211" s="17"/>
    </row>
    <row r="212" spans="1:8" s="16" customFormat="1" ht="17.399999999999999" x14ac:dyDescent="0.3">
      <c r="A212" s="102" t="s">
        <v>408</v>
      </c>
      <c r="B212" s="17"/>
      <c r="C212" s="17"/>
      <c r="D212" s="17"/>
      <c r="E212" s="17"/>
      <c r="F212" s="17"/>
      <c r="G212" s="17"/>
      <c r="H212" s="17"/>
    </row>
    <row r="213" spans="1:8" s="16" customFormat="1" ht="17.399999999999999" x14ac:dyDescent="0.3">
      <c r="A213" s="103" t="s">
        <v>203</v>
      </c>
      <c r="B213" s="17"/>
      <c r="C213" s="17"/>
      <c r="D213" s="17"/>
      <c r="E213" s="17"/>
      <c r="F213" s="17"/>
      <c r="G213" s="17"/>
      <c r="H213" s="17"/>
    </row>
    <row r="214" spans="1:8" s="16" customFormat="1" ht="17.399999999999999" x14ac:dyDescent="0.3">
      <c r="A214" s="102" t="s">
        <v>409</v>
      </c>
      <c r="B214" s="17"/>
      <c r="C214" s="17"/>
      <c r="D214" s="17"/>
      <c r="E214" s="17"/>
      <c r="F214" s="17"/>
      <c r="G214" s="17"/>
      <c r="H214" s="17"/>
    </row>
    <row r="215" spans="1:8" s="16" customFormat="1" ht="17.399999999999999" x14ac:dyDescent="0.3">
      <c r="A215" s="102" t="s">
        <v>123</v>
      </c>
      <c r="B215" s="17"/>
      <c r="C215" s="17"/>
      <c r="D215" s="17"/>
      <c r="E215" s="17"/>
      <c r="F215" s="17"/>
      <c r="G215" s="17"/>
      <c r="H215" s="17"/>
    </row>
    <row r="216" spans="1:8" s="16" customFormat="1" ht="17.399999999999999" x14ac:dyDescent="0.3">
      <c r="A216" s="102" t="s">
        <v>410</v>
      </c>
      <c r="B216" s="17"/>
      <c r="C216" s="17"/>
      <c r="D216" s="17"/>
      <c r="E216" s="17"/>
      <c r="F216" s="17"/>
      <c r="G216" s="17"/>
      <c r="H216" s="17"/>
    </row>
    <row r="217" spans="1:8" s="16" customFormat="1" ht="17.399999999999999" x14ac:dyDescent="0.3">
      <c r="A217" s="102" t="s">
        <v>411</v>
      </c>
      <c r="B217" s="17"/>
      <c r="C217" s="17"/>
      <c r="D217" s="17"/>
      <c r="E217" s="17"/>
      <c r="F217" s="17"/>
      <c r="G217" s="17"/>
      <c r="H217" s="17"/>
    </row>
    <row r="218" spans="1:8" s="16" customFormat="1" ht="17.399999999999999" x14ac:dyDescent="0.3">
      <c r="A218" s="102" t="s">
        <v>412</v>
      </c>
      <c r="B218" s="17"/>
      <c r="C218" s="17"/>
      <c r="D218" s="17"/>
      <c r="E218" s="17"/>
      <c r="F218" s="17"/>
      <c r="G218" s="17"/>
      <c r="H218" s="17"/>
    </row>
    <row r="219" spans="1:8" s="16" customFormat="1" ht="17.399999999999999" x14ac:dyDescent="0.3">
      <c r="A219" s="102" t="s">
        <v>167</v>
      </c>
      <c r="B219" s="17"/>
      <c r="C219" s="17"/>
      <c r="D219" s="17"/>
      <c r="E219" s="17"/>
      <c r="F219" s="17"/>
      <c r="G219" s="17"/>
      <c r="H219" s="17"/>
    </row>
    <row r="220" spans="1:8" s="16" customFormat="1" ht="17.399999999999999" x14ac:dyDescent="0.3">
      <c r="A220" s="102" t="s">
        <v>413</v>
      </c>
      <c r="B220" s="17"/>
      <c r="C220" s="17"/>
      <c r="D220" s="17"/>
      <c r="E220" s="17"/>
      <c r="F220" s="17"/>
      <c r="G220" s="17"/>
      <c r="H220" s="17"/>
    </row>
    <row r="221" spans="1:8" s="16" customFormat="1" ht="17.399999999999999" x14ac:dyDescent="0.3">
      <c r="A221" s="102" t="s">
        <v>414</v>
      </c>
      <c r="B221" s="17"/>
      <c r="C221" s="17"/>
      <c r="D221" s="17"/>
      <c r="E221" s="17"/>
      <c r="F221" s="17"/>
      <c r="G221" s="17"/>
      <c r="H221" s="17"/>
    </row>
    <row r="222" spans="1:8" s="16" customFormat="1" ht="17.399999999999999" x14ac:dyDescent="0.3">
      <c r="A222" s="102" t="s">
        <v>163</v>
      </c>
      <c r="B222" s="17"/>
      <c r="C222" s="17"/>
      <c r="D222" s="17"/>
      <c r="E222" s="17"/>
      <c r="F222" s="17"/>
      <c r="G222" s="17"/>
      <c r="H222" s="17"/>
    </row>
    <row r="223" spans="1:8" s="16" customFormat="1" ht="17.399999999999999" x14ac:dyDescent="0.3">
      <c r="A223" s="102" t="s">
        <v>182</v>
      </c>
      <c r="B223" s="17"/>
      <c r="C223" s="17"/>
      <c r="D223" s="17"/>
      <c r="E223" s="17"/>
      <c r="F223" s="17"/>
      <c r="G223" s="17"/>
      <c r="H223" s="17"/>
    </row>
    <row r="224" spans="1:8" s="16" customFormat="1" ht="17.399999999999999" x14ac:dyDescent="0.3">
      <c r="A224" s="102" t="s">
        <v>415</v>
      </c>
      <c r="B224" s="17"/>
      <c r="C224" s="17"/>
      <c r="D224" s="17"/>
      <c r="E224" s="17"/>
      <c r="F224" s="17"/>
      <c r="G224" s="17"/>
      <c r="H224" s="17"/>
    </row>
    <row r="225" spans="1:8" s="16" customFormat="1" ht="17.399999999999999" x14ac:dyDescent="0.3">
      <c r="A225" s="102" t="s">
        <v>416</v>
      </c>
      <c r="B225" s="17"/>
      <c r="C225" s="17"/>
      <c r="D225" s="17"/>
      <c r="E225" s="17"/>
      <c r="F225" s="17"/>
      <c r="G225" s="17"/>
      <c r="H225" s="17"/>
    </row>
    <row r="226" spans="1:8" s="16" customFormat="1" ht="17.399999999999999" x14ac:dyDescent="0.3">
      <c r="A226" s="102" t="s">
        <v>417</v>
      </c>
      <c r="B226" s="17"/>
      <c r="C226" s="17"/>
      <c r="D226" s="17"/>
      <c r="E226" s="17"/>
      <c r="F226" s="17"/>
      <c r="G226" s="17"/>
      <c r="H226" s="17"/>
    </row>
    <row r="227" spans="1:8" s="16" customFormat="1" ht="17.399999999999999" x14ac:dyDescent="0.3">
      <c r="A227" s="102" t="s">
        <v>418</v>
      </c>
      <c r="B227" s="17"/>
      <c r="C227" s="17"/>
      <c r="D227" s="17"/>
      <c r="E227" s="17"/>
      <c r="F227" s="17"/>
      <c r="G227" s="17"/>
      <c r="H227" s="17"/>
    </row>
    <row r="228" spans="1:8" s="16" customFormat="1" ht="17.399999999999999" x14ac:dyDescent="0.3">
      <c r="A228" s="102" t="s">
        <v>419</v>
      </c>
      <c r="B228" s="17"/>
      <c r="C228" s="17"/>
      <c r="D228" s="17"/>
      <c r="E228" s="17"/>
      <c r="F228" s="17"/>
      <c r="G228" s="17"/>
      <c r="H228" s="17"/>
    </row>
    <row r="229" spans="1:8" s="16" customFormat="1" ht="17.399999999999999" x14ac:dyDescent="0.3">
      <c r="A229" s="102" t="s">
        <v>420</v>
      </c>
      <c r="B229" s="17"/>
      <c r="C229" s="17"/>
      <c r="D229" s="17"/>
      <c r="E229" s="17"/>
      <c r="F229" s="17"/>
      <c r="G229" s="17"/>
      <c r="H229" s="17"/>
    </row>
    <row r="230" spans="1:8" s="16" customFormat="1" ht="17.399999999999999" x14ac:dyDescent="0.3">
      <c r="A230" s="102" t="s">
        <v>421</v>
      </c>
      <c r="B230" s="17"/>
      <c r="C230" s="17"/>
      <c r="D230" s="17"/>
      <c r="E230" s="17"/>
      <c r="F230" s="17"/>
      <c r="G230" s="17"/>
      <c r="H230" s="17"/>
    </row>
    <row r="231" spans="1:8" s="16" customFormat="1" ht="17.399999999999999" x14ac:dyDescent="0.3">
      <c r="A231" s="102" t="s">
        <v>422</v>
      </c>
      <c r="B231" s="17"/>
      <c r="C231" s="17"/>
      <c r="D231" s="17"/>
      <c r="E231" s="17"/>
      <c r="F231" s="17"/>
      <c r="G231" s="17"/>
      <c r="H231" s="17"/>
    </row>
    <row r="232" spans="1:8" s="16" customFormat="1" ht="17.399999999999999" x14ac:dyDescent="0.3">
      <c r="A232" s="102" t="s">
        <v>423</v>
      </c>
      <c r="B232" s="17"/>
      <c r="C232" s="17"/>
      <c r="D232" s="17"/>
      <c r="E232" s="17"/>
      <c r="F232" s="17"/>
      <c r="G232" s="17"/>
      <c r="H232" s="17"/>
    </row>
    <row r="233" spans="1:8" s="16" customFormat="1" ht="17.399999999999999" x14ac:dyDescent="0.3">
      <c r="A233" s="102" t="s">
        <v>424</v>
      </c>
      <c r="B233" s="17"/>
      <c r="C233" s="17"/>
      <c r="D233" s="17"/>
      <c r="E233" s="17"/>
      <c r="F233" s="17"/>
      <c r="G233" s="17"/>
      <c r="H233" s="17"/>
    </row>
    <row r="234" spans="1:8" s="16" customFormat="1" ht="17.399999999999999" x14ac:dyDescent="0.3">
      <c r="A234" s="102" t="s">
        <v>425</v>
      </c>
      <c r="B234" s="17"/>
      <c r="C234" s="17"/>
      <c r="D234" s="17"/>
      <c r="E234" s="17"/>
      <c r="F234" s="17"/>
      <c r="G234" s="17"/>
      <c r="H234" s="17"/>
    </row>
    <row r="235" spans="1:8" s="16" customFormat="1" ht="17.399999999999999" x14ac:dyDescent="0.3">
      <c r="A235" s="102" t="s">
        <v>152</v>
      </c>
      <c r="B235" s="17"/>
      <c r="C235" s="17"/>
      <c r="D235" s="17"/>
      <c r="E235" s="17"/>
      <c r="F235" s="17"/>
      <c r="G235" s="17"/>
      <c r="H235" s="17"/>
    </row>
    <row r="236" spans="1:8" s="16" customFormat="1" ht="17.399999999999999" x14ac:dyDescent="0.3">
      <c r="A236" s="102" t="s">
        <v>426</v>
      </c>
      <c r="B236" s="17"/>
      <c r="C236" s="17"/>
      <c r="D236" s="17"/>
      <c r="E236" s="17"/>
      <c r="F236" s="17"/>
      <c r="G236" s="17"/>
      <c r="H236" s="17"/>
    </row>
    <row r="237" spans="1:8" s="16" customFormat="1" ht="17.399999999999999" x14ac:dyDescent="0.3">
      <c r="A237" s="102" t="s">
        <v>427</v>
      </c>
      <c r="B237" s="17"/>
      <c r="C237" s="17"/>
      <c r="D237" s="17"/>
      <c r="E237" s="17"/>
      <c r="F237" s="17"/>
      <c r="G237" s="17"/>
      <c r="H237" s="17"/>
    </row>
    <row r="238" spans="1:8" s="16" customFormat="1" ht="17.399999999999999" x14ac:dyDescent="0.3">
      <c r="A238" s="102" t="s">
        <v>428</v>
      </c>
      <c r="B238" s="17"/>
      <c r="C238" s="17"/>
      <c r="D238" s="17"/>
      <c r="E238" s="17"/>
      <c r="F238" s="17"/>
      <c r="G238" s="17"/>
      <c r="H238" s="17"/>
    </row>
    <row r="239" spans="1:8" s="16" customFormat="1" ht="17.399999999999999" x14ac:dyDescent="0.3">
      <c r="A239" s="102" t="s">
        <v>429</v>
      </c>
      <c r="B239" s="17"/>
      <c r="C239" s="17"/>
      <c r="D239" s="17"/>
      <c r="E239" s="17"/>
      <c r="F239" s="17"/>
      <c r="G239" s="17"/>
      <c r="H239" s="17"/>
    </row>
    <row r="240" spans="1:8" s="16" customFormat="1" ht="17.399999999999999" x14ac:dyDescent="0.3">
      <c r="A240" s="102" t="s">
        <v>430</v>
      </c>
      <c r="B240" s="17"/>
      <c r="C240" s="17"/>
      <c r="D240" s="17"/>
      <c r="E240" s="17"/>
      <c r="F240" s="17"/>
      <c r="G240" s="17"/>
      <c r="H240" s="17"/>
    </row>
    <row r="241" spans="1:8" s="16" customFormat="1" ht="17.399999999999999" x14ac:dyDescent="0.3">
      <c r="A241" s="102" t="s">
        <v>431</v>
      </c>
      <c r="B241" s="17"/>
      <c r="C241" s="17"/>
      <c r="D241" s="17"/>
      <c r="E241" s="17"/>
      <c r="F241" s="17"/>
      <c r="G241" s="17"/>
      <c r="H241" s="17"/>
    </row>
    <row r="242" spans="1:8" s="16" customFormat="1" ht="17.399999999999999" x14ac:dyDescent="0.3">
      <c r="A242" s="102" t="s">
        <v>145</v>
      </c>
      <c r="B242" s="17"/>
      <c r="C242" s="17"/>
      <c r="D242" s="17"/>
      <c r="E242" s="17"/>
      <c r="F242" s="17"/>
      <c r="G242" s="17"/>
      <c r="H242" s="17"/>
    </row>
    <row r="243" spans="1:8" s="16" customFormat="1" ht="17.399999999999999" x14ac:dyDescent="0.3">
      <c r="A243" s="102" t="s">
        <v>145</v>
      </c>
      <c r="B243" s="17"/>
      <c r="C243" s="17"/>
      <c r="D243" s="17"/>
      <c r="E243" s="17"/>
      <c r="F243" s="17"/>
      <c r="G243" s="17"/>
      <c r="H243" s="17"/>
    </row>
    <row r="244" spans="1:8" s="16" customFormat="1" ht="17.399999999999999" x14ac:dyDescent="0.3">
      <c r="A244" s="102" t="s">
        <v>432</v>
      </c>
      <c r="B244" s="17"/>
      <c r="C244" s="17"/>
      <c r="D244" s="17"/>
      <c r="E244" s="17"/>
      <c r="F244" s="17"/>
      <c r="G244" s="17"/>
      <c r="H244" s="17"/>
    </row>
    <row r="245" spans="1:8" s="16" customFormat="1" ht="17.399999999999999" x14ac:dyDescent="0.3">
      <c r="A245" s="102" t="s">
        <v>432</v>
      </c>
      <c r="B245" s="17"/>
      <c r="C245" s="17"/>
      <c r="D245" s="17"/>
      <c r="E245" s="17"/>
      <c r="F245" s="17"/>
      <c r="G245" s="17"/>
      <c r="H245" s="17"/>
    </row>
    <row r="246" spans="1:8" s="16" customFormat="1" ht="17.399999999999999" x14ac:dyDescent="0.3">
      <c r="A246" s="102" t="s">
        <v>433</v>
      </c>
      <c r="B246" s="17"/>
      <c r="C246" s="17"/>
      <c r="D246" s="17"/>
      <c r="E246" s="17"/>
      <c r="F246" s="17"/>
      <c r="G246" s="17"/>
      <c r="H246" s="17"/>
    </row>
    <row r="247" spans="1:8" s="16" customFormat="1" ht="17.399999999999999" x14ac:dyDescent="0.3">
      <c r="A247" s="102" t="s">
        <v>434</v>
      </c>
      <c r="B247" s="17"/>
      <c r="C247" s="17"/>
      <c r="D247" s="17"/>
      <c r="E247" s="17"/>
      <c r="F247" s="17"/>
      <c r="G247" s="17"/>
      <c r="H247" s="17"/>
    </row>
    <row r="248" spans="1:8" s="16" customFormat="1" ht="17.399999999999999" x14ac:dyDescent="0.3">
      <c r="A248" s="102" t="s">
        <v>435</v>
      </c>
      <c r="B248" s="17"/>
      <c r="C248" s="17"/>
      <c r="D248" s="17"/>
      <c r="E248" s="17"/>
      <c r="F248" s="17"/>
      <c r="G248" s="17"/>
      <c r="H248" s="17"/>
    </row>
    <row r="249" spans="1:8" s="16" customFormat="1" ht="17.399999999999999" x14ac:dyDescent="0.3">
      <c r="A249" s="102" t="s">
        <v>436</v>
      </c>
      <c r="B249" s="17"/>
      <c r="C249" s="17"/>
      <c r="D249" s="17"/>
      <c r="E249" s="17"/>
      <c r="F249" s="17"/>
      <c r="G249" s="17"/>
      <c r="H249" s="17"/>
    </row>
    <row r="250" spans="1:8" s="16" customFormat="1" ht="17.399999999999999" x14ac:dyDescent="0.3">
      <c r="A250" s="102" t="s">
        <v>437</v>
      </c>
      <c r="B250" s="17"/>
      <c r="C250" s="17"/>
      <c r="D250" s="17"/>
      <c r="E250" s="17"/>
      <c r="F250" s="17"/>
      <c r="G250" s="17"/>
      <c r="H250" s="17"/>
    </row>
    <row r="251" spans="1:8" s="16" customFormat="1" ht="17.399999999999999" x14ac:dyDescent="0.3">
      <c r="A251" s="102" t="s">
        <v>438</v>
      </c>
      <c r="B251" s="17"/>
      <c r="C251" s="17"/>
      <c r="D251" s="17"/>
      <c r="E251" s="17"/>
      <c r="F251" s="17"/>
      <c r="G251" s="17"/>
      <c r="H251" s="17"/>
    </row>
    <row r="252" spans="1:8" s="16" customFormat="1" ht="17.399999999999999" x14ac:dyDescent="0.3">
      <c r="A252" s="102" t="s">
        <v>439</v>
      </c>
      <c r="B252" s="17"/>
      <c r="C252" s="17"/>
      <c r="D252" s="17"/>
      <c r="E252" s="17"/>
      <c r="F252" s="17"/>
      <c r="G252" s="17"/>
      <c r="H252" s="17"/>
    </row>
    <row r="253" spans="1:8" s="16" customFormat="1" ht="17.399999999999999" x14ac:dyDescent="0.3">
      <c r="A253" s="102" t="s">
        <v>440</v>
      </c>
      <c r="B253" s="17"/>
      <c r="C253" s="17"/>
      <c r="D253" s="17"/>
      <c r="E253" s="17"/>
      <c r="F253" s="17"/>
      <c r="G253" s="17"/>
      <c r="H253" s="17"/>
    </row>
    <row r="254" spans="1:8" s="16" customFormat="1" ht="17.399999999999999" x14ac:dyDescent="0.3">
      <c r="A254" s="102" t="s">
        <v>441</v>
      </c>
      <c r="B254" s="17"/>
      <c r="C254" s="17"/>
      <c r="D254" s="17"/>
      <c r="E254" s="17"/>
      <c r="F254" s="17"/>
      <c r="G254" s="17"/>
      <c r="H254" s="17"/>
    </row>
    <row r="255" spans="1:8" s="16" customFormat="1" ht="17.399999999999999" x14ac:dyDescent="0.3">
      <c r="A255" s="102" t="s">
        <v>442</v>
      </c>
      <c r="B255" s="17"/>
      <c r="C255" s="17"/>
      <c r="D255" s="17"/>
      <c r="E255" s="17"/>
      <c r="F255" s="17"/>
      <c r="G255" s="17"/>
      <c r="H255" s="17"/>
    </row>
    <row r="256" spans="1:8" s="16" customFormat="1" ht="17.399999999999999" x14ac:dyDescent="0.3">
      <c r="A256" s="102" t="s">
        <v>443</v>
      </c>
      <c r="B256" s="17"/>
      <c r="C256" s="17"/>
      <c r="D256" s="17"/>
      <c r="E256" s="17"/>
      <c r="F256" s="17"/>
      <c r="G256" s="17"/>
      <c r="H256" s="17"/>
    </row>
    <row r="257" spans="1:8" s="16" customFormat="1" ht="17.399999999999999" x14ac:dyDescent="0.3">
      <c r="A257" s="102" t="s">
        <v>444</v>
      </c>
      <c r="B257" s="17"/>
      <c r="C257" s="17"/>
      <c r="D257" s="17"/>
      <c r="E257" s="17"/>
      <c r="F257" s="17"/>
      <c r="G257" s="17"/>
      <c r="H257" s="17"/>
    </row>
    <row r="258" spans="1:8" s="16" customFormat="1" ht="17.399999999999999" x14ac:dyDescent="0.3">
      <c r="A258" s="102" t="s">
        <v>445</v>
      </c>
      <c r="B258" s="17"/>
      <c r="C258" s="17"/>
      <c r="D258" s="17"/>
      <c r="E258" s="17"/>
      <c r="F258" s="17"/>
      <c r="G258" s="17"/>
      <c r="H258" s="17"/>
    </row>
    <row r="259" spans="1:8" s="16" customFormat="1" ht="17.399999999999999" x14ac:dyDescent="0.3">
      <c r="A259" s="102" t="s">
        <v>446</v>
      </c>
      <c r="B259" s="17"/>
      <c r="C259" s="17"/>
      <c r="D259" s="17"/>
      <c r="E259" s="17"/>
      <c r="F259" s="17"/>
      <c r="G259" s="17"/>
      <c r="H259" s="17"/>
    </row>
    <row r="260" spans="1:8" s="16" customFormat="1" ht="17.399999999999999" x14ac:dyDescent="0.3">
      <c r="A260" s="102" t="s">
        <v>447</v>
      </c>
      <c r="B260" s="17"/>
      <c r="C260" s="17"/>
      <c r="D260" s="17"/>
      <c r="E260" s="17"/>
      <c r="F260" s="17"/>
      <c r="G260" s="17"/>
      <c r="H260" s="17"/>
    </row>
    <row r="261" spans="1:8" s="16" customFormat="1" ht="17.399999999999999" x14ac:dyDescent="0.3">
      <c r="A261" s="102" t="s">
        <v>448</v>
      </c>
      <c r="B261" s="17"/>
      <c r="C261" s="17"/>
      <c r="D261" s="17"/>
      <c r="E261" s="17"/>
      <c r="F261" s="17"/>
      <c r="G261" s="17"/>
      <c r="H261" s="17"/>
    </row>
    <row r="262" spans="1:8" s="16" customFormat="1" ht="17.399999999999999" x14ac:dyDescent="0.3">
      <c r="A262" s="102" t="s">
        <v>184</v>
      </c>
      <c r="B262" s="17"/>
      <c r="C262" s="17"/>
      <c r="D262" s="17"/>
      <c r="E262" s="17"/>
      <c r="F262" s="17"/>
      <c r="G262" s="17"/>
      <c r="H262" s="17"/>
    </row>
    <row r="263" spans="1:8" s="16" customFormat="1" ht="17.399999999999999" x14ac:dyDescent="0.3">
      <c r="A263" s="102" t="s">
        <v>449</v>
      </c>
      <c r="B263" s="17"/>
      <c r="C263" s="17"/>
      <c r="D263" s="17"/>
      <c r="E263" s="17"/>
      <c r="F263" s="17"/>
      <c r="G263" s="17"/>
      <c r="H263" s="17"/>
    </row>
    <row r="264" spans="1:8" s="16" customFormat="1" ht="17.399999999999999" x14ac:dyDescent="0.3">
      <c r="A264" s="102" t="s">
        <v>450</v>
      </c>
      <c r="B264" s="17"/>
      <c r="C264" s="17"/>
      <c r="D264" s="17"/>
      <c r="E264" s="17"/>
      <c r="F264" s="17"/>
      <c r="G264" s="17"/>
      <c r="H264" s="17"/>
    </row>
    <row r="265" spans="1:8" s="16" customFormat="1" ht="17.399999999999999" x14ac:dyDescent="0.3">
      <c r="A265" s="102" t="s">
        <v>451</v>
      </c>
      <c r="B265" s="17"/>
      <c r="C265" s="17"/>
      <c r="D265" s="17"/>
      <c r="E265" s="17"/>
      <c r="F265" s="17"/>
      <c r="G265" s="17"/>
      <c r="H265" s="17"/>
    </row>
    <row r="266" spans="1:8" s="16" customFormat="1" ht="17.399999999999999" x14ac:dyDescent="0.3">
      <c r="A266" s="102" t="s">
        <v>452</v>
      </c>
      <c r="B266" s="17"/>
      <c r="C266" s="17"/>
      <c r="D266" s="17"/>
      <c r="E266" s="17"/>
      <c r="F266" s="17"/>
      <c r="G266" s="17"/>
      <c r="H266" s="17"/>
    </row>
    <row r="267" spans="1:8" s="16" customFormat="1" ht="17.399999999999999" x14ac:dyDescent="0.3">
      <c r="A267" s="102" t="s">
        <v>453</v>
      </c>
      <c r="B267" s="17"/>
      <c r="C267" s="17"/>
      <c r="D267" s="17"/>
      <c r="E267" s="17"/>
      <c r="F267" s="17"/>
      <c r="G267" s="17"/>
      <c r="H267" s="17"/>
    </row>
    <row r="268" spans="1:8" s="16" customFormat="1" ht="17.399999999999999" x14ac:dyDescent="0.3">
      <c r="A268" s="103" t="s">
        <v>454</v>
      </c>
      <c r="B268" s="17"/>
      <c r="C268" s="17"/>
      <c r="D268" s="17"/>
      <c r="E268" s="17"/>
      <c r="F268" s="17"/>
      <c r="G268" s="17"/>
      <c r="H268" s="17"/>
    </row>
    <row r="269" spans="1:8" s="16" customFormat="1" ht="17.399999999999999" x14ac:dyDescent="0.3">
      <c r="A269" s="102" t="s">
        <v>455</v>
      </c>
      <c r="B269" s="17"/>
      <c r="C269" s="17"/>
      <c r="D269" s="17"/>
      <c r="E269" s="17"/>
      <c r="F269" s="17"/>
      <c r="G269" s="17"/>
      <c r="H269" s="17"/>
    </row>
    <row r="270" spans="1:8" s="16" customFormat="1" ht="17.399999999999999" x14ac:dyDescent="0.3">
      <c r="A270" s="103" t="s">
        <v>456</v>
      </c>
      <c r="B270" s="17"/>
      <c r="C270" s="17"/>
      <c r="D270" s="17"/>
      <c r="E270" s="17"/>
      <c r="F270" s="17"/>
      <c r="G270" s="17"/>
      <c r="H270" s="17"/>
    </row>
    <row r="271" spans="1:8" s="16" customFormat="1" ht="17.399999999999999" x14ac:dyDescent="0.3">
      <c r="A271" s="102" t="s">
        <v>457</v>
      </c>
      <c r="B271" s="17"/>
      <c r="C271" s="17"/>
      <c r="D271" s="17"/>
      <c r="E271" s="17"/>
      <c r="F271" s="17"/>
      <c r="G271" s="17"/>
      <c r="H271" s="17"/>
    </row>
    <row r="272" spans="1:8" s="16" customFormat="1" ht="17.399999999999999" x14ac:dyDescent="0.3">
      <c r="A272" s="102" t="s">
        <v>458</v>
      </c>
      <c r="B272" s="17"/>
      <c r="C272" s="17"/>
      <c r="D272" s="17"/>
      <c r="E272" s="17"/>
      <c r="F272" s="17"/>
      <c r="G272" s="17"/>
      <c r="H272" s="17"/>
    </row>
    <row r="273" spans="1:8" s="16" customFormat="1" ht="17.399999999999999" x14ac:dyDescent="0.3">
      <c r="A273" s="102" t="s">
        <v>178</v>
      </c>
      <c r="B273" s="17"/>
      <c r="C273" s="17"/>
      <c r="D273" s="17"/>
      <c r="E273" s="17"/>
      <c r="F273" s="17"/>
      <c r="G273" s="17"/>
      <c r="H273" s="17"/>
    </row>
    <row r="274" spans="1:8" s="16" customFormat="1" ht="17.399999999999999" x14ac:dyDescent="0.3">
      <c r="A274" s="102" t="s">
        <v>459</v>
      </c>
      <c r="B274" s="17"/>
      <c r="C274" s="17"/>
      <c r="D274" s="17"/>
      <c r="E274" s="17"/>
      <c r="F274" s="17"/>
      <c r="G274" s="17"/>
      <c r="H274" s="17"/>
    </row>
    <row r="275" spans="1:8" s="16" customFormat="1" ht="17.399999999999999" x14ac:dyDescent="0.3">
      <c r="A275" s="102" t="s">
        <v>460</v>
      </c>
      <c r="B275" s="17"/>
      <c r="C275" s="17"/>
      <c r="D275" s="17"/>
      <c r="E275" s="17"/>
      <c r="F275" s="17"/>
      <c r="G275" s="17"/>
      <c r="H275" s="17"/>
    </row>
    <row r="276" spans="1:8" s="16" customFormat="1" ht="17.399999999999999" x14ac:dyDescent="0.3">
      <c r="A276" s="103" t="s">
        <v>461</v>
      </c>
      <c r="B276" s="17"/>
      <c r="C276" s="17"/>
      <c r="D276" s="17"/>
      <c r="E276" s="17"/>
      <c r="F276" s="17"/>
      <c r="G276" s="17"/>
      <c r="H276" s="17"/>
    </row>
    <row r="277" spans="1:8" s="16" customFormat="1" ht="17.399999999999999" x14ac:dyDescent="0.3">
      <c r="A277" s="103" t="s">
        <v>462</v>
      </c>
      <c r="B277" s="17"/>
      <c r="C277" s="17"/>
      <c r="D277" s="17"/>
      <c r="E277" s="17"/>
      <c r="F277" s="17"/>
      <c r="G277" s="17"/>
      <c r="H277" s="17"/>
    </row>
    <row r="278" spans="1:8" s="16" customFormat="1" ht="17.399999999999999" x14ac:dyDescent="0.3">
      <c r="A278" s="103" t="s">
        <v>463</v>
      </c>
      <c r="B278" s="17"/>
      <c r="C278" s="17"/>
      <c r="D278" s="17"/>
      <c r="E278" s="17"/>
      <c r="F278" s="17"/>
      <c r="G278" s="17"/>
      <c r="H278" s="17"/>
    </row>
    <row r="279" spans="1:8" s="16" customFormat="1" ht="17.399999999999999" x14ac:dyDescent="0.3">
      <c r="A279" s="102" t="s">
        <v>464</v>
      </c>
      <c r="B279" s="17"/>
      <c r="C279" s="17"/>
      <c r="D279" s="17"/>
      <c r="E279" s="17"/>
      <c r="F279" s="17"/>
      <c r="G279" s="17"/>
      <c r="H279" s="17"/>
    </row>
    <row r="280" spans="1:8" s="16" customFormat="1" ht="17.399999999999999" x14ac:dyDescent="0.3">
      <c r="A280" s="102" t="s">
        <v>465</v>
      </c>
      <c r="B280" s="17"/>
      <c r="C280" s="17"/>
      <c r="D280" s="17"/>
      <c r="E280" s="17"/>
      <c r="F280" s="17"/>
      <c r="G280" s="17"/>
      <c r="H280" s="17"/>
    </row>
    <row r="281" spans="1:8" s="16" customFormat="1" ht="17.399999999999999" x14ac:dyDescent="0.3">
      <c r="A281" s="103" t="s">
        <v>466</v>
      </c>
      <c r="B281" s="17"/>
      <c r="C281" s="17"/>
      <c r="D281" s="17"/>
      <c r="E281" s="17"/>
      <c r="F281" s="17"/>
      <c r="G281" s="17"/>
      <c r="H281" s="17"/>
    </row>
    <row r="282" spans="1:8" s="16" customFormat="1" ht="17.399999999999999" x14ac:dyDescent="0.3">
      <c r="A282" s="102" t="s">
        <v>467</v>
      </c>
      <c r="B282" s="17"/>
      <c r="C282" s="17"/>
      <c r="D282" s="17"/>
      <c r="E282" s="17"/>
      <c r="F282" s="17"/>
      <c r="G282" s="17"/>
      <c r="H282" s="17"/>
    </row>
    <row r="283" spans="1:8" s="16" customFormat="1" ht="17.399999999999999" x14ac:dyDescent="0.3">
      <c r="A283" s="102" t="s">
        <v>468</v>
      </c>
      <c r="B283" s="17"/>
      <c r="C283" s="17"/>
      <c r="D283" s="17"/>
      <c r="E283" s="17"/>
      <c r="F283" s="17"/>
      <c r="G283" s="17"/>
      <c r="H283" s="17"/>
    </row>
    <row r="284" spans="1:8" s="16" customFormat="1" ht="17.399999999999999" x14ac:dyDescent="0.3">
      <c r="A284" s="102" t="s">
        <v>469</v>
      </c>
      <c r="B284" s="17"/>
      <c r="C284" s="17"/>
      <c r="D284" s="17"/>
      <c r="E284" s="17"/>
      <c r="F284" s="17"/>
      <c r="G284" s="17"/>
      <c r="H284" s="17"/>
    </row>
    <row r="285" spans="1:8" s="16" customFormat="1" ht="17.399999999999999" x14ac:dyDescent="0.3">
      <c r="A285" s="102" t="s">
        <v>470</v>
      </c>
      <c r="B285" s="17"/>
      <c r="C285" s="17"/>
      <c r="D285" s="17"/>
      <c r="E285" s="17"/>
      <c r="F285" s="17"/>
      <c r="G285" s="17"/>
      <c r="H285" s="17"/>
    </row>
    <row r="286" spans="1:8" s="16" customFormat="1" ht="17.399999999999999" x14ac:dyDescent="0.3">
      <c r="A286" s="99" t="s">
        <v>225</v>
      </c>
      <c r="B286" s="17"/>
      <c r="C286" s="17"/>
      <c r="D286" s="17"/>
      <c r="E286" s="17"/>
      <c r="F286" s="17"/>
      <c r="G286" s="17"/>
      <c r="H286" s="17"/>
    </row>
    <row r="287" spans="1:8" s="16" customFormat="1" ht="17.399999999999999" x14ac:dyDescent="0.3">
      <c r="A287" s="102" t="s">
        <v>471</v>
      </c>
      <c r="B287" s="17"/>
      <c r="C287" s="17"/>
      <c r="D287" s="17"/>
      <c r="E287" s="17"/>
      <c r="F287" s="17"/>
      <c r="G287" s="17"/>
      <c r="H287" s="17"/>
    </row>
    <row r="288" spans="1:8" s="16" customFormat="1" ht="17.399999999999999" x14ac:dyDescent="0.3">
      <c r="A288" s="102" t="s">
        <v>472</v>
      </c>
      <c r="B288" s="17"/>
      <c r="C288" s="17"/>
      <c r="D288" s="17"/>
      <c r="E288" s="17"/>
      <c r="F288" s="17"/>
      <c r="G288" s="17"/>
      <c r="H288" s="17"/>
    </row>
    <row r="289" spans="1:8" s="16" customFormat="1" ht="17.399999999999999" x14ac:dyDescent="0.3">
      <c r="A289" s="102" t="s">
        <v>473</v>
      </c>
      <c r="B289" s="17"/>
      <c r="C289" s="17"/>
      <c r="D289" s="17"/>
      <c r="E289" s="17"/>
      <c r="F289" s="17"/>
      <c r="G289" s="17"/>
      <c r="H289" s="17"/>
    </row>
    <row r="290" spans="1:8" s="16" customFormat="1" ht="17.399999999999999" x14ac:dyDescent="0.3">
      <c r="A290" s="102" t="s">
        <v>474</v>
      </c>
      <c r="B290" s="17"/>
      <c r="C290" s="17"/>
      <c r="D290" s="17"/>
      <c r="E290" s="17"/>
      <c r="F290" s="17"/>
      <c r="G290" s="17"/>
      <c r="H290" s="17"/>
    </row>
    <row r="291" spans="1:8" s="16" customFormat="1" ht="17.399999999999999" x14ac:dyDescent="0.3">
      <c r="A291" s="102" t="s">
        <v>475</v>
      </c>
      <c r="B291" s="17"/>
      <c r="C291" s="17"/>
      <c r="D291" s="17"/>
      <c r="E291" s="17"/>
      <c r="F291" s="17"/>
      <c r="G291" s="17"/>
      <c r="H291" s="17"/>
    </row>
    <row r="292" spans="1:8" s="16" customFormat="1" ht="17.399999999999999" x14ac:dyDescent="0.3">
      <c r="A292" s="102" t="s">
        <v>476</v>
      </c>
      <c r="B292" s="17"/>
      <c r="C292" s="17"/>
      <c r="D292" s="17"/>
      <c r="E292" s="17"/>
      <c r="F292" s="17"/>
      <c r="G292" s="17"/>
      <c r="H292" s="17"/>
    </row>
    <row r="293" spans="1:8" s="16" customFormat="1" ht="17.399999999999999" x14ac:dyDescent="0.3">
      <c r="A293" s="102" t="s">
        <v>477</v>
      </c>
      <c r="B293" s="17"/>
      <c r="C293" s="17"/>
      <c r="D293" s="17"/>
      <c r="E293" s="17"/>
      <c r="F293" s="17"/>
      <c r="G293" s="17"/>
      <c r="H293" s="17"/>
    </row>
    <row r="294" spans="1:8" s="16" customFormat="1" ht="17.399999999999999" x14ac:dyDescent="0.3">
      <c r="A294" s="102" t="s">
        <v>478</v>
      </c>
      <c r="B294" s="17"/>
      <c r="C294" s="17"/>
      <c r="D294" s="17"/>
      <c r="E294" s="17"/>
      <c r="F294" s="17"/>
      <c r="G294" s="17"/>
      <c r="H294" s="17"/>
    </row>
    <row r="295" spans="1:8" s="16" customFormat="1" ht="17.399999999999999" x14ac:dyDescent="0.3">
      <c r="A295" s="103" t="s">
        <v>479</v>
      </c>
      <c r="B295" s="17"/>
      <c r="C295" s="17"/>
      <c r="D295" s="17"/>
      <c r="E295" s="17"/>
      <c r="F295" s="17"/>
      <c r="G295" s="17"/>
      <c r="H295" s="17"/>
    </row>
    <row r="296" spans="1:8" s="16" customFormat="1" ht="17.399999999999999" x14ac:dyDescent="0.3">
      <c r="A296" s="102" t="s">
        <v>480</v>
      </c>
      <c r="B296" s="17"/>
      <c r="C296" s="17"/>
      <c r="D296" s="17"/>
      <c r="E296" s="17"/>
      <c r="F296" s="17"/>
      <c r="G296" s="17"/>
      <c r="H296" s="17"/>
    </row>
    <row r="297" spans="1:8" s="16" customFormat="1" ht="17.399999999999999" x14ac:dyDescent="0.3">
      <c r="A297" s="102" t="s">
        <v>481</v>
      </c>
      <c r="B297" s="17"/>
      <c r="C297" s="17"/>
      <c r="D297" s="17"/>
      <c r="E297" s="17"/>
      <c r="F297" s="17"/>
      <c r="G297" s="17"/>
      <c r="H297" s="17"/>
    </row>
    <row r="298" spans="1:8" s="16" customFormat="1" ht="17.399999999999999" x14ac:dyDescent="0.3">
      <c r="A298" s="102" t="s">
        <v>482</v>
      </c>
      <c r="B298" s="17"/>
      <c r="C298" s="17"/>
      <c r="D298" s="17"/>
      <c r="E298" s="17"/>
      <c r="F298" s="17"/>
      <c r="G298" s="17"/>
      <c r="H298" s="17"/>
    </row>
    <row r="299" spans="1:8" s="16" customFormat="1" ht="17.399999999999999" x14ac:dyDescent="0.3">
      <c r="A299" s="102" t="s">
        <v>483</v>
      </c>
      <c r="B299" s="17"/>
      <c r="C299" s="17"/>
      <c r="D299" s="17"/>
      <c r="E299" s="17"/>
      <c r="F299" s="17"/>
      <c r="G299" s="17"/>
      <c r="H299" s="17"/>
    </row>
    <row r="300" spans="1:8" s="16" customFormat="1" ht="17.399999999999999" x14ac:dyDescent="0.3">
      <c r="A300" s="102" t="s">
        <v>484</v>
      </c>
      <c r="B300" s="17"/>
      <c r="C300" s="17"/>
      <c r="D300" s="17"/>
      <c r="E300" s="17"/>
      <c r="F300" s="17"/>
      <c r="G300" s="17"/>
      <c r="H300" s="17"/>
    </row>
    <row r="301" spans="1:8" s="16" customFormat="1" ht="17.399999999999999" x14ac:dyDescent="0.3">
      <c r="A301" s="102" t="s">
        <v>485</v>
      </c>
      <c r="B301" s="17"/>
      <c r="C301" s="17"/>
      <c r="D301" s="17"/>
      <c r="E301" s="17"/>
      <c r="F301" s="17"/>
      <c r="G301" s="17"/>
      <c r="H301" s="17"/>
    </row>
    <row r="302" spans="1:8" s="16" customFormat="1" ht="17.399999999999999" x14ac:dyDescent="0.3">
      <c r="A302" s="103" t="s">
        <v>486</v>
      </c>
      <c r="B302" s="17"/>
      <c r="C302" s="17"/>
      <c r="D302" s="17"/>
      <c r="E302" s="17"/>
      <c r="F302" s="17"/>
      <c r="G302" s="17"/>
      <c r="H302" s="17"/>
    </row>
    <row r="303" spans="1:8" s="16" customFormat="1" ht="17.399999999999999" x14ac:dyDescent="0.3">
      <c r="A303" s="102" t="s">
        <v>487</v>
      </c>
      <c r="B303" s="17"/>
      <c r="C303" s="17"/>
      <c r="D303" s="17"/>
      <c r="E303" s="17"/>
      <c r="F303" s="17"/>
      <c r="G303" s="17"/>
      <c r="H303" s="17"/>
    </row>
    <row r="304" spans="1:8" s="16" customFormat="1" ht="17.399999999999999" x14ac:dyDescent="0.3">
      <c r="A304" s="102" t="s">
        <v>488</v>
      </c>
      <c r="B304" s="17"/>
      <c r="C304" s="17"/>
      <c r="D304" s="17"/>
      <c r="E304" s="17"/>
      <c r="F304" s="17"/>
      <c r="G304" s="17"/>
      <c r="H304" s="17"/>
    </row>
    <row r="305" spans="1:8" s="16" customFormat="1" ht="17.399999999999999" x14ac:dyDescent="0.3">
      <c r="A305" s="102" t="s">
        <v>489</v>
      </c>
      <c r="B305" s="17"/>
      <c r="C305" s="17"/>
      <c r="D305" s="17"/>
      <c r="E305" s="17"/>
      <c r="F305" s="17"/>
      <c r="G305" s="17"/>
      <c r="H305" s="17"/>
    </row>
    <row r="306" spans="1:8" s="16" customFormat="1" ht="17.399999999999999" x14ac:dyDescent="0.3">
      <c r="A306" s="102" t="s">
        <v>490</v>
      </c>
      <c r="B306" s="17"/>
      <c r="C306" s="17"/>
      <c r="D306" s="17"/>
      <c r="E306" s="17"/>
      <c r="F306" s="17"/>
      <c r="G306" s="17"/>
      <c r="H306" s="17"/>
    </row>
    <row r="307" spans="1:8" s="16" customFormat="1" ht="17.399999999999999" x14ac:dyDescent="0.3">
      <c r="A307" s="103" t="s">
        <v>491</v>
      </c>
      <c r="B307" s="17"/>
      <c r="C307" s="17"/>
      <c r="D307" s="17"/>
      <c r="E307" s="17"/>
      <c r="F307" s="17"/>
      <c r="G307" s="17"/>
      <c r="H307" s="17"/>
    </row>
    <row r="308" spans="1:8" s="16" customFormat="1" ht="17.399999999999999" x14ac:dyDescent="0.3">
      <c r="A308" s="103" t="s">
        <v>492</v>
      </c>
      <c r="B308" s="17"/>
      <c r="C308" s="17"/>
      <c r="D308" s="17"/>
      <c r="E308" s="17"/>
      <c r="F308" s="17"/>
      <c r="G308" s="17"/>
      <c r="H308" s="17"/>
    </row>
    <row r="309" spans="1:8" s="16" customFormat="1" ht="17.399999999999999" x14ac:dyDescent="0.3">
      <c r="A309" s="103" t="s">
        <v>493</v>
      </c>
      <c r="B309" s="17"/>
      <c r="C309" s="17"/>
      <c r="D309" s="17"/>
      <c r="E309" s="17"/>
      <c r="F309" s="17"/>
      <c r="G309" s="17"/>
      <c r="H309" s="17"/>
    </row>
    <row r="310" spans="1:8" s="16" customFormat="1" ht="17.399999999999999" x14ac:dyDescent="0.3">
      <c r="A310" s="102" t="s">
        <v>494</v>
      </c>
      <c r="B310" s="17"/>
      <c r="C310" s="17"/>
      <c r="D310" s="17"/>
      <c r="E310" s="17"/>
      <c r="F310" s="17"/>
      <c r="G310" s="17"/>
      <c r="H310" s="17"/>
    </row>
    <row r="311" spans="1:8" s="16" customFormat="1" ht="17.399999999999999" x14ac:dyDescent="0.3">
      <c r="A311" s="102" t="s">
        <v>495</v>
      </c>
      <c r="B311" s="17"/>
      <c r="C311" s="17"/>
      <c r="D311" s="17"/>
      <c r="E311" s="17"/>
      <c r="F311" s="17"/>
      <c r="G311" s="17"/>
      <c r="H311" s="17"/>
    </row>
    <row r="312" spans="1:8" s="16" customFormat="1" ht="17.399999999999999" x14ac:dyDescent="0.3">
      <c r="A312" s="102" t="s">
        <v>496</v>
      </c>
      <c r="B312" s="17"/>
      <c r="C312" s="17"/>
      <c r="D312" s="17"/>
      <c r="E312" s="17"/>
      <c r="F312" s="17"/>
      <c r="G312" s="17"/>
      <c r="H312" s="17"/>
    </row>
    <row r="313" spans="1:8" s="16" customFormat="1" ht="17.399999999999999" x14ac:dyDescent="0.3">
      <c r="A313" s="102" t="s">
        <v>497</v>
      </c>
      <c r="B313" s="17"/>
      <c r="C313" s="17"/>
      <c r="D313" s="17"/>
      <c r="E313" s="17"/>
      <c r="F313" s="17"/>
      <c r="G313" s="17"/>
      <c r="H313" s="17"/>
    </row>
    <row r="314" spans="1:8" s="16" customFormat="1" ht="17.399999999999999" x14ac:dyDescent="0.3">
      <c r="A314" s="102" t="s">
        <v>189</v>
      </c>
      <c r="B314" s="17"/>
      <c r="C314" s="17"/>
      <c r="D314" s="17"/>
      <c r="E314" s="17"/>
      <c r="F314" s="17"/>
      <c r="G314" s="17"/>
      <c r="H314" s="17"/>
    </row>
    <row r="315" spans="1:8" s="16" customFormat="1" ht="17.399999999999999" x14ac:dyDescent="0.3">
      <c r="A315" s="102" t="s">
        <v>498</v>
      </c>
      <c r="B315" s="17"/>
      <c r="C315" s="17"/>
      <c r="D315" s="17"/>
      <c r="E315" s="17"/>
      <c r="F315" s="17"/>
      <c r="G315" s="17"/>
      <c r="H315" s="17"/>
    </row>
    <row r="316" spans="1:8" s="16" customFormat="1" ht="17.399999999999999" x14ac:dyDescent="0.3">
      <c r="A316" s="102" t="s">
        <v>499</v>
      </c>
      <c r="B316" s="17"/>
      <c r="C316" s="17"/>
      <c r="D316" s="17"/>
      <c r="E316" s="17"/>
      <c r="F316" s="17"/>
      <c r="G316" s="17"/>
      <c r="H316" s="17"/>
    </row>
    <row r="317" spans="1:8" s="16" customFormat="1" ht="17.399999999999999" x14ac:dyDescent="0.3">
      <c r="A317" s="102" t="s">
        <v>500</v>
      </c>
      <c r="B317" s="17"/>
      <c r="C317" s="17"/>
      <c r="D317" s="17"/>
      <c r="E317" s="17"/>
      <c r="F317" s="17"/>
      <c r="G317" s="17"/>
      <c r="H317" s="17"/>
    </row>
    <row r="318" spans="1:8" s="16" customFormat="1" ht="17.399999999999999" x14ac:dyDescent="0.3">
      <c r="A318" s="102" t="s">
        <v>501</v>
      </c>
      <c r="B318" s="17"/>
      <c r="C318" s="17"/>
      <c r="D318" s="17"/>
      <c r="E318" s="17"/>
      <c r="F318" s="17"/>
      <c r="G318" s="17"/>
      <c r="H318" s="17"/>
    </row>
    <row r="319" spans="1:8" s="16" customFormat="1" ht="17.399999999999999" x14ac:dyDescent="0.3">
      <c r="A319" s="102" t="s">
        <v>186</v>
      </c>
      <c r="B319" s="17"/>
      <c r="C319" s="17"/>
      <c r="D319" s="17"/>
      <c r="E319" s="17"/>
      <c r="F319" s="17"/>
      <c r="G319" s="17"/>
      <c r="H319" s="17"/>
    </row>
    <row r="320" spans="1:8" s="16" customFormat="1" ht="17.399999999999999" x14ac:dyDescent="0.3">
      <c r="A320" s="102" t="s">
        <v>502</v>
      </c>
      <c r="B320" s="17"/>
      <c r="C320" s="17"/>
      <c r="D320" s="17"/>
      <c r="E320" s="17"/>
      <c r="F320" s="17"/>
      <c r="G320" s="17"/>
      <c r="H320" s="17"/>
    </row>
    <row r="321" spans="1:8" s="16" customFormat="1" ht="17.399999999999999" x14ac:dyDescent="0.3">
      <c r="A321" s="102" t="s">
        <v>503</v>
      </c>
      <c r="B321" s="17"/>
      <c r="C321" s="17"/>
      <c r="D321" s="17"/>
      <c r="E321" s="17"/>
      <c r="F321" s="17"/>
      <c r="G321" s="17"/>
      <c r="H321" s="17"/>
    </row>
    <row r="322" spans="1:8" s="16" customFormat="1" ht="17.399999999999999" x14ac:dyDescent="0.3">
      <c r="A322" s="102" t="s">
        <v>504</v>
      </c>
      <c r="B322" s="17"/>
      <c r="C322" s="17"/>
      <c r="D322" s="17"/>
      <c r="E322" s="17"/>
      <c r="F322" s="17"/>
      <c r="G322" s="17"/>
      <c r="H322" s="17"/>
    </row>
    <row r="323" spans="1:8" s="16" customFormat="1" ht="17.399999999999999" x14ac:dyDescent="0.3">
      <c r="A323" s="102" t="s">
        <v>505</v>
      </c>
      <c r="B323" s="17"/>
      <c r="C323" s="17"/>
      <c r="D323" s="17"/>
      <c r="E323" s="17"/>
      <c r="F323" s="17"/>
      <c r="G323" s="17"/>
      <c r="H323" s="17"/>
    </row>
    <row r="324" spans="1:8" s="16" customFormat="1" ht="17.399999999999999" x14ac:dyDescent="0.3">
      <c r="A324" s="102" t="s">
        <v>506</v>
      </c>
      <c r="B324" s="17"/>
      <c r="C324" s="17"/>
      <c r="D324" s="17"/>
      <c r="E324" s="17"/>
      <c r="F324" s="17"/>
      <c r="G324" s="17"/>
      <c r="H324" s="17"/>
    </row>
    <row r="325" spans="1:8" s="16" customFormat="1" ht="17.399999999999999" x14ac:dyDescent="0.3">
      <c r="A325" s="103" t="s">
        <v>507</v>
      </c>
      <c r="B325" s="17"/>
      <c r="C325" s="17"/>
      <c r="D325" s="17"/>
      <c r="E325" s="17"/>
      <c r="F325" s="17"/>
      <c r="G325" s="17"/>
      <c r="H325" s="17"/>
    </row>
    <row r="326" spans="1:8" s="16" customFormat="1" ht="17.399999999999999" x14ac:dyDescent="0.3">
      <c r="A326" s="102" t="s">
        <v>508</v>
      </c>
      <c r="B326" s="17"/>
      <c r="C326" s="17"/>
      <c r="D326" s="17"/>
      <c r="E326" s="17"/>
      <c r="F326" s="17"/>
      <c r="G326" s="17"/>
      <c r="H326" s="17"/>
    </row>
    <row r="327" spans="1:8" s="16" customFormat="1" ht="17.399999999999999" x14ac:dyDescent="0.3">
      <c r="A327" s="102" t="s">
        <v>49</v>
      </c>
      <c r="B327" s="17"/>
      <c r="C327" s="17"/>
      <c r="D327" s="17"/>
      <c r="E327" s="17"/>
      <c r="F327" s="17"/>
      <c r="G327" s="17"/>
      <c r="H327" s="17"/>
    </row>
    <row r="328" spans="1:8" s="16" customFormat="1" ht="17.399999999999999" x14ac:dyDescent="0.3">
      <c r="A328" s="102" t="s">
        <v>509</v>
      </c>
      <c r="B328" s="17"/>
      <c r="C328" s="17"/>
      <c r="D328" s="17"/>
      <c r="E328" s="17"/>
      <c r="F328" s="17"/>
      <c r="G328" s="17"/>
      <c r="H328" s="17"/>
    </row>
    <row r="329" spans="1:8" s="16" customFormat="1" ht="17.399999999999999" x14ac:dyDescent="0.3">
      <c r="A329" s="102" t="s">
        <v>510</v>
      </c>
      <c r="B329" s="17"/>
      <c r="C329" s="17"/>
      <c r="D329" s="17"/>
      <c r="E329" s="17"/>
      <c r="F329" s="17"/>
      <c r="G329" s="17"/>
      <c r="H329" s="17"/>
    </row>
    <row r="330" spans="1:8" s="16" customFormat="1" ht="17.399999999999999" x14ac:dyDescent="0.3">
      <c r="A330" s="102" t="s">
        <v>511</v>
      </c>
      <c r="B330" s="17"/>
      <c r="C330" s="17"/>
      <c r="D330" s="17"/>
      <c r="E330" s="17"/>
      <c r="F330" s="17"/>
      <c r="G330" s="17"/>
      <c r="H330" s="17"/>
    </row>
    <row r="331" spans="1:8" s="16" customFormat="1" ht="17.399999999999999" x14ac:dyDescent="0.3">
      <c r="A331" s="102" t="s">
        <v>122</v>
      </c>
      <c r="B331" s="17"/>
      <c r="C331" s="17"/>
      <c r="D331" s="17"/>
      <c r="E331" s="17"/>
      <c r="F331" s="17"/>
      <c r="G331" s="17"/>
      <c r="H331" s="17"/>
    </row>
    <row r="332" spans="1:8" s="16" customFormat="1" ht="17.399999999999999" x14ac:dyDescent="0.3">
      <c r="A332" s="102" t="s">
        <v>512</v>
      </c>
      <c r="B332" s="17"/>
      <c r="C332" s="17"/>
      <c r="D332" s="17"/>
      <c r="E332" s="17"/>
      <c r="F332" s="17"/>
      <c r="G332" s="17"/>
      <c r="H332" s="17"/>
    </row>
    <row r="333" spans="1:8" s="16" customFormat="1" ht="17.399999999999999" x14ac:dyDescent="0.3">
      <c r="A333" s="103" t="s">
        <v>513</v>
      </c>
      <c r="B333" s="17"/>
      <c r="C333" s="17"/>
      <c r="D333" s="17"/>
      <c r="E333" s="17"/>
      <c r="F333" s="17"/>
      <c r="G333" s="17"/>
      <c r="H333" s="17"/>
    </row>
    <row r="334" spans="1:8" s="16" customFormat="1" ht="17.399999999999999" x14ac:dyDescent="0.3">
      <c r="A334" s="102" t="s">
        <v>514</v>
      </c>
      <c r="B334" s="17"/>
      <c r="C334" s="17"/>
      <c r="D334" s="17"/>
      <c r="E334" s="17"/>
      <c r="F334" s="17"/>
      <c r="G334" s="17"/>
      <c r="H334" s="17"/>
    </row>
    <row r="335" spans="1:8" s="16" customFormat="1" ht="17.399999999999999" x14ac:dyDescent="0.3">
      <c r="A335" s="103" t="s">
        <v>515</v>
      </c>
      <c r="B335" s="17"/>
      <c r="C335" s="17"/>
      <c r="D335" s="17"/>
      <c r="E335" s="17"/>
      <c r="F335" s="17"/>
      <c r="G335" s="17"/>
      <c r="H335" s="17"/>
    </row>
    <row r="336" spans="1:8" s="16" customFormat="1" ht="17.399999999999999" x14ac:dyDescent="0.3">
      <c r="A336" s="102" t="s">
        <v>516</v>
      </c>
      <c r="B336" s="17"/>
      <c r="C336" s="17"/>
      <c r="D336" s="17"/>
      <c r="E336" s="17"/>
      <c r="F336" s="17"/>
      <c r="G336" s="17"/>
      <c r="H336" s="17"/>
    </row>
    <row r="337" spans="1:8" s="16" customFormat="1" ht="17.399999999999999" x14ac:dyDescent="0.3">
      <c r="A337" s="102" t="s">
        <v>153</v>
      </c>
      <c r="B337" s="17"/>
      <c r="C337" s="17"/>
      <c r="D337" s="17"/>
      <c r="E337" s="17"/>
      <c r="F337" s="17"/>
      <c r="G337" s="17"/>
      <c r="H337" s="17"/>
    </row>
    <row r="338" spans="1:8" s="16" customFormat="1" ht="17.399999999999999" x14ac:dyDescent="0.3">
      <c r="A338" s="102" t="s">
        <v>517</v>
      </c>
      <c r="B338" s="17"/>
      <c r="C338" s="17"/>
      <c r="D338" s="17"/>
      <c r="E338" s="17"/>
      <c r="F338" s="17"/>
      <c r="G338" s="17"/>
      <c r="H338" s="17"/>
    </row>
    <row r="339" spans="1:8" s="16" customFormat="1" ht="17.399999999999999" x14ac:dyDescent="0.3">
      <c r="A339" s="102" t="s">
        <v>518</v>
      </c>
      <c r="B339" s="17"/>
      <c r="C339" s="17"/>
      <c r="D339" s="17"/>
      <c r="E339" s="17"/>
      <c r="F339" s="17"/>
      <c r="G339" s="17"/>
      <c r="H339" s="17"/>
    </row>
    <row r="340" spans="1:8" s="16" customFormat="1" ht="17.399999999999999" x14ac:dyDescent="0.3">
      <c r="A340" s="102" t="s">
        <v>519</v>
      </c>
      <c r="B340" s="17"/>
      <c r="C340" s="17"/>
      <c r="D340" s="17"/>
      <c r="E340" s="17"/>
      <c r="F340" s="17"/>
      <c r="G340" s="17"/>
      <c r="H340" s="17"/>
    </row>
    <row r="341" spans="1:8" s="16" customFormat="1" ht="17.399999999999999" x14ac:dyDescent="0.3">
      <c r="A341" s="102" t="s">
        <v>520</v>
      </c>
      <c r="B341" s="17"/>
      <c r="C341" s="17"/>
      <c r="D341" s="17"/>
      <c r="E341" s="17"/>
      <c r="F341" s="17"/>
      <c r="G341" s="17"/>
      <c r="H341" s="17"/>
    </row>
    <row r="342" spans="1:8" s="16" customFormat="1" ht="17.399999999999999" x14ac:dyDescent="0.3">
      <c r="A342" s="102" t="s">
        <v>521</v>
      </c>
      <c r="B342" s="17"/>
      <c r="C342" s="17"/>
      <c r="D342" s="17"/>
      <c r="E342" s="17"/>
      <c r="F342" s="17"/>
      <c r="G342" s="17"/>
      <c r="H342" s="17"/>
    </row>
    <row r="343" spans="1:8" s="16" customFormat="1" ht="17.399999999999999" x14ac:dyDescent="0.3">
      <c r="A343" s="102" t="s">
        <v>51</v>
      </c>
      <c r="B343" s="17"/>
      <c r="C343" s="17"/>
      <c r="D343" s="17"/>
      <c r="E343" s="17"/>
      <c r="F343" s="17"/>
      <c r="G343" s="17"/>
      <c r="H343" s="17"/>
    </row>
    <row r="344" spans="1:8" s="16" customFormat="1" ht="17.399999999999999" x14ac:dyDescent="0.3">
      <c r="A344" s="102" t="s">
        <v>522</v>
      </c>
      <c r="B344" s="17"/>
      <c r="C344" s="17"/>
      <c r="D344" s="17"/>
      <c r="E344" s="17"/>
      <c r="F344" s="17"/>
      <c r="G344" s="17"/>
      <c r="H344" s="17"/>
    </row>
    <row r="345" spans="1:8" s="16" customFormat="1" ht="17.399999999999999" x14ac:dyDescent="0.3">
      <c r="A345" s="102" t="s">
        <v>194</v>
      </c>
      <c r="B345" s="17"/>
      <c r="C345" s="17"/>
      <c r="D345" s="17"/>
      <c r="E345" s="17"/>
      <c r="F345" s="17"/>
      <c r="G345" s="17"/>
      <c r="H345" s="17"/>
    </row>
    <row r="346" spans="1:8" s="16" customFormat="1" ht="17.399999999999999" x14ac:dyDescent="0.3">
      <c r="A346" s="102" t="s">
        <v>523</v>
      </c>
      <c r="B346" s="17"/>
      <c r="C346" s="17"/>
      <c r="D346" s="17"/>
      <c r="E346" s="17"/>
      <c r="F346" s="17"/>
      <c r="G346" s="17"/>
      <c r="H346" s="17"/>
    </row>
    <row r="347" spans="1:8" s="16" customFormat="1" ht="17.399999999999999" x14ac:dyDescent="0.3">
      <c r="A347" s="99" t="s">
        <v>227</v>
      </c>
      <c r="B347" s="17"/>
      <c r="C347" s="17"/>
      <c r="D347" s="17"/>
      <c r="E347" s="17"/>
      <c r="F347" s="17"/>
      <c r="G347" s="17"/>
      <c r="H347" s="17"/>
    </row>
    <row r="348" spans="1:8" s="16" customFormat="1" ht="17.399999999999999" x14ac:dyDescent="0.3">
      <c r="A348" s="99" t="s">
        <v>229</v>
      </c>
      <c r="B348" s="17"/>
      <c r="C348" s="17"/>
      <c r="D348" s="17"/>
      <c r="E348" s="17"/>
      <c r="F348" s="17"/>
      <c r="G348" s="17"/>
      <c r="H348" s="17"/>
    </row>
    <row r="349" spans="1:8" s="16" customFormat="1" ht="17.399999999999999" x14ac:dyDescent="0.3">
      <c r="A349" s="99" t="s">
        <v>231</v>
      </c>
      <c r="B349" s="17"/>
      <c r="C349" s="17"/>
      <c r="D349" s="17"/>
      <c r="E349" s="17"/>
      <c r="F349" s="17"/>
      <c r="G349" s="17"/>
      <c r="H349" s="17"/>
    </row>
    <row r="350" spans="1:8" s="16" customFormat="1" ht="17.399999999999999" x14ac:dyDescent="0.3">
      <c r="A350" s="99" t="s">
        <v>233</v>
      </c>
      <c r="B350" s="17"/>
      <c r="C350" s="17"/>
      <c r="D350" s="17"/>
      <c r="E350" s="17"/>
      <c r="F350" s="17"/>
      <c r="G350" s="17"/>
      <c r="H350" s="17"/>
    </row>
    <row r="351" spans="1:8" s="16" customFormat="1" ht="17.399999999999999" x14ac:dyDescent="0.3">
      <c r="A351" s="99" t="s">
        <v>235</v>
      </c>
      <c r="B351" s="17"/>
      <c r="C351" s="17"/>
      <c r="D351" s="17"/>
      <c r="E351" s="17"/>
      <c r="F351" s="17"/>
      <c r="G351" s="17"/>
      <c r="H351" s="17"/>
    </row>
    <row r="352" spans="1:8" s="16" customFormat="1" ht="17.399999999999999" x14ac:dyDescent="0.3">
      <c r="A352" s="99" t="s">
        <v>237</v>
      </c>
      <c r="B352" s="17"/>
      <c r="C352" s="17"/>
      <c r="D352" s="17"/>
      <c r="E352" s="17"/>
      <c r="F352" s="17"/>
      <c r="G352" s="17"/>
      <c r="H352" s="17"/>
    </row>
    <row r="353" spans="1:8" s="16" customFormat="1" ht="17.399999999999999" x14ac:dyDescent="0.3">
      <c r="A353" s="99" t="s">
        <v>239</v>
      </c>
      <c r="B353" s="17"/>
      <c r="C353" s="17"/>
      <c r="D353" s="17"/>
      <c r="E353" s="17"/>
      <c r="F353" s="17"/>
      <c r="G353" s="17"/>
      <c r="H353" s="17"/>
    </row>
    <row r="354" spans="1:8" s="16" customFormat="1" ht="17.399999999999999" x14ac:dyDescent="0.3">
      <c r="A354" s="99" t="s">
        <v>241</v>
      </c>
      <c r="B354" s="17"/>
      <c r="C354" s="17"/>
      <c r="D354" s="17"/>
      <c r="E354" s="17"/>
      <c r="F354" s="17"/>
      <c r="G354" s="17"/>
      <c r="H354" s="17"/>
    </row>
    <row r="355" spans="1:8" s="16" customFormat="1" ht="17.399999999999999" x14ac:dyDescent="0.3">
      <c r="A355" s="99" t="s">
        <v>243</v>
      </c>
      <c r="B355" s="17"/>
      <c r="C355" s="17"/>
      <c r="D355" s="17"/>
      <c r="E355" s="17"/>
      <c r="F355" s="17"/>
      <c r="G355" s="17"/>
      <c r="H355" s="17"/>
    </row>
    <row r="356" spans="1:8" s="16" customFormat="1" ht="17.399999999999999" x14ac:dyDescent="0.3">
      <c r="A356" s="102" t="s">
        <v>524</v>
      </c>
      <c r="B356" s="17"/>
      <c r="C356" s="17"/>
      <c r="D356" s="17"/>
      <c r="E356" s="17"/>
      <c r="F356" s="17"/>
      <c r="G356" s="17"/>
      <c r="H356" s="17"/>
    </row>
    <row r="357" spans="1:8" s="16" customFormat="1" ht="17.399999999999999" x14ac:dyDescent="0.3">
      <c r="A357" s="102" t="s">
        <v>525</v>
      </c>
      <c r="B357" s="17"/>
      <c r="C357" s="17"/>
      <c r="D357" s="17"/>
      <c r="E357" s="17"/>
      <c r="F357" s="17"/>
      <c r="G357" s="17"/>
      <c r="H357" s="17"/>
    </row>
    <row r="358" spans="1:8" s="16" customFormat="1" ht="17.399999999999999" x14ac:dyDescent="0.3">
      <c r="A358" s="99" t="s">
        <v>245</v>
      </c>
      <c r="B358" s="17"/>
      <c r="C358" s="17"/>
      <c r="D358" s="17"/>
      <c r="E358" s="17"/>
      <c r="F358" s="17"/>
      <c r="G358" s="17"/>
      <c r="H358" s="17"/>
    </row>
    <row r="359" spans="1:8" s="16" customFormat="1" ht="17.399999999999999" x14ac:dyDescent="0.3">
      <c r="A359" s="102" t="s">
        <v>526</v>
      </c>
      <c r="B359" s="17"/>
      <c r="C359" s="17"/>
      <c r="D359" s="17"/>
      <c r="E359" s="17"/>
      <c r="F359" s="17"/>
      <c r="G359" s="17"/>
      <c r="H359" s="17"/>
    </row>
    <row r="360" spans="1:8" s="16" customFormat="1" ht="17.399999999999999" x14ac:dyDescent="0.3">
      <c r="A360" s="102" t="s">
        <v>527</v>
      </c>
      <c r="B360" s="17"/>
      <c r="C360" s="17"/>
      <c r="D360" s="17"/>
      <c r="E360" s="17"/>
      <c r="F360" s="17"/>
      <c r="G360" s="17"/>
      <c r="H360" s="17"/>
    </row>
    <row r="361" spans="1:8" s="16" customFormat="1" ht="17.399999999999999" x14ac:dyDescent="0.3">
      <c r="A361" s="102" t="s">
        <v>528</v>
      </c>
      <c r="B361" s="17"/>
      <c r="C361" s="17"/>
      <c r="D361" s="17"/>
      <c r="E361" s="17"/>
      <c r="F361" s="17"/>
      <c r="G361" s="17"/>
      <c r="H361" s="17"/>
    </row>
    <row r="362" spans="1:8" s="16" customFormat="1" ht="17.399999999999999" x14ac:dyDescent="0.3">
      <c r="A362" s="102" t="s">
        <v>529</v>
      </c>
      <c r="B362" s="17"/>
      <c r="C362" s="17"/>
      <c r="D362" s="17"/>
      <c r="E362" s="17"/>
      <c r="F362" s="17"/>
      <c r="G362" s="17"/>
      <c r="H362" s="17"/>
    </row>
    <row r="363" spans="1:8" s="16" customFormat="1" ht="17.399999999999999" x14ac:dyDescent="0.3">
      <c r="A363" s="102" t="s">
        <v>116</v>
      </c>
      <c r="B363" s="17"/>
      <c r="C363" s="17"/>
      <c r="D363" s="17"/>
      <c r="E363" s="17"/>
      <c r="F363" s="17"/>
      <c r="G363" s="17"/>
      <c r="H363" s="17"/>
    </row>
    <row r="364" spans="1:8" s="16" customFormat="1" ht="17.399999999999999" x14ac:dyDescent="0.3">
      <c r="A364" s="102" t="s">
        <v>530</v>
      </c>
      <c r="B364" s="17"/>
      <c r="C364" s="17"/>
      <c r="D364" s="17"/>
      <c r="E364" s="17"/>
      <c r="F364" s="17"/>
      <c r="G364" s="17"/>
      <c r="H364" s="17"/>
    </row>
    <row r="365" spans="1:8" s="16" customFormat="1" ht="17.399999999999999" x14ac:dyDescent="0.3">
      <c r="A365" s="99" t="s">
        <v>247</v>
      </c>
      <c r="B365" s="17"/>
      <c r="C365" s="17"/>
      <c r="D365" s="17"/>
      <c r="E365" s="17"/>
      <c r="F365" s="17"/>
      <c r="G365" s="17"/>
      <c r="H365" s="17"/>
    </row>
    <row r="366" spans="1:8" s="16" customFormat="1" ht="17.399999999999999" x14ac:dyDescent="0.3">
      <c r="A366" s="99" t="s">
        <v>247</v>
      </c>
      <c r="B366" s="17"/>
      <c r="C366" s="17"/>
      <c r="D366" s="17"/>
      <c r="E366" s="17"/>
      <c r="F366" s="17"/>
      <c r="G366" s="17"/>
      <c r="H366" s="17"/>
    </row>
    <row r="367" spans="1:8" s="16" customFormat="1" ht="17.399999999999999" x14ac:dyDescent="0.3">
      <c r="A367" s="99" t="s">
        <v>249</v>
      </c>
      <c r="B367" s="17"/>
      <c r="C367" s="17"/>
      <c r="D367" s="17"/>
      <c r="E367" s="17"/>
      <c r="F367" s="17"/>
      <c r="G367" s="17"/>
      <c r="H367" s="17"/>
    </row>
    <row r="368" spans="1:8" s="16" customFormat="1" ht="17.399999999999999" x14ac:dyDescent="0.3">
      <c r="A368" s="102" t="s">
        <v>531</v>
      </c>
      <c r="B368" s="17"/>
      <c r="C368" s="17"/>
      <c r="D368" s="17"/>
      <c r="E368" s="17"/>
      <c r="F368" s="17"/>
      <c r="G368" s="17"/>
      <c r="H368" s="17"/>
    </row>
    <row r="369" spans="1:8" s="16" customFormat="1" ht="17.399999999999999" x14ac:dyDescent="0.3">
      <c r="A369" s="102" t="s">
        <v>177</v>
      </c>
      <c r="B369" s="17"/>
      <c r="C369" s="17"/>
      <c r="D369" s="17"/>
      <c r="E369" s="17"/>
      <c r="F369" s="17"/>
      <c r="G369" s="17"/>
      <c r="H369" s="17"/>
    </row>
    <row r="370" spans="1:8" s="16" customFormat="1" ht="17.399999999999999" x14ac:dyDescent="0.3">
      <c r="A370" s="102" t="s">
        <v>532</v>
      </c>
      <c r="B370" s="17"/>
      <c r="C370" s="17"/>
      <c r="D370" s="17"/>
      <c r="E370" s="17"/>
      <c r="F370" s="17"/>
      <c r="G370" s="17"/>
      <c r="H370" s="17"/>
    </row>
    <row r="371" spans="1:8" s="16" customFormat="1" ht="17.399999999999999" x14ac:dyDescent="0.3">
      <c r="A371" s="102" t="s">
        <v>533</v>
      </c>
      <c r="B371" s="17"/>
      <c r="C371" s="17"/>
      <c r="D371" s="17"/>
      <c r="E371" s="17"/>
      <c r="F371" s="17"/>
      <c r="G371" s="17"/>
      <c r="H371" s="17"/>
    </row>
    <row r="372" spans="1:8" s="16" customFormat="1" ht="17.399999999999999" x14ac:dyDescent="0.3">
      <c r="A372" s="102" t="s">
        <v>534</v>
      </c>
      <c r="B372" s="17"/>
      <c r="C372" s="17"/>
      <c r="D372" s="17"/>
      <c r="E372" s="17"/>
      <c r="F372" s="17"/>
      <c r="G372" s="17"/>
      <c r="H372" s="17"/>
    </row>
    <row r="373" spans="1:8" s="16" customFormat="1" ht="17.399999999999999" x14ac:dyDescent="0.3">
      <c r="A373" s="102" t="s">
        <v>535</v>
      </c>
      <c r="B373" s="17"/>
      <c r="C373" s="17"/>
      <c r="D373" s="17"/>
      <c r="E373" s="17"/>
      <c r="F373" s="17"/>
      <c r="G373" s="17"/>
      <c r="H373" s="17"/>
    </row>
    <row r="374" spans="1:8" s="16" customFormat="1" ht="17.399999999999999" x14ac:dyDescent="0.3">
      <c r="A374" s="99" t="s">
        <v>173</v>
      </c>
      <c r="B374" s="17"/>
      <c r="C374" s="17"/>
      <c r="D374" s="17"/>
      <c r="E374" s="17"/>
      <c r="F374" s="17"/>
      <c r="G374" s="17"/>
      <c r="H374" s="17"/>
    </row>
    <row r="375" spans="1:8" s="16" customFormat="1" ht="17.399999999999999" x14ac:dyDescent="0.3">
      <c r="A375" s="99" t="s">
        <v>173</v>
      </c>
      <c r="B375" s="17"/>
      <c r="C375" s="17"/>
      <c r="D375" s="17"/>
      <c r="E375" s="17"/>
      <c r="F375" s="17"/>
      <c r="G375" s="17"/>
      <c r="H375" s="17"/>
    </row>
    <row r="376" spans="1:8" s="16" customFormat="1" ht="17.399999999999999" x14ac:dyDescent="0.3">
      <c r="A376" s="99" t="s">
        <v>252</v>
      </c>
      <c r="B376" s="17"/>
      <c r="C376" s="17"/>
      <c r="D376" s="17"/>
      <c r="E376" s="17"/>
      <c r="F376" s="17"/>
      <c r="G376" s="17"/>
      <c r="H376" s="17"/>
    </row>
    <row r="377" spans="1:8" s="16" customFormat="1" ht="17.399999999999999" x14ac:dyDescent="0.3">
      <c r="A377" s="99" t="s">
        <v>252</v>
      </c>
      <c r="B377" s="17"/>
      <c r="C377" s="17"/>
      <c r="D377" s="17"/>
      <c r="E377" s="17"/>
      <c r="F377" s="17"/>
      <c r="G377" s="17"/>
      <c r="H377" s="17"/>
    </row>
    <row r="378" spans="1:8" s="16" customFormat="1" ht="17.399999999999999" x14ac:dyDescent="0.3">
      <c r="A378" s="99" t="s">
        <v>187</v>
      </c>
      <c r="B378" s="17"/>
      <c r="C378" s="17"/>
      <c r="D378" s="17"/>
      <c r="E378" s="17"/>
      <c r="F378" s="17"/>
      <c r="G378" s="17"/>
      <c r="H378" s="17"/>
    </row>
    <row r="379" spans="1:8" s="16" customFormat="1" ht="17.399999999999999" x14ac:dyDescent="0.3">
      <c r="A379" s="99" t="s">
        <v>187</v>
      </c>
      <c r="B379" s="17"/>
      <c r="C379" s="17"/>
      <c r="D379" s="17"/>
      <c r="E379" s="17"/>
      <c r="F379" s="17"/>
      <c r="G379" s="17"/>
      <c r="H379" s="17"/>
    </row>
    <row r="380" spans="1:8" s="16" customFormat="1" ht="17.399999999999999" x14ac:dyDescent="0.3">
      <c r="A380" s="99" t="s">
        <v>254</v>
      </c>
      <c r="B380" s="17"/>
      <c r="C380" s="17"/>
      <c r="D380" s="17"/>
      <c r="E380" s="17"/>
      <c r="F380" s="17"/>
      <c r="G380" s="17"/>
      <c r="H380" s="17"/>
    </row>
    <row r="381" spans="1:8" s="16" customFormat="1" ht="17.399999999999999" x14ac:dyDescent="0.3">
      <c r="A381" s="99" t="s">
        <v>254</v>
      </c>
      <c r="B381" s="17"/>
      <c r="C381" s="17"/>
      <c r="D381" s="17"/>
      <c r="E381" s="17"/>
      <c r="F381" s="17"/>
      <c r="G381" s="17"/>
      <c r="H381" s="17"/>
    </row>
    <row r="382" spans="1:8" s="16" customFormat="1" ht="17.399999999999999" x14ac:dyDescent="0.3">
      <c r="A382" s="99" t="s">
        <v>256</v>
      </c>
      <c r="B382" s="17"/>
      <c r="C382" s="17"/>
      <c r="D382" s="17"/>
      <c r="E382" s="17"/>
      <c r="F382" s="17"/>
      <c r="G382" s="17"/>
      <c r="H382" s="17"/>
    </row>
    <row r="383" spans="1:8" s="16" customFormat="1" ht="17.399999999999999" x14ac:dyDescent="0.3">
      <c r="A383" s="99" t="s">
        <v>256</v>
      </c>
      <c r="B383" s="17"/>
      <c r="C383" s="17"/>
      <c r="D383" s="17"/>
      <c r="E383" s="17"/>
      <c r="F383" s="17"/>
      <c r="G383" s="17"/>
      <c r="H383" s="17"/>
    </row>
    <row r="384" spans="1:8" s="16" customFormat="1" ht="17.399999999999999" x14ac:dyDescent="0.3">
      <c r="A384" s="99" t="s">
        <v>258</v>
      </c>
      <c r="B384" s="17"/>
      <c r="C384" s="17"/>
      <c r="D384" s="17"/>
      <c r="E384" s="17"/>
      <c r="F384" s="17"/>
      <c r="G384" s="17"/>
      <c r="H384" s="17"/>
    </row>
    <row r="385" spans="1:8" s="16" customFormat="1" ht="17.399999999999999" x14ac:dyDescent="0.3">
      <c r="A385" s="99" t="s">
        <v>258</v>
      </c>
      <c r="B385" s="17"/>
      <c r="C385" s="17"/>
      <c r="D385" s="17"/>
      <c r="E385" s="17"/>
      <c r="F385" s="17"/>
      <c r="G385" s="17"/>
      <c r="H385" s="17"/>
    </row>
    <row r="386" spans="1:8" s="16" customFormat="1" ht="17.399999999999999" x14ac:dyDescent="0.3">
      <c r="A386" s="102" t="s">
        <v>536</v>
      </c>
      <c r="B386" s="17"/>
      <c r="C386" s="17"/>
      <c r="D386" s="17"/>
      <c r="E386" s="17"/>
      <c r="F386" s="17"/>
      <c r="G386" s="17"/>
      <c r="H386" s="17"/>
    </row>
    <row r="387" spans="1:8" s="16" customFormat="1" ht="17.399999999999999" x14ac:dyDescent="0.3">
      <c r="A387" s="102" t="s">
        <v>537</v>
      </c>
      <c r="B387" s="17"/>
      <c r="C387" s="17"/>
      <c r="D387" s="17"/>
      <c r="E387" s="17"/>
      <c r="F387" s="17"/>
      <c r="G387" s="17"/>
      <c r="H387" s="17"/>
    </row>
    <row r="388" spans="1:8" s="16" customFormat="1" ht="17.399999999999999" x14ac:dyDescent="0.3">
      <c r="A388" s="102" t="s">
        <v>538</v>
      </c>
      <c r="B388" s="17"/>
      <c r="C388" s="17"/>
      <c r="D388" s="17"/>
      <c r="E388" s="17"/>
      <c r="F388" s="17"/>
      <c r="G388" s="17"/>
      <c r="H388" s="17"/>
    </row>
    <row r="389" spans="1:8" s="16" customFormat="1" ht="17.399999999999999" x14ac:dyDescent="0.3">
      <c r="A389" s="102" t="s">
        <v>158</v>
      </c>
      <c r="B389" s="17"/>
      <c r="C389" s="17"/>
      <c r="D389" s="17"/>
      <c r="E389" s="17"/>
      <c r="F389" s="17"/>
      <c r="G389" s="17"/>
      <c r="H389" s="17"/>
    </row>
    <row r="390" spans="1:8" s="16" customFormat="1" ht="17.399999999999999" x14ac:dyDescent="0.3">
      <c r="A390" s="102" t="s">
        <v>158</v>
      </c>
      <c r="B390" s="17"/>
      <c r="C390" s="17"/>
      <c r="D390" s="17"/>
      <c r="E390" s="17"/>
      <c r="F390" s="17"/>
      <c r="G390" s="17"/>
      <c r="H390" s="17"/>
    </row>
    <row r="391" spans="1:8" x14ac:dyDescent="0.35">
      <c r="A391" s="102" t="s">
        <v>539</v>
      </c>
      <c r="B391" s="17"/>
      <c r="C391" s="17"/>
      <c r="D391" s="17"/>
      <c r="E391" s="17"/>
      <c r="F391" s="17"/>
      <c r="G391" s="17"/>
      <c r="H391" s="17"/>
    </row>
    <row r="392" spans="1:8" x14ac:dyDescent="0.35">
      <c r="A392" s="102" t="s">
        <v>540</v>
      </c>
      <c r="B392" s="17"/>
      <c r="C392" s="17"/>
      <c r="D392" s="17"/>
      <c r="E392" s="17"/>
      <c r="F392" s="17"/>
      <c r="G392" s="17"/>
      <c r="H392" s="17"/>
    </row>
    <row r="393" spans="1:8" x14ac:dyDescent="0.35">
      <c r="A393" s="102" t="s">
        <v>541</v>
      </c>
      <c r="B393" s="17"/>
      <c r="C393" s="17"/>
      <c r="D393" s="17"/>
      <c r="E393" s="17"/>
      <c r="F393" s="17"/>
      <c r="G393" s="17"/>
      <c r="H393" s="17"/>
    </row>
    <row r="394" spans="1:8" x14ac:dyDescent="0.35">
      <c r="A394" s="102" t="s">
        <v>542</v>
      </c>
      <c r="B394" s="17"/>
      <c r="C394" s="17"/>
      <c r="D394" s="17"/>
      <c r="E394" s="17"/>
      <c r="F394" s="17"/>
      <c r="G394" s="17"/>
      <c r="H394" s="17"/>
    </row>
    <row r="395" spans="1:8" x14ac:dyDescent="0.35">
      <c r="A395" s="102" t="s">
        <v>543</v>
      </c>
      <c r="B395" s="17"/>
      <c r="C395" s="17"/>
      <c r="D395" s="17"/>
      <c r="E395" s="17"/>
      <c r="F395" s="17"/>
      <c r="G395" s="17"/>
      <c r="H395" s="17"/>
    </row>
    <row r="396" spans="1:8" x14ac:dyDescent="0.35">
      <c r="A396" s="102" t="s">
        <v>544</v>
      </c>
      <c r="B396" s="17"/>
      <c r="C396" s="17"/>
      <c r="D396" s="17"/>
      <c r="E396" s="17"/>
      <c r="F396" s="17"/>
      <c r="G396" s="17"/>
      <c r="H396" s="17"/>
    </row>
    <row r="397" spans="1:8" x14ac:dyDescent="0.35">
      <c r="A397" s="102" t="s">
        <v>545</v>
      </c>
      <c r="B397" s="17"/>
      <c r="C397" s="17"/>
      <c r="D397" s="17"/>
      <c r="E397" s="17"/>
      <c r="F397" s="17"/>
      <c r="G397" s="17"/>
      <c r="H397" s="17"/>
    </row>
    <row r="398" spans="1:8" x14ac:dyDescent="0.35">
      <c r="A398" s="102" t="s">
        <v>160</v>
      </c>
      <c r="B398" s="17"/>
      <c r="C398" s="17"/>
      <c r="D398" s="17"/>
      <c r="E398" s="17"/>
      <c r="F398" s="17"/>
      <c r="G398" s="17"/>
      <c r="H398" s="17"/>
    </row>
    <row r="399" spans="1:8" x14ac:dyDescent="0.35">
      <c r="A399" s="102" t="s">
        <v>546</v>
      </c>
      <c r="B399" s="17"/>
      <c r="C399" s="17"/>
      <c r="D399" s="17"/>
      <c r="E399" s="17"/>
      <c r="F399" s="17"/>
      <c r="G399" s="17"/>
      <c r="H399" s="17"/>
    </row>
    <row r="400" spans="1:8" x14ac:dyDescent="0.35">
      <c r="A400" s="102" t="s">
        <v>176</v>
      </c>
      <c r="B400" s="17"/>
      <c r="C400" s="17"/>
      <c r="D400" s="17"/>
      <c r="E400" s="17"/>
      <c r="F400" s="17"/>
      <c r="G400" s="17"/>
      <c r="H400" s="17"/>
    </row>
    <row r="401" spans="1:8" x14ac:dyDescent="0.35">
      <c r="A401" s="102" t="s">
        <v>547</v>
      </c>
      <c r="B401" s="17"/>
      <c r="C401" s="17"/>
      <c r="D401" s="17"/>
      <c r="E401" s="17"/>
      <c r="F401" s="17"/>
      <c r="G401" s="17"/>
      <c r="H401" s="17"/>
    </row>
    <row r="402" spans="1:8" x14ac:dyDescent="0.35">
      <c r="A402" s="102" t="s">
        <v>548</v>
      </c>
      <c r="B402" s="17"/>
      <c r="C402" s="17"/>
      <c r="D402" s="17"/>
      <c r="E402" s="17"/>
      <c r="F402" s="17"/>
      <c r="G402" s="17"/>
      <c r="H402" s="17"/>
    </row>
    <row r="403" spans="1:8" x14ac:dyDescent="0.35">
      <c r="A403" s="102" t="s">
        <v>549</v>
      </c>
      <c r="B403" s="17"/>
      <c r="C403" s="17"/>
      <c r="D403" s="17"/>
      <c r="E403" s="17"/>
      <c r="F403" s="17"/>
      <c r="G403" s="17"/>
      <c r="H403" s="17"/>
    </row>
    <row r="404" spans="1:8" x14ac:dyDescent="0.35">
      <c r="A404" s="102" t="s">
        <v>550</v>
      </c>
      <c r="B404" s="17"/>
      <c r="C404" s="17"/>
      <c r="D404" s="17"/>
      <c r="E404" s="17"/>
      <c r="F404" s="17"/>
      <c r="G404" s="17"/>
      <c r="H404" s="17"/>
    </row>
    <row r="405" spans="1:8" x14ac:dyDescent="0.35">
      <c r="A405" s="102" t="s">
        <v>551</v>
      </c>
      <c r="B405" s="17"/>
      <c r="C405" s="17"/>
      <c r="D405" s="17"/>
      <c r="E405" s="17"/>
      <c r="F405" s="17"/>
      <c r="G405" s="17"/>
      <c r="H405" s="17"/>
    </row>
    <row r="406" spans="1:8" x14ac:dyDescent="0.35">
      <c r="A406" s="102" t="s">
        <v>552</v>
      </c>
      <c r="B406" s="17"/>
      <c r="C406" s="17"/>
      <c r="D406" s="17"/>
      <c r="E406" s="17"/>
      <c r="F406" s="17"/>
      <c r="G406" s="17"/>
      <c r="H406" s="17"/>
    </row>
    <row r="407" spans="1:8" x14ac:dyDescent="0.35">
      <c r="A407" s="102" t="s">
        <v>553</v>
      </c>
      <c r="B407" s="17"/>
      <c r="C407" s="17"/>
      <c r="D407" s="17"/>
      <c r="E407" s="17"/>
      <c r="F407" s="17"/>
      <c r="G407" s="17"/>
      <c r="H407" s="17"/>
    </row>
    <row r="408" spans="1:8" x14ac:dyDescent="0.35">
      <c r="A408" s="102" t="s">
        <v>554</v>
      </c>
      <c r="B408" s="17"/>
      <c r="C408" s="17"/>
      <c r="D408" s="17"/>
      <c r="E408" s="17"/>
      <c r="F408" s="17"/>
      <c r="G408" s="17"/>
      <c r="H408" s="17"/>
    </row>
    <row r="409" spans="1:8" x14ac:dyDescent="0.35">
      <c r="A409" s="103" t="s">
        <v>555</v>
      </c>
      <c r="B409" s="17"/>
      <c r="C409" s="17"/>
      <c r="D409" s="17"/>
      <c r="E409" s="17"/>
      <c r="F409" s="17"/>
      <c r="G409" s="17"/>
      <c r="H409" s="17"/>
    </row>
    <row r="410" spans="1:8" x14ac:dyDescent="0.35">
      <c r="A410" s="102" t="s">
        <v>180</v>
      </c>
      <c r="B410" s="17"/>
      <c r="C410" s="17"/>
      <c r="D410" s="17"/>
      <c r="E410" s="17"/>
      <c r="F410" s="17"/>
      <c r="G410" s="17"/>
      <c r="H410" s="17"/>
    </row>
    <row r="411" spans="1:8" x14ac:dyDescent="0.35">
      <c r="A411" s="102" t="s">
        <v>556</v>
      </c>
      <c r="B411" s="17"/>
      <c r="C411" s="17"/>
      <c r="D411" s="17"/>
      <c r="E411" s="17"/>
      <c r="F411" s="17"/>
      <c r="G411" s="17"/>
      <c r="H411" s="17"/>
    </row>
    <row r="412" spans="1:8" x14ac:dyDescent="0.35">
      <c r="A412" s="102" t="s">
        <v>557</v>
      </c>
      <c r="B412" s="17"/>
      <c r="C412" s="17"/>
      <c r="D412" s="17"/>
      <c r="E412" s="17"/>
      <c r="F412" s="17"/>
      <c r="G412" s="17"/>
      <c r="H412" s="17"/>
    </row>
    <row r="413" spans="1:8" x14ac:dyDescent="0.35">
      <c r="A413" s="102" t="s">
        <v>558</v>
      </c>
      <c r="B413" s="17"/>
      <c r="C413" s="17"/>
      <c r="D413" s="17"/>
      <c r="E413" s="17"/>
      <c r="F413" s="17"/>
      <c r="G413" s="17"/>
      <c r="H413" s="17"/>
    </row>
    <row r="414" spans="1:8" x14ac:dyDescent="0.35">
      <c r="A414" s="102" t="s">
        <v>559</v>
      </c>
      <c r="B414" s="17"/>
      <c r="C414" s="17"/>
      <c r="D414" s="17"/>
      <c r="E414" s="17"/>
      <c r="F414" s="17"/>
      <c r="G414" s="17"/>
      <c r="H414" s="17"/>
    </row>
    <row r="415" spans="1:8" x14ac:dyDescent="0.35">
      <c r="A415" s="103" t="s">
        <v>66</v>
      </c>
      <c r="B415" s="17"/>
      <c r="C415" s="17"/>
      <c r="D415" s="17"/>
      <c r="E415" s="17"/>
      <c r="F415" s="17"/>
      <c r="G415" s="17"/>
      <c r="H415" s="17"/>
    </row>
    <row r="416" spans="1:8" x14ac:dyDescent="0.35">
      <c r="A416" s="102" t="s">
        <v>560</v>
      </c>
      <c r="B416" s="17"/>
      <c r="C416" s="17"/>
      <c r="D416" s="17"/>
      <c r="E416" s="17"/>
      <c r="F416" s="17"/>
      <c r="G416" s="17"/>
      <c r="H416" s="17"/>
    </row>
    <row r="417" spans="1:8" x14ac:dyDescent="0.35">
      <c r="A417" s="102" t="s">
        <v>561</v>
      </c>
      <c r="B417" s="17"/>
      <c r="C417" s="17"/>
      <c r="D417" s="17"/>
      <c r="E417" s="17"/>
      <c r="F417" s="17"/>
      <c r="G417" s="17"/>
      <c r="H417" s="17"/>
    </row>
    <row r="418" spans="1:8" x14ac:dyDescent="0.35">
      <c r="A418" s="102" t="s">
        <v>562</v>
      </c>
      <c r="B418" s="17"/>
      <c r="C418" s="17"/>
      <c r="D418" s="17"/>
      <c r="E418" s="17"/>
      <c r="F418" s="17"/>
      <c r="G418" s="17"/>
      <c r="H418" s="17"/>
    </row>
    <row r="419" spans="1:8" x14ac:dyDescent="0.35">
      <c r="A419" s="102" t="s">
        <v>563</v>
      </c>
      <c r="B419" s="17"/>
      <c r="C419" s="17"/>
      <c r="D419" s="17"/>
      <c r="E419" s="17"/>
      <c r="F419" s="17"/>
      <c r="G419" s="17"/>
      <c r="H419" s="17"/>
    </row>
    <row r="420" spans="1:8" x14ac:dyDescent="0.35">
      <c r="A420" s="102" t="s">
        <v>564</v>
      </c>
      <c r="B420" s="17"/>
      <c r="C420" s="17"/>
      <c r="D420" s="17"/>
      <c r="E420" s="17"/>
      <c r="F420" s="17"/>
      <c r="G420" s="17"/>
      <c r="H420" s="17"/>
    </row>
    <row r="421" spans="1:8" x14ac:dyDescent="0.35">
      <c r="A421" s="102" t="s">
        <v>565</v>
      </c>
      <c r="B421" s="17"/>
      <c r="C421" s="17"/>
      <c r="D421" s="17"/>
      <c r="E421" s="17"/>
      <c r="F421" s="17"/>
      <c r="G421" s="17"/>
      <c r="H421" s="17"/>
    </row>
    <row r="422" spans="1:8" x14ac:dyDescent="0.35">
      <c r="A422" s="102" t="s">
        <v>566</v>
      </c>
      <c r="B422" s="17"/>
      <c r="C422" s="17"/>
      <c r="D422" s="17"/>
      <c r="E422" s="17"/>
      <c r="F422" s="17"/>
      <c r="G422" s="17"/>
      <c r="H422" s="17"/>
    </row>
    <row r="423" spans="1:8" x14ac:dyDescent="0.35">
      <c r="A423" s="102" t="s">
        <v>567</v>
      </c>
      <c r="B423" s="17"/>
      <c r="C423" s="17"/>
      <c r="D423" s="17"/>
      <c r="E423" s="17"/>
      <c r="F423" s="17"/>
      <c r="G423" s="17"/>
      <c r="H423" s="17"/>
    </row>
    <row r="424" spans="1:8" x14ac:dyDescent="0.35">
      <c r="A424" s="102" t="s">
        <v>568</v>
      </c>
      <c r="B424" s="17"/>
      <c r="C424" s="17"/>
      <c r="D424" s="17"/>
      <c r="E424" s="17"/>
      <c r="F424" s="17"/>
      <c r="G424" s="17"/>
      <c r="H424" s="17"/>
    </row>
    <row r="425" spans="1:8" x14ac:dyDescent="0.35">
      <c r="A425" s="102" t="s">
        <v>44</v>
      </c>
      <c r="B425" s="17"/>
      <c r="C425" s="17"/>
      <c r="D425" s="17"/>
      <c r="E425" s="17"/>
      <c r="F425" s="17"/>
      <c r="G425" s="17"/>
      <c r="H425" s="17"/>
    </row>
    <row r="426" spans="1:8" x14ac:dyDescent="0.35">
      <c r="A426" s="99" t="s">
        <v>260</v>
      </c>
      <c r="B426" s="17"/>
      <c r="C426" s="17"/>
      <c r="D426" s="17"/>
      <c r="E426" s="17"/>
      <c r="F426" s="17"/>
      <c r="G426" s="17"/>
      <c r="H426" s="17"/>
    </row>
    <row r="427" spans="1:8" x14ac:dyDescent="0.35">
      <c r="A427" s="99" t="s">
        <v>262</v>
      </c>
      <c r="B427" s="17"/>
      <c r="C427" s="17"/>
      <c r="D427" s="17"/>
      <c r="E427" s="17"/>
      <c r="F427" s="17"/>
      <c r="G427" s="17"/>
      <c r="H427" s="17"/>
    </row>
    <row r="428" spans="1:8" x14ac:dyDescent="0.35">
      <c r="A428" s="102" t="s">
        <v>569</v>
      </c>
      <c r="B428" s="17"/>
      <c r="C428" s="17"/>
      <c r="D428" s="17"/>
      <c r="E428" s="17"/>
      <c r="F428" s="17"/>
      <c r="G428" s="17"/>
      <c r="H428" s="17"/>
    </row>
    <row r="429" spans="1:8" x14ac:dyDescent="0.35">
      <c r="A429" s="103" t="s">
        <v>185</v>
      </c>
      <c r="B429" s="17"/>
      <c r="C429" s="17"/>
      <c r="D429" s="17"/>
      <c r="E429" s="17"/>
      <c r="F429" s="17"/>
      <c r="G429" s="17"/>
      <c r="H429" s="17"/>
    </row>
    <row r="430" spans="1:8" x14ac:dyDescent="0.35">
      <c r="A430" s="102" t="s">
        <v>570</v>
      </c>
      <c r="B430" s="17"/>
      <c r="C430" s="17"/>
      <c r="D430" s="17"/>
      <c r="E430" s="17"/>
      <c r="F430" s="17"/>
      <c r="G430" s="17"/>
      <c r="H430" s="17"/>
    </row>
    <row r="431" spans="1:8" x14ac:dyDescent="0.35">
      <c r="A431" s="102" t="s">
        <v>571</v>
      </c>
      <c r="B431" s="17"/>
      <c r="C431" s="17"/>
      <c r="D431" s="17"/>
      <c r="E431" s="17"/>
      <c r="F431" s="17"/>
      <c r="G431" s="17"/>
      <c r="H431" s="17"/>
    </row>
    <row r="432" spans="1:8" x14ac:dyDescent="0.35">
      <c r="A432" s="102" t="s">
        <v>572</v>
      </c>
      <c r="B432" s="17"/>
      <c r="C432" s="17"/>
      <c r="D432" s="17"/>
      <c r="E432" s="17"/>
      <c r="F432" s="17"/>
      <c r="G432" s="17"/>
      <c r="H432" s="17"/>
    </row>
    <row r="433" spans="1:8" x14ac:dyDescent="0.35">
      <c r="A433" s="102" t="s">
        <v>573</v>
      </c>
      <c r="B433" s="17"/>
      <c r="C433" s="17"/>
      <c r="D433" s="17"/>
      <c r="E433" s="17"/>
      <c r="F433" s="17"/>
      <c r="G433" s="17"/>
      <c r="H433" s="17"/>
    </row>
    <row r="434" spans="1:8" x14ac:dyDescent="0.35">
      <c r="A434" s="102" t="s">
        <v>574</v>
      </c>
      <c r="B434" s="17"/>
      <c r="C434" s="17"/>
      <c r="D434" s="17"/>
      <c r="E434" s="17"/>
      <c r="F434" s="17"/>
      <c r="G434" s="17"/>
      <c r="H434" s="17"/>
    </row>
    <row r="435" spans="1:8" x14ac:dyDescent="0.35">
      <c r="A435" s="102" t="s">
        <v>575</v>
      </c>
      <c r="B435" s="17"/>
      <c r="C435" s="17"/>
      <c r="D435" s="17"/>
      <c r="E435" s="17"/>
      <c r="F435" s="17"/>
      <c r="G435" s="17"/>
      <c r="H435" s="17"/>
    </row>
    <row r="436" spans="1:8" x14ac:dyDescent="0.35">
      <c r="A436" s="105" t="s">
        <v>576</v>
      </c>
      <c r="B436" s="24"/>
      <c r="C436" s="17"/>
      <c r="D436" s="17"/>
      <c r="E436" s="17"/>
      <c r="F436" s="17"/>
      <c r="G436" s="17"/>
      <c r="H436" s="17"/>
    </row>
    <row r="437" spans="1:8" x14ac:dyDescent="0.35">
      <c r="A437" s="106" t="s">
        <v>577</v>
      </c>
      <c r="B437" s="17"/>
      <c r="C437" s="17"/>
      <c r="D437" s="17"/>
      <c r="E437" s="17"/>
      <c r="F437" s="17"/>
      <c r="G437" s="17"/>
      <c r="H437" s="17"/>
    </row>
    <row r="438" spans="1:8" x14ac:dyDescent="0.35">
      <c r="A438" s="102" t="s">
        <v>578</v>
      </c>
      <c r="B438" s="17"/>
      <c r="C438" s="17"/>
      <c r="D438" s="17"/>
      <c r="E438" s="17"/>
      <c r="F438" s="17"/>
      <c r="G438" s="17"/>
      <c r="H438" s="17"/>
    </row>
    <row r="439" spans="1:8" x14ac:dyDescent="0.35">
      <c r="A439" s="102" t="s">
        <v>579</v>
      </c>
      <c r="B439" s="17"/>
      <c r="C439" s="17"/>
      <c r="D439" s="17"/>
      <c r="E439" s="17"/>
      <c r="F439" s="17"/>
      <c r="G439" s="17"/>
      <c r="H439" s="17"/>
    </row>
    <row r="440" spans="1:8" x14ac:dyDescent="0.35">
      <c r="A440" s="102" t="s">
        <v>580</v>
      </c>
      <c r="B440" s="17"/>
      <c r="C440" s="17"/>
      <c r="D440" s="17"/>
      <c r="E440" s="17"/>
      <c r="F440" s="17"/>
      <c r="G440" s="17"/>
      <c r="H440" s="17"/>
    </row>
    <row r="441" spans="1:8" x14ac:dyDescent="0.35">
      <c r="A441" s="103" t="s">
        <v>581</v>
      </c>
      <c r="B441" s="17"/>
      <c r="C441" s="17"/>
      <c r="D441" s="17"/>
      <c r="E441" s="17"/>
      <c r="F441" s="17"/>
      <c r="G441" s="17"/>
      <c r="H441" s="17"/>
    </row>
    <row r="442" spans="1:8" x14ac:dyDescent="0.35">
      <c r="A442" s="103" t="s">
        <v>582</v>
      </c>
      <c r="B442" s="17"/>
      <c r="C442" s="17"/>
      <c r="D442" s="17"/>
      <c r="E442" s="17"/>
      <c r="F442" s="17"/>
      <c r="G442" s="17"/>
      <c r="H442" s="17"/>
    </row>
    <row r="443" spans="1:8" x14ac:dyDescent="0.35">
      <c r="A443" s="102" t="s">
        <v>583</v>
      </c>
      <c r="B443" s="17"/>
      <c r="C443" s="17"/>
      <c r="D443" s="17"/>
      <c r="E443" s="17"/>
      <c r="F443" s="17"/>
      <c r="G443" s="17"/>
      <c r="H443" s="17"/>
    </row>
    <row r="444" spans="1:8" x14ac:dyDescent="0.35">
      <c r="A444" s="102" t="s">
        <v>584</v>
      </c>
      <c r="B444" s="17"/>
      <c r="C444" s="17"/>
      <c r="D444" s="17"/>
      <c r="E444" s="17"/>
      <c r="F444" s="17"/>
      <c r="G444" s="17"/>
      <c r="H444" s="17"/>
    </row>
    <row r="445" spans="1:8" x14ac:dyDescent="0.35">
      <c r="A445" s="102" t="s">
        <v>585</v>
      </c>
      <c r="B445" s="17"/>
      <c r="C445" s="17"/>
      <c r="D445" s="17"/>
      <c r="E445" s="17"/>
      <c r="F445" s="17"/>
      <c r="G445" s="17"/>
      <c r="H445" s="17"/>
    </row>
    <row r="446" spans="1:8" x14ac:dyDescent="0.35">
      <c r="A446" s="103" t="s">
        <v>586</v>
      </c>
      <c r="B446" s="24"/>
      <c r="C446" s="24"/>
      <c r="D446" s="24"/>
      <c r="E446" s="24"/>
      <c r="F446" s="24"/>
      <c r="G446" s="24"/>
      <c r="H446" s="24"/>
    </row>
    <row r="447" spans="1:8" x14ac:dyDescent="0.35">
      <c r="A447" s="102" t="s">
        <v>587</v>
      </c>
      <c r="B447" s="24"/>
      <c r="C447" s="24"/>
      <c r="D447" s="24"/>
      <c r="E447" s="24"/>
      <c r="F447" s="24"/>
      <c r="G447" s="24"/>
      <c r="H447" s="24"/>
    </row>
    <row r="448" spans="1:8" x14ac:dyDescent="0.35">
      <c r="A448" s="102" t="s">
        <v>588</v>
      </c>
    </row>
    <row r="449" spans="1:1" x14ac:dyDescent="0.35">
      <c r="A449" s="102" t="s">
        <v>589</v>
      </c>
    </row>
    <row r="450" spans="1:1" x14ac:dyDescent="0.35">
      <c r="A450" s="102" t="s">
        <v>165</v>
      </c>
    </row>
    <row r="451" spans="1:1" x14ac:dyDescent="0.35">
      <c r="A451" s="102" t="s">
        <v>118</v>
      </c>
    </row>
    <row r="452" spans="1:1" x14ac:dyDescent="0.35">
      <c r="A452" s="103" t="s">
        <v>170</v>
      </c>
    </row>
    <row r="453" spans="1:1" x14ac:dyDescent="0.35">
      <c r="A453" s="102" t="s">
        <v>63</v>
      </c>
    </row>
    <row r="454" spans="1:1" x14ac:dyDescent="0.35">
      <c r="A454" s="102" t="s">
        <v>590</v>
      </c>
    </row>
    <row r="455" spans="1:1" x14ac:dyDescent="0.35">
      <c r="A455" s="102" t="s">
        <v>591</v>
      </c>
    </row>
    <row r="456" spans="1:1" x14ac:dyDescent="0.35">
      <c r="A456" s="102" t="s">
        <v>45</v>
      </c>
    </row>
    <row r="457" spans="1:1" x14ac:dyDescent="0.35">
      <c r="A457" s="102" t="s">
        <v>592</v>
      </c>
    </row>
    <row r="458" spans="1:1" x14ac:dyDescent="0.35">
      <c r="A458" s="102" t="s">
        <v>593</v>
      </c>
    </row>
    <row r="459" spans="1:1" x14ac:dyDescent="0.35">
      <c r="A459" s="102" t="s">
        <v>594</v>
      </c>
    </row>
    <row r="460" spans="1:1" x14ac:dyDescent="0.35">
      <c r="A460" s="102" t="s">
        <v>595</v>
      </c>
    </row>
    <row r="461" spans="1:1" x14ac:dyDescent="0.35">
      <c r="A461" s="102" t="s">
        <v>596</v>
      </c>
    </row>
    <row r="462" spans="1:1" x14ac:dyDescent="0.35">
      <c r="A462" s="102" t="s">
        <v>597</v>
      </c>
    </row>
    <row r="463" spans="1:1" x14ac:dyDescent="0.35">
      <c r="A463" s="102" t="s">
        <v>598</v>
      </c>
    </row>
    <row r="464" spans="1:1" x14ac:dyDescent="0.35">
      <c r="A464" s="102" t="s">
        <v>599</v>
      </c>
    </row>
    <row r="465" spans="1:1" x14ac:dyDescent="0.35">
      <c r="A465" s="102" t="s">
        <v>600</v>
      </c>
    </row>
    <row r="466" spans="1:1" x14ac:dyDescent="0.35">
      <c r="A466" s="102" t="s">
        <v>601</v>
      </c>
    </row>
    <row r="467" spans="1:1" x14ac:dyDescent="0.35">
      <c r="A467" s="102" t="s">
        <v>602</v>
      </c>
    </row>
    <row r="468" spans="1:1" x14ac:dyDescent="0.35">
      <c r="A468" s="102" t="s">
        <v>603</v>
      </c>
    </row>
    <row r="469" spans="1:1" x14ac:dyDescent="0.35">
      <c r="A469" s="102" t="s">
        <v>604</v>
      </c>
    </row>
    <row r="470" spans="1:1" x14ac:dyDescent="0.35">
      <c r="A470" s="107" t="s">
        <v>605</v>
      </c>
    </row>
    <row r="471" spans="1:1" x14ac:dyDescent="0.35">
      <c r="A471" s="107"/>
    </row>
  </sheetData>
  <autoFilter ref="B1:B452" xr:uid="{00000000-0009-0000-0000-00000A000000}"/>
  <dataValidations count="1">
    <dataValidation type="list" allowBlank="1" showInputMessage="1" showErrorMessage="1" sqref="D8" xr:uid="{00000000-0002-0000-0A00-000000000000}">
      <formula1>$D$2:$D$3</formula1>
      <formula2>0</formula2>
    </dataValidation>
  </dataValidations>
  <pageMargins left="0.70833333333333304" right="0.70833333333333304" top="0.3" bottom="0.34027777777777801" header="0.511811023622047" footer="0.511811023622047"/>
  <pageSetup paperSize="9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'e:\min hương\qaromi\[điều phối qaromi.xlsx]điều phối cty'!#REF!</xm:f>
          </x14:formula1>
          <x14:formula2>
            <xm:f>0</xm:f>
          </x14:formula2>
          <xm:sqref>A3:B8 B9:B12 A10:A36 B14:B35 A37:A116 A118:A435 A438:A447 A449:A469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foxz</vt:lpstr>
      <vt:lpstr>XNT</vt:lpstr>
      <vt:lpstr>KHO TỔNG</vt:lpstr>
      <vt:lpstr>Lại Lan</vt:lpstr>
      <vt:lpstr>Huế</vt:lpstr>
      <vt:lpstr>Xe điện</vt:lpstr>
      <vt:lpstr>Theo dõi vỏ bình</vt:lpstr>
      <vt:lpstr>Đá Trắng</vt:lpstr>
      <vt:lpstr>VB T9</vt:lpstr>
      <vt:lpstr>VB T8</vt:lpstr>
      <vt:lpstr>DATA</vt:lpstr>
      <vt:lpstr>Bùi_Bích_Phương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Win10Pro</dc:creator>
  <dc:description/>
  <cp:lastModifiedBy>Nhung Doan</cp:lastModifiedBy>
  <cp:revision>27</cp:revision>
  <cp:lastPrinted>2026-03-14T02:15:09Z</cp:lastPrinted>
  <dcterms:created xsi:type="dcterms:W3CDTF">2025-07-23T09:14:11Z</dcterms:created>
  <dcterms:modified xsi:type="dcterms:W3CDTF">2026-09-10T06:57:15Z</dcterms:modified>
  <dc:language>en-US</dc:language>
</cp:coreProperties>
</file>
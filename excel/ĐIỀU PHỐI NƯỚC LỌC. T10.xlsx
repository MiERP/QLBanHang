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NHUNG\NƯỚC LỌC\NĂM 2026\THÁNG 10\"/>
    </mc:Choice>
  </mc:AlternateContent>
  <xr:revisionPtr revIDLastSave="0" documentId="13_ncr:1_{0BCE7883-1D5D-4806-92CB-40F7F32BB8AD}" xr6:coauthVersionLast="47" xr6:coauthVersionMax="47" xr10:uidLastSave="{00000000-0000-0000-0000-000000000000}"/>
  <bookViews>
    <workbookView xWindow="-108" yWindow="-108" windowWidth="23256" windowHeight="12456" tabRatio="657" xr2:uid="{00000000-000D-0000-FFFF-FFFF00000000}"/>
  </bookViews>
  <sheets>
    <sheet name="XUẤT" sheetId="1" r:id="rId1"/>
    <sheet name="CBCNV" sheetId="2" r:id="rId2"/>
    <sheet name="TỒN" sheetId="3" r:id="rId3"/>
    <sheet name="ĐIÈU PHỐI" sheetId="4" r:id="rId4"/>
    <sheet name="Vận chuyển" sheetId="5" r:id="rId5"/>
    <sheet name="Đơn giá" sheetId="6" r:id="rId6"/>
    <sheet name="TỒN TỔNG" sheetId="13" r:id="rId7"/>
    <sheet name="TỒN KHO HUẾ" sheetId="8" r:id="rId8"/>
    <sheet name="TỒN KHO TĂNG ÁP" sheetId="9" r:id="rId9"/>
    <sheet name="tồn xe" sheetId="10" r:id="rId10"/>
    <sheet name="Tồn kho VP" sheetId="12" r:id="rId11"/>
    <sheet name="TỒN KHO HÀ LẦM" sheetId="14" r:id="rId12"/>
    <sheet name="nhập từ CP" sheetId="11" r:id="rId13"/>
  </sheets>
  <definedNames>
    <definedName name="_xlnm._FilterDatabase" localSheetId="1" hidden="1">CBCNV!$A$6:$T$200</definedName>
    <definedName name="_xlnm._FilterDatabase" localSheetId="7" hidden="1">'TỒN KHO HUẾ'!$A$2:$AL$2</definedName>
    <definedName name="_xlnm._FilterDatabase" localSheetId="0" hidden="1">XUẤT!$A$4:$AF$284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0" i="11" l="1"/>
  <c r="C10" i="8" l="1"/>
  <c r="R10" i="8" s="1"/>
  <c r="D10" i="8"/>
  <c r="S10" i="8" s="1"/>
  <c r="G10" i="8"/>
  <c r="T10" i="8"/>
  <c r="V10" i="8"/>
  <c r="R9" i="9"/>
  <c r="S9" i="9"/>
  <c r="T9" i="9"/>
  <c r="U9" i="9"/>
  <c r="V9" i="9"/>
  <c r="C9" i="9"/>
  <c r="D9" i="9"/>
  <c r="F9" i="9"/>
  <c r="G9" i="9"/>
  <c r="X58" i="1" l="1"/>
  <c r="Y58" i="1" s="1"/>
  <c r="W58" i="1"/>
  <c r="AB58" i="1" s="1"/>
  <c r="AC58" i="1" s="1"/>
  <c r="E98" i="13"/>
  <c r="F98" i="13"/>
  <c r="H98" i="13"/>
  <c r="D98" i="13"/>
  <c r="X49" i="1"/>
  <c r="Y49" i="1" s="1"/>
  <c r="W49" i="1"/>
  <c r="AB49" i="1" s="1"/>
  <c r="AC49" i="1" s="1"/>
  <c r="W52" i="1"/>
  <c r="AB52" i="1" s="1"/>
  <c r="AC52" i="1" s="1"/>
  <c r="X52" i="1"/>
  <c r="Y52" i="1" s="1"/>
  <c r="X53" i="1"/>
  <c r="Y53" i="1" s="1"/>
  <c r="W53" i="1"/>
  <c r="AB53" i="1" s="1"/>
  <c r="AC53" i="1" s="1"/>
  <c r="W55" i="1"/>
  <c r="X55" i="1"/>
  <c r="W56" i="1"/>
  <c r="X56" i="1"/>
  <c r="Y56" i="1" s="1"/>
  <c r="W57" i="1"/>
  <c r="X57" i="1"/>
  <c r="W59" i="1"/>
  <c r="X59" i="1"/>
  <c r="Y59" i="1" s="1"/>
  <c r="W60" i="1"/>
  <c r="X60" i="1"/>
  <c r="Y60" i="1" s="1"/>
  <c r="W61" i="1"/>
  <c r="X61" i="1"/>
  <c r="Y61" i="1" s="1"/>
  <c r="R24" i="12" l="1"/>
  <c r="S24" i="12"/>
  <c r="U24" i="12"/>
  <c r="V24" i="12"/>
  <c r="C24" i="12"/>
  <c r="D24" i="12"/>
  <c r="F24" i="12"/>
  <c r="G24" i="12"/>
  <c r="W51" i="1"/>
  <c r="AB51" i="1" s="1"/>
  <c r="AC51" i="1" s="1"/>
  <c r="X51" i="1"/>
  <c r="Y51" i="1" s="1"/>
  <c r="R23" i="14"/>
  <c r="S23" i="14"/>
  <c r="T23" i="14"/>
  <c r="U23" i="14"/>
  <c r="G102" i="13" s="1"/>
  <c r="V23" i="14"/>
  <c r="H102" i="13" s="1"/>
  <c r="C23" i="14"/>
  <c r="D23" i="14"/>
  <c r="E23" i="14"/>
  <c r="F23" i="14"/>
  <c r="G23" i="14"/>
  <c r="E102" i="13"/>
  <c r="F102" i="13"/>
  <c r="D102" i="13"/>
  <c r="E100" i="13"/>
  <c r="F100" i="13"/>
  <c r="G100" i="13"/>
  <c r="H100" i="13"/>
  <c r="D100" i="13"/>
  <c r="E99" i="13"/>
  <c r="F99" i="13"/>
  <c r="G99" i="13"/>
  <c r="H99" i="13"/>
  <c r="D99" i="13"/>
  <c r="H9" i="8"/>
  <c r="T9" i="8"/>
  <c r="R8" i="9"/>
  <c r="S8" i="9"/>
  <c r="T8" i="9"/>
  <c r="U8" i="9"/>
  <c r="V8" i="9"/>
  <c r="C8" i="9"/>
  <c r="D8" i="9"/>
  <c r="F8" i="9"/>
  <c r="G8" i="9"/>
  <c r="W50" i="1"/>
  <c r="AB50" i="1" s="1"/>
  <c r="AC50" i="1" s="1"/>
  <c r="X50" i="1"/>
  <c r="Y50" i="1" s="1"/>
  <c r="X39" i="1"/>
  <c r="Y39" i="1" s="1"/>
  <c r="W39" i="1"/>
  <c r="X31" i="1"/>
  <c r="Y31" i="1" s="1"/>
  <c r="W31" i="1"/>
  <c r="W37" i="1"/>
  <c r="AB37" i="1" s="1"/>
  <c r="AC37" i="1" s="1"/>
  <c r="X37" i="1"/>
  <c r="Y37" i="1" s="1"/>
  <c r="Y29" i="1" l="1"/>
  <c r="W30" i="1" l="1"/>
  <c r="P8" i="8"/>
  <c r="M8" i="8"/>
  <c r="E96" i="13"/>
  <c r="G96" i="13"/>
  <c r="H96" i="13"/>
  <c r="D96" i="13"/>
  <c r="O16" i="10"/>
  <c r="P16" i="10"/>
  <c r="Q16" i="10"/>
  <c r="F96" i="13" s="1"/>
  <c r="R16" i="10"/>
  <c r="C16" i="10"/>
  <c r="D16" i="10"/>
  <c r="E16" i="10"/>
  <c r="F16" i="10"/>
  <c r="E97" i="13"/>
  <c r="F97" i="13"/>
  <c r="G97" i="13"/>
  <c r="H97" i="13"/>
  <c r="D97" i="13"/>
  <c r="E95" i="13"/>
  <c r="F95" i="13"/>
  <c r="G95" i="13"/>
  <c r="H95" i="13"/>
  <c r="D95" i="13"/>
  <c r="R23" i="12"/>
  <c r="S23" i="12"/>
  <c r="U23" i="12"/>
  <c r="V23" i="12"/>
  <c r="C23" i="12"/>
  <c r="D23" i="12"/>
  <c r="F23" i="12"/>
  <c r="G23" i="12"/>
  <c r="E94" i="13"/>
  <c r="F94" i="13"/>
  <c r="G94" i="13"/>
  <c r="H94" i="13"/>
  <c r="D94" i="13"/>
  <c r="AE28" i="11"/>
  <c r="AF28" i="11"/>
  <c r="AG28" i="11"/>
  <c r="AH28" i="11"/>
  <c r="AI28" i="11"/>
  <c r="AJ28" i="11"/>
  <c r="AK28" i="11"/>
  <c r="AE29" i="11"/>
  <c r="AF29" i="11"/>
  <c r="AG29" i="11"/>
  <c r="AH29" i="11"/>
  <c r="AI29" i="11"/>
  <c r="AJ29" i="11"/>
  <c r="AK29" i="11"/>
  <c r="AE30" i="11"/>
  <c r="AF30" i="11"/>
  <c r="AG30" i="11"/>
  <c r="AH30" i="11"/>
  <c r="AI30" i="11"/>
  <c r="AJ30" i="11"/>
  <c r="AK30" i="11"/>
  <c r="AE31" i="11"/>
  <c r="AF31" i="11"/>
  <c r="AG31" i="11"/>
  <c r="AH31" i="11"/>
  <c r="AI31" i="11"/>
  <c r="AJ31" i="11"/>
  <c r="AK31" i="11"/>
  <c r="AE32" i="11"/>
  <c r="AF32" i="11"/>
  <c r="AG32" i="11"/>
  <c r="AH32" i="11"/>
  <c r="AI32" i="11"/>
  <c r="AJ32" i="11"/>
  <c r="AK32" i="11"/>
  <c r="AE33" i="11"/>
  <c r="AF33" i="11"/>
  <c r="AG33" i="11"/>
  <c r="AH33" i="11"/>
  <c r="AI33" i="11"/>
  <c r="AJ33" i="11"/>
  <c r="AK33" i="11"/>
  <c r="AE34" i="11"/>
  <c r="AF34" i="11"/>
  <c r="AG34" i="11"/>
  <c r="AH34" i="11"/>
  <c r="AI34" i="11"/>
  <c r="AJ34" i="11"/>
  <c r="AK34" i="11"/>
  <c r="AE35" i="11"/>
  <c r="AF35" i="11"/>
  <c r="AG35" i="11"/>
  <c r="AH35" i="11"/>
  <c r="AI35" i="11"/>
  <c r="AJ35" i="11"/>
  <c r="AK35" i="11"/>
  <c r="AE24" i="11"/>
  <c r="AF24" i="11"/>
  <c r="AG24" i="11"/>
  <c r="AH24" i="11"/>
  <c r="AI24" i="11"/>
  <c r="AJ24" i="11"/>
  <c r="AK24" i="11"/>
  <c r="AE25" i="11"/>
  <c r="AF25" i="11"/>
  <c r="AG25" i="11"/>
  <c r="AH25" i="11"/>
  <c r="AI25" i="11"/>
  <c r="AJ25" i="11"/>
  <c r="AK25" i="11"/>
  <c r="AE26" i="11"/>
  <c r="AF26" i="11"/>
  <c r="AG26" i="11"/>
  <c r="AH26" i="11"/>
  <c r="AI26" i="11"/>
  <c r="AJ26" i="11"/>
  <c r="AK26" i="11"/>
  <c r="AE27" i="11"/>
  <c r="AF27" i="11"/>
  <c r="AG27" i="11"/>
  <c r="AH27" i="11"/>
  <c r="AI27" i="11"/>
  <c r="AJ27" i="11"/>
  <c r="AK27" i="11"/>
  <c r="AF23" i="11"/>
  <c r="AG23" i="11"/>
  <c r="AH23" i="11"/>
  <c r="AI23" i="11"/>
  <c r="AJ23" i="11"/>
  <c r="AK23" i="11"/>
  <c r="AE23" i="11"/>
  <c r="M29" i="11"/>
  <c r="O29" i="11"/>
  <c r="K8" i="8"/>
  <c r="T8" i="8"/>
  <c r="F93" i="13" s="1"/>
  <c r="Y32" i="1"/>
  <c r="Y33" i="1"/>
  <c r="R22" i="14"/>
  <c r="S22" i="14"/>
  <c r="T22" i="14"/>
  <c r="U22" i="14"/>
  <c r="V22" i="14"/>
  <c r="C22" i="14"/>
  <c r="D22" i="14"/>
  <c r="E22" i="14"/>
  <c r="F22" i="14"/>
  <c r="G22" i="14"/>
  <c r="D5" i="8"/>
  <c r="E5" i="8"/>
  <c r="F5" i="8"/>
  <c r="G5" i="8"/>
  <c r="C5" i="8"/>
  <c r="R7" i="9"/>
  <c r="S7" i="9"/>
  <c r="T7" i="9"/>
  <c r="U7" i="9"/>
  <c r="V7" i="9"/>
  <c r="C7" i="9"/>
  <c r="D7" i="9"/>
  <c r="F7" i="9"/>
  <c r="G7" i="9"/>
  <c r="D5" i="9"/>
  <c r="E5" i="9"/>
  <c r="F5" i="9"/>
  <c r="G5" i="9"/>
  <c r="C5" i="9"/>
  <c r="X27" i="1" l="1"/>
  <c r="Y27" i="1" s="1"/>
  <c r="W27" i="1"/>
  <c r="AB27" i="1" s="1"/>
  <c r="AC27" i="1" s="1"/>
  <c r="X21" i="1" l="1"/>
  <c r="Y21" i="1" s="1"/>
  <c r="W21" i="1"/>
  <c r="AB21" i="1" s="1"/>
  <c r="AC21" i="1" s="1"/>
  <c r="AC17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X20" i="1"/>
  <c r="Y20" i="1" s="1"/>
  <c r="W20" i="1"/>
  <c r="AB20" i="1" s="1"/>
  <c r="AC20" i="1" s="1"/>
  <c r="X19" i="1"/>
  <c r="Y19" i="1" s="1"/>
  <c r="W19" i="1"/>
  <c r="AB19" i="1" s="1"/>
  <c r="AC19" i="1" s="1"/>
  <c r="X18" i="1"/>
  <c r="Y18" i="1" s="1"/>
  <c r="W18" i="1"/>
  <c r="AB18" i="1" s="1"/>
  <c r="AC18" i="1" s="1"/>
  <c r="X17" i="1"/>
  <c r="Y17" i="1" s="1"/>
  <c r="W17" i="1"/>
  <c r="AB17" i="1" s="1"/>
  <c r="AC17" i="1" s="1"/>
  <c r="X16" i="1"/>
  <c r="Y16" i="1" s="1"/>
  <c r="W16" i="1"/>
  <c r="AB16" i="1" s="1"/>
  <c r="AC16" i="1" s="1"/>
  <c r="X15" i="1"/>
  <c r="Y15" i="1" s="1"/>
  <c r="W15" i="1"/>
  <c r="AB15" i="1" s="1"/>
  <c r="AC15" i="1" s="1"/>
  <c r="X14" i="1"/>
  <c r="Y14" i="1" s="1"/>
  <c r="W14" i="1"/>
  <c r="AB14" i="1" s="1"/>
  <c r="AC14" i="1" s="1"/>
  <c r="X13" i="1"/>
  <c r="Y13" i="1" s="1"/>
  <c r="W13" i="1"/>
  <c r="AB13" i="1" s="1"/>
  <c r="AC13" i="1" s="1"/>
  <c r="X12" i="1"/>
  <c r="Y12" i="1" s="1"/>
  <c r="W12" i="1"/>
  <c r="AB12" i="1" s="1"/>
  <c r="AC12" i="1" s="1"/>
  <c r="X11" i="1"/>
  <c r="Y11" i="1" s="1"/>
  <c r="W11" i="1"/>
  <c r="AB11" i="1" s="1"/>
  <c r="AC11" i="1" s="1"/>
  <c r="X10" i="1"/>
  <c r="Y10" i="1" s="1"/>
  <c r="W10" i="1"/>
  <c r="AB10" i="1" s="1"/>
  <c r="AC10" i="1" s="1"/>
  <c r="X9" i="1"/>
  <c r="Y9" i="1" s="1"/>
  <c r="W9" i="1"/>
  <c r="AB9" i="1" s="1"/>
  <c r="AC9" i="1" s="1"/>
  <c r="X8" i="1"/>
  <c r="Y8" i="1" s="1"/>
  <c r="W8" i="1"/>
  <c r="AB8" i="1" s="1"/>
  <c r="AC8" i="1" s="1"/>
  <c r="X7" i="1"/>
  <c r="Y7" i="1" s="1"/>
  <c r="W7" i="1"/>
  <c r="AB7" i="1" s="1"/>
  <c r="AC7" i="1" s="1"/>
  <c r="X6" i="1"/>
  <c r="Y6" i="1" s="1"/>
  <c r="W6" i="1"/>
  <c r="AB6" i="1" s="1"/>
  <c r="AC6" i="1" s="1"/>
  <c r="E92" i="13"/>
  <c r="F92" i="13"/>
  <c r="G92" i="13"/>
  <c r="H92" i="13"/>
  <c r="D92" i="13"/>
  <c r="R21" i="14"/>
  <c r="S21" i="14"/>
  <c r="T21" i="14"/>
  <c r="U21" i="14"/>
  <c r="V21" i="14"/>
  <c r="C21" i="14"/>
  <c r="D21" i="14"/>
  <c r="E21" i="14"/>
  <c r="F21" i="14"/>
  <c r="G21" i="14"/>
  <c r="E91" i="13"/>
  <c r="F91" i="13"/>
  <c r="G91" i="13"/>
  <c r="H91" i="13"/>
  <c r="D91" i="13"/>
  <c r="O15" i="10"/>
  <c r="P15" i="10"/>
  <c r="Q15" i="10"/>
  <c r="R15" i="10"/>
  <c r="C15" i="10"/>
  <c r="D15" i="10"/>
  <c r="E15" i="10"/>
  <c r="F15" i="10"/>
  <c r="F88" i="13"/>
  <c r="AC282" i="1"/>
  <c r="AC280" i="1"/>
  <c r="X282" i="1"/>
  <c r="Y282" i="1" s="1"/>
  <c r="T7" i="8"/>
  <c r="T6" i="8"/>
  <c r="K6" i="9"/>
  <c r="X280" i="1"/>
  <c r="Y280" i="1" s="1"/>
  <c r="X281" i="1"/>
  <c r="Y281" i="1" s="1"/>
  <c r="X283" i="1"/>
  <c r="Y283" i="1" s="1"/>
  <c r="AC281" i="1"/>
  <c r="AC283" i="1"/>
  <c r="T6" i="9"/>
  <c r="F89" i="13" s="1"/>
  <c r="Q5" i="1" l="1"/>
  <c r="R5" i="1"/>
  <c r="S5" i="1"/>
  <c r="T5" i="1"/>
  <c r="U5" i="1"/>
  <c r="P5" i="1"/>
  <c r="X274" i="1" l="1"/>
  <c r="Y274" i="1" s="1"/>
  <c r="X275" i="1"/>
  <c r="Y275" i="1" s="1"/>
  <c r="X276" i="1"/>
  <c r="Y276" i="1" s="1"/>
  <c r="X277" i="1"/>
  <c r="Y277" i="1" s="1"/>
  <c r="X278" i="1"/>
  <c r="Y278" i="1" s="1"/>
  <c r="X279" i="1"/>
  <c r="Y279" i="1" s="1"/>
  <c r="E87" i="13"/>
  <c r="F87" i="13"/>
  <c r="G87" i="13"/>
  <c r="H87" i="13"/>
  <c r="D87" i="13"/>
  <c r="R20" i="14"/>
  <c r="S20" i="14"/>
  <c r="T20" i="14"/>
  <c r="U20" i="14"/>
  <c r="V20" i="14"/>
  <c r="C20" i="14"/>
  <c r="D20" i="14"/>
  <c r="E20" i="14"/>
  <c r="F20" i="14"/>
  <c r="G20" i="14"/>
  <c r="E85" i="13"/>
  <c r="F85" i="13"/>
  <c r="G85" i="13"/>
  <c r="H85" i="13"/>
  <c r="D85" i="13"/>
  <c r="F27" i="11" l="1"/>
  <c r="T5" i="8"/>
  <c r="F83" i="13" s="1"/>
  <c r="P5" i="9"/>
  <c r="K5" i="9"/>
  <c r="T5" i="9"/>
  <c r="F84" i="13" s="1"/>
  <c r="X271" i="1" l="1"/>
  <c r="Y271" i="1" s="1"/>
  <c r="X272" i="1"/>
  <c r="Y272" i="1" s="1"/>
  <c r="X273" i="1"/>
  <c r="Y273" i="1" s="1"/>
  <c r="AG5" i="11"/>
  <c r="AF5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6" i="11"/>
  <c r="AI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5" i="11"/>
  <c r="AK22" i="11" s="1"/>
  <c r="AE6" i="11"/>
  <c r="AF6" i="11"/>
  <c r="AG6" i="11"/>
  <c r="AH6" i="11"/>
  <c r="AJ6" i="11"/>
  <c r="AE7" i="11"/>
  <c r="AF7" i="11"/>
  <c r="AG7" i="11"/>
  <c r="AH7" i="11"/>
  <c r="AJ7" i="11"/>
  <c r="AE8" i="11"/>
  <c r="AF8" i="11"/>
  <c r="AG8" i="11"/>
  <c r="AH8" i="11"/>
  <c r="AJ8" i="11"/>
  <c r="AE9" i="11"/>
  <c r="AF9" i="11"/>
  <c r="AG9" i="11"/>
  <c r="AH9" i="11"/>
  <c r="AJ9" i="11"/>
  <c r="AE10" i="11"/>
  <c r="AF10" i="11"/>
  <c r="AG10" i="11"/>
  <c r="AH10" i="11"/>
  <c r="AJ10" i="11"/>
  <c r="AE11" i="11"/>
  <c r="AF11" i="11"/>
  <c r="AG11" i="11"/>
  <c r="AH11" i="11"/>
  <c r="AJ11" i="11"/>
  <c r="AE12" i="11"/>
  <c r="AH12" i="11"/>
  <c r="AJ12" i="11"/>
  <c r="AF13" i="11"/>
  <c r="AG13" i="11"/>
  <c r="AH13" i="11"/>
  <c r="AJ13" i="11"/>
  <c r="AE14" i="11"/>
  <c r="AF14" i="11"/>
  <c r="AG14" i="11"/>
  <c r="AH14" i="11"/>
  <c r="AJ14" i="11"/>
  <c r="AE15" i="11"/>
  <c r="AG15" i="11"/>
  <c r="AH15" i="11"/>
  <c r="AJ15" i="11"/>
  <c r="AE16" i="11"/>
  <c r="AF16" i="11"/>
  <c r="AG16" i="11"/>
  <c r="AH16" i="11"/>
  <c r="AJ16" i="11"/>
  <c r="AE17" i="11"/>
  <c r="AF17" i="11"/>
  <c r="AG17" i="11"/>
  <c r="AH17" i="11"/>
  <c r="AJ17" i="11"/>
  <c r="AE18" i="11"/>
  <c r="AF18" i="11"/>
  <c r="AG18" i="11"/>
  <c r="AH18" i="11"/>
  <c r="AJ18" i="11"/>
  <c r="AF19" i="11"/>
  <c r="AG19" i="11"/>
  <c r="AJ19" i="11"/>
  <c r="AE20" i="11"/>
  <c r="AG20" i="11"/>
  <c r="AJ20" i="11"/>
  <c r="AE21" i="11"/>
  <c r="AF21" i="11"/>
  <c r="AG21" i="11"/>
  <c r="AH21" i="11"/>
  <c r="AJ21" i="11"/>
  <c r="AH5" i="11"/>
  <c r="AJ5" i="11"/>
  <c r="AE5" i="11"/>
  <c r="S22" i="11"/>
  <c r="W22" i="11"/>
  <c r="D22" i="11"/>
  <c r="E22" i="11"/>
  <c r="G22" i="11"/>
  <c r="H22" i="11"/>
  <c r="K22" i="11"/>
  <c r="O22" i="11"/>
  <c r="Q22" i="11"/>
  <c r="R22" i="11"/>
  <c r="T22" i="11"/>
  <c r="V22" i="11"/>
  <c r="X22" i="11"/>
  <c r="Y22" i="11"/>
  <c r="AA22" i="11"/>
  <c r="AC22" i="11"/>
  <c r="C22" i="11"/>
  <c r="Q19" i="11"/>
  <c r="AE19" i="11" s="1"/>
  <c r="M19" i="11"/>
  <c r="AH19" i="11" s="1"/>
  <c r="F5" i="11"/>
  <c r="E82" i="13"/>
  <c r="F82" i="13"/>
  <c r="G82" i="13"/>
  <c r="H82" i="13"/>
  <c r="D82" i="13"/>
  <c r="E80" i="13"/>
  <c r="F80" i="13"/>
  <c r="G80" i="13"/>
  <c r="H80" i="13"/>
  <c r="D80" i="13"/>
  <c r="F78" i="13"/>
  <c r="R22" i="12"/>
  <c r="S22" i="12"/>
  <c r="U22" i="12"/>
  <c r="V22" i="12"/>
  <c r="C22" i="12"/>
  <c r="D22" i="12"/>
  <c r="F22" i="12"/>
  <c r="G22" i="12"/>
  <c r="F79" i="13"/>
  <c r="X263" i="1"/>
  <c r="Y263" i="1" s="1"/>
  <c r="X264" i="1"/>
  <c r="Y264" i="1" s="1"/>
  <c r="X265" i="1"/>
  <c r="Y265" i="1" s="1"/>
  <c r="X266" i="1"/>
  <c r="Y266" i="1" s="1"/>
  <c r="X267" i="1"/>
  <c r="Y267" i="1" s="1"/>
  <c r="X268" i="1"/>
  <c r="Y268" i="1" s="1"/>
  <c r="X269" i="1"/>
  <c r="Y269" i="1" s="1"/>
  <c r="X270" i="1"/>
  <c r="Y270" i="1" s="1"/>
  <c r="AJ22" i="11" l="1"/>
  <c r="AI22" i="11"/>
  <c r="AH22" i="11"/>
  <c r="AF22" i="11"/>
  <c r="AG22" i="11"/>
  <c r="F22" i="11"/>
  <c r="M22" i="11"/>
  <c r="X261" i="1"/>
  <c r="Y261" i="1" s="1"/>
  <c r="X262" i="1"/>
  <c r="Y262" i="1" s="1"/>
  <c r="X260" i="1"/>
  <c r="Y260" i="1" s="1"/>
  <c r="X259" i="1"/>
  <c r="Y259" i="1" s="1"/>
  <c r="AB261" i="1" l="1"/>
  <c r="AC261" i="1" s="1"/>
  <c r="AB262" i="1"/>
  <c r="AC262" i="1" s="1"/>
  <c r="AB263" i="1"/>
  <c r="AC263" i="1" s="1"/>
  <c r="AB264" i="1"/>
  <c r="AC264" i="1" s="1"/>
  <c r="AB265" i="1"/>
  <c r="AC265" i="1" s="1"/>
  <c r="AB266" i="1"/>
  <c r="AC266" i="1" s="1"/>
  <c r="AB267" i="1"/>
  <c r="AC267" i="1" s="1"/>
  <c r="AB268" i="1"/>
  <c r="AC268" i="1" s="1"/>
  <c r="AC269" i="1"/>
  <c r="AC270" i="1"/>
  <c r="AC271" i="1"/>
  <c r="AC272" i="1"/>
  <c r="AC273" i="1"/>
  <c r="AC274" i="1"/>
  <c r="AC275" i="1"/>
  <c r="AC276" i="1"/>
  <c r="AC277" i="1"/>
  <c r="AC278" i="1"/>
  <c r="AC279" i="1"/>
  <c r="AB257" i="1"/>
  <c r="AC257" i="1" s="1"/>
  <c r="AB258" i="1"/>
  <c r="AC258" i="1" s="1"/>
  <c r="AB259" i="1"/>
  <c r="AC259" i="1" s="1"/>
  <c r="AB260" i="1"/>
  <c r="AC260" i="1" s="1"/>
  <c r="X256" i="1"/>
  <c r="Y256" i="1" s="1"/>
  <c r="X257" i="1"/>
  <c r="Y257" i="1" s="1"/>
  <c r="X258" i="1"/>
  <c r="Y258" i="1" s="1"/>
  <c r="AB254" i="1"/>
  <c r="AC254" i="1" s="1"/>
  <c r="Y134" i="1"/>
  <c r="E76" i="13" l="1"/>
  <c r="F76" i="13"/>
  <c r="G76" i="13"/>
  <c r="H76" i="13"/>
  <c r="D76" i="13"/>
  <c r="E75" i="13"/>
  <c r="F75" i="13"/>
  <c r="G75" i="13"/>
  <c r="H75" i="13"/>
  <c r="D75" i="13"/>
  <c r="E77" i="13"/>
  <c r="F77" i="13"/>
  <c r="G77" i="13"/>
  <c r="H77" i="13"/>
  <c r="D77" i="13"/>
  <c r="F73" i="13"/>
  <c r="X251" i="1"/>
  <c r="Y251" i="1" s="1"/>
  <c r="X249" i="1"/>
  <c r="Y249" i="1" s="1"/>
  <c r="AB249" i="1"/>
  <c r="AC249" i="1" s="1"/>
  <c r="M14" i="10"/>
  <c r="AB248" i="1"/>
  <c r="AC248" i="1" s="1"/>
  <c r="AB252" i="1"/>
  <c r="AC252" i="1" s="1"/>
  <c r="AB253" i="1"/>
  <c r="AC253" i="1" s="1"/>
  <c r="AB255" i="1"/>
  <c r="AC255" i="1" s="1"/>
  <c r="AB256" i="1"/>
  <c r="AC256" i="1" s="1"/>
  <c r="X247" i="1"/>
  <c r="Y247" i="1" s="1"/>
  <c r="X248" i="1"/>
  <c r="Y248" i="1" s="1"/>
  <c r="X250" i="1"/>
  <c r="Y250" i="1" s="1"/>
  <c r="X252" i="1"/>
  <c r="Y252" i="1" s="1"/>
  <c r="X253" i="1"/>
  <c r="Y253" i="1" s="1"/>
  <c r="X254" i="1"/>
  <c r="Y254" i="1" s="1"/>
  <c r="X255" i="1"/>
  <c r="Y255" i="1" s="1"/>
  <c r="F74" i="13"/>
  <c r="X245" i="1"/>
  <c r="Y245" i="1" s="1"/>
  <c r="X246" i="1"/>
  <c r="Y246" i="1" s="1"/>
  <c r="AB245" i="1"/>
  <c r="AC245" i="1" s="1"/>
  <c r="AB246" i="1"/>
  <c r="AC246" i="1" s="1"/>
  <c r="AB247" i="1"/>
  <c r="AC247" i="1" s="1"/>
  <c r="F70" i="13"/>
  <c r="F69" i="13"/>
  <c r="F68" i="13"/>
  <c r="AB251" i="1" l="1"/>
  <c r="AC251" i="1" s="1"/>
  <c r="AB250" i="1"/>
  <c r="AC250" i="1" s="1"/>
  <c r="AB238" i="1"/>
  <c r="AC238" i="1" s="1"/>
  <c r="X238" i="1"/>
  <c r="Y238" i="1" s="1"/>
  <c r="AB239" i="1"/>
  <c r="AC239" i="1" s="1"/>
  <c r="X239" i="1"/>
  <c r="Y239" i="1" s="1"/>
  <c r="AB240" i="1"/>
  <c r="AC240" i="1" s="1"/>
  <c r="X240" i="1"/>
  <c r="Y240" i="1" s="1"/>
  <c r="AB241" i="1"/>
  <c r="AC241" i="1" s="1"/>
  <c r="X241" i="1"/>
  <c r="Y241" i="1" s="1"/>
  <c r="AB242" i="1"/>
  <c r="AC242" i="1" s="1"/>
  <c r="X242" i="1"/>
  <c r="Y242" i="1" s="1"/>
  <c r="AB243" i="1"/>
  <c r="AC243" i="1" s="1"/>
  <c r="X243" i="1"/>
  <c r="Y243" i="1" s="1"/>
  <c r="AB244" i="1"/>
  <c r="AC244" i="1" s="1"/>
  <c r="X244" i="1"/>
  <c r="Y244" i="1" s="1"/>
  <c r="F65" i="13"/>
  <c r="F64" i="13"/>
  <c r="F63" i="13"/>
  <c r="Y127" i="1"/>
  <c r="W225" i="1"/>
  <c r="AB225" i="1" s="1"/>
  <c r="AC225" i="1" s="1"/>
  <c r="W222" i="1"/>
  <c r="AB222" i="1" s="1"/>
  <c r="AC222" i="1" s="1"/>
  <c r="W220" i="1"/>
  <c r="AB220" i="1" s="1"/>
  <c r="AC220" i="1" s="1"/>
  <c r="W219" i="1"/>
  <c r="AB219" i="1" s="1"/>
  <c r="AC219" i="1" s="1"/>
  <c r="W213" i="1"/>
  <c r="AB213" i="1" s="1"/>
  <c r="AC213" i="1" s="1"/>
  <c r="W212" i="1"/>
  <c r="AB212" i="1" s="1"/>
  <c r="AC212" i="1" s="1"/>
  <c r="W200" i="1"/>
  <c r="AB200" i="1" s="1"/>
  <c r="AC200" i="1" s="1"/>
  <c r="W198" i="1"/>
  <c r="AB198" i="1" s="1"/>
  <c r="AC198" i="1" s="1"/>
  <c r="W179" i="1"/>
  <c r="AC179" i="1" s="1"/>
  <c r="W131" i="1"/>
  <c r="AB131" i="1" s="1"/>
  <c r="AC131" i="1" s="1"/>
  <c r="W126" i="1"/>
  <c r="AB126" i="1" s="1"/>
  <c r="AC126" i="1" s="1"/>
  <c r="W125" i="1"/>
  <c r="AB125" i="1" s="1"/>
  <c r="AC125" i="1" s="1"/>
  <c r="W124" i="1"/>
  <c r="AB124" i="1" s="1"/>
  <c r="AC124" i="1" s="1"/>
  <c r="W120" i="1"/>
  <c r="AB120" i="1" s="1"/>
  <c r="AC120" i="1" s="1"/>
  <c r="W107" i="1"/>
  <c r="AB107" i="1" s="1"/>
  <c r="AC107" i="1" s="1"/>
  <c r="W47" i="1"/>
  <c r="AB47" i="1" s="1"/>
  <c r="AC47" i="1" s="1"/>
  <c r="W46" i="1"/>
  <c r="AB46" i="1" s="1"/>
  <c r="AC46" i="1" s="1"/>
  <c r="W42" i="1"/>
  <c r="AB42" i="1" s="1"/>
  <c r="AC42" i="1" s="1"/>
  <c r="W41" i="1"/>
  <c r="AB41" i="1" s="1"/>
  <c r="AC41" i="1" s="1"/>
  <c r="X225" i="1"/>
  <c r="X222" i="1"/>
  <c r="X220" i="1"/>
  <c r="X219" i="1"/>
  <c r="X213" i="1"/>
  <c r="X212" i="1"/>
  <c r="X200" i="1"/>
  <c r="X198" i="1"/>
  <c r="X179" i="1"/>
  <c r="X131" i="1"/>
  <c r="X126" i="1"/>
  <c r="X125" i="1"/>
  <c r="X124" i="1"/>
  <c r="X120" i="1"/>
  <c r="X107" i="1"/>
  <c r="X47" i="1"/>
  <c r="Y47" i="1" s="1"/>
  <c r="X46" i="1"/>
  <c r="Y46" i="1" s="1"/>
  <c r="X42" i="1"/>
  <c r="Y42" i="1" s="1"/>
  <c r="X41" i="1"/>
  <c r="Y41" i="1" s="1"/>
  <c r="X237" i="1"/>
  <c r="Y237" i="1" s="1"/>
  <c r="AB237" i="1"/>
  <c r="AC237" i="1" s="1"/>
  <c r="X236" i="1"/>
  <c r="Y236" i="1" s="1"/>
  <c r="AB236" i="1"/>
  <c r="AC236" i="1" s="1"/>
  <c r="X232" i="1"/>
  <c r="Y232" i="1" s="1"/>
  <c r="X233" i="1"/>
  <c r="Y233" i="1" s="1"/>
  <c r="X234" i="1"/>
  <c r="Y234" i="1" s="1"/>
  <c r="AB232" i="1"/>
  <c r="AC232" i="1" s="1"/>
  <c r="AB233" i="1"/>
  <c r="AC233" i="1" s="1"/>
  <c r="AB234" i="1"/>
  <c r="AC234" i="1" s="1"/>
  <c r="AB235" i="1"/>
  <c r="AC235" i="1" s="1"/>
  <c r="X235" i="1"/>
  <c r="Y235" i="1" s="1"/>
  <c r="X231" i="1" l="1"/>
  <c r="Y231" i="1" s="1"/>
  <c r="X229" i="1" l="1"/>
  <c r="Y229" i="1" s="1"/>
  <c r="AB230" i="1"/>
  <c r="AC230" i="1" s="1"/>
  <c r="X230" i="1"/>
  <c r="Y230" i="1" s="1"/>
  <c r="AB231" i="1"/>
  <c r="AC231" i="1" s="1"/>
  <c r="W227" i="1"/>
  <c r="AB227" i="1" s="1"/>
  <c r="AC227" i="1" s="1"/>
  <c r="X227" i="1"/>
  <c r="Y227" i="1" s="1"/>
  <c r="W228" i="1"/>
  <c r="AB228" i="1" s="1"/>
  <c r="AC228" i="1" s="1"/>
  <c r="X228" i="1"/>
  <c r="Y228" i="1" s="1"/>
  <c r="W224" i="1"/>
  <c r="AB224" i="1" s="1"/>
  <c r="AC224" i="1" s="1"/>
  <c r="X224" i="1"/>
  <c r="Y224" i="1" s="1"/>
  <c r="Y225" i="1"/>
  <c r="W226" i="1"/>
  <c r="AB226" i="1" s="1"/>
  <c r="AC226" i="1" s="1"/>
  <c r="X226" i="1"/>
  <c r="Y226" i="1" s="1"/>
  <c r="W214" i="1"/>
  <c r="AB214" i="1" s="1"/>
  <c r="AC214" i="1" s="1"/>
  <c r="X214" i="1"/>
  <c r="Y214" i="1" s="1"/>
  <c r="Y222" i="1"/>
  <c r="W221" i="1"/>
  <c r="AB221" i="1" s="1"/>
  <c r="AC221" i="1" s="1"/>
  <c r="X221" i="1"/>
  <c r="Y221" i="1" s="1"/>
  <c r="Y220" i="1"/>
  <c r="Y219" i="1"/>
  <c r="F60" i="13"/>
  <c r="F59" i="13"/>
  <c r="X217" i="1"/>
  <c r="Y217" i="1" s="1"/>
  <c r="X218" i="1"/>
  <c r="Y218" i="1" s="1"/>
  <c r="X223" i="1"/>
  <c r="Y223" i="1" s="1"/>
  <c r="W223" i="1"/>
  <c r="AB223" i="1" s="1"/>
  <c r="AC223" i="1" s="1"/>
  <c r="Y213" i="1"/>
  <c r="X215" i="1"/>
  <c r="Y215" i="1" s="1"/>
  <c r="X216" i="1"/>
  <c r="Y216" i="1" s="1"/>
  <c r="W217" i="1"/>
  <c r="AB217" i="1" s="1"/>
  <c r="AC217" i="1" s="1"/>
  <c r="W218" i="1"/>
  <c r="AB218" i="1" s="1"/>
  <c r="AC218" i="1" s="1"/>
  <c r="W215" i="1"/>
  <c r="AB215" i="1" s="1"/>
  <c r="AC215" i="1" s="1"/>
  <c r="W216" i="1"/>
  <c r="AB216" i="1" s="1"/>
  <c r="F58" i="13"/>
  <c r="Y212" i="1"/>
  <c r="X210" i="1"/>
  <c r="Y210" i="1" s="1"/>
  <c r="X211" i="1"/>
  <c r="Y211" i="1" s="1"/>
  <c r="W209" i="1"/>
  <c r="AB209" i="1" s="1"/>
  <c r="AC209" i="1" s="1"/>
  <c r="X209" i="1"/>
  <c r="Y209" i="1" s="1"/>
  <c r="W210" i="1"/>
  <c r="AB210" i="1" s="1"/>
  <c r="AC210" i="1" s="1"/>
  <c r="AB229" i="1" l="1"/>
  <c r="AC229" i="1" s="1"/>
  <c r="V5" i="1"/>
  <c r="D64" i="13"/>
  <c r="D59" i="13"/>
  <c r="D57" i="5"/>
  <c r="E57" i="5" s="1"/>
  <c r="AC216" i="1"/>
  <c r="D56" i="5"/>
  <c r="E56" i="5" s="1"/>
  <c r="D69" i="13" l="1"/>
  <c r="X207" i="1"/>
  <c r="Y207" i="1" s="1"/>
  <c r="X208" i="1"/>
  <c r="Y208" i="1" s="1"/>
  <c r="W207" i="1"/>
  <c r="AB207" i="1" s="1"/>
  <c r="AC207" i="1" s="1"/>
  <c r="W208" i="1"/>
  <c r="AB208" i="1" s="1"/>
  <c r="AC208" i="1" s="1"/>
  <c r="W211" i="1"/>
  <c r="AB211" i="1" s="1"/>
  <c r="AC211" i="1" s="1"/>
  <c r="W206" i="1"/>
  <c r="AB206" i="1" s="1"/>
  <c r="AC206" i="1" s="1"/>
  <c r="X205" i="1"/>
  <c r="Y205" i="1" s="1"/>
  <c r="X206" i="1"/>
  <c r="Y206" i="1" s="1"/>
  <c r="W203" i="1"/>
  <c r="AB203" i="1" s="1"/>
  <c r="AC203" i="1" s="1"/>
  <c r="X203" i="1"/>
  <c r="Y203" i="1" s="1"/>
  <c r="W204" i="1"/>
  <c r="AB204" i="1" s="1"/>
  <c r="AC204" i="1" s="1"/>
  <c r="X204" i="1"/>
  <c r="Y204" i="1" s="1"/>
  <c r="AB205" i="1"/>
  <c r="AC205" i="1" s="1"/>
  <c r="F55" i="13"/>
  <c r="D54" i="13"/>
  <c r="F53" i="13"/>
  <c r="P17" i="12"/>
  <c r="H17" i="12"/>
  <c r="M17" i="12"/>
  <c r="F54" i="13"/>
  <c r="Y200" i="1"/>
  <c r="X201" i="1"/>
  <c r="Y201" i="1" s="1"/>
  <c r="W199" i="1"/>
  <c r="AB199" i="1" s="1"/>
  <c r="AC199" i="1" s="1"/>
  <c r="X199" i="1"/>
  <c r="Y199" i="1" s="1"/>
  <c r="W197" i="1"/>
  <c r="AB197" i="1" s="1"/>
  <c r="X197" i="1"/>
  <c r="Y197" i="1" s="1"/>
  <c r="Y198" i="1"/>
  <c r="W201" i="1"/>
  <c r="AB201" i="1" s="1"/>
  <c r="AC201" i="1" s="1"/>
  <c r="W202" i="1"/>
  <c r="AB202" i="1" s="1"/>
  <c r="X202" i="1"/>
  <c r="Y202" i="1" s="1"/>
  <c r="W194" i="1"/>
  <c r="X194" i="1"/>
  <c r="Y194" i="1" s="1"/>
  <c r="W195" i="1"/>
  <c r="AB195" i="1" s="1"/>
  <c r="X195" i="1"/>
  <c r="Y195" i="1" s="1"/>
  <c r="W196" i="1"/>
  <c r="AB196" i="1" s="1"/>
  <c r="X196" i="1"/>
  <c r="Y196" i="1" s="1"/>
  <c r="D74" i="13" l="1"/>
  <c r="AC202" i="1"/>
  <c r="D55" i="5"/>
  <c r="E55" i="5" s="1"/>
  <c r="AC196" i="1"/>
  <c r="AC197" i="1"/>
  <c r="AC195" i="1"/>
  <c r="AB194" i="1"/>
  <c r="AC194" i="1" s="1"/>
  <c r="R5" i="9" l="1"/>
  <c r="D79" i="13"/>
  <c r="X191" i="1"/>
  <c r="Y191" i="1" s="1"/>
  <c r="X192" i="1"/>
  <c r="Y192" i="1" s="1"/>
  <c r="W191" i="1"/>
  <c r="AB191" i="1" s="1"/>
  <c r="W192" i="1"/>
  <c r="AB192" i="1" s="1"/>
  <c r="AC192" i="1" s="1"/>
  <c r="W193" i="1"/>
  <c r="W190" i="1"/>
  <c r="AB190" i="1" s="1"/>
  <c r="AC190" i="1" s="1"/>
  <c r="X190" i="1"/>
  <c r="Y190" i="1" s="1"/>
  <c r="F50" i="13"/>
  <c r="D49" i="13"/>
  <c r="W189" i="1"/>
  <c r="AB189" i="1" s="1"/>
  <c r="X189" i="1"/>
  <c r="Y189" i="1" s="1"/>
  <c r="C6" i="9" l="1"/>
  <c r="R6" i="9" s="1"/>
  <c r="D89" i="13" s="1"/>
  <c r="D84" i="13"/>
  <c r="AC191" i="1"/>
  <c r="D52" i="5"/>
  <c r="E52" i="5" s="1"/>
  <c r="D50" i="5"/>
  <c r="E50" i="5" s="1"/>
  <c r="AC189" i="1"/>
  <c r="X193" i="1"/>
  <c r="Y193" i="1" s="1"/>
  <c r="AB193" i="1"/>
  <c r="K16" i="12"/>
  <c r="X187" i="1"/>
  <c r="Y187" i="1" s="1"/>
  <c r="X186" i="1"/>
  <c r="Y186" i="1" s="1"/>
  <c r="W186" i="1"/>
  <c r="AB186" i="1" s="1"/>
  <c r="AC186" i="1" s="1"/>
  <c r="W187" i="1"/>
  <c r="AB187" i="1" s="1"/>
  <c r="AC187" i="1" s="1"/>
  <c r="D46" i="5"/>
  <c r="E46" i="5" s="1"/>
  <c r="W184" i="1"/>
  <c r="AC183" i="1"/>
  <c r="AC184" i="1"/>
  <c r="AC182" i="1"/>
  <c r="F48" i="13"/>
  <c r="X182" i="1"/>
  <c r="Y182" i="1" s="1"/>
  <c r="X183" i="1"/>
  <c r="Y183" i="1" s="1"/>
  <c r="X184" i="1"/>
  <c r="Y184" i="1" s="1"/>
  <c r="W183" i="1"/>
  <c r="W182" i="1"/>
  <c r="F45" i="13"/>
  <c r="D44" i="13"/>
  <c r="X175" i="1"/>
  <c r="Y175" i="1" s="1"/>
  <c r="W175" i="1"/>
  <c r="AB175" i="1" s="1"/>
  <c r="AC175" i="1" s="1"/>
  <c r="F43" i="13"/>
  <c r="F49" i="13"/>
  <c r="X181" i="1"/>
  <c r="Y181" i="1" s="1"/>
  <c r="W181" i="1"/>
  <c r="AB181" i="1" s="1"/>
  <c r="AC181" i="1" s="1"/>
  <c r="AC180" i="1"/>
  <c r="X180" i="1"/>
  <c r="Y180" i="1" s="1"/>
  <c r="W180" i="1"/>
  <c r="Y179" i="1"/>
  <c r="X178" i="1"/>
  <c r="Y178" i="1" s="1"/>
  <c r="W178" i="1"/>
  <c r="AC177" i="1"/>
  <c r="X177" i="1"/>
  <c r="Y177" i="1" s="1"/>
  <c r="W177" i="1"/>
  <c r="F44" i="13" l="1"/>
  <c r="AC193" i="1"/>
  <c r="D49" i="5"/>
  <c r="E49" i="5" s="1"/>
  <c r="D47" i="5"/>
  <c r="E47" i="5" s="1"/>
  <c r="D45" i="5"/>
  <c r="E45" i="5" s="1"/>
  <c r="K5" i="6"/>
  <c r="K6" i="6"/>
  <c r="K7" i="6"/>
  <c r="K8" i="6"/>
  <c r="K4" i="6"/>
  <c r="X174" i="1"/>
  <c r="Y174" i="1" s="1"/>
  <c r="X176" i="1"/>
  <c r="Y176" i="1" s="1"/>
  <c r="X185" i="1"/>
  <c r="Y185" i="1" s="1"/>
  <c r="X188" i="1"/>
  <c r="Y188" i="1" s="1"/>
  <c r="W174" i="1"/>
  <c r="AB174" i="1" s="1"/>
  <c r="AC174" i="1" s="1"/>
  <c r="W176" i="1"/>
  <c r="AB176" i="1" s="1"/>
  <c r="AC176" i="1" s="1"/>
  <c r="W185" i="1"/>
  <c r="AB185" i="1" s="1"/>
  <c r="AC185" i="1" s="1"/>
  <c r="W188" i="1"/>
  <c r="AB188" i="1" s="1"/>
  <c r="AC188" i="1" s="1"/>
  <c r="Y172" i="1"/>
  <c r="W172" i="1"/>
  <c r="AB172" i="1" s="1"/>
  <c r="AC172" i="1" s="1"/>
  <c r="Y171" i="1"/>
  <c r="W171" i="1"/>
  <c r="AB171" i="1" s="1"/>
  <c r="AC171" i="1" s="1"/>
  <c r="F40" i="13"/>
  <c r="Y170" i="1"/>
  <c r="W170" i="1"/>
  <c r="AB170" i="1" s="1"/>
  <c r="AC170" i="1" s="1"/>
  <c r="D39" i="13"/>
  <c r="F38" i="13"/>
  <c r="W168" i="1"/>
  <c r="AB168" i="1" s="1"/>
  <c r="AC168" i="1" s="1"/>
  <c r="X168" i="1"/>
  <c r="Y168" i="1" s="1"/>
  <c r="Y169" i="1"/>
  <c r="W167" i="1"/>
  <c r="AB167" i="1" s="1"/>
  <c r="AC167" i="1" s="1"/>
  <c r="W169" i="1"/>
  <c r="AB169" i="1" s="1"/>
  <c r="AC169" i="1" s="1"/>
  <c r="X167" i="1"/>
  <c r="Y167" i="1" s="1"/>
  <c r="X166" i="1"/>
  <c r="Y166" i="1" s="1"/>
  <c r="X164" i="1"/>
  <c r="X165" i="1"/>
  <c r="Y165" i="1" s="1"/>
  <c r="Y144" i="1"/>
  <c r="F39" i="13"/>
  <c r="K9" i="6" l="1"/>
  <c r="X36" i="1"/>
  <c r="Y36" i="1" s="1"/>
  <c r="X48" i="1"/>
  <c r="W164" i="1"/>
  <c r="AB164" i="1" s="1"/>
  <c r="AC164" i="1" s="1"/>
  <c r="W165" i="1"/>
  <c r="AB165" i="1" s="1"/>
  <c r="AC165" i="1" s="1"/>
  <c r="W166" i="1"/>
  <c r="AB166" i="1" s="1"/>
  <c r="AC166" i="1" s="1"/>
  <c r="Y164" i="1"/>
  <c r="H36" i="13"/>
  <c r="F35" i="13"/>
  <c r="D34" i="13"/>
  <c r="F33" i="13"/>
  <c r="J13" i="11"/>
  <c r="X162" i="1"/>
  <c r="Y162" i="1" s="1"/>
  <c r="W162" i="1"/>
  <c r="AB162" i="1" s="1"/>
  <c r="AC162" i="1" s="1"/>
  <c r="Y158" i="1"/>
  <c r="Y154" i="1"/>
  <c r="Y152" i="1"/>
  <c r="Y151" i="1"/>
  <c r="W151" i="1"/>
  <c r="AB151" i="1" s="1"/>
  <c r="AC151" i="1" s="1"/>
  <c r="W152" i="1"/>
  <c r="AB152" i="1" s="1"/>
  <c r="AC152" i="1" s="1"/>
  <c r="Y107" i="1"/>
  <c r="F34" i="13"/>
  <c r="X159" i="1"/>
  <c r="Y159" i="1" s="1"/>
  <c r="W159" i="1"/>
  <c r="AB159" i="1" s="1"/>
  <c r="AC159" i="1" s="1"/>
  <c r="W158" i="1"/>
  <c r="X157" i="1"/>
  <c r="Y157" i="1" s="1"/>
  <c r="W157" i="1"/>
  <c r="AB157" i="1" s="1"/>
  <c r="AC157" i="1" s="1"/>
  <c r="E26" i="2"/>
  <c r="F26" i="2" s="1"/>
  <c r="G26" i="2"/>
  <c r="H26" i="2" s="1"/>
  <c r="I26" i="2"/>
  <c r="J26" i="2" s="1"/>
  <c r="K26" i="2"/>
  <c r="L26" i="2" s="1"/>
  <c r="M26" i="2"/>
  <c r="N26" i="2" s="1"/>
  <c r="O26" i="2"/>
  <c r="P26" i="2" s="1"/>
  <c r="Y148" i="1"/>
  <c r="AE22" i="11" l="1"/>
  <c r="AE13" i="11"/>
  <c r="J22" i="11"/>
  <c r="AB158" i="1"/>
  <c r="AC158" i="1" l="1"/>
  <c r="D43" i="5"/>
  <c r="E43" i="5" s="1"/>
  <c r="Y147" i="1"/>
  <c r="W147" i="1"/>
  <c r="W149" i="1"/>
  <c r="W154" i="1"/>
  <c r="AB154" i="1" l="1"/>
  <c r="AC154" i="1" s="1"/>
  <c r="Y146" i="1"/>
  <c r="W146" i="1"/>
  <c r="AB146" i="1" s="1"/>
  <c r="AC146" i="1" s="1"/>
  <c r="H31" i="13"/>
  <c r="F30" i="13"/>
  <c r="D29" i="13"/>
  <c r="W144" i="1"/>
  <c r="AB144" i="1" s="1"/>
  <c r="W145" i="1"/>
  <c r="F29" i="13"/>
  <c r="F28" i="13"/>
  <c r="Y141" i="1" l="1"/>
  <c r="Y125" i="1"/>
  <c r="Y126" i="1"/>
  <c r="Y140" i="1"/>
  <c r="D8" i="5"/>
  <c r="D9" i="5"/>
  <c r="D14" i="5"/>
  <c r="D19" i="5"/>
  <c r="D21" i="5"/>
  <c r="Y138" i="1"/>
  <c r="Y130" i="1"/>
  <c r="W130" i="1"/>
  <c r="AB130" i="1" s="1"/>
  <c r="AC130" i="1" s="1"/>
  <c r="Y129" i="1"/>
  <c r="W129" i="1"/>
  <c r="AB129" i="1" s="1"/>
  <c r="AC129" i="1" s="1"/>
  <c r="Y137" i="1"/>
  <c r="X136" i="1"/>
  <c r="Y136" i="1" s="1"/>
  <c r="Y135" i="1"/>
  <c r="Y128" i="1"/>
  <c r="W127" i="1"/>
  <c r="AB127" i="1" s="1"/>
  <c r="AC127" i="1" s="1"/>
  <c r="W128" i="1"/>
  <c r="AB128" i="1" s="1"/>
  <c r="D37" i="5" s="1"/>
  <c r="E37" i="5" s="1"/>
  <c r="F25" i="13"/>
  <c r="D24" i="13"/>
  <c r="F23" i="13"/>
  <c r="Y124" i="1"/>
  <c r="F24" i="13"/>
  <c r="D11" i="5" l="1"/>
  <c r="AC128" i="1"/>
  <c r="D32" i="5"/>
  <c r="E32" i="5" s="1"/>
  <c r="Y133" i="1" l="1"/>
  <c r="Y132" i="1"/>
  <c r="Y131" i="1"/>
  <c r="Y123" i="1"/>
  <c r="Y122" i="1"/>
  <c r="AB149" i="1"/>
  <c r="W150" i="1"/>
  <c r="AB150" i="1" s="1"/>
  <c r="AC150" i="1" s="1"/>
  <c r="W153" i="1"/>
  <c r="AB153" i="1" s="1"/>
  <c r="AC153" i="1" s="1"/>
  <c r="W155" i="1"/>
  <c r="AB155" i="1" s="1"/>
  <c r="AC155" i="1" s="1"/>
  <c r="W156" i="1"/>
  <c r="AB156" i="1" s="1"/>
  <c r="AC156" i="1" s="1"/>
  <c r="W160" i="1"/>
  <c r="AB160" i="1" s="1"/>
  <c r="AC160" i="1" s="1"/>
  <c r="W161" i="1"/>
  <c r="AB161" i="1" s="1"/>
  <c r="AC161" i="1" s="1"/>
  <c r="W163" i="1"/>
  <c r="AB163" i="1" s="1"/>
  <c r="W122" i="1"/>
  <c r="AB122" i="1" s="1"/>
  <c r="AC122" i="1" s="1"/>
  <c r="W132" i="1"/>
  <c r="AB132" i="1" s="1"/>
  <c r="AC132" i="1" s="1"/>
  <c r="W133" i="1"/>
  <c r="AB133" i="1" s="1"/>
  <c r="AC133" i="1" s="1"/>
  <c r="AC163" i="1" l="1"/>
  <c r="AC149" i="1"/>
  <c r="D42" i="5"/>
  <c r="E42" i="5" s="1"/>
  <c r="Y119" i="1"/>
  <c r="W119" i="1"/>
  <c r="AB119" i="1" s="1"/>
  <c r="AC119" i="1" s="1"/>
  <c r="W121" i="1"/>
  <c r="AB121" i="1" s="1"/>
  <c r="AC121" i="1" s="1"/>
  <c r="Y121" i="1"/>
  <c r="Y120" i="1"/>
  <c r="X117" i="1"/>
  <c r="Y117" i="1" s="1"/>
  <c r="W117" i="1"/>
  <c r="AB117" i="1" s="1"/>
  <c r="AC117" i="1" s="1"/>
  <c r="M7" i="10"/>
  <c r="H21" i="13"/>
  <c r="F20" i="13"/>
  <c r="D19" i="13"/>
  <c r="F19" i="13"/>
  <c r="F18" i="13"/>
  <c r="I5" i="10"/>
  <c r="Y93" i="1"/>
  <c r="W93" i="1"/>
  <c r="AB93" i="1" s="1"/>
  <c r="AC93" i="1" s="1"/>
  <c r="F13" i="13"/>
  <c r="E17" i="13"/>
  <c r="H16" i="13"/>
  <c r="F15" i="13"/>
  <c r="D14" i="13"/>
  <c r="S7" i="14"/>
  <c r="D8" i="14" s="1"/>
  <c r="S8" i="14" s="1"/>
  <c r="T7" i="14"/>
  <c r="E8" i="14" s="1"/>
  <c r="T8" i="14" s="1"/>
  <c r="U7" i="14"/>
  <c r="F8" i="14" s="1"/>
  <c r="U8" i="14" s="1"/>
  <c r="V7" i="14"/>
  <c r="G8" i="14" s="1"/>
  <c r="V8" i="14" s="1"/>
  <c r="R7" i="14"/>
  <c r="C8" i="14" s="1"/>
  <c r="R8" i="14" s="1"/>
  <c r="AL67" i="14"/>
  <c r="AL68" i="14" s="1"/>
  <c r="AK67" i="14"/>
  <c r="AJ67" i="14"/>
  <c r="AI67" i="14"/>
  <c r="AH67" i="14"/>
  <c r="AG67" i="14"/>
  <c r="AG68" i="14" s="1"/>
  <c r="AF67" i="14"/>
  <c r="AF68" i="14" s="1"/>
  <c r="AE67" i="14"/>
  <c r="AE68" i="14" s="1"/>
  <c r="AD67" i="14"/>
  <c r="AD68" i="14" s="1"/>
  <c r="AC67" i="14"/>
  <c r="AC68" i="14" s="1"/>
  <c r="AB67" i="14"/>
  <c r="AB68" i="14" s="1"/>
  <c r="AA67" i="14"/>
  <c r="AA68" i="14" s="1"/>
  <c r="P5" i="14"/>
  <c r="V4" i="14"/>
  <c r="G5" i="14" s="1"/>
  <c r="V5" i="14" s="1"/>
  <c r="G6" i="14" s="1"/>
  <c r="V6" i="14" s="1"/>
  <c r="U4" i="14"/>
  <c r="F5" i="14" s="1"/>
  <c r="U5" i="14" s="1"/>
  <c r="F6" i="14" s="1"/>
  <c r="U6" i="14" s="1"/>
  <c r="S4" i="14"/>
  <c r="D5" i="14" s="1"/>
  <c r="S5" i="14" s="1"/>
  <c r="D6" i="14" s="1"/>
  <c r="S6" i="14" s="1"/>
  <c r="R4" i="14"/>
  <c r="AH68" i="14" s="1"/>
  <c r="V3" i="14"/>
  <c r="U3" i="14"/>
  <c r="S3" i="14"/>
  <c r="R3" i="14"/>
  <c r="Y100" i="1"/>
  <c r="D22" i="13" l="1"/>
  <c r="D32" i="13"/>
  <c r="C9" i="14"/>
  <c r="R9" i="14" s="1"/>
  <c r="H22" i="13"/>
  <c r="H32" i="13"/>
  <c r="G9" i="14"/>
  <c r="V9" i="14" s="1"/>
  <c r="G22" i="13"/>
  <c r="F9" i="14"/>
  <c r="U9" i="14" s="1"/>
  <c r="G32" i="13"/>
  <c r="F22" i="13"/>
  <c r="E9" i="14"/>
  <c r="T9" i="14" s="1"/>
  <c r="F32" i="13"/>
  <c r="E22" i="13"/>
  <c r="D9" i="14"/>
  <c r="S9" i="14" s="1"/>
  <c r="E32" i="13"/>
  <c r="D17" i="13"/>
  <c r="G17" i="13"/>
  <c r="F17" i="13"/>
  <c r="H17" i="13"/>
  <c r="AJ68" i="14"/>
  <c r="AI68" i="14"/>
  <c r="AK68" i="14"/>
  <c r="C5" i="14"/>
  <c r="R5" i="14" s="1"/>
  <c r="C6" i="14" s="1"/>
  <c r="R6" i="14" s="1"/>
  <c r="E10" i="14" l="1"/>
  <c r="T10" i="14" s="1"/>
  <c r="E11" i="14" s="1"/>
  <c r="T11" i="14" s="1"/>
  <c r="F27" i="13"/>
  <c r="F10" i="14"/>
  <c r="U10" i="14" s="1"/>
  <c r="F11" i="14" s="1"/>
  <c r="U11" i="14" s="1"/>
  <c r="G27" i="13"/>
  <c r="C10" i="14"/>
  <c r="R10" i="14" s="1"/>
  <c r="C11" i="14" s="1"/>
  <c r="R11" i="14" s="1"/>
  <c r="D27" i="13"/>
  <c r="G10" i="14"/>
  <c r="V10" i="14" s="1"/>
  <c r="G11" i="14" s="1"/>
  <c r="V11" i="14" s="1"/>
  <c r="H27" i="13"/>
  <c r="D10" i="14"/>
  <c r="S10" i="14" s="1"/>
  <c r="D11" i="14" s="1"/>
  <c r="S11" i="14" s="1"/>
  <c r="E27" i="13"/>
  <c r="F14" i="13"/>
  <c r="Y91" i="1"/>
  <c r="W91" i="1"/>
  <c r="AB91" i="1" s="1"/>
  <c r="AC91" i="1" s="1"/>
  <c r="P8" i="12"/>
  <c r="M5" i="10"/>
  <c r="Q5" i="10"/>
  <c r="H12" i="13"/>
  <c r="F11" i="13"/>
  <c r="D10" i="13"/>
  <c r="F9" i="13"/>
  <c r="O4" i="10"/>
  <c r="P4" i="10"/>
  <c r="Q4" i="10"/>
  <c r="R4" i="10"/>
  <c r="O5" i="10"/>
  <c r="C6" i="10" s="1"/>
  <c r="O6" i="10" s="1"/>
  <c r="P5" i="10"/>
  <c r="D6" i="10" s="1"/>
  <c r="P6" i="10" s="1"/>
  <c r="R5" i="10"/>
  <c r="F6" i="10" s="1"/>
  <c r="R6" i="10" s="1"/>
  <c r="F10" i="13"/>
  <c r="F8" i="13"/>
  <c r="D7" i="13"/>
  <c r="F7" i="13"/>
  <c r="F6" i="13"/>
  <c r="Y76" i="1"/>
  <c r="F5" i="13"/>
  <c r="D4" i="13"/>
  <c r="D12" i="14" l="1"/>
  <c r="S12" i="14" s="1"/>
  <c r="E37" i="13"/>
  <c r="F12" i="14"/>
  <c r="U12" i="14" s="1"/>
  <c r="G37" i="13"/>
  <c r="G12" i="14"/>
  <c r="V12" i="14" s="1"/>
  <c r="H37" i="13"/>
  <c r="C12" i="14"/>
  <c r="R12" i="14" s="1"/>
  <c r="D37" i="13"/>
  <c r="E12" i="14"/>
  <c r="T12" i="14" s="1"/>
  <c r="F37" i="13"/>
  <c r="F7" i="10"/>
  <c r="R7" i="10" s="1"/>
  <c r="G16" i="13"/>
  <c r="G12" i="13"/>
  <c r="D16" i="13"/>
  <c r="C7" i="10"/>
  <c r="O7" i="10" s="1"/>
  <c r="E16" i="13"/>
  <c r="D7" i="10"/>
  <c r="P7" i="10" s="1"/>
  <c r="E12" i="13"/>
  <c r="D12" i="13"/>
  <c r="F12" i="13"/>
  <c r="E6" i="10"/>
  <c r="Q6" i="10" s="1"/>
  <c r="AB60" i="1"/>
  <c r="F4" i="13"/>
  <c r="F3" i="13"/>
  <c r="AB56" i="1"/>
  <c r="AC56" i="1" s="1"/>
  <c r="P5" i="12"/>
  <c r="E13" i="14" l="1"/>
  <c r="T13" i="14" s="1"/>
  <c r="F42" i="13"/>
  <c r="C13" i="14"/>
  <c r="R13" i="14" s="1"/>
  <c r="D42" i="13"/>
  <c r="G13" i="14"/>
  <c r="V13" i="14" s="1"/>
  <c r="H42" i="13"/>
  <c r="F13" i="14"/>
  <c r="U13" i="14" s="1"/>
  <c r="G42" i="13"/>
  <c r="D13" i="14"/>
  <c r="S13" i="14" s="1"/>
  <c r="E42" i="13"/>
  <c r="F8" i="10"/>
  <c r="R8" i="10" s="1"/>
  <c r="F9" i="10" s="1"/>
  <c r="R9" i="10" s="1"/>
  <c r="G21" i="13"/>
  <c r="D8" i="10"/>
  <c r="P8" i="10" s="1"/>
  <c r="D9" i="10" s="1"/>
  <c r="P9" i="10" s="1"/>
  <c r="E21" i="13"/>
  <c r="C8" i="10"/>
  <c r="O8" i="10" s="1"/>
  <c r="C9" i="10" s="1"/>
  <c r="O9" i="10" s="1"/>
  <c r="D21" i="13"/>
  <c r="AC60" i="1"/>
  <c r="F16" i="13"/>
  <c r="E7" i="10"/>
  <c r="Q7" i="10" s="1"/>
  <c r="R4" i="12"/>
  <c r="C5" i="12" s="1"/>
  <c r="R5" i="12" s="1"/>
  <c r="C6" i="12" s="1"/>
  <c r="R6" i="12" s="1"/>
  <c r="S4" i="12"/>
  <c r="D5" i="12" s="1"/>
  <c r="S5" i="12" s="1"/>
  <c r="D6" i="12" s="1"/>
  <c r="S6" i="12" s="1"/>
  <c r="U4" i="12"/>
  <c r="F5" i="12" s="1"/>
  <c r="V4" i="12"/>
  <c r="G5" i="12" s="1"/>
  <c r="V5" i="12" s="1"/>
  <c r="G6" i="12" s="1"/>
  <c r="V6" i="12" s="1"/>
  <c r="AB70" i="12"/>
  <c r="AL69" i="12"/>
  <c r="AL70" i="12" s="1"/>
  <c r="AK69" i="12"/>
  <c r="AJ69" i="12"/>
  <c r="AI69" i="12"/>
  <c r="AH69" i="12"/>
  <c r="AG69" i="12"/>
  <c r="AG70" i="12" s="1"/>
  <c r="AF69" i="12"/>
  <c r="AF70" i="12" s="1"/>
  <c r="AE69" i="12"/>
  <c r="AE70" i="12" s="1"/>
  <c r="AD69" i="12"/>
  <c r="AD70" i="12" s="1"/>
  <c r="AC69" i="12"/>
  <c r="AC70" i="12" s="1"/>
  <c r="AB69" i="12"/>
  <c r="AA69" i="12"/>
  <c r="AA70" i="12" s="1"/>
  <c r="V3" i="12"/>
  <c r="U3" i="12"/>
  <c r="S3" i="12"/>
  <c r="R3" i="12"/>
  <c r="E21" i="5"/>
  <c r="AB51" i="9"/>
  <c r="AC51" i="9"/>
  <c r="AD51" i="9"/>
  <c r="AE51" i="9"/>
  <c r="AF51" i="9"/>
  <c r="AG51" i="9"/>
  <c r="AH51" i="9"/>
  <c r="AI51" i="9"/>
  <c r="AJ51" i="9"/>
  <c r="AK51" i="9"/>
  <c r="AL51" i="9"/>
  <c r="AA51" i="9"/>
  <c r="E47" i="13" l="1"/>
  <c r="D14" i="14"/>
  <c r="S14" i="14" s="1"/>
  <c r="F14" i="14"/>
  <c r="U14" i="14" s="1"/>
  <c r="G47" i="13"/>
  <c r="H47" i="13"/>
  <c r="G14" i="14"/>
  <c r="V14" i="14" s="1"/>
  <c r="D47" i="13"/>
  <c r="C14" i="14"/>
  <c r="R14" i="14" s="1"/>
  <c r="E14" i="14"/>
  <c r="T14" i="14" s="1"/>
  <c r="F47" i="13"/>
  <c r="D31" i="13"/>
  <c r="C10" i="10"/>
  <c r="O10" i="10" s="1"/>
  <c r="E31" i="13"/>
  <c r="D10" i="10"/>
  <c r="P10" i="10" s="1"/>
  <c r="G31" i="13"/>
  <c r="F10" i="10"/>
  <c r="R10" i="10" s="1"/>
  <c r="F21" i="13"/>
  <c r="E8" i="10"/>
  <c r="Q8" i="10" s="1"/>
  <c r="E9" i="10" s="1"/>
  <c r="Q9" i="10" s="1"/>
  <c r="H5" i="13"/>
  <c r="G7" i="12"/>
  <c r="V7" i="12" s="1"/>
  <c r="E5" i="13"/>
  <c r="D7" i="12"/>
  <c r="S7" i="12" s="1"/>
  <c r="C7" i="12"/>
  <c r="R7" i="12" s="1"/>
  <c r="C8" i="12" s="1"/>
  <c r="R8" i="12" s="1"/>
  <c r="D5" i="13"/>
  <c r="AI70" i="12"/>
  <c r="AH70" i="12"/>
  <c r="AJ70" i="12"/>
  <c r="U5" i="12"/>
  <c r="F6" i="12" s="1"/>
  <c r="U6" i="12" s="1"/>
  <c r="AK70" i="12"/>
  <c r="D15" i="14" l="1"/>
  <c r="S15" i="14" s="1"/>
  <c r="D16" i="14" s="1"/>
  <c r="S16" i="14" s="1"/>
  <c r="E57" i="13"/>
  <c r="E52" i="13"/>
  <c r="E15" i="14"/>
  <c r="T15" i="14" s="1"/>
  <c r="E16" i="14" s="1"/>
  <c r="T16" i="14" s="1"/>
  <c r="F57" i="13"/>
  <c r="F52" i="13"/>
  <c r="C15" i="14"/>
  <c r="R15" i="14" s="1"/>
  <c r="C16" i="14" s="1"/>
  <c r="R16" i="14" s="1"/>
  <c r="D57" i="13"/>
  <c r="D52" i="13"/>
  <c r="G15" i="14"/>
  <c r="V15" i="14" s="1"/>
  <c r="G16" i="14" s="1"/>
  <c r="V16" i="14" s="1"/>
  <c r="H57" i="13"/>
  <c r="H52" i="13"/>
  <c r="F15" i="14"/>
  <c r="U15" i="14" s="1"/>
  <c r="F16" i="14" s="1"/>
  <c r="U16" i="14" s="1"/>
  <c r="G57" i="13"/>
  <c r="G52" i="13"/>
  <c r="F31" i="13"/>
  <c r="E10" i="10"/>
  <c r="Q10" i="10" s="1"/>
  <c r="D11" i="10"/>
  <c r="P11" i="10" s="1"/>
  <c r="D12" i="10" s="1"/>
  <c r="P12" i="10" s="1"/>
  <c r="D13" i="10" s="1"/>
  <c r="P13" i="10" s="1"/>
  <c r="D14" i="10" s="1"/>
  <c r="P14" i="10" s="1"/>
  <c r="E36" i="13"/>
  <c r="C11" i="10"/>
  <c r="O11" i="10" s="1"/>
  <c r="C12" i="10" s="1"/>
  <c r="O12" i="10" s="1"/>
  <c r="C13" i="10" s="1"/>
  <c r="O13" i="10" s="1"/>
  <c r="C14" i="10" s="1"/>
  <c r="O14" i="10" s="1"/>
  <c r="D36" i="13"/>
  <c r="F11" i="10"/>
  <c r="R11" i="10" s="1"/>
  <c r="F12" i="10" s="1"/>
  <c r="R12" i="10" s="1"/>
  <c r="F13" i="10" s="1"/>
  <c r="R13" i="10" s="1"/>
  <c r="F14" i="10" s="1"/>
  <c r="R14" i="10" s="1"/>
  <c r="G36" i="13"/>
  <c r="C9" i="12"/>
  <c r="R9" i="12" s="1"/>
  <c r="D11" i="13"/>
  <c r="H8" i="13"/>
  <c r="G8" i="12"/>
  <c r="V8" i="12" s="1"/>
  <c r="E8" i="13"/>
  <c r="D8" i="12"/>
  <c r="S8" i="12" s="1"/>
  <c r="D8" i="13"/>
  <c r="F7" i="12"/>
  <c r="U7" i="12" s="1"/>
  <c r="G5" i="13"/>
  <c r="W29" i="1"/>
  <c r="AB29" i="1" s="1"/>
  <c r="AC29" i="1" s="1"/>
  <c r="X43" i="1"/>
  <c r="Y43" i="1" s="1"/>
  <c r="X44" i="1"/>
  <c r="Y44" i="1" s="1"/>
  <c r="X45" i="1"/>
  <c r="Y45" i="1" s="1"/>
  <c r="Y48" i="1"/>
  <c r="X54" i="1"/>
  <c r="Y54" i="1" s="1"/>
  <c r="Y55" i="1"/>
  <c r="Y57" i="1"/>
  <c r="X62" i="1"/>
  <c r="Y62" i="1" s="1"/>
  <c r="X63" i="1"/>
  <c r="Y63" i="1" s="1"/>
  <c r="X64" i="1"/>
  <c r="Y64" i="1" s="1"/>
  <c r="X65" i="1"/>
  <c r="Y65" i="1" s="1"/>
  <c r="X66" i="1"/>
  <c r="Y66" i="1" s="1"/>
  <c r="X67" i="1"/>
  <c r="Y67" i="1" s="1"/>
  <c r="X68" i="1"/>
  <c r="Y68" i="1" s="1"/>
  <c r="X69" i="1"/>
  <c r="Y69" i="1" s="1"/>
  <c r="X70" i="1"/>
  <c r="Y70" i="1" s="1"/>
  <c r="X71" i="1"/>
  <c r="Y71" i="1" s="1"/>
  <c r="X72" i="1"/>
  <c r="Y72" i="1" s="1"/>
  <c r="X73" i="1"/>
  <c r="Y73" i="1" s="1"/>
  <c r="X74" i="1"/>
  <c r="Y74" i="1" s="1"/>
  <c r="X75" i="1"/>
  <c r="Y75" i="1" s="1"/>
  <c r="X77" i="1"/>
  <c r="Y77" i="1" s="1"/>
  <c r="X78" i="1"/>
  <c r="Y78" i="1" s="1"/>
  <c r="X79" i="1"/>
  <c r="Y79" i="1" s="1"/>
  <c r="X80" i="1"/>
  <c r="Y80" i="1" s="1"/>
  <c r="X81" i="1"/>
  <c r="Y81" i="1" s="1"/>
  <c r="X82" i="1"/>
  <c r="Y82" i="1" s="1"/>
  <c r="X83" i="1"/>
  <c r="Y83" i="1" s="1"/>
  <c r="X84" i="1"/>
  <c r="Y84" i="1" s="1"/>
  <c r="X85" i="1"/>
  <c r="Y85" i="1" s="1"/>
  <c r="X86" i="1"/>
  <c r="Y86" i="1" s="1"/>
  <c r="X87" i="1"/>
  <c r="Y87" i="1" s="1"/>
  <c r="X88" i="1"/>
  <c r="Y88" i="1" s="1"/>
  <c r="X89" i="1"/>
  <c r="Y89" i="1" s="1"/>
  <c r="X90" i="1"/>
  <c r="Y90" i="1" s="1"/>
  <c r="X92" i="1"/>
  <c r="Y92" i="1" s="1"/>
  <c r="X94" i="1"/>
  <c r="Y94" i="1" s="1"/>
  <c r="X95" i="1"/>
  <c r="Y95" i="1" s="1"/>
  <c r="X96" i="1"/>
  <c r="Y96" i="1" s="1"/>
  <c r="X97" i="1"/>
  <c r="Y97" i="1" s="1"/>
  <c r="X98" i="1"/>
  <c r="Y98" i="1" s="1"/>
  <c r="X99" i="1"/>
  <c r="Y99" i="1" s="1"/>
  <c r="X101" i="1"/>
  <c r="Y101" i="1" s="1"/>
  <c r="X102" i="1"/>
  <c r="Y102" i="1" s="1"/>
  <c r="X103" i="1"/>
  <c r="Y103" i="1" s="1"/>
  <c r="X104" i="1"/>
  <c r="Y104" i="1" s="1"/>
  <c r="X105" i="1"/>
  <c r="Y105" i="1" s="1"/>
  <c r="X106" i="1"/>
  <c r="Y106" i="1" s="1"/>
  <c r="X108" i="1"/>
  <c r="Y108" i="1" s="1"/>
  <c r="X109" i="1"/>
  <c r="Y109" i="1" s="1"/>
  <c r="X110" i="1"/>
  <c r="Y110" i="1" s="1"/>
  <c r="X111" i="1"/>
  <c r="Y111" i="1" s="1"/>
  <c r="X112" i="1"/>
  <c r="Y112" i="1" s="1"/>
  <c r="X113" i="1"/>
  <c r="Y113" i="1" s="1"/>
  <c r="X114" i="1"/>
  <c r="Y114" i="1" s="1"/>
  <c r="X115" i="1"/>
  <c r="Y115" i="1" s="1"/>
  <c r="X116" i="1"/>
  <c r="Y116" i="1" s="1"/>
  <c r="X118" i="1"/>
  <c r="Y118" i="1" s="1"/>
  <c r="W43" i="1"/>
  <c r="AB43" i="1" s="1"/>
  <c r="AC43" i="1" s="1"/>
  <c r="W44" i="1"/>
  <c r="AB44" i="1" s="1"/>
  <c r="AC44" i="1" s="1"/>
  <c r="W45" i="1"/>
  <c r="AB45" i="1" s="1"/>
  <c r="W48" i="1"/>
  <c r="AB48" i="1" s="1"/>
  <c r="AC48" i="1" s="1"/>
  <c r="W54" i="1"/>
  <c r="AB54" i="1" s="1"/>
  <c r="AC54" i="1" s="1"/>
  <c r="AB55" i="1"/>
  <c r="AB57" i="1"/>
  <c r="AB59" i="1"/>
  <c r="AC59" i="1" s="1"/>
  <c r="AB61" i="1"/>
  <c r="W62" i="1"/>
  <c r="AB62" i="1" s="1"/>
  <c r="W63" i="1"/>
  <c r="AB63" i="1" s="1"/>
  <c r="AC63" i="1" s="1"/>
  <c r="W64" i="1"/>
  <c r="AB64" i="1" s="1"/>
  <c r="W65" i="1"/>
  <c r="AB65" i="1" s="1"/>
  <c r="W66" i="1"/>
  <c r="AB66" i="1" s="1"/>
  <c r="W67" i="1"/>
  <c r="AB67" i="1" s="1"/>
  <c r="AC67" i="1" s="1"/>
  <c r="W68" i="1"/>
  <c r="AB68" i="1" s="1"/>
  <c r="W69" i="1"/>
  <c r="AB69" i="1" s="1"/>
  <c r="W70" i="1"/>
  <c r="AB70" i="1" s="1"/>
  <c r="AC70" i="1" s="1"/>
  <c r="W71" i="1"/>
  <c r="AB71" i="1" s="1"/>
  <c r="W72" i="1"/>
  <c r="AB72" i="1" s="1"/>
  <c r="AC72" i="1" s="1"/>
  <c r="W73" i="1"/>
  <c r="AB73" i="1" s="1"/>
  <c r="AC73" i="1" s="1"/>
  <c r="W74" i="1"/>
  <c r="AB74" i="1" s="1"/>
  <c r="AC74" i="1" s="1"/>
  <c r="W75" i="1"/>
  <c r="AB75" i="1" s="1"/>
  <c r="AC75" i="1" s="1"/>
  <c r="W76" i="1"/>
  <c r="AB76" i="1" s="1"/>
  <c r="AC76" i="1" s="1"/>
  <c r="W77" i="1"/>
  <c r="AB77" i="1" s="1"/>
  <c r="W78" i="1"/>
  <c r="AB78" i="1" s="1"/>
  <c r="AC78" i="1" s="1"/>
  <c r="W79" i="1"/>
  <c r="AB79" i="1" s="1"/>
  <c r="W80" i="1"/>
  <c r="AB80" i="1" s="1"/>
  <c r="AC80" i="1" s="1"/>
  <c r="W81" i="1"/>
  <c r="AB81" i="1" s="1"/>
  <c r="AC81" i="1" s="1"/>
  <c r="W82" i="1"/>
  <c r="AB82" i="1" s="1"/>
  <c r="AC82" i="1" s="1"/>
  <c r="W83" i="1"/>
  <c r="AB83" i="1" s="1"/>
  <c r="AC83" i="1" s="1"/>
  <c r="W84" i="1"/>
  <c r="AB84" i="1" s="1"/>
  <c r="AC84" i="1" s="1"/>
  <c r="W85" i="1"/>
  <c r="AB85" i="1" s="1"/>
  <c r="AC85" i="1" s="1"/>
  <c r="W86" i="1"/>
  <c r="AB86" i="1" s="1"/>
  <c r="AC86" i="1" s="1"/>
  <c r="W87" i="1"/>
  <c r="AB87" i="1" s="1"/>
  <c r="W88" i="1"/>
  <c r="AB88" i="1" s="1"/>
  <c r="W89" i="1"/>
  <c r="AB89" i="1" s="1"/>
  <c r="AC89" i="1" s="1"/>
  <c r="W90" i="1"/>
  <c r="AB90" i="1" s="1"/>
  <c r="AC90" i="1" s="1"/>
  <c r="W92" i="1"/>
  <c r="AB92" i="1" s="1"/>
  <c r="AC92" i="1" s="1"/>
  <c r="W94" i="1"/>
  <c r="AB94" i="1" s="1"/>
  <c r="AC94" i="1" s="1"/>
  <c r="W95" i="1"/>
  <c r="AB95" i="1" s="1"/>
  <c r="AC95" i="1" s="1"/>
  <c r="W96" i="1"/>
  <c r="AB96" i="1" s="1"/>
  <c r="AC96" i="1" s="1"/>
  <c r="W97" i="1"/>
  <c r="AB97" i="1" s="1"/>
  <c r="AC97" i="1" s="1"/>
  <c r="W98" i="1"/>
  <c r="AB98" i="1" s="1"/>
  <c r="AC98" i="1" s="1"/>
  <c r="W99" i="1"/>
  <c r="AB99" i="1" s="1"/>
  <c r="AC99" i="1" s="1"/>
  <c r="W100" i="1"/>
  <c r="AB100" i="1" s="1"/>
  <c r="AC100" i="1" s="1"/>
  <c r="W101" i="1"/>
  <c r="AB101" i="1" s="1"/>
  <c r="AC101" i="1" s="1"/>
  <c r="W102" i="1"/>
  <c r="AB102" i="1" s="1"/>
  <c r="AC102" i="1" s="1"/>
  <c r="W103" i="1"/>
  <c r="AB103" i="1" s="1"/>
  <c r="AC103" i="1" s="1"/>
  <c r="W104" i="1"/>
  <c r="AB104" i="1" s="1"/>
  <c r="W105" i="1"/>
  <c r="AB105" i="1" s="1"/>
  <c r="AC105" i="1" s="1"/>
  <c r="W106" i="1"/>
  <c r="AB106" i="1" s="1"/>
  <c r="AC106" i="1" s="1"/>
  <c r="W108" i="1"/>
  <c r="W109" i="1"/>
  <c r="AB109" i="1" s="1"/>
  <c r="AC109" i="1" s="1"/>
  <c r="W110" i="1"/>
  <c r="AB110" i="1" s="1"/>
  <c r="AC110" i="1" s="1"/>
  <c r="W111" i="1"/>
  <c r="AB111" i="1" s="1"/>
  <c r="AC111" i="1" s="1"/>
  <c r="W112" i="1"/>
  <c r="AB112" i="1" s="1"/>
  <c r="AC112" i="1" s="1"/>
  <c r="W113" i="1"/>
  <c r="AB113" i="1" s="1"/>
  <c r="AC113" i="1" s="1"/>
  <c r="W114" i="1"/>
  <c r="AB114" i="1" s="1"/>
  <c r="AC114" i="1" s="1"/>
  <c r="W115" i="1"/>
  <c r="AB115" i="1" s="1"/>
  <c r="AC115" i="1" s="1"/>
  <c r="W116" i="1"/>
  <c r="AB116" i="1" s="1"/>
  <c r="W118" i="1"/>
  <c r="AB118" i="1" s="1"/>
  <c r="AC118" i="1" s="1"/>
  <c r="W123" i="1"/>
  <c r="AB123" i="1" s="1"/>
  <c r="AC123" i="1" s="1"/>
  <c r="W134" i="1"/>
  <c r="W135" i="1"/>
  <c r="W136" i="1"/>
  <c r="W137" i="1"/>
  <c r="W138" i="1"/>
  <c r="W139" i="1"/>
  <c r="W140" i="1"/>
  <c r="W141" i="1"/>
  <c r="W142" i="1"/>
  <c r="AB142" i="1" s="1"/>
  <c r="W143" i="1"/>
  <c r="O8" i="2"/>
  <c r="O9" i="2"/>
  <c r="O10" i="2"/>
  <c r="O11" i="2"/>
  <c r="O12" i="2"/>
  <c r="O13" i="2"/>
  <c r="O14" i="2"/>
  <c r="O15" i="2"/>
  <c r="O16" i="2"/>
  <c r="O17" i="2"/>
  <c r="O18" i="2"/>
  <c r="P18" i="2" s="1"/>
  <c r="O19" i="2"/>
  <c r="O20" i="2"/>
  <c r="O21" i="2"/>
  <c r="O22" i="2"/>
  <c r="O23" i="2"/>
  <c r="O24" i="2"/>
  <c r="O25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7" i="2"/>
  <c r="X149" i="1"/>
  <c r="Y149" i="1" s="1"/>
  <c r="X150" i="1"/>
  <c r="Y150" i="1" s="1"/>
  <c r="X153" i="1"/>
  <c r="Y153" i="1" s="1"/>
  <c r="X155" i="1"/>
  <c r="Y155" i="1" s="1"/>
  <c r="X156" i="1"/>
  <c r="Y156" i="1" s="1"/>
  <c r="W173" i="1"/>
  <c r="AB173" i="1" s="1"/>
  <c r="X40" i="1"/>
  <c r="Y40" i="1" s="1"/>
  <c r="X26" i="1"/>
  <c r="Y26" i="1" s="1"/>
  <c r="W26" i="1"/>
  <c r="AB26" i="1" s="1"/>
  <c r="AC26" i="1" s="1"/>
  <c r="X160" i="1"/>
  <c r="Y160" i="1" s="1"/>
  <c r="X161" i="1"/>
  <c r="Y161" i="1" s="1"/>
  <c r="X163" i="1"/>
  <c r="Y163" i="1" s="1"/>
  <c r="X173" i="1"/>
  <c r="Y173" i="1" s="1"/>
  <c r="X22" i="1"/>
  <c r="Y22" i="1" s="1"/>
  <c r="X23" i="1"/>
  <c r="Y23" i="1" s="1"/>
  <c r="X24" i="1"/>
  <c r="Y24" i="1" s="1"/>
  <c r="X25" i="1"/>
  <c r="Y25" i="1" s="1"/>
  <c r="X28" i="1"/>
  <c r="Y28" i="1" s="1"/>
  <c r="X34" i="1"/>
  <c r="Y34" i="1" s="1"/>
  <c r="X35" i="1"/>
  <c r="Y35" i="1" s="1"/>
  <c r="X38" i="1"/>
  <c r="Y38" i="1" s="1"/>
  <c r="W22" i="1"/>
  <c r="AB22" i="1" s="1"/>
  <c r="AC22" i="1" s="1"/>
  <c r="W23" i="1"/>
  <c r="AB23" i="1" s="1"/>
  <c r="AC23" i="1" s="1"/>
  <c r="W24" i="1"/>
  <c r="AB24" i="1" s="1"/>
  <c r="AC24" i="1" s="1"/>
  <c r="W25" i="1"/>
  <c r="AB25" i="1" s="1"/>
  <c r="AC25" i="1" s="1"/>
  <c r="W28" i="1"/>
  <c r="AB28" i="1" s="1"/>
  <c r="AC28" i="1" s="1"/>
  <c r="AB31" i="1"/>
  <c r="W32" i="1"/>
  <c r="AB32" i="1" s="1"/>
  <c r="AC32" i="1" s="1"/>
  <c r="W33" i="1"/>
  <c r="AB33" i="1" s="1"/>
  <c r="AC33" i="1" s="1"/>
  <c r="W34" i="1"/>
  <c r="AB34" i="1" s="1"/>
  <c r="W35" i="1"/>
  <c r="AB35" i="1" s="1"/>
  <c r="AC35" i="1" s="1"/>
  <c r="W36" i="1"/>
  <c r="AB36" i="1" s="1"/>
  <c r="W38" i="1"/>
  <c r="AB38" i="1" s="1"/>
  <c r="AB39" i="1"/>
  <c r="W40" i="1"/>
  <c r="AB40" i="1" s="1"/>
  <c r="AB147" i="1"/>
  <c r="AC147" i="1" s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7" i="2"/>
  <c r="G28" i="2"/>
  <c r="G29" i="2"/>
  <c r="G30" i="2"/>
  <c r="G31" i="2"/>
  <c r="G32" i="2"/>
  <c r="G33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34" i="2"/>
  <c r="E85" i="2"/>
  <c r="E57" i="2"/>
  <c r="AH69" i="10"/>
  <c r="AH70" i="10" s="1"/>
  <c r="AG69" i="10"/>
  <c r="AG70" i="10" s="1"/>
  <c r="AF69" i="10"/>
  <c r="AF70" i="10" s="1"/>
  <c r="AE69" i="10"/>
  <c r="AE70" i="10" s="1"/>
  <c r="AD69" i="10"/>
  <c r="AD70" i="10" s="1"/>
  <c r="AC69" i="10"/>
  <c r="AC70" i="10" s="1"/>
  <c r="AB69" i="10"/>
  <c r="AB70" i="10" s="1"/>
  <c r="AA69" i="10"/>
  <c r="AA70" i="10" s="1"/>
  <c r="Z69" i="10"/>
  <c r="Z70" i="10" s="1"/>
  <c r="Y69" i="10"/>
  <c r="Y70" i="10" s="1"/>
  <c r="X69" i="10"/>
  <c r="X70" i="10" s="1"/>
  <c r="W69" i="10"/>
  <c r="W70" i="10" s="1"/>
  <c r="AA52" i="9"/>
  <c r="AL52" i="9"/>
  <c r="AG52" i="9"/>
  <c r="AF52" i="9"/>
  <c r="AE52" i="9"/>
  <c r="AD52" i="9"/>
  <c r="AC52" i="9"/>
  <c r="AB52" i="9"/>
  <c r="AC65" i="1" l="1"/>
  <c r="D12" i="5"/>
  <c r="D48" i="5"/>
  <c r="E48" i="5" s="1"/>
  <c r="AD119" i="1"/>
  <c r="C17" i="14"/>
  <c r="R17" i="14" s="1"/>
  <c r="D62" i="13"/>
  <c r="E17" i="14"/>
  <c r="T17" i="14" s="1"/>
  <c r="F62" i="13"/>
  <c r="G17" i="14"/>
  <c r="V17" i="14" s="1"/>
  <c r="H62" i="13"/>
  <c r="F17" i="14"/>
  <c r="U17" i="14" s="1"/>
  <c r="G62" i="13"/>
  <c r="D17" i="14"/>
  <c r="S17" i="14" s="1"/>
  <c r="E62" i="13"/>
  <c r="AC104" i="1"/>
  <c r="D53" i="5"/>
  <c r="E53" i="5" s="1"/>
  <c r="D54" i="5"/>
  <c r="E54" i="5" s="1"/>
  <c r="D51" i="5"/>
  <c r="E51" i="5" s="1"/>
  <c r="AC173" i="1"/>
  <c r="D44" i="5"/>
  <c r="E44" i="5" s="1"/>
  <c r="E11" i="10"/>
  <c r="Q11" i="10" s="1"/>
  <c r="E12" i="10" s="1"/>
  <c r="Q12" i="10" s="1"/>
  <c r="E13" i="10" s="1"/>
  <c r="Q13" i="10" s="1"/>
  <c r="E14" i="10" s="1"/>
  <c r="Q14" i="10" s="1"/>
  <c r="F36" i="13"/>
  <c r="AB108" i="1"/>
  <c r="AC108" i="1" s="1"/>
  <c r="W148" i="1"/>
  <c r="AB148" i="1" s="1"/>
  <c r="AC148" i="1" s="1"/>
  <c r="AB143" i="1"/>
  <c r="AC143" i="1" s="1"/>
  <c r="AB141" i="1"/>
  <c r="AC141" i="1" s="1"/>
  <c r="AB140" i="1"/>
  <c r="AC140" i="1" s="1"/>
  <c r="AB139" i="1"/>
  <c r="AC139" i="1" s="1"/>
  <c r="AB138" i="1"/>
  <c r="AB137" i="1"/>
  <c r="AC137" i="1" s="1"/>
  <c r="AB136" i="1"/>
  <c r="AC136" i="1" s="1"/>
  <c r="AB135" i="1"/>
  <c r="AC135" i="1" s="1"/>
  <c r="AB134" i="1"/>
  <c r="AC134" i="1" s="1"/>
  <c r="D41" i="5"/>
  <c r="E41" i="5" s="1"/>
  <c r="AC142" i="1"/>
  <c r="D40" i="5"/>
  <c r="E40" i="5" s="1"/>
  <c r="AC79" i="1"/>
  <c r="D39" i="5"/>
  <c r="E39" i="5" s="1"/>
  <c r="D7" i="5"/>
  <c r="D34" i="5"/>
  <c r="E34" i="5" s="1"/>
  <c r="AC34" i="1"/>
  <c r="D38" i="5"/>
  <c r="E38" i="5" s="1"/>
  <c r="D5" i="5"/>
  <c r="AC40" i="1"/>
  <c r="AC39" i="1"/>
  <c r="D33" i="5"/>
  <c r="E33" i="5" s="1"/>
  <c r="AC38" i="1"/>
  <c r="AC36" i="1"/>
  <c r="AC31" i="1"/>
  <c r="D20" i="5"/>
  <c r="D17" i="5"/>
  <c r="D18" i="5"/>
  <c r="D16" i="5"/>
  <c r="D6" i="5"/>
  <c r="D31" i="5"/>
  <c r="E31" i="5" s="1"/>
  <c r="AC116" i="1"/>
  <c r="AC88" i="1"/>
  <c r="D36" i="5"/>
  <c r="E36" i="5" s="1"/>
  <c r="AC87" i="1"/>
  <c r="AC77" i="1"/>
  <c r="D30" i="5"/>
  <c r="E30" i="5" s="1"/>
  <c r="D10" i="5"/>
  <c r="AC71" i="1"/>
  <c r="D29" i="5"/>
  <c r="E29" i="5" s="1"/>
  <c r="AC69" i="1"/>
  <c r="D13" i="5"/>
  <c r="AC68" i="1"/>
  <c r="AC66" i="1"/>
  <c r="D28" i="5"/>
  <c r="E28" i="5" s="1"/>
  <c r="D27" i="5"/>
  <c r="E27" i="5" s="1"/>
  <c r="AC64" i="1"/>
  <c r="D26" i="5"/>
  <c r="E26" i="5" s="1"/>
  <c r="AC62" i="1"/>
  <c r="AC61" i="1"/>
  <c r="D24" i="5"/>
  <c r="E24" i="5" s="1"/>
  <c r="AC57" i="1"/>
  <c r="D23" i="5"/>
  <c r="E23" i="5" s="1"/>
  <c r="AC55" i="1"/>
  <c r="AC45" i="1"/>
  <c r="D22" i="5"/>
  <c r="E22" i="5" s="1"/>
  <c r="D15" i="5"/>
  <c r="X139" i="1"/>
  <c r="Y139" i="1" s="1"/>
  <c r="Y143" i="1"/>
  <c r="Y142" i="1"/>
  <c r="D15" i="13"/>
  <c r="C10" i="12"/>
  <c r="R10" i="12" s="1"/>
  <c r="G8" i="13"/>
  <c r="F8" i="12"/>
  <c r="U8" i="12" s="1"/>
  <c r="D9" i="12"/>
  <c r="S9" i="12" s="1"/>
  <c r="E11" i="13"/>
  <c r="G9" i="12"/>
  <c r="V9" i="12" s="1"/>
  <c r="H11" i="13"/>
  <c r="K4" i="2"/>
  <c r="K5" i="2" s="1"/>
  <c r="AL84" i="8"/>
  <c r="AL85" i="8" s="1"/>
  <c r="AK84" i="8"/>
  <c r="AJ84" i="8"/>
  <c r="AI84" i="8"/>
  <c r="AH84" i="8"/>
  <c r="AG84" i="8"/>
  <c r="AG85" i="8" s="1"/>
  <c r="AF84" i="8"/>
  <c r="AF85" i="8" s="1"/>
  <c r="AE84" i="8"/>
  <c r="AE85" i="8" s="1"/>
  <c r="AD84" i="8"/>
  <c r="AD85" i="8" s="1"/>
  <c r="AC84" i="8"/>
  <c r="AC85" i="8" s="1"/>
  <c r="AB84" i="8"/>
  <c r="AB85" i="8" s="1"/>
  <c r="AA84" i="8"/>
  <c r="AA85" i="8" s="1"/>
  <c r="H67" i="13" l="1"/>
  <c r="G18" i="14"/>
  <c r="V18" i="14" s="1"/>
  <c r="D18" i="14"/>
  <c r="S18" i="14" s="1"/>
  <c r="E67" i="13"/>
  <c r="G67" i="13"/>
  <c r="F18" i="14"/>
  <c r="U18" i="14" s="1"/>
  <c r="E18" i="14"/>
  <c r="T18" i="14" s="1"/>
  <c r="F67" i="13"/>
  <c r="C18" i="14"/>
  <c r="R18" i="14" s="1"/>
  <c r="D67" i="13"/>
  <c r="W5" i="1"/>
  <c r="D35" i="5"/>
  <c r="E35" i="5" s="1"/>
  <c r="D25" i="5"/>
  <c r="E25" i="5" s="1"/>
  <c r="AB5" i="1"/>
  <c r="AC138" i="1"/>
  <c r="AC5" i="1" s="1"/>
  <c r="C11" i="12"/>
  <c r="R11" i="12" s="1"/>
  <c r="D20" i="13"/>
  <c r="G10" i="12"/>
  <c r="V10" i="12" s="1"/>
  <c r="H15" i="13"/>
  <c r="E15" i="13"/>
  <c r="D10" i="12"/>
  <c r="S10" i="12" s="1"/>
  <c r="G11" i="13"/>
  <c r="F9" i="12"/>
  <c r="U9" i="12" s="1"/>
  <c r="J22" i="2"/>
  <c r="O3" i="10"/>
  <c r="R3" i="10"/>
  <c r="P3" i="10"/>
  <c r="Q3" i="10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M10" i="4"/>
  <c r="M9" i="4"/>
  <c r="M8" i="4"/>
  <c r="M7" i="4"/>
  <c r="M6" i="4"/>
  <c r="M5" i="4"/>
  <c r="M4" i="4"/>
  <c r="W36" i="3"/>
  <c r="V36" i="3"/>
  <c r="U36" i="3"/>
  <c r="T36" i="3"/>
  <c r="S36" i="3"/>
  <c r="R36" i="3"/>
  <c r="Q36" i="3"/>
  <c r="I36" i="3"/>
  <c r="H36" i="3"/>
  <c r="G36" i="3"/>
  <c r="F36" i="3"/>
  <c r="E36" i="3"/>
  <c r="D36" i="3"/>
  <c r="C36" i="3"/>
  <c r="M12" i="3"/>
  <c r="K12" i="3"/>
  <c r="O11" i="3"/>
  <c r="N11" i="3"/>
  <c r="M11" i="3"/>
  <c r="L11" i="3"/>
  <c r="K11" i="3"/>
  <c r="J11" i="3"/>
  <c r="O10" i="3"/>
  <c r="N10" i="3"/>
  <c r="M10" i="3"/>
  <c r="L10" i="3"/>
  <c r="K10" i="3"/>
  <c r="J10" i="3"/>
  <c r="O9" i="3"/>
  <c r="N9" i="3"/>
  <c r="M9" i="3"/>
  <c r="L9" i="3"/>
  <c r="K9" i="3"/>
  <c r="J9" i="3"/>
  <c r="O8" i="3"/>
  <c r="N8" i="3"/>
  <c r="M8" i="3"/>
  <c r="L8" i="3"/>
  <c r="K8" i="3"/>
  <c r="J8" i="3"/>
  <c r="O7" i="3"/>
  <c r="N7" i="3"/>
  <c r="M7" i="3"/>
  <c r="L7" i="3"/>
  <c r="K7" i="3"/>
  <c r="J7" i="3"/>
  <c r="O6" i="3"/>
  <c r="N6" i="3"/>
  <c r="M6" i="3"/>
  <c r="L6" i="3"/>
  <c r="K6" i="3"/>
  <c r="J6" i="3"/>
  <c r="P200" i="2"/>
  <c r="N200" i="2"/>
  <c r="L200" i="2"/>
  <c r="E200" i="2"/>
  <c r="F200" i="2" s="1"/>
  <c r="J200" i="2"/>
  <c r="H200" i="2"/>
  <c r="P199" i="2"/>
  <c r="N199" i="2"/>
  <c r="L199" i="2"/>
  <c r="E199" i="2"/>
  <c r="F199" i="2" s="1"/>
  <c r="J199" i="2"/>
  <c r="H199" i="2"/>
  <c r="P198" i="2"/>
  <c r="N198" i="2"/>
  <c r="L198" i="2"/>
  <c r="E198" i="2"/>
  <c r="F198" i="2" s="1"/>
  <c r="J198" i="2"/>
  <c r="H198" i="2"/>
  <c r="P197" i="2"/>
  <c r="N197" i="2"/>
  <c r="L197" i="2"/>
  <c r="E197" i="2"/>
  <c r="F197" i="2" s="1"/>
  <c r="J197" i="2"/>
  <c r="H197" i="2"/>
  <c r="P196" i="2"/>
  <c r="N196" i="2"/>
  <c r="L196" i="2"/>
  <c r="E196" i="2"/>
  <c r="F196" i="2" s="1"/>
  <c r="J196" i="2"/>
  <c r="H196" i="2"/>
  <c r="P195" i="2"/>
  <c r="N195" i="2"/>
  <c r="L195" i="2"/>
  <c r="E195" i="2"/>
  <c r="F195" i="2" s="1"/>
  <c r="J195" i="2"/>
  <c r="H195" i="2"/>
  <c r="P194" i="2"/>
  <c r="N194" i="2"/>
  <c r="L194" i="2"/>
  <c r="E194" i="2"/>
  <c r="F194" i="2" s="1"/>
  <c r="J194" i="2"/>
  <c r="H194" i="2"/>
  <c r="P193" i="2"/>
  <c r="N193" i="2"/>
  <c r="L193" i="2"/>
  <c r="E193" i="2"/>
  <c r="F193" i="2" s="1"/>
  <c r="J193" i="2"/>
  <c r="H193" i="2"/>
  <c r="P192" i="2"/>
  <c r="N192" i="2"/>
  <c r="L192" i="2"/>
  <c r="E192" i="2"/>
  <c r="F192" i="2" s="1"/>
  <c r="J192" i="2"/>
  <c r="H192" i="2"/>
  <c r="P191" i="2"/>
  <c r="N191" i="2"/>
  <c r="L191" i="2"/>
  <c r="E191" i="2"/>
  <c r="F191" i="2" s="1"/>
  <c r="J191" i="2"/>
  <c r="H191" i="2"/>
  <c r="P190" i="2"/>
  <c r="N190" i="2"/>
  <c r="L190" i="2"/>
  <c r="E190" i="2"/>
  <c r="F190" i="2" s="1"/>
  <c r="J190" i="2"/>
  <c r="H190" i="2"/>
  <c r="P189" i="2"/>
  <c r="N189" i="2"/>
  <c r="L189" i="2"/>
  <c r="E189" i="2"/>
  <c r="F189" i="2" s="1"/>
  <c r="J189" i="2"/>
  <c r="H189" i="2"/>
  <c r="P188" i="2"/>
  <c r="N188" i="2"/>
  <c r="L188" i="2"/>
  <c r="E188" i="2"/>
  <c r="F188" i="2" s="1"/>
  <c r="J188" i="2"/>
  <c r="H188" i="2"/>
  <c r="P187" i="2"/>
  <c r="N187" i="2"/>
  <c r="L187" i="2"/>
  <c r="E187" i="2"/>
  <c r="F187" i="2" s="1"/>
  <c r="J187" i="2"/>
  <c r="H187" i="2"/>
  <c r="P186" i="2"/>
  <c r="N186" i="2"/>
  <c r="L186" i="2"/>
  <c r="E186" i="2"/>
  <c r="F186" i="2" s="1"/>
  <c r="J186" i="2"/>
  <c r="H186" i="2"/>
  <c r="P185" i="2"/>
  <c r="N185" i="2"/>
  <c r="L185" i="2"/>
  <c r="E185" i="2"/>
  <c r="F185" i="2" s="1"/>
  <c r="J185" i="2"/>
  <c r="H185" i="2"/>
  <c r="P184" i="2"/>
  <c r="N184" i="2"/>
  <c r="L184" i="2"/>
  <c r="E184" i="2"/>
  <c r="F184" i="2" s="1"/>
  <c r="J184" i="2"/>
  <c r="H184" i="2"/>
  <c r="P183" i="2"/>
  <c r="N183" i="2"/>
  <c r="L183" i="2"/>
  <c r="E183" i="2"/>
  <c r="F183" i="2" s="1"/>
  <c r="J183" i="2"/>
  <c r="H183" i="2"/>
  <c r="P182" i="2"/>
  <c r="N182" i="2"/>
  <c r="L182" i="2"/>
  <c r="E182" i="2"/>
  <c r="F182" i="2" s="1"/>
  <c r="J182" i="2"/>
  <c r="H182" i="2"/>
  <c r="P181" i="2"/>
  <c r="N181" i="2"/>
  <c r="L181" i="2"/>
  <c r="E181" i="2"/>
  <c r="F181" i="2" s="1"/>
  <c r="J181" i="2"/>
  <c r="H181" i="2"/>
  <c r="P180" i="2"/>
  <c r="N180" i="2"/>
  <c r="L180" i="2"/>
  <c r="E180" i="2"/>
  <c r="F180" i="2" s="1"/>
  <c r="J180" i="2"/>
  <c r="H180" i="2"/>
  <c r="P179" i="2"/>
  <c r="N179" i="2"/>
  <c r="L179" i="2"/>
  <c r="E179" i="2"/>
  <c r="F179" i="2" s="1"/>
  <c r="J179" i="2"/>
  <c r="H179" i="2"/>
  <c r="P178" i="2"/>
  <c r="N178" i="2"/>
  <c r="L178" i="2"/>
  <c r="E178" i="2"/>
  <c r="F178" i="2" s="1"/>
  <c r="J178" i="2"/>
  <c r="H178" i="2"/>
  <c r="P177" i="2"/>
  <c r="N177" i="2"/>
  <c r="L177" i="2"/>
  <c r="E177" i="2"/>
  <c r="F177" i="2" s="1"/>
  <c r="J177" i="2"/>
  <c r="H177" i="2"/>
  <c r="P176" i="2"/>
  <c r="N176" i="2"/>
  <c r="L176" i="2"/>
  <c r="E176" i="2"/>
  <c r="F176" i="2" s="1"/>
  <c r="J176" i="2"/>
  <c r="H176" i="2"/>
  <c r="P175" i="2"/>
  <c r="N175" i="2"/>
  <c r="L175" i="2"/>
  <c r="E175" i="2"/>
  <c r="F175" i="2" s="1"/>
  <c r="J175" i="2"/>
  <c r="H175" i="2"/>
  <c r="P174" i="2"/>
  <c r="N174" i="2"/>
  <c r="L174" i="2"/>
  <c r="E174" i="2"/>
  <c r="F174" i="2" s="1"/>
  <c r="J174" i="2"/>
  <c r="H174" i="2"/>
  <c r="P173" i="2"/>
  <c r="N173" i="2"/>
  <c r="L173" i="2"/>
  <c r="E173" i="2"/>
  <c r="F173" i="2" s="1"/>
  <c r="J173" i="2"/>
  <c r="H173" i="2"/>
  <c r="P172" i="2"/>
  <c r="N172" i="2"/>
  <c r="L172" i="2"/>
  <c r="E172" i="2"/>
  <c r="F172" i="2" s="1"/>
  <c r="J172" i="2"/>
  <c r="H172" i="2"/>
  <c r="P171" i="2"/>
  <c r="N171" i="2"/>
  <c r="L171" i="2"/>
  <c r="E171" i="2"/>
  <c r="F171" i="2" s="1"/>
  <c r="J171" i="2"/>
  <c r="H171" i="2"/>
  <c r="P170" i="2"/>
  <c r="N170" i="2"/>
  <c r="L170" i="2"/>
  <c r="E170" i="2"/>
  <c r="F170" i="2" s="1"/>
  <c r="J170" i="2"/>
  <c r="H170" i="2"/>
  <c r="P169" i="2"/>
  <c r="N169" i="2"/>
  <c r="L169" i="2"/>
  <c r="E169" i="2"/>
  <c r="F169" i="2" s="1"/>
  <c r="J169" i="2"/>
  <c r="H169" i="2"/>
  <c r="P168" i="2"/>
  <c r="N168" i="2"/>
  <c r="L168" i="2"/>
  <c r="E168" i="2"/>
  <c r="F168" i="2" s="1"/>
  <c r="J168" i="2"/>
  <c r="H168" i="2"/>
  <c r="P167" i="2"/>
  <c r="N167" i="2"/>
  <c r="L167" i="2"/>
  <c r="E167" i="2"/>
  <c r="F167" i="2" s="1"/>
  <c r="J167" i="2"/>
  <c r="H167" i="2"/>
  <c r="P166" i="2"/>
  <c r="N166" i="2"/>
  <c r="L166" i="2"/>
  <c r="E166" i="2"/>
  <c r="F166" i="2" s="1"/>
  <c r="J166" i="2"/>
  <c r="H166" i="2"/>
  <c r="P165" i="2"/>
  <c r="N165" i="2"/>
  <c r="L165" i="2"/>
  <c r="E165" i="2"/>
  <c r="F165" i="2" s="1"/>
  <c r="J165" i="2"/>
  <c r="H165" i="2"/>
  <c r="P164" i="2"/>
  <c r="N164" i="2"/>
  <c r="L164" i="2"/>
  <c r="E164" i="2"/>
  <c r="F164" i="2" s="1"/>
  <c r="J164" i="2"/>
  <c r="H164" i="2"/>
  <c r="P163" i="2"/>
  <c r="N163" i="2"/>
  <c r="L163" i="2"/>
  <c r="E163" i="2"/>
  <c r="F163" i="2" s="1"/>
  <c r="J163" i="2"/>
  <c r="H163" i="2"/>
  <c r="P162" i="2"/>
  <c r="N162" i="2"/>
  <c r="L162" i="2"/>
  <c r="E162" i="2"/>
  <c r="F162" i="2" s="1"/>
  <c r="J162" i="2"/>
  <c r="H162" i="2"/>
  <c r="P161" i="2"/>
  <c r="N161" i="2"/>
  <c r="L161" i="2"/>
  <c r="E161" i="2"/>
  <c r="F161" i="2" s="1"/>
  <c r="J161" i="2"/>
  <c r="H161" i="2"/>
  <c r="P160" i="2"/>
  <c r="N160" i="2"/>
  <c r="L160" i="2"/>
  <c r="E160" i="2"/>
  <c r="F160" i="2" s="1"/>
  <c r="J160" i="2"/>
  <c r="H160" i="2"/>
  <c r="P159" i="2"/>
  <c r="N159" i="2"/>
  <c r="L159" i="2"/>
  <c r="E159" i="2"/>
  <c r="F159" i="2" s="1"/>
  <c r="J159" i="2"/>
  <c r="H159" i="2"/>
  <c r="P158" i="2"/>
  <c r="N158" i="2"/>
  <c r="L158" i="2"/>
  <c r="E158" i="2"/>
  <c r="F158" i="2" s="1"/>
  <c r="J158" i="2"/>
  <c r="H158" i="2"/>
  <c r="P157" i="2"/>
  <c r="N157" i="2"/>
  <c r="L157" i="2"/>
  <c r="E157" i="2"/>
  <c r="F157" i="2" s="1"/>
  <c r="J157" i="2"/>
  <c r="H157" i="2"/>
  <c r="P156" i="2"/>
  <c r="N156" i="2"/>
  <c r="L156" i="2"/>
  <c r="E156" i="2"/>
  <c r="F156" i="2" s="1"/>
  <c r="J156" i="2"/>
  <c r="H156" i="2"/>
  <c r="P155" i="2"/>
  <c r="N155" i="2"/>
  <c r="L155" i="2"/>
  <c r="E155" i="2"/>
  <c r="F155" i="2" s="1"/>
  <c r="J155" i="2"/>
  <c r="H155" i="2"/>
  <c r="P154" i="2"/>
  <c r="N154" i="2"/>
  <c r="L154" i="2"/>
  <c r="E154" i="2"/>
  <c r="F154" i="2" s="1"/>
  <c r="J154" i="2"/>
  <c r="H154" i="2"/>
  <c r="P153" i="2"/>
  <c r="N153" i="2"/>
  <c r="L153" i="2"/>
  <c r="E153" i="2"/>
  <c r="F153" i="2" s="1"/>
  <c r="J153" i="2"/>
  <c r="H153" i="2"/>
  <c r="P152" i="2"/>
  <c r="N152" i="2"/>
  <c r="L152" i="2"/>
  <c r="E152" i="2"/>
  <c r="F152" i="2" s="1"/>
  <c r="J152" i="2"/>
  <c r="H152" i="2"/>
  <c r="P151" i="2"/>
  <c r="N151" i="2"/>
  <c r="L151" i="2"/>
  <c r="E151" i="2"/>
  <c r="F151" i="2" s="1"/>
  <c r="J151" i="2"/>
  <c r="H151" i="2"/>
  <c r="P150" i="2"/>
  <c r="N150" i="2"/>
  <c r="L150" i="2"/>
  <c r="E150" i="2"/>
  <c r="F150" i="2" s="1"/>
  <c r="J150" i="2"/>
  <c r="H150" i="2"/>
  <c r="P149" i="2"/>
  <c r="N149" i="2"/>
  <c r="L149" i="2"/>
  <c r="E149" i="2"/>
  <c r="F149" i="2" s="1"/>
  <c r="J149" i="2"/>
  <c r="H149" i="2"/>
  <c r="P148" i="2"/>
  <c r="N148" i="2"/>
  <c r="L148" i="2"/>
  <c r="E148" i="2"/>
  <c r="F148" i="2" s="1"/>
  <c r="J148" i="2"/>
  <c r="H148" i="2"/>
  <c r="P147" i="2"/>
  <c r="N147" i="2"/>
  <c r="L147" i="2"/>
  <c r="E147" i="2"/>
  <c r="F147" i="2" s="1"/>
  <c r="J147" i="2"/>
  <c r="H147" i="2"/>
  <c r="P146" i="2"/>
  <c r="N146" i="2"/>
  <c r="L146" i="2"/>
  <c r="E146" i="2"/>
  <c r="F146" i="2" s="1"/>
  <c r="J146" i="2"/>
  <c r="H146" i="2"/>
  <c r="P145" i="2"/>
  <c r="N145" i="2"/>
  <c r="L145" i="2"/>
  <c r="E145" i="2"/>
  <c r="F145" i="2" s="1"/>
  <c r="J145" i="2"/>
  <c r="H145" i="2"/>
  <c r="P144" i="2"/>
  <c r="N144" i="2"/>
  <c r="L144" i="2"/>
  <c r="E144" i="2"/>
  <c r="F144" i="2" s="1"/>
  <c r="J144" i="2"/>
  <c r="H144" i="2"/>
  <c r="P143" i="2"/>
  <c r="N143" i="2"/>
  <c r="L143" i="2"/>
  <c r="E143" i="2"/>
  <c r="F143" i="2" s="1"/>
  <c r="J143" i="2"/>
  <c r="H143" i="2"/>
  <c r="P142" i="2"/>
  <c r="N142" i="2"/>
  <c r="L142" i="2"/>
  <c r="E142" i="2"/>
  <c r="F142" i="2" s="1"/>
  <c r="J142" i="2"/>
  <c r="H142" i="2"/>
  <c r="P141" i="2"/>
  <c r="N141" i="2"/>
  <c r="L141" i="2"/>
  <c r="E141" i="2"/>
  <c r="F141" i="2" s="1"/>
  <c r="J141" i="2"/>
  <c r="H141" i="2"/>
  <c r="P140" i="2"/>
  <c r="N140" i="2"/>
  <c r="L140" i="2"/>
  <c r="E140" i="2"/>
  <c r="F140" i="2" s="1"/>
  <c r="J140" i="2"/>
  <c r="H140" i="2"/>
  <c r="P139" i="2"/>
  <c r="N139" i="2"/>
  <c r="L139" i="2"/>
  <c r="E139" i="2"/>
  <c r="F139" i="2" s="1"/>
  <c r="J139" i="2"/>
  <c r="H139" i="2"/>
  <c r="P138" i="2"/>
  <c r="N138" i="2"/>
  <c r="L138" i="2"/>
  <c r="E138" i="2"/>
  <c r="F138" i="2" s="1"/>
  <c r="J138" i="2"/>
  <c r="H138" i="2"/>
  <c r="P137" i="2"/>
  <c r="N137" i="2"/>
  <c r="L137" i="2"/>
  <c r="E137" i="2"/>
  <c r="F137" i="2" s="1"/>
  <c r="J137" i="2"/>
  <c r="H137" i="2"/>
  <c r="P136" i="2"/>
  <c r="N136" i="2"/>
  <c r="L136" i="2"/>
  <c r="E136" i="2"/>
  <c r="F136" i="2" s="1"/>
  <c r="J136" i="2"/>
  <c r="H136" i="2"/>
  <c r="P135" i="2"/>
  <c r="N135" i="2"/>
  <c r="L135" i="2"/>
  <c r="E135" i="2"/>
  <c r="F135" i="2" s="1"/>
  <c r="J135" i="2"/>
  <c r="H135" i="2"/>
  <c r="P134" i="2"/>
  <c r="N134" i="2"/>
  <c r="L134" i="2"/>
  <c r="E134" i="2"/>
  <c r="F134" i="2" s="1"/>
  <c r="J134" i="2"/>
  <c r="H134" i="2"/>
  <c r="P133" i="2"/>
  <c r="N133" i="2"/>
  <c r="L133" i="2"/>
  <c r="E133" i="2"/>
  <c r="F133" i="2" s="1"/>
  <c r="J133" i="2"/>
  <c r="H133" i="2"/>
  <c r="P132" i="2"/>
  <c r="N132" i="2"/>
  <c r="L132" i="2"/>
  <c r="E132" i="2"/>
  <c r="F132" i="2" s="1"/>
  <c r="J132" i="2"/>
  <c r="H132" i="2"/>
  <c r="P131" i="2"/>
  <c r="N131" i="2"/>
  <c r="L131" i="2"/>
  <c r="E131" i="2"/>
  <c r="F131" i="2" s="1"/>
  <c r="J131" i="2"/>
  <c r="H131" i="2"/>
  <c r="P130" i="2"/>
  <c r="N130" i="2"/>
  <c r="L130" i="2"/>
  <c r="E130" i="2"/>
  <c r="F130" i="2" s="1"/>
  <c r="J130" i="2"/>
  <c r="H130" i="2"/>
  <c r="P129" i="2"/>
  <c r="N129" i="2"/>
  <c r="L129" i="2"/>
  <c r="E129" i="2"/>
  <c r="F129" i="2" s="1"/>
  <c r="J129" i="2"/>
  <c r="H129" i="2"/>
  <c r="P128" i="2"/>
  <c r="N128" i="2"/>
  <c r="L128" i="2"/>
  <c r="E128" i="2"/>
  <c r="F128" i="2" s="1"/>
  <c r="J128" i="2"/>
  <c r="H128" i="2"/>
  <c r="P127" i="2"/>
  <c r="N127" i="2"/>
  <c r="L127" i="2"/>
  <c r="E127" i="2"/>
  <c r="F127" i="2" s="1"/>
  <c r="J127" i="2"/>
  <c r="H127" i="2"/>
  <c r="P126" i="2"/>
  <c r="N126" i="2"/>
  <c r="L126" i="2"/>
  <c r="E126" i="2"/>
  <c r="F126" i="2" s="1"/>
  <c r="J126" i="2"/>
  <c r="H126" i="2"/>
  <c r="P125" i="2"/>
  <c r="N125" i="2"/>
  <c r="L125" i="2"/>
  <c r="E125" i="2"/>
  <c r="F125" i="2" s="1"/>
  <c r="J125" i="2"/>
  <c r="H125" i="2"/>
  <c r="P124" i="2"/>
  <c r="N124" i="2"/>
  <c r="L124" i="2"/>
  <c r="E124" i="2"/>
  <c r="F124" i="2" s="1"/>
  <c r="J124" i="2"/>
  <c r="H124" i="2"/>
  <c r="P123" i="2"/>
  <c r="N123" i="2"/>
  <c r="L123" i="2"/>
  <c r="E123" i="2"/>
  <c r="F123" i="2" s="1"/>
  <c r="J123" i="2"/>
  <c r="H123" i="2"/>
  <c r="P122" i="2"/>
  <c r="N122" i="2"/>
  <c r="L122" i="2"/>
  <c r="E122" i="2"/>
  <c r="F122" i="2" s="1"/>
  <c r="J122" i="2"/>
  <c r="H122" i="2"/>
  <c r="P121" i="2"/>
  <c r="N121" i="2"/>
  <c r="L121" i="2"/>
  <c r="E121" i="2"/>
  <c r="F121" i="2" s="1"/>
  <c r="J121" i="2"/>
  <c r="H121" i="2"/>
  <c r="P120" i="2"/>
  <c r="N120" i="2"/>
  <c r="L120" i="2"/>
  <c r="E120" i="2"/>
  <c r="F120" i="2" s="1"/>
  <c r="J120" i="2"/>
  <c r="H120" i="2"/>
  <c r="P119" i="2"/>
  <c r="N119" i="2"/>
  <c r="L119" i="2"/>
  <c r="E119" i="2"/>
  <c r="F119" i="2" s="1"/>
  <c r="J119" i="2"/>
  <c r="H119" i="2"/>
  <c r="P118" i="2"/>
  <c r="N118" i="2"/>
  <c r="L118" i="2"/>
  <c r="E118" i="2"/>
  <c r="F118" i="2" s="1"/>
  <c r="J118" i="2"/>
  <c r="H118" i="2"/>
  <c r="P117" i="2"/>
  <c r="N117" i="2"/>
  <c r="L117" i="2"/>
  <c r="E117" i="2"/>
  <c r="F117" i="2" s="1"/>
  <c r="J117" i="2"/>
  <c r="H117" i="2"/>
  <c r="P116" i="2"/>
  <c r="N116" i="2"/>
  <c r="L116" i="2"/>
  <c r="E116" i="2"/>
  <c r="F116" i="2" s="1"/>
  <c r="J116" i="2"/>
  <c r="H116" i="2"/>
  <c r="P115" i="2"/>
  <c r="N115" i="2"/>
  <c r="L115" i="2"/>
  <c r="E115" i="2"/>
  <c r="F115" i="2" s="1"/>
  <c r="J115" i="2"/>
  <c r="H115" i="2"/>
  <c r="P114" i="2"/>
  <c r="N114" i="2"/>
  <c r="L114" i="2"/>
  <c r="E114" i="2"/>
  <c r="F114" i="2" s="1"/>
  <c r="J114" i="2"/>
  <c r="H114" i="2"/>
  <c r="P113" i="2"/>
  <c r="N113" i="2"/>
  <c r="L113" i="2"/>
  <c r="E113" i="2"/>
  <c r="F113" i="2" s="1"/>
  <c r="J113" i="2"/>
  <c r="H113" i="2"/>
  <c r="P112" i="2"/>
  <c r="N112" i="2"/>
  <c r="L112" i="2"/>
  <c r="E112" i="2"/>
  <c r="F112" i="2" s="1"/>
  <c r="J112" i="2"/>
  <c r="H112" i="2"/>
  <c r="P111" i="2"/>
  <c r="N111" i="2"/>
  <c r="L111" i="2"/>
  <c r="E111" i="2"/>
  <c r="F111" i="2" s="1"/>
  <c r="J111" i="2"/>
  <c r="H111" i="2"/>
  <c r="P110" i="2"/>
  <c r="N110" i="2"/>
  <c r="L110" i="2"/>
  <c r="E110" i="2"/>
  <c r="F110" i="2" s="1"/>
  <c r="J110" i="2"/>
  <c r="H110" i="2"/>
  <c r="P109" i="2"/>
  <c r="N109" i="2"/>
  <c r="L109" i="2"/>
  <c r="E109" i="2"/>
  <c r="F109" i="2" s="1"/>
  <c r="J109" i="2"/>
  <c r="H109" i="2"/>
  <c r="P108" i="2"/>
  <c r="N108" i="2"/>
  <c r="L108" i="2"/>
  <c r="E108" i="2"/>
  <c r="F108" i="2" s="1"/>
  <c r="J108" i="2"/>
  <c r="H108" i="2"/>
  <c r="P107" i="2"/>
  <c r="N107" i="2"/>
  <c r="L107" i="2"/>
  <c r="E107" i="2"/>
  <c r="F107" i="2" s="1"/>
  <c r="J107" i="2"/>
  <c r="H107" i="2"/>
  <c r="P106" i="2"/>
  <c r="N106" i="2"/>
  <c r="L106" i="2"/>
  <c r="E106" i="2"/>
  <c r="F106" i="2" s="1"/>
  <c r="J106" i="2"/>
  <c r="H106" i="2"/>
  <c r="P105" i="2"/>
  <c r="N105" i="2"/>
  <c r="L105" i="2"/>
  <c r="E105" i="2"/>
  <c r="F105" i="2" s="1"/>
  <c r="J105" i="2"/>
  <c r="H105" i="2"/>
  <c r="P104" i="2"/>
  <c r="N104" i="2"/>
  <c r="L104" i="2"/>
  <c r="E104" i="2"/>
  <c r="F104" i="2" s="1"/>
  <c r="J104" i="2"/>
  <c r="H104" i="2"/>
  <c r="P103" i="2"/>
  <c r="N103" i="2"/>
  <c r="L103" i="2"/>
  <c r="E103" i="2"/>
  <c r="F103" i="2" s="1"/>
  <c r="J103" i="2"/>
  <c r="H103" i="2"/>
  <c r="P102" i="2"/>
  <c r="N102" i="2"/>
  <c r="L102" i="2"/>
  <c r="E102" i="2"/>
  <c r="F102" i="2" s="1"/>
  <c r="J102" i="2"/>
  <c r="H102" i="2"/>
  <c r="P101" i="2"/>
  <c r="N101" i="2"/>
  <c r="L101" i="2"/>
  <c r="E101" i="2"/>
  <c r="F101" i="2" s="1"/>
  <c r="J101" i="2"/>
  <c r="H101" i="2"/>
  <c r="P100" i="2"/>
  <c r="N100" i="2"/>
  <c r="L100" i="2"/>
  <c r="E100" i="2"/>
  <c r="F100" i="2" s="1"/>
  <c r="J100" i="2"/>
  <c r="H100" i="2"/>
  <c r="P99" i="2"/>
  <c r="N99" i="2"/>
  <c r="L99" i="2"/>
  <c r="E99" i="2"/>
  <c r="F99" i="2" s="1"/>
  <c r="J99" i="2"/>
  <c r="H99" i="2"/>
  <c r="P98" i="2"/>
  <c r="N98" i="2"/>
  <c r="L98" i="2"/>
  <c r="E98" i="2"/>
  <c r="F98" i="2" s="1"/>
  <c r="J98" i="2"/>
  <c r="H98" i="2"/>
  <c r="P97" i="2"/>
  <c r="N97" i="2"/>
  <c r="L97" i="2"/>
  <c r="E97" i="2"/>
  <c r="F97" i="2" s="1"/>
  <c r="J97" i="2"/>
  <c r="H97" i="2"/>
  <c r="P96" i="2"/>
  <c r="N96" i="2"/>
  <c r="L96" i="2"/>
  <c r="E96" i="2"/>
  <c r="F96" i="2" s="1"/>
  <c r="J96" i="2"/>
  <c r="H96" i="2"/>
  <c r="P95" i="2"/>
  <c r="N95" i="2"/>
  <c r="L95" i="2"/>
  <c r="E95" i="2"/>
  <c r="F95" i="2" s="1"/>
  <c r="J95" i="2"/>
  <c r="H95" i="2"/>
  <c r="P94" i="2"/>
  <c r="N94" i="2"/>
  <c r="L94" i="2"/>
  <c r="E94" i="2"/>
  <c r="F94" i="2" s="1"/>
  <c r="J94" i="2"/>
  <c r="H94" i="2"/>
  <c r="P93" i="2"/>
  <c r="N93" i="2"/>
  <c r="L93" i="2"/>
  <c r="E93" i="2"/>
  <c r="F93" i="2" s="1"/>
  <c r="J93" i="2"/>
  <c r="H93" i="2"/>
  <c r="P92" i="2"/>
  <c r="N92" i="2"/>
  <c r="L92" i="2"/>
  <c r="E92" i="2"/>
  <c r="F92" i="2" s="1"/>
  <c r="J92" i="2"/>
  <c r="H92" i="2"/>
  <c r="P91" i="2"/>
  <c r="N91" i="2"/>
  <c r="L91" i="2"/>
  <c r="E91" i="2"/>
  <c r="F91" i="2" s="1"/>
  <c r="J91" i="2"/>
  <c r="H91" i="2"/>
  <c r="P90" i="2"/>
  <c r="N90" i="2"/>
  <c r="L90" i="2"/>
  <c r="E90" i="2"/>
  <c r="F90" i="2" s="1"/>
  <c r="J90" i="2"/>
  <c r="H90" i="2"/>
  <c r="P89" i="2"/>
  <c r="N89" i="2"/>
  <c r="L89" i="2"/>
  <c r="E89" i="2"/>
  <c r="F89" i="2" s="1"/>
  <c r="J89" i="2"/>
  <c r="H89" i="2"/>
  <c r="P88" i="2"/>
  <c r="N88" i="2"/>
  <c r="L88" i="2"/>
  <c r="E88" i="2"/>
  <c r="F88" i="2" s="1"/>
  <c r="J88" i="2"/>
  <c r="H88" i="2"/>
  <c r="P87" i="2"/>
  <c r="N87" i="2"/>
  <c r="L87" i="2"/>
  <c r="E87" i="2"/>
  <c r="F87" i="2" s="1"/>
  <c r="J87" i="2"/>
  <c r="H87" i="2"/>
  <c r="P86" i="2"/>
  <c r="N86" i="2"/>
  <c r="L86" i="2"/>
  <c r="E86" i="2"/>
  <c r="F86" i="2" s="1"/>
  <c r="J86" i="2"/>
  <c r="H86" i="2"/>
  <c r="P85" i="2"/>
  <c r="N85" i="2"/>
  <c r="L85" i="2"/>
  <c r="F85" i="2"/>
  <c r="J85" i="2"/>
  <c r="H85" i="2"/>
  <c r="P84" i="2"/>
  <c r="N84" i="2"/>
  <c r="L84" i="2"/>
  <c r="E84" i="2"/>
  <c r="F84" i="2" s="1"/>
  <c r="J84" i="2"/>
  <c r="H84" i="2"/>
  <c r="P83" i="2"/>
  <c r="N83" i="2"/>
  <c r="L83" i="2"/>
  <c r="E83" i="2"/>
  <c r="F83" i="2" s="1"/>
  <c r="J83" i="2"/>
  <c r="H83" i="2"/>
  <c r="P82" i="2"/>
  <c r="N82" i="2"/>
  <c r="L82" i="2"/>
  <c r="E82" i="2"/>
  <c r="F82" i="2" s="1"/>
  <c r="J82" i="2"/>
  <c r="H82" i="2"/>
  <c r="P81" i="2"/>
  <c r="N81" i="2"/>
  <c r="L81" i="2"/>
  <c r="E81" i="2"/>
  <c r="F81" i="2" s="1"/>
  <c r="J81" i="2"/>
  <c r="H81" i="2"/>
  <c r="P80" i="2"/>
  <c r="N80" i="2"/>
  <c r="L80" i="2"/>
  <c r="E80" i="2"/>
  <c r="F80" i="2" s="1"/>
  <c r="J80" i="2"/>
  <c r="H80" i="2"/>
  <c r="P79" i="2"/>
  <c r="N79" i="2"/>
  <c r="L79" i="2"/>
  <c r="E79" i="2"/>
  <c r="F79" i="2" s="1"/>
  <c r="J79" i="2"/>
  <c r="H79" i="2"/>
  <c r="P78" i="2"/>
  <c r="N78" i="2"/>
  <c r="L78" i="2"/>
  <c r="E78" i="2"/>
  <c r="F78" i="2" s="1"/>
  <c r="J78" i="2"/>
  <c r="H78" i="2"/>
  <c r="P77" i="2"/>
  <c r="N77" i="2"/>
  <c r="L77" i="2"/>
  <c r="E77" i="2"/>
  <c r="F77" i="2" s="1"/>
  <c r="J77" i="2"/>
  <c r="H77" i="2"/>
  <c r="P76" i="2"/>
  <c r="N76" i="2"/>
  <c r="L76" i="2"/>
  <c r="E76" i="2"/>
  <c r="F76" i="2" s="1"/>
  <c r="J76" i="2"/>
  <c r="H76" i="2"/>
  <c r="P75" i="2"/>
  <c r="N75" i="2"/>
  <c r="L75" i="2"/>
  <c r="E75" i="2"/>
  <c r="F75" i="2" s="1"/>
  <c r="J75" i="2"/>
  <c r="H75" i="2"/>
  <c r="P74" i="2"/>
  <c r="N74" i="2"/>
  <c r="L74" i="2"/>
  <c r="E74" i="2"/>
  <c r="F74" i="2" s="1"/>
  <c r="J74" i="2"/>
  <c r="H74" i="2"/>
  <c r="P73" i="2"/>
  <c r="N73" i="2"/>
  <c r="L73" i="2"/>
  <c r="E73" i="2"/>
  <c r="F73" i="2" s="1"/>
  <c r="J73" i="2"/>
  <c r="H73" i="2"/>
  <c r="P72" i="2"/>
  <c r="N72" i="2"/>
  <c r="L72" i="2"/>
  <c r="E72" i="2"/>
  <c r="F72" i="2" s="1"/>
  <c r="J72" i="2"/>
  <c r="H72" i="2"/>
  <c r="P71" i="2"/>
  <c r="N71" i="2"/>
  <c r="L71" i="2"/>
  <c r="E71" i="2"/>
  <c r="F71" i="2" s="1"/>
  <c r="J71" i="2"/>
  <c r="H71" i="2"/>
  <c r="P70" i="2"/>
  <c r="N70" i="2"/>
  <c r="L70" i="2"/>
  <c r="E70" i="2"/>
  <c r="F70" i="2" s="1"/>
  <c r="J70" i="2"/>
  <c r="H70" i="2"/>
  <c r="P69" i="2"/>
  <c r="N69" i="2"/>
  <c r="L69" i="2"/>
  <c r="E69" i="2"/>
  <c r="F69" i="2" s="1"/>
  <c r="J69" i="2"/>
  <c r="H69" i="2"/>
  <c r="P68" i="2"/>
  <c r="N68" i="2"/>
  <c r="L68" i="2"/>
  <c r="E68" i="2"/>
  <c r="F68" i="2" s="1"/>
  <c r="J68" i="2"/>
  <c r="H68" i="2"/>
  <c r="P67" i="2"/>
  <c r="N67" i="2"/>
  <c r="L67" i="2"/>
  <c r="E67" i="2"/>
  <c r="F67" i="2" s="1"/>
  <c r="J67" i="2"/>
  <c r="H67" i="2"/>
  <c r="P66" i="2"/>
  <c r="N66" i="2"/>
  <c r="L66" i="2"/>
  <c r="E66" i="2"/>
  <c r="F66" i="2" s="1"/>
  <c r="J66" i="2"/>
  <c r="H66" i="2"/>
  <c r="P65" i="2"/>
  <c r="N65" i="2"/>
  <c r="L65" i="2"/>
  <c r="E65" i="2"/>
  <c r="F65" i="2" s="1"/>
  <c r="J65" i="2"/>
  <c r="H65" i="2"/>
  <c r="P64" i="2"/>
  <c r="N64" i="2"/>
  <c r="L64" i="2"/>
  <c r="E64" i="2"/>
  <c r="F64" i="2" s="1"/>
  <c r="J64" i="2"/>
  <c r="H64" i="2"/>
  <c r="P63" i="2"/>
  <c r="N63" i="2"/>
  <c r="L63" i="2"/>
  <c r="E63" i="2"/>
  <c r="F63" i="2" s="1"/>
  <c r="J63" i="2"/>
  <c r="H63" i="2"/>
  <c r="P62" i="2"/>
  <c r="N62" i="2"/>
  <c r="L62" i="2"/>
  <c r="E62" i="2"/>
  <c r="F62" i="2" s="1"/>
  <c r="J62" i="2"/>
  <c r="H62" i="2"/>
  <c r="P61" i="2"/>
  <c r="N61" i="2"/>
  <c r="L61" i="2"/>
  <c r="E61" i="2"/>
  <c r="F61" i="2" s="1"/>
  <c r="J61" i="2"/>
  <c r="H61" i="2"/>
  <c r="P60" i="2"/>
  <c r="N60" i="2"/>
  <c r="L60" i="2"/>
  <c r="E60" i="2"/>
  <c r="F60" i="2" s="1"/>
  <c r="J60" i="2"/>
  <c r="H60" i="2"/>
  <c r="P59" i="2"/>
  <c r="N59" i="2"/>
  <c r="L59" i="2"/>
  <c r="E59" i="2"/>
  <c r="F59" i="2" s="1"/>
  <c r="J59" i="2"/>
  <c r="H59" i="2"/>
  <c r="P58" i="2"/>
  <c r="N58" i="2"/>
  <c r="L58" i="2"/>
  <c r="E58" i="2"/>
  <c r="F58" i="2" s="1"/>
  <c r="J58" i="2"/>
  <c r="H58" i="2"/>
  <c r="P57" i="2"/>
  <c r="N57" i="2"/>
  <c r="L57" i="2"/>
  <c r="F57" i="2"/>
  <c r="J57" i="2"/>
  <c r="H57" i="2"/>
  <c r="P56" i="2"/>
  <c r="N56" i="2"/>
  <c r="L56" i="2"/>
  <c r="E56" i="2"/>
  <c r="F56" i="2" s="1"/>
  <c r="J56" i="2"/>
  <c r="H56" i="2"/>
  <c r="P55" i="2"/>
  <c r="N55" i="2"/>
  <c r="L55" i="2"/>
  <c r="E55" i="2"/>
  <c r="F55" i="2" s="1"/>
  <c r="J55" i="2"/>
  <c r="H55" i="2"/>
  <c r="P54" i="2"/>
  <c r="N54" i="2"/>
  <c r="L54" i="2"/>
  <c r="E54" i="2"/>
  <c r="F54" i="2" s="1"/>
  <c r="J54" i="2"/>
  <c r="H54" i="2"/>
  <c r="P53" i="2"/>
  <c r="N53" i="2"/>
  <c r="L53" i="2"/>
  <c r="E53" i="2"/>
  <c r="F53" i="2" s="1"/>
  <c r="J53" i="2"/>
  <c r="H53" i="2"/>
  <c r="P52" i="2"/>
  <c r="N52" i="2"/>
  <c r="L52" i="2"/>
  <c r="E52" i="2"/>
  <c r="F52" i="2" s="1"/>
  <c r="J52" i="2"/>
  <c r="H52" i="2"/>
  <c r="P51" i="2"/>
  <c r="N51" i="2"/>
  <c r="L51" i="2"/>
  <c r="E51" i="2"/>
  <c r="F51" i="2" s="1"/>
  <c r="J51" i="2"/>
  <c r="H51" i="2"/>
  <c r="P50" i="2"/>
  <c r="N50" i="2"/>
  <c r="L50" i="2"/>
  <c r="E50" i="2"/>
  <c r="F50" i="2" s="1"/>
  <c r="J50" i="2"/>
  <c r="H50" i="2"/>
  <c r="P49" i="2"/>
  <c r="N49" i="2"/>
  <c r="L49" i="2"/>
  <c r="E49" i="2"/>
  <c r="F49" i="2" s="1"/>
  <c r="J49" i="2"/>
  <c r="H49" i="2"/>
  <c r="P48" i="2"/>
  <c r="N48" i="2"/>
  <c r="L48" i="2"/>
  <c r="E48" i="2"/>
  <c r="F48" i="2" s="1"/>
  <c r="J48" i="2"/>
  <c r="H48" i="2"/>
  <c r="P47" i="2"/>
  <c r="N47" i="2"/>
  <c r="L47" i="2"/>
  <c r="E47" i="2"/>
  <c r="F47" i="2" s="1"/>
  <c r="J47" i="2"/>
  <c r="H47" i="2"/>
  <c r="P46" i="2"/>
  <c r="N46" i="2"/>
  <c r="L46" i="2"/>
  <c r="E46" i="2"/>
  <c r="F46" i="2" s="1"/>
  <c r="J46" i="2"/>
  <c r="H46" i="2"/>
  <c r="P45" i="2"/>
  <c r="N45" i="2"/>
  <c r="L45" i="2"/>
  <c r="E45" i="2"/>
  <c r="F45" i="2" s="1"/>
  <c r="J45" i="2"/>
  <c r="H45" i="2"/>
  <c r="P44" i="2"/>
  <c r="N44" i="2"/>
  <c r="L44" i="2"/>
  <c r="E44" i="2"/>
  <c r="F44" i="2" s="1"/>
  <c r="J44" i="2"/>
  <c r="H44" i="2"/>
  <c r="P43" i="2"/>
  <c r="N43" i="2"/>
  <c r="L43" i="2"/>
  <c r="E43" i="2"/>
  <c r="F43" i="2" s="1"/>
  <c r="J43" i="2"/>
  <c r="H43" i="2"/>
  <c r="P42" i="2"/>
  <c r="N42" i="2"/>
  <c r="L42" i="2"/>
  <c r="E42" i="2"/>
  <c r="F42" i="2" s="1"/>
  <c r="J42" i="2"/>
  <c r="H42" i="2"/>
  <c r="P41" i="2"/>
  <c r="N41" i="2"/>
  <c r="L41" i="2"/>
  <c r="E41" i="2"/>
  <c r="F41" i="2" s="1"/>
  <c r="J41" i="2"/>
  <c r="H41" i="2"/>
  <c r="P40" i="2"/>
  <c r="N40" i="2"/>
  <c r="L40" i="2"/>
  <c r="E40" i="2"/>
  <c r="F40" i="2" s="1"/>
  <c r="J40" i="2"/>
  <c r="H40" i="2"/>
  <c r="P39" i="2"/>
  <c r="N39" i="2"/>
  <c r="L39" i="2"/>
  <c r="E39" i="2"/>
  <c r="F39" i="2" s="1"/>
  <c r="J39" i="2"/>
  <c r="H39" i="2"/>
  <c r="P38" i="2"/>
  <c r="N38" i="2"/>
  <c r="L38" i="2"/>
  <c r="E38" i="2"/>
  <c r="F38" i="2" s="1"/>
  <c r="J38" i="2"/>
  <c r="H38" i="2"/>
  <c r="P37" i="2"/>
  <c r="N37" i="2"/>
  <c r="L37" i="2"/>
  <c r="E37" i="2"/>
  <c r="F37" i="2" s="1"/>
  <c r="J37" i="2"/>
  <c r="H37" i="2"/>
  <c r="P36" i="2"/>
  <c r="N36" i="2"/>
  <c r="L36" i="2"/>
  <c r="E36" i="2"/>
  <c r="F36" i="2" s="1"/>
  <c r="J36" i="2"/>
  <c r="H36" i="2"/>
  <c r="P35" i="2"/>
  <c r="N35" i="2"/>
  <c r="L35" i="2"/>
  <c r="E35" i="2"/>
  <c r="F35" i="2" s="1"/>
  <c r="J35" i="2"/>
  <c r="H35" i="2"/>
  <c r="P34" i="2"/>
  <c r="N34" i="2"/>
  <c r="L34" i="2"/>
  <c r="E34" i="2"/>
  <c r="F34" i="2" s="1"/>
  <c r="J34" i="2"/>
  <c r="H34" i="2"/>
  <c r="P33" i="2"/>
  <c r="N33" i="2"/>
  <c r="L33" i="2"/>
  <c r="E33" i="2"/>
  <c r="F33" i="2" s="1"/>
  <c r="J33" i="2"/>
  <c r="H33" i="2"/>
  <c r="P32" i="2"/>
  <c r="N32" i="2"/>
  <c r="L32" i="2"/>
  <c r="E32" i="2"/>
  <c r="F32" i="2" s="1"/>
  <c r="J32" i="2"/>
  <c r="H32" i="2"/>
  <c r="P31" i="2"/>
  <c r="N31" i="2"/>
  <c r="L31" i="2"/>
  <c r="E31" i="2"/>
  <c r="F31" i="2" s="1"/>
  <c r="J31" i="2"/>
  <c r="H31" i="2"/>
  <c r="P30" i="2"/>
  <c r="N30" i="2"/>
  <c r="L30" i="2"/>
  <c r="E30" i="2"/>
  <c r="F30" i="2" s="1"/>
  <c r="J30" i="2"/>
  <c r="H30" i="2"/>
  <c r="P29" i="2"/>
  <c r="N29" i="2"/>
  <c r="L29" i="2"/>
  <c r="E29" i="2"/>
  <c r="F29" i="2" s="1"/>
  <c r="J29" i="2"/>
  <c r="H29" i="2"/>
  <c r="P28" i="2"/>
  <c r="N28" i="2"/>
  <c r="L28" i="2"/>
  <c r="E28" i="2"/>
  <c r="F28" i="2" s="1"/>
  <c r="J28" i="2"/>
  <c r="H28" i="2"/>
  <c r="P27" i="2"/>
  <c r="N27" i="2"/>
  <c r="L27" i="2"/>
  <c r="E27" i="2"/>
  <c r="F27" i="2" s="1"/>
  <c r="J27" i="2"/>
  <c r="H27" i="2"/>
  <c r="P25" i="2"/>
  <c r="N25" i="2"/>
  <c r="L25" i="2"/>
  <c r="E25" i="2"/>
  <c r="F25" i="2" s="1"/>
  <c r="J25" i="2"/>
  <c r="H25" i="2"/>
  <c r="P24" i="2"/>
  <c r="N24" i="2"/>
  <c r="L24" i="2"/>
  <c r="E24" i="2"/>
  <c r="F24" i="2" s="1"/>
  <c r="J24" i="2"/>
  <c r="H24" i="2"/>
  <c r="P23" i="2"/>
  <c r="N23" i="2"/>
  <c r="L23" i="2"/>
  <c r="E23" i="2"/>
  <c r="F23" i="2" s="1"/>
  <c r="J23" i="2"/>
  <c r="H23" i="2"/>
  <c r="P22" i="2"/>
  <c r="N22" i="2"/>
  <c r="L22" i="2"/>
  <c r="E22" i="2"/>
  <c r="F22" i="2" s="1"/>
  <c r="H22" i="2"/>
  <c r="P21" i="2"/>
  <c r="N21" i="2"/>
  <c r="L21" i="2"/>
  <c r="E21" i="2"/>
  <c r="F21" i="2" s="1"/>
  <c r="J21" i="2"/>
  <c r="H21" i="2"/>
  <c r="P20" i="2"/>
  <c r="N20" i="2"/>
  <c r="L20" i="2"/>
  <c r="E20" i="2"/>
  <c r="F20" i="2" s="1"/>
  <c r="J20" i="2"/>
  <c r="H20" i="2"/>
  <c r="P19" i="2"/>
  <c r="N19" i="2"/>
  <c r="L19" i="2"/>
  <c r="E19" i="2"/>
  <c r="F19" i="2" s="1"/>
  <c r="J19" i="2"/>
  <c r="H19" i="2"/>
  <c r="N18" i="2"/>
  <c r="L18" i="2"/>
  <c r="E18" i="2"/>
  <c r="F18" i="2" s="1"/>
  <c r="J18" i="2"/>
  <c r="H18" i="2"/>
  <c r="P17" i="2"/>
  <c r="N17" i="2"/>
  <c r="L17" i="2"/>
  <c r="E17" i="2"/>
  <c r="F17" i="2" s="1"/>
  <c r="J17" i="2"/>
  <c r="H17" i="2"/>
  <c r="P16" i="2"/>
  <c r="N16" i="2"/>
  <c r="L16" i="2"/>
  <c r="E16" i="2"/>
  <c r="F16" i="2" s="1"/>
  <c r="J16" i="2"/>
  <c r="H16" i="2"/>
  <c r="P15" i="2"/>
  <c r="N15" i="2"/>
  <c r="L15" i="2"/>
  <c r="E15" i="2"/>
  <c r="F15" i="2" s="1"/>
  <c r="J15" i="2"/>
  <c r="H15" i="2"/>
  <c r="P14" i="2"/>
  <c r="N14" i="2"/>
  <c r="L14" i="2"/>
  <c r="E14" i="2"/>
  <c r="F14" i="2" s="1"/>
  <c r="J14" i="2"/>
  <c r="H14" i="2"/>
  <c r="P13" i="2"/>
  <c r="N13" i="2"/>
  <c r="L13" i="2"/>
  <c r="E13" i="2"/>
  <c r="F13" i="2" s="1"/>
  <c r="J13" i="2"/>
  <c r="H13" i="2"/>
  <c r="P12" i="2"/>
  <c r="N12" i="2"/>
  <c r="L12" i="2"/>
  <c r="E12" i="2"/>
  <c r="F12" i="2" s="1"/>
  <c r="J12" i="2"/>
  <c r="H12" i="2"/>
  <c r="P11" i="2"/>
  <c r="N11" i="2"/>
  <c r="L11" i="2"/>
  <c r="E11" i="2"/>
  <c r="F11" i="2" s="1"/>
  <c r="J11" i="2"/>
  <c r="H11" i="2"/>
  <c r="P10" i="2"/>
  <c r="N10" i="2"/>
  <c r="L10" i="2"/>
  <c r="E10" i="2"/>
  <c r="F10" i="2" s="1"/>
  <c r="J10" i="2"/>
  <c r="H10" i="2"/>
  <c r="P9" i="2"/>
  <c r="N9" i="2"/>
  <c r="L9" i="2"/>
  <c r="E9" i="2"/>
  <c r="F9" i="2" s="1"/>
  <c r="J9" i="2"/>
  <c r="H9" i="2"/>
  <c r="P8" i="2"/>
  <c r="N8" i="2"/>
  <c r="L8" i="2"/>
  <c r="E8" i="2"/>
  <c r="F8" i="2" s="1"/>
  <c r="J8" i="2"/>
  <c r="H8" i="2"/>
  <c r="L7" i="2"/>
  <c r="E7" i="2"/>
  <c r="J7" i="2"/>
  <c r="H7" i="2"/>
  <c r="J12" i="3"/>
  <c r="E4" i="2" l="1"/>
  <c r="G72" i="13"/>
  <c r="F19" i="14"/>
  <c r="U19" i="14" s="1"/>
  <c r="C19" i="14"/>
  <c r="R19" i="14" s="1"/>
  <c r="D72" i="13"/>
  <c r="E19" i="14"/>
  <c r="T19" i="14" s="1"/>
  <c r="F72" i="13"/>
  <c r="D19" i="14"/>
  <c r="S19" i="14" s="1"/>
  <c r="E72" i="13"/>
  <c r="G19" i="14"/>
  <c r="V19" i="14" s="1"/>
  <c r="H72" i="13"/>
  <c r="D58" i="5"/>
  <c r="D11" i="12"/>
  <c r="S11" i="12" s="1"/>
  <c r="E20" i="13"/>
  <c r="G11" i="12"/>
  <c r="V11" i="12" s="1"/>
  <c r="H20" i="13"/>
  <c r="D25" i="13"/>
  <c r="C12" i="12"/>
  <c r="R12" i="12" s="1"/>
  <c r="G15" i="13"/>
  <c r="F10" i="12"/>
  <c r="U10" i="12" s="1"/>
  <c r="AJ85" i="8"/>
  <c r="AH85" i="8"/>
  <c r="AK52" i="9"/>
  <c r="F7" i="2"/>
  <c r="F4" i="2" s="1"/>
  <c r="L4" i="2"/>
  <c r="N7" i="2"/>
  <c r="N4" i="2" s="1"/>
  <c r="M4" i="2"/>
  <c r="M5" i="2" s="1"/>
  <c r="O4" i="2"/>
  <c r="O5" i="2" s="1"/>
  <c r="L12" i="3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P7" i="3"/>
  <c r="P9" i="3"/>
  <c r="P11" i="3"/>
  <c r="P6" i="3"/>
  <c r="H4" i="2"/>
  <c r="J4" i="2"/>
  <c r="N12" i="3"/>
  <c r="G4" i="2"/>
  <c r="G5" i="2" s="1"/>
  <c r="P7" i="2"/>
  <c r="P4" i="2" s="1"/>
  <c r="I4" i="2"/>
  <c r="I5" i="2" s="1"/>
  <c r="J13" i="3"/>
  <c r="O12" i="3"/>
  <c r="P8" i="3"/>
  <c r="P10" i="3"/>
  <c r="E5" i="5"/>
  <c r="E58" i="5" s="1"/>
  <c r="K13" i="3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M13" i="3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E5" i="2" l="1"/>
  <c r="R89" i="2"/>
  <c r="AI85" i="8"/>
  <c r="AK85" i="8"/>
  <c r="C13" i="12"/>
  <c r="R13" i="12" s="1"/>
  <c r="D30" i="13"/>
  <c r="F11" i="12"/>
  <c r="U11" i="12" s="1"/>
  <c r="G20" i="13"/>
  <c r="H25" i="13"/>
  <c r="G12" i="12"/>
  <c r="V12" i="12" s="1"/>
  <c r="E25" i="13"/>
  <c r="D12" i="12"/>
  <c r="S12" i="12" s="1"/>
  <c r="F58" i="5"/>
  <c r="D3" i="13"/>
  <c r="E3" i="13"/>
  <c r="G3" i="13"/>
  <c r="H3" i="13"/>
  <c r="H4" i="13"/>
  <c r="AJ52" i="9"/>
  <c r="AH52" i="9"/>
  <c r="K36" i="3"/>
  <c r="O13" i="3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J14" i="3"/>
  <c r="N13" i="3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L36" i="3"/>
  <c r="M36" i="3"/>
  <c r="P12" i="3"/>
  <c r="D13" i="12" l="1"/>
  <c r="S13" i="12" s="1"/>
  <c r="E30" i="13"/>
  <c r="G13" i="12"/>
  <c r="V13" i="12" s="1"/>
  <c r="H30" i="13"/>
  <c r="C14" i="12"/>
  <c r="R14" i="12" s="1"/>
  <c r="D35" i="13"/>
  <c r="G25" i="13"/>
  <c r="F12" i="12"/>
  <c r="U12" i="12" s="1"/>
  <c r="D9" i="13"/>
  <c r="H7" i="13"/>
  <c r="H6" i="13"/>
  <c r="G6" i="13"/>
  <c r="E6" i="13"/>
  <c r="D6" i="13"/>
  <c r="G4" i="13"/>
  <c r="E4" i="13"/>
  <c r="AI52" i="9"/>
  <c r="P13" i="3"/>
  <c r="J15" i="3"/>
  <c r="P14" i="3"/>
  <c r="O36" i="3"/>
  <c r="N36" i="3"/>
  <c r="D40" i="13" l="1"/>
  <c r="C15" i="12"/>
  <c r="R15" i="12" s="1"/>
  <c r="F13" i="12"/>
  <c r="U13" i="12" s="1"/>
  <c r="G30" i="13"/>
  <c r="G14" i="12"/>
  <c r="V14" i="12" s="1"/>
  <c r="H35" i="13"/>
  <c r="D14" i="12"/>
  <c r="S14" i="12" s="1"/>
  <c r="E35" i="13"/>
  <c r="E9" i="13"/>
  <c r="H9" i="13"/>
  <c r="D13" i="13"/>
  <c r="G9" i="13"/>
  <c r="H10" i="13"/>
  <c r="G7" i="13"/>
  <c r="E7" i="13"/>
  <c r="J16" i="3"/>
  <c r="P15" i="3"/>
  <c r="D45" i="13" l="1"/>
  <c r="C16" i="12"/>
  <c r="R16" i="12" s="1"/>
  <c r="E40" i="13"/>
  <c r="D15" i="12"/>
  <c r="S15" i="12" s="1"/>
  <c r="H40" i="13"/>
  <c r="G15" i="12"/>
  <c r="V15" i="12" s="1"/>
  <c r="F14" i="12"/>
  <c r="U14" i="12" s="1"/>
  <c r="G35" i="13"/>
  <c r="D18" i="13"/>
  <c r="H14" i="13"/>
  <c r="G13" i="13"/>
  <c r="H13" i="13"/>
  <c r="E13" i="13"/>
  <c r="E10" i="13"/>
  <c r="G10" i="13"/>
  <c r="J17" i="3"/>
  <c r="P16" i="3"/>
  <c r="G40" i="13" l="1"/>
  <c r="F15" i="12"/>
  <c r="U15" i="12" s="1"/>
  <c r="G16" i="12"/>
  <c r="V16" i="12" s="1"/>
  <c r="H45" i="13"/>
  <c r="D16" i="12"/>
  <c r="S16" i="12" s="1"/>
  <c r="E45" i="13"/>
  <c r="D50" i="13"/>
  <c r="C17" i="12"/>
  <c r="R17" i="12" s="1"/>
  <c r="H19" i="13"/>
  <c r="E18" i="13"/>
  <c r="H18" i="13"/>
  <c r="D23" i="13"/>
  <c r="G18" i="13"/>
  <c r="G14" i="13"/>
  <c r="E14" i="13"/>
  <c r="P17" i="3"/>
  <c r="J18" i="3"/>
  <c r="C18" i="12" l="1"/>
  <c r="R18" i="12" s="1"/>
  <c r="D55" i="13"/>
  <c r="E50" i="13"/>
  <c r="D17" i="12"/>
  <c r="S17" i="12" s="1"/>
  <c r="G17" i="12"/>
  <c r="V17" i="12" s="1"/>
  <c r="H50" i="13"/>
  <c r="F16" i="12"/>
  <c r="U16" i="12" s="1"/>
  <c r="G45" i="13"/>
  <c r="D28" i="13"/>
  <c r="E19" i="13"/>
  <c r="H24" i="13"/>
  <c r="G19" i="13"/>
  <c r="G23" i="13"/>
  <c r="H23" i="13"/>
  <c r="E23" i="13"/>
  <c r="J19" i="3"/>
  <c r="P18" i="3"/>
  <c r="G18" i="12" l="1"/>
  <c r="V18" i="12" s="1"/>
  <c r="H55" i="13"/>
  <c r="D18" i="12"/>
  <c r="S18" i="12" s="1"/>
  <c r="E55" i="13"/>
  <c r="C19" i="12"/>
  <c r="R19" i="12" s="1"/>
  <c r="D60" i="13"/>
  <c r="G50" i="13"/>
  <c r="F17" i="12"/>
  <c r="U17" i="12" s="1"/>
  <c r="D33" i="13"/>
  <c r="H29" i="13"/>
  <c r="E28" i="13"/>
  <c r="H28" i="13"/>
  <c r="G28" i="13"/>
  <c r="G24" i="13"/>
  <c r="E24" i="13"/>
  <c r="J20" i="3"/>
  <c r="P19" i="3"/>
  <c r="C20" i="12" l="1"/>
  <c r="R20" i="12" s="1"/>
  <c r="D65" i="13"/>
  <c r="D19" i="12"/>
  <c r="S19" i="12" s="1"/>
  <c r="E60" i="13"/>
  <c r="F18" i="12"/>
  <c r="U18" i="12" s="1"/>
  <c r="G55" i="13"/>
  <c r="G19" i="12"/>
  <c r="V19" i="12" s="1"/>
  <c r="H60" i="13"/>
  <c r="D38" i="13"/>
  <c r="E33" i="13"/>
  <c r="G33" i="13"/>
  <c r="H33" i="13"/>
  <c r="G29" i="13"/>
  <c r="E29" i="13"/>
  <c r="H34" i="13"/>
  <c r="J21" i="3"/>
  <c r="P20" i="3"/>
  <c r="D70" i="13" l="1"/>
  <c r="C21" i="12"/>
  <c r="R21" i="12" s="1"/>
  <c r="D20" i="12"/>
  <c r="S20" i="12" s="1"/>
  <c r="E65" i="13"/>
  <c r="G20" i="12"/>
  <c r="V20" i="12" s="1"/>
  <c r="H65" i="13"/>
  <c r="F19" i="12"/>
  <c r="U19" i="12" s="1"/>
  <c r="G60" i="13"/>
  <c r="H38" i="13"/>
  <c r="E38" i="13"/>
  <c r="D43" i="13"/>
  <c r="G38" i="13"/>
  <c r="H39" i="13"/>
  <c r="E34" i="13"/>
  <c r="G34" i="13"/>
  <c r="J22" i="3"/>
  <c r="P21" i="3"/>
  <c r="E70" i="13" l="1"/>
  <c r="D21" i="12"/>
  <c r="S21" i="12" s="1"/>
  <c r="G21" i="12"/>
  <c r="V21" i="12" s="1"/>
  <c r="H70" i="13"/>
  <c r="F20" i="12"/>
  <c r="U20" i="12" s="1"/>
  <c r="G65" i="13"/>
  <c r="D48" i="13"/>
  <c r="G43" i="13"/>
  <c r="E43" i="13"/>
  <c r="H43" i="13"/>
  <c r="G39" i="13"/>
  <c r="E39" i="13"/>
  <c r="P22" i="3"/>
  <c r="J23" i="3"/>
  <c r="G70" i="13" l="1"/>
  <c r="F21" i="12"/>
  <c r="U21" i="12" s="1"/>
  <c r="D53" i="13"/>
  <c r="H49" i="13"/>
  <c r="H44" i="13"/>
  <c r="H54" i="13"/>
  <c r="E48" i="13"/>
  <c r="H48" i="13"/>
  <c r="G48" i="13"/>
  <c r="J24" i="3"/>
  <c r="P23" i="3"/>
  <c r="H59" i="13" l="1"/>
  <c r="E53" i="13"/>
  <c r="H53" i="13"/>
  <c r="G53" i="13"/>
  <c r="D58" i="13"/>
  <c r="G44" i="13"/>
  <c r="G49" i="13"/>
  <c r="E49" i="13"/>
  <c r="E44" i="13"/>
  <c r="E54" i="13"/>
  <c r="J25" i="3"/>
  <c r="P24" i="3"/>
  <c r="G54" i="13" l="1"/>
  <c r="D63" i="13"/>
  <c r="G59" i="13"/>
  <c r="H64" i="13"/>
  <c r="E59" i="13"/>
  <c r="E58" i="13"/>
  <c r="G58" i="13"/>
  <c r="H58" i="13"/>
  <c r="J26" i="3"/>
  <c r="P25" i="3"/>
  <c r="H69" i="13" l="1"/>
  <c r="E63" i="13"/>
  <c r="G63" i="13"/>
  <c r="H63" i="13"/>
  <c r="D68" i="13"/>
  <c r="E64" i="13"/>
  <c r="G64" i="13"/>
  <c r="J27" i="3"/>
  <c r="P26" i="3"/>
  <c r="D73" i="13" l="1"/>
  <c r="E69" i="13"/>
  <c r="G69" i="13"/>
  <c r="H74" i="13"/>
  <c r="H68" i="13"/>
  <c r="G68" i="13"/>
  <c r="E68" i="13"/>
  <c r="J28" i="3"/>
  <c r="P27" i="3"/>
  <c r="G73" i="13" l="1"/>
  <c r="E73" i="13"/>
  <c r="H73" i="13"/>
  <c r="R5" i="8"/>
  <c r="D78" i="13"/>
  <c r="V5" i="9"/>
  <c r="H79" i="13"/>
  <c r="G74" i="13"/>
  <c r="E74" i="13"/>
  <c r="J29" i="3"/>
  <c r="P28" i="3"/>
  <c r="U5" i="8" l="1"/>
  <c r="G78" i="13"/>
  <c r="C6" i="8"/>
  <c r="R6" i="8" s="1"/>
  <c r="C7" i="8" s="1"/>
  <c r="R7" i="8" s="1"/>
  <c r="D83" i="13"/>
  <c r="V5" i="8"/>
  <c r="H78" i="13"/>
  <c r="S5" i="8"/>
  <c r="E78" i="13"/>
  <c r="S5" i="9"/>
  <c r="E79" i="13"/>
  <c r="U5" i="9"/>
  <c r="G79" i="13"/>
  <c r="G6" i="9"/>
  <c r="V6" i="9" s="1"/>
  <c r="H89" i="13" s="1"/>
  <c r="H84" i="13"/>
  <c r="P29" i="3"/>
  <c r="J30" i="3"/>
  <c r="D88" i="13" l="1"/>
  <c r="C8" i="8"/>
  <c r="R8" i="8" s="1"/>
  <c r="F6" i="8"/>
  <c r="U6" i="8" s="1"/>
  <c r="F7" i="8" s="1"/>
  <c r="U7" i="8" s="1"/>
  <c r="G83" i="13"/>
  <c r="D6" i="8"/>
  <c r="S6" i="8" s="1"/>
  <c r="D7" i="8" s="1"/>
  <c r="S7" i="8" s="1"/>
  <c r="E83" i="13"/>
  <c r="G6" i="8"/>
  <c r="V6" i="8" s="1"/>
  <c r="G7" i="8" s="1"/>
  <c r="V7" i="8" s="1"/>
  <c r="H83" i="13"/>
  <c r="F6" i="9"/>
  <c r="U6" i="9" s="1"/>
  <c r="G89" i="13" s="1"/>
  <c r="G84" i="13"/>
  <c r="D6" i="9"/>
  <c r="S6" i="9" s="1"/>
  <c r="E89" i="13" s="1"/>
  <c r="E84" i="13"/>
  <c r="J31" i="3"/>
  <c r="P30" i="3"/>
  <c r="E88" i="13" l="1"/>
  <c r="D8" i="8"/>
  <c r="S8" i="8" s="1"/>
  <c r="C9" i="8"/>
  <c r="R9" i="8" s="1"/>
  <c r="D93" i="13"/>
  <c r="H88" i="13"/>
  <c r="G8" i="8"/>
  <c r="V8" i="8" s="1"/>
  <c r="G88" i="13"/>
  <c r="F8" i="8"/>
  <c r="U8" i="8" s="1"/>
  <c r="J32" i="3"/>
  <c r="P31" i="3"/>
  <c r="G93" i="13" l="1"/>
  <c r="F9" i="8"/>
  <c r="U9" i="8" s="1"/>
  <c r="H93" i="13"/>
  <c r="G9" i="8"/>
  <c r="V9" i="8" s="1"/>
  <c r="D9" i="8"/>
  <c r="S9" i="8" s="1"/>
  <c r="E93" i="13"/>
  <c r="J33" i="3"/>
  <c r="P32" i="3"/>
  <c r="F10" i="8" l="1"/>
  <c r="U10" i="8" s="1"/>
  <c r="G98" i="13"/>
  <c r="J34" i="3"/>
  <c r="P33" i="3"/>
  <c r="P34" i="3" l="1"/>
  <c r="J35" i="3"/>
  <c r="P35" i="3" l="1"/>
  <c r="P36" i="3" s="1"/>
  <c r="J36" i="3"/>
</calcChain>
</file>

<file path=xl/sharedStrings.xml><?xml version="1.0" encoding="utf-8"?>
<sst xmlns="http://schemas.openxmlformats.org/spreadsheetml/2006/main" count="2305" uniqueCount="611">
  <si>
    <t>ĐIỀU PHỐI QUAROMI</t>
  </si>
  <si>
    <t>CHỈ TIÊU</t>
  </si>
  <si>
    <t>VẬN CHUYỂN</t>
  </si>
  <si>
    <t>STT</t>
  </si>
  <si>
    <t>Ngày</t>
  </si>
  <si>
    <t>Đơn hàng</t>
  </si>
  <si>
    <t>Công việc</t>
  </si>
  <si>
    <t>Số lượng</t>
  </si>
  <si>
    <t>Người thực hiện</t>
  </si>
  <si>
    <t xml:space="preserve">Hỗ Trợ (trạm QL) </t>
  </si>
  <si>
    <t>Kết quả</t>
  </si>
  <si>
    <t>Chỉ tiêu</t>
  </si>
  <si>
    <t>Sản phẩm</t>
  </si>
  <si>
    <t>Đơn giá</t>
  </si>
  <si>
    <t>Doanh thu</t>
  </si>
  <si>
    <t>Thu tiền</t>
  </si>
  <si>
    <t>Người vận chuyển</t>
  </si>
  <si>
    <t>Số tiền</t>
  </si>
  <si>
    <t>GHI CHÚ</t>
  </si>
  <si>
    <t>Hàng hóa</t>
  </si>
  <si>
    <t>Giá bán</t>
  </si>
  <si>
    <t>Vỉ</t>
  </si>
  <si>
    <t>Cộng</t>
  </si>
  <si>
    <t>XN/CTY</t>
  </si>
  <si>
    <t>CBCNV</t>
  </si>
  <si>
    <t>Vỉ 500ml</t>
  </si>
  <si>
    <t>Vỉ 350 ml</t>
  </si>
  <si>
    <t>KM</t>
  </si>
  <si>
    <t>Vỉ 350ml</t>
  </si>
  <si>
    <t>Phương + Huế</t>
  </si>
  <si>
    <t>Xí nghiệp</t>
  </si>
  <si>
    <t>Phạm Thị Huyền</t>
  </si>
  <si>
    <t>Hộp 500ml</t>
  </si>
  <si>
    <t>Bùi Hà Thu</t>
  </si>
  <si>
    <t>Đinh Thu Huế</t>
  </si>
  <si>
    <t>Hộp 350ml</t>
  </si>
  <si>
    <t>Bình kiềm</t>
  </si>
  <si>
    <t>Lê Thanh Xuân</t>
  </si>
  <si>
    <t>Bình RO</t>
  </si>
  <si>
    <t>Nguyễn Văn Sơn</t>
  </si>
  <si>
    <t>Vũ Thị Thúy Phương</t>
  </si>
  <si>
    <t>Công ty</t>
  </si>
  <si>
    <t>Trần Trọng Khoa</t>
  </si>
  <si>
    <t>Miền Đông</t>
  </si>
  <si>
    <t>Nguyễn Văn Hưng</t>
  </si>
  <si>
    <t>Phạm Thị Đan Thanh</t>
  </si>
  <si>
    <t>Nguyễn Thị Ngà</t>
  </si>
  <si>
    <t>Nhà Nghỉ Hà Duy, phố Trần Cao Vân, đường sông 3, 10 vỉ 500ml, ĐT 0977 367679</t>
  </si>
  <si>
    <t>Bùi Thị Thu</t>
  </si>
  <si>
    <t>Bãi Cháy</t>
  </si>
  <si>
    <t>Xuân</t>
  </si>
  <si>
    <t>TT</t>
  </si>
  <si>
    <t>Họ và Tên</t>
  </si>
  <si>
    <t>Chức vụ</t>
  </si>
  <si>
    <t>Tổ/Trạm</t>
  </si>
  <si>
    <t>Thành tiền</t>
  </si>
  <si>
    <t>Trần Nam Trung</t>
  </si>
  <si>
    <t>Giám đốc</t>
  </si>
  <si>
    <t>Văn phòng</t>
  </si>
  <si>
    <t>Đỗ Văn Cảnh</t>
  </si>
  <si>
    <t>P. Giám đốc</t>
  </si>
  <si>
    <t>Phạm Quang Tâm</t>
  </si>
  <si>
    <t>P. Giám Đốc</t>
  </si>
  <si>
    <t>Vũ Thị Mai Huệ</t>
  </si>
  <si>
    <t>Phạm Phương Dung</t>
  </si>
  <si>
    <t>TBP. Kinh doanh</t>
  </si>
  <si>
    <t>Lại Thị Lan</t>
  </si>
  <si>
    <t>NV kinh doanh</t>
  </si>
  <si>
    <t>Nguyễn Huyền Thư</t>
  </si>
  <si>
    <t>Đoàn Thị Nhung</t>
  </si>
  <si>
    <t>Phạm Thị Thu (A)</t>
  </si>
  <si>
    <t>Trương Thị Hải Yến</t>
  </si>
  <si>
    <t>Lương Minh Hương</t>
  </si>
  <si>
    <t>Hoàng Hồng Nhung</t>
  </si>
  <si>
    <t>Nguyễn Phương Thảo</t>
  </si>
  <si>
    <t>Phan Hồng Hạnh</t>
  </si>
  <si>
    <t>Đỗ Thị Liễu</t>
  </si>
  <si>
    <t>CN kẹp chì</t>
  </si>
  <si>
    <t>Vũ Hữu Hoàng</t>
  </si>
  <si>
    <t>CN quản lý</t>
  </si>
  <si>
    <t>Lê Như Hùng</t>
  </si>
  <si>
    <t>NV kiểm tra</t>
  </si>
  <si>
    <t>Vũ Văn Thảo</t>
  </si>
  <si>
    <t>Trần Thị Thắm</t>
  </si>
  <si>
    <t>Kế toán chính</t>
  </si>
  <si>
    <t>NV thủ kho</t>
  </si>
  <si>
    <t>Lê Hoàng Anh</t>
  </si>
  <si>
    <t>NV kế toán</t>
  </si>
  <si>
    <t>Phạm Thị Bích Hằng</t>
  </si>
  <si>
    <t>Đỗ Thị Thu Hoàn</t>
  </si>
  <si>
    <t>Nguyễn Thị Thu Quyên</t>
  </si>
  <si>
    <t>Ngô Thị Vân Anh</t>
  </si>
  <si>
    <t>PT. Quản trị</t>
  </si>
  <si>
    <t>Nguyễn Thị Lan</t>
  </si>
  <si>
    <t>NV Đảng  - Đoàn</t>
  </si>
  <si>
    <t>Nguyễn Thị Ngọc Chung</t>
  </si>
  <si>
    <t>Thủ quỹ - HC</t>
  </si>
  <si>
    <t>Bùi Thị Diệu Linh</t>
  </si>
  <si>
    <t>NV LĐTL</t>
  </si>
  <si>
    <t>Đỗ Thị Hiền</t>
  </si>
  <si>
    <t>Phạm Thu Quỳnh</t>
  </si>
  <si>
    <t>CN tạp vụ</t>
  </si>
  <si>
    <t>Bùi Đức Hoàng</t>
  </si>
  <si>
    <t>CN Bảo vệ</t>
  </si>
  <si>
    <t>Nguyễn Thị Hằng</t>
  </si>
  <si>
    <t>Nguyễn Thị Thùy</t>
  </si>
  <si>
    <t>Đỗ Thị Vượng</t>
  </si>
  <si>
    <t>Tăng Thị Thơm</t>
  </si>
  <si>
    <t>Nguyễn Thị Huy</t>
  </si>
  <si>
    <t xml:space="preserve">CN bảo vệ </t>
  </si>
  <si>
    <t>Đặng Thanh Tùng</t>
  </si>
  <si>
    <t>CN lái xe</t>
  </si>
  <si>
    <t>Mai Anh Dũng</t>
  </si>
  <si>
    <t>TBP .Kỹ thuật</t>
  </si>
  <si>
    <t>Trịnh Thị Nhung</t>
  </si>
  <si>
    <t>NV kỹ thuật</t>
  </si>
  <si>
    <t>Bùi Văn Tình</t>
  </si>
  <si>
    <t>Khổng Thị Thu Trang</t>
  </si>
  <si>
    <t>Mạc Anh Tuấn</t>
  </si>
  <si>
    <t>NV kỹ thuật điện</t>
  </si>
  <si>
    <t>Phạm Vũ Quyền</t>
  </si>
  <si>
    <t>Bùi  Ngọc Nguyên</t>
  </si>
  <si>
    <t>NV kỹ thuật CTT</t>
  </si>
  <si>
    <t>Phạm Lan Hương</t>
  </si>
  <si>
    <t>NV kỹ thuật Vật tư</t>
  </si>
  <si>
    <t>Phạm Tuyết Dung</t>
  </si>
  <si>
    <t>Vi Đức Độ</t>
  </si>
  <si>
    <t>NV KT điện</t>
  </si>
  <si>
    <t>CN nước lọc</t>
  </si>
  <si>
    <t>Trần Ánh Nguyệt</t>
  </si>
  <si>
    <t>Nguyễn Quốc Hưng</t>
  </si>
  <si>
    <t>Trạm trưởng</t>
  </si>
  <si>
    <t>Hà Tu</t>
  </si>
  <si>
    <t>Vương Xuân Hùng</t>
  </si>
  <si>
    <t>Trạm phó</t>
  </si>
  <si>
    <t>Đào Duy Tùng</t>
  </si>
  <si>
    <t>Chu Hoài Nam</t>
  </si>
  <si>
    <t>Lê Hạnh Phúc</t>
  </si>
  <si>
    <t>Nghiêm Xuân Hải</t>
  </si>
  <si>
    <t>Nguyễn Văn Nhâm</t>
  </si>
  <si>
    <t>Nguyễn Mạnh Linh</t>
  </si>
  <si>
    <t>Hoàng Thị Mười</t>
  </si>
  <si>
    <t>CN Ghi số</t>
  </si>
  <si>
    <t>Lê Thị Thúy</t>
  </si>
  <si>
    <t>Bùi Ngọc Mai</t>
  </si>
  <si>
    <t>Nguyễn Thị Mi</t>
  </si>
  <si>
    <t>Tăng Thị Cúc</t>
  </si>
  <si>
    <t>Phạm Thị Thanh Hương</t>
  </si>
  <si>
    <t>CN VHMB</t>
  </si>
  <si>
    <t>Vũ Quốc Hiếu</t>
  </si>
  <si>
    <t>Trạm phó PT</t>
  </si>
  <si>
    <t>Cao Xanh</t>
  </si>
  <si>
    <t>Đỗ Anh Ngọc</t>
  </si>
  <si>
    <t>Trạm Phó</t>
  </si>
  <si>
    <t>Lý Ngọc Hồng</t>
  </si>
  <si>
    <t>Nguyễn Huy Toàn</t>
  </si>
  <si>
    <t>Nguyễn Huy Hoàng</t>
  </si>
  <si>
    <t>Trần Quốc Toản</t>
  </si>
  <si>
    <t>Lê Việt Anh</t>
  </si>
  <si>
    <t>Nguyễn Thế Mạnh</t>
  </si>
  <si>
    <t>Phạm Thanh Tuấn</t>
  </si>
  <si>
    <t>Lương Thị Vân Mai</t>
  </si>
  <si>
    <t>Ngô Thị Phương Thảo</t>
  </si>
  <si>
    <t xml:space="preserve">CN ghi số </t>
  </si>
  <si>
    <t>Nguyễn Thị Thu Hiền</t>
  </si>
  <si>
    <t>Trần Thị Nga</t>
  </si>
  <si>
    <t>Nguyễn Thị Thúy Hằng</t>
  </si>
  <si>
    <t>CN ghi số</t>
  </si>
  <si>
    <t>Vũ Thị Tươi</t>
  </si>
  <si>
    <t>Nguyễn Xuân Hùng</t>
  </si>
  <si>
    <t>Hạ Long</t>
  </si>
  <si>
    <t>Nguyễn Văn Tuyên</t>
  </si>
  <si>
    <t>Bùi Ngọc Đàm</t>
  </si>
  <si>
    <t>Vũ Quang Tạo</t>
  </si>
  <si>
    <t>Phạm Duy Linh</t>
  </si>
  <si>
    <t>Phạm Tiến Dũng</t>
  </si>
  <si>
    <t>Lê Anh Đức</t>
  </si>
  <si>
    <t>Bùi Minh Thái</t>
  </si>
  <si>
    <t>Nguyễn Văn Tùng</t>
  </si>
  <si>
    <t>Nguyễn Thị Chi</t>
  </si>
  <si>
    <t>Đào Thị Ngọc Anh</t>
  </si>
  <si>
    <t>Nguyễn Thị Sinh</t>
  </si>
  <si>
    <t>Đỗ Thị Thanh Hà</t>
  </si>
  <si>
    <t>Nguyễn Thị Tấm</t>
  </si>
  <si>
    <t>Bùi Phương Nhung</t>
  </si>
  <si>
    <t>Trần Lệ Hoa</t>
  </si>
  <si>
    <t>Nguyễn Thị Mai Dung</t>
  </si>
  <si>
    <t>Nguyễn Thị Hiếu</t>
  </si>
  <si>
    <t>Trần Thị Thu Huyền</t>
  </si>
  <si>
    <t>Vũ Thị Thanh Thảo</t>
  </si>
  <si>
    <t>Nguyễn Thị Ngọc Hà</t>
  </si>
  <si>
    <t xml:space="preserve">Trạm trưởng </t>
  </si>
  <si>
    <t>Hồng Gai</t>
  </si>
  <si>
    <t>Bùi Minh Quang</t>
  </si>
  <si>
    <t>Phạm Văn Dũng</t>
  </si>
  <si>
    <t>Phạm Trung Thông</t>
  </si>
  <si>
    <t>Phạm Thanh Trung</t>
  </si>
  <si>
    <t>Dư Văn Cẩm</t>
  </si>
  <si>
    <t>Nguyễn Quang Hùng</t>
  </si>
  <si>
    <t>Dương Tuấn Anh</t>
  </si>
  <si>
    <t>Hà Thị Hằng</t>
  </si>
  <si>
    <t>Bùi Thùy Dương</t>
  </si>
  <si>
    <t>Trần Thị Kim Dung</t>
  </si>
  <si>
    <t>Nguyễn Thị Hồng Phương</t>
  </si>
  <si>
    <t>Dương Thị Thu</t>
  </si>
  <si>
    <t>Bùi Thị Tuyết Vân</t>
  </si>
  <si>
    <t>Mai Thị Lụa</t>
  </si>
  <si>
    <t>Lưu Hải Yến</t>
  </si>
  <si>
    <t>Phan Thị Quý</t>
  </si>
  <si>
    <t>Nguyễn Thị Thủy (B)</t>
  </si>
  <si>
    <t>Nông Thị Hạnh</t>
  </si>
  <si>
    <t>Lê Thị Như Quỳnh</t>
  </si>
  <si>
    <t>Tô Thị Phương</t>
  </si>
  <si>
    <t>Nguyễn Thị Hiền</t>
  </si>
  <si>
    <t>Nguyễn Thị Mai Anh</t>
  </si>
  <si>
    <t>Bùi Thị Thu Minh</t>
  </si>
  <si>
    <t>Hà Lầm</t>
  </si>
  <si>
    <t>Nguyễn Quang Trung</t>
  </si>
  <si>
    <t>Nguyễn Tùng Cương</t>
  </si>
  <si>
    <t>Phạm Ngọc Thắng</t>
  </si>
  <si>
    <t>Vũ Mạnh Hùng</t>
  </si>
  <si>
    <t>Phạm Thanh Phong</t>
  </si>
  <si>
    <t>Lê Quang Dũng</t>
  </si>
  <si>
    <t>Vũ Đức Duy</t>
  </si>
  <si>
    <t>Phạm Thái Sơn</t>
  </si>
  <si>
    <t>Đinh Thị Cẩm Anh</t>
  </si>
  <si>
    <t>Mạc Thị Huyền</t>
  </si>
  <si>
    <t>Nguyễn Thị Thuỳ Liên</t>
  </si>
  <si>
    <t>Trần Thị Đan My</t>
  </si>
  <si>
    <t>Trần Thị Xuyến</t>
  </si>
  <si>
    <t>Hoàng Thị Phương</t>
  </si>
  <si>
    <t>Nguyễn Ánh Nguyệt</t>
  </si>
  <si>
    <t>Mạc Thị Thanh Tú</t>
  </si>
  <si>
    <t>Nguyễn Kim Dung</t>
  </si>
  <si>
    <t>Nguyễn Viết Tạo</t>
  </si>
  <si>
    <t>Tổ trưởng</t>
  </si>
  <si>
    <t>DV-CTT</t>
  </si>
  <si>
    <t>Lương Chí Hiếu</t>
  </si>
  <si>
    <t>Tổ phó</t>
  </si>
  <si>
    <t>Vũ Thị Đào</t>
  </si>
  <si>
    <t>CN dịch vụ</t>
  </si>
  <si>
    <t>Đặng Thu Huyền</t>
  </si>
  <si>
    <t>Mạc Văn Chung</t>
  </si>
  <si>
    <t>Dương Công Tưởng</t>
  </si>
  <si>
    <t>CN sửa chữa</t>
  </si>
  <si>
    <t>Nguyễn Thế Trọng</t>
  </si>
  <si>
    <t>Lê Xuân Thảo</t>
  </si>
  <si>
    <t>Phạm Tiến Quỳnh</t>
  </si>
  <si>
    <t>CN CTT</t>
  </si>
  <si>
    <t>Hoàng Quang Huy</t>
  </si>
  <si>
    <t>Nguyễn Thị Dung</t>
  </si>
  <si>
    <t>Nguyễn Thị Thu Hiên</t>
  </si>
  <si>
    <t>Phạm Thanh Quang</t>
  </si>
  <si>
    <t>Nguyễn Ngọc Thắng</t>
  </si>
  <si>
    <t>Đỗ Thị Huyền</t>
  </si>
  <si>
    <t>Trần Bích Ly</t>
  </si>
  <si>
    <t>Nguyễn Thanh Xuyền</t>
  </si>
  <si>
    <t>Đá Trắng</t>
  </si>
  <si>
    <t>Trần Thanh Hải</t>
  </si>
  <si>
    <t>Trương Quốc Khánh</t>
  </si>
  <si>
    <t>Phạm Đức Long</t>
  </si>
  <si>
    <t>Đỗ Thị Lan</t>
  </si>
  <si>
    <t>CN hoá nghiệm</t>
  </si>
  <si>
    <t>Nguyễn Quỳnh Nga</t>
  </si>
  <si>
    <t>CNhoá nghiệm</t>
  </si>
  <si>
    <t>Nguyễn Văn Thức</t>
  </si>
  <si>
    <t xml:space="preserve"> Trạm phó - CN hoá nghiệm</t>
  </si>
  <si>
    <t>Nguyễn Thị Ngọc Anh</t>
  </si>
  <si>
    <t>Nguyễn Thị Lan Anh</t>
  </si>
  <si>
    <t>Nguyễn T.Phương Thanh</t>
  </si>
  <si>
    <t>CN VHMB bơm 1</t>
  </si>
  <si>
    <t xml:space="preserve">Nguyễn Thị Hương </t>
  </si>
  <si>
    <t>Lê Thị Tâm</t>
  </si>
  <si>
    <t>Tô Thị Huệ</t>
  </si>
  <si>
    <t>Nguyễn Thiện Hải</t>
  </si>
  <si>
    <t>Lê Thị Lan Anh</t>
  </si>
  <si>
    <t>Hoàng Thị Dung</t>
  </si>
  <si>
    <t>Nguyễn Thị Quỳnh</t>
  </si>
  <si>
    <t>Đặng Thị Hường</t>
  </si>
  <si>
    <t>Lưu Khánh Chi</t>
  </si>
  <si>
    <t>Phạm Thị Thu (B)</t>
  </si>
  <si>
    <t>Trần Thị Gấm</t>
  </si>
  <si>
    <t>Vũ Thị Thu Vân</t>
  </si>
  <si>
    <t>Trần Thị Tuyết Lan</t>
  </si>
  <si>
    <t>Tô Thị Lan</t>
  </si>
  <si>
    <t>Phạm Thị Liên</t>
  </si>
  <si>
    <t>CN bảo vệ</t>
  </si>
  <si>
    <t>Nguyễn Đại Quân</t>
  </si>
  <si>
    <t>Nguyễn Thị Hiền Nương</t>
  </si>
  <si>
    <t>Trần Thị Trinh</t>
  </si>
  <si>
    <t>THEO DÕI NHẬP, XUẤT NƯỚC QAROMI</t>
  </si>
  <si>
    <t>Tháng 9/2026</t>
  </si>
  <si>
    <t>Nhập</t>
  </si>
  <si>
    <t>Xuất</t>
  </si>
  <si>
    <t>Tồn</t>
  </si>
  <si>
    <t>ĐIỀU PHỐI QAROMI</t>
  </si>
  <si>
    <t>Họ tên</t>
  </si>
  <si>
    <t>Địa chỉ nhà</t>
  </si>
  <si>
    <t>SĐT</t>
  </si>
  <si>
    <t>Khu vực thực hiện</t>
  </si>
  <si>
    <t>TỔ BẢO VỆ THÁNG 9</t>
  </si>
  <si>
    <t>I</t>
  </si>
  <si>
    <t>Bốc xếp, vận chuyển</t>
  </si>
  <si>
    <t>Thứ</t>
  </si>
  <si>
    <t>Tổ thị trường</t>
  </si>
  <si>
    <t>0963913555</t>
  </si>
  <si>
    <t>Cao Xanh, Hồng Gai</t>
  </si>
  <si>
    <t>Đặng Thị Huyền</t>
  </si>
  <si>
    <t>Tổ DVCTT</t>
  </si>
  <si>
    <t>Cứu Hỏa</t>
  </si>
  <si>
    <t>0966785220</t>
  </si>
  <si>
    <t>Bãi Muối</t>
  </si>
  <si>
    <t>0988168666</t>
  </si>
  <si>
    <t>Bảo vệ</t>
  </si>
  <si>
    <t>Cột 3</t>
  </si>
  <si>
    <t>0982916899</t>
  </si>
  <si>
    <t>Trăng Thị Thơm</t>
  </si>
  <si>
    <t>Hà Trung</t>
  </si>
  <si>
    <t>0365577629</t>
  </si>
  <si>
    <t>0787224668</t>
  </si>
  <si>
    <t>Hà Phong</t>
  </si>
  <si>
    <t>0379221778</t>
  </si>
  <si>
    <t>CN</t>
  </si>
  <si>
    <t>Cột 5</t>
  </si>
  <si>
    <t>0914988892</t>
  </si>
  <si>
    <t>0388573628</t>
  </si>
  <si>
    <t>Yết Kiêu</t>
  </si>
  <si>
    <t>0838980944</t>
  </si>
  <si>
    <t>0855198226</t>
  </si>
  <si>
    <t>Cột 3, cột 5</t>
  </si>
  <si>
    <t>0962672181</t>
  </si>
  <si>
    <t>Tăng áp -&gt; Hà Tu</t>
  </si>
  <si>
    <t>0915196225</t>
  </si>
  <si>
    <t>0904099383</t>
  </si>
  <si>
    <t>0982757198</t>
  </si>
  <si>
    <t>II</t>
  </si>
  <si>
    <t>Lái xe tải điện</t>
  </si>
  <si>
    <t>0934399569</t>
  </si>
  <si>
    <t>0968333882</t>
  </si>
  <si>
    <t>Thứ tự điều phối</t>
  </si>
  <si>
    <t>Tổ Tiếp thị</t>
  </si>
  <si>
    <t>Tổ Dịch vụ</t>
  </si>
  <si>
    <t>Tổ Bảo vệ</t>
  </si>
  <si>
    <t>Trạm QL</t>
  </si>
  <si>
    <t>TỔNG HỢP CHI PHÍ VẬN CHUYỂN, BỐC XẾP</t>
  </si>
  <si>
    <t>NGÀY</t>
  </si>
  <si>
    <t>TỒN ĐẦU KỲ</t>
  </si>
  <si>
    <t>NHẬP</t>
  </si>
  <si>
    <t>XUẤT</t>
  </si>
  <si>
    <t>TỒN CUỐI</t>
  </si>
  <si>
    <t>BÌNH RO</t>
  </si>
  <si>
    <t>BÌNH KIỀM</t>
  </si>
  <si>
    <t>VỈ 500ML</t>
  </si>
  <si>
    <t>VỈ 350ML</t>
  </si>
  <si>
    <t>8/9 VAY KHO CÔNG TY 22 VỈ 500ML – ĐƠN PHƯƠNG LÁI XE</t>
  </si>
  <si>
    <t>9/9/2026</t>
  </si>
  <si>
    <t xml:space="preserve">Ngày </t>
  </si>
  <si>
    <t>8/9/2026</t>
  </si>
  <si>
    <t>Bình ro</t>
  </si>
  <si>
    <t>Bình ion</t>
  </si>
  <si>
    <t>vỉ 350 ml</t>
  </si>
  <si>
    <t>Kho tăng áp</t>
  </si>
  <si>
    <t>Kho chị Huế</t>
  </si>
  <si>
    <t>Bộ phận</t>
  </si>
  <si>
    <t xml:space="preserve"> TẶNG Vỉ 500ml</t>
  </si>
  <si>
    <t xml:space="preserve"> Thùng 500 ml</t>
  </si>
  <si>
    <t xml:space="preserve"> TẶNG Thùng 500 ml</t>
  </si>
  <si>
    <t xml:space="preserve"> TẶNG Vỉ 350ml</t>
  </si>
  <si>
    <t>Thùng 350 ml</t>
  </si>
  <si>
    <t xml:space="preserve"> TẶNG Thùng 350 ml</t>
  </si>
  <si>
    <t>Bình Ion</t>
  </si>
  <si>
    <t xml:space="preserve"> TẶNG Bình Ion</t>
  </si>
  <si>
    <t xml:space="preserve"> TẶNG Bình RO</t>
  </si>
  <si>
    <t>XN</t>
  </si>
  <si>
    <t>xe điện</t>
  </si>
  <si>
    <t>BC</t>
  </si>
  <si>
    <t>cty</t>
  </si>
  <si>
    <t>FLC</t>
  </si>
  <si>
    <t>huế bán- Thái Nguyên 1</t>
  </si>
  <si>
    <t>mai anh- HG</t>
  </si>
  <si>
    <t>tuyết lan</t>
  </si>
  <si>
    <t>Phương- béo</t>
  </si>
  <si>
    <t>Hồng gai ship</t>
  </si>
  <si>
    <t>TỔNG XUẤT</t>
  </si>
  <si>
    <t>Tồn Cuối Kỳ</t>
  </si>
  <si>
    <t>Ghi chú</t>
  </si>
  <si>
    <t>C Huyền lấy 4 vỉ 500 ship 2 đơn</t>
  </si>
  <si>
    <t>Chị hằng cx lấy 3 vỉ 500</t>
  </si>
  <si>
    <t xml:space="preserve">E tú ghi số lấy 11 vỉ 500 ship đơn ngõ 14 bãi muối </t>
  </si>
  <si>
    <t>Mai ghi số</t>
  </si>
  <si>
    <t>sơn Hà tu</t>
  </si>
  <si>
    <t>Nhung</t>
  </si>
  <si>
    <t>c nhã nhà trẻ hoa hồng</t>
  </si>
  <si>
    <t>Thị Thu</t>
  </si>
  <si>
    <t>ngà</t>
  </si>
  <si>
    <t>liễu</t>
  </si>
  <si>
    <t>ngọc anh ship</t>
  </si>
  <si>
    <t>đỗ hà ship</t>
  </si>
  <si>
    <t>chi ship</t>
  </si>
  <si>
    <t>Hằng Bảo vệ</t>
  </si>
  <si>
    <t>phương thủ kho</t>
  </si>
  <si>
    <t>nam ( vâu)</t>
  </si>
  <si>
    <t xml:space="preserve">thùy bảo vệ </t>
  </si>
  <si>
    <t>Thanh ship</t>
  </si>
  <si>
    <t>Sinh</t>
  </si>
  <si>
    <t>ub</t>
  </si>
  <si>
    <t>Phương+Huế</t>
  </si>
  <si>
    <t>lại Lan</t>
  </si>
  <si>
    <t>Hằng Bảo vệ ship đơn Đa khoa hoàng anh</t>
  </si>
  <si>
    <t>Kho</t>
  </si>
  <si>
    <t>hoàn thành</t>
  </si>
  <si>
    <t>Chỉ tiêu CBCNV</t>
  </si>
  <si>
    <t>Kiểm tra</t>
  </si>
  <si>
    <t>HỘP 500</t>
  </si>
  <si>
    <t>hộp 500</t>
  </si>
  <si>
    <t>Chi</t>
  </si>
  <si>
    <t>xuân</t>
  </si>
  <si>
    <t>10/9/2026</t>
  </si>
  <si>
    <t>4 vỉ 500ml vào 315 Cao Xanh. Cửa hàng đt Dũng Tí, 098 4312638</t>
  </si>
  <si>
    <t>Tươi Đá Trắng số 19 Ba Đèo, 8 bình ion+ 11 vỉ 500 ml, 0915158863, chở đến điêm gọi chị tươi đến bốc</t>
  </si>
  <si>
    <t>7/9/2026</t>
  </si>
  <si>
    <t>9/9</t>
  </si>
  <si>
    <t>Long KD lấy ra đội múa</t>
  </si>
  <si>
    <t>10/9</t>
  </si>
  <si>
    <t>Nhung trả nợ nước hội thao</t>
  </si>
  <si>
    <t>Hộp 500 ml</t>
  </si>
  <si>
    <t>hộp 500 ml</t>
  </si>
  <si>
    <t>hộp 500ml</t>
  </si>
  <si>
    <t>Trạm Hạ Long</t>
  </si>
  <si>
    <t>Lương Vân Mai</t>
  </si>
  <si>
    <t>Trường Dân tộc nội trú</t>
  </si>
  <si>
    <t>11/9/2026</t>
  </si>
  <si>
    <t>Bùi Ngọc Nguyên</t>
  </si>
  <si>
    <t>Tăng áp</t>
  </si>
  <si>
    <t>Kho Huế</t>
  </si>
  <si>
    <t>Kho văn phòng</t>
  </si>
  <si>
    <t>Hộp 500 ML</t>
  </si>
  <si>
    <t>nghỉ phép</t>
  </si>
  <si>
    <t>12/9/2026</t>
  </si>
  <si>
    <t>13/9/2026</t>
  </si>
  <si>
    <t>Tồn xe điện</t>
  </si>
  <si>
    <t>14/9/2026</t>
  </si>
  <si>
    <t>Kho vp</t>
  </si>
  <si>
    <t>Kho Hà Lầm</t>
  </si>
  <si>
    <t>Tồn kho Hà Lầm</t>
  </si>
  <si>
    <t>xuất 40 vỉ 500 cho trạm Hồng Gai</t>
  </si>
  <si>
    <t>15/9/2026</t>
  </si>
  <si>
    <t>16/9/2026</t>
  </si>
  <si>
    <t>Thư tuyền PXD</t>
  </si>
  <si>
    <t>17/9/2026</t>
  </si>
  <si>
    <t>Yến Quảng Yên</t>
  </si>
  <si>
    <t>18/9/2026</t>
  </si>
  <si>
    <t>Thảo Cẩm Phả</t>
  </si>
  <si>
    <t>vận chuyển</t>
  </si>
  <si>
    <t>Vũ Thành Long</t>
  </si>
  <si>
    <t>NVKD</t>
  </si>
  <si>
    <t>Tùng chạy xe</t>
  </si>
  <si>
    <t>Trạm Hà Lầm</t>
  </si>
  <si>
    <t>Kim anh Bãi Cháy</t>
  </si>
  <si>
    <t>Ghi số</t>
  </si>
  <si>
    <t>Lai xe</t>
  </si>
  <si>
    <t>19/9/2026</t>
  </si>
  <si>
    <t>20/9</t>
  </si>
  <si>
    <t>19/9</t>
  </si>
  <si>
    <t>21/9/2026</t>
  </si>
  <si>
    <t>SL</t>
  </si>
  <si>
    <t>ĐG</t>
  </si>
  <si>
    <t>tiền</t>
  </si>
  <si>
    <t>Tổng</t>
  </si>
  <si>
    <t>20/9/2026</t>
  </si>
  <si>
    <t>21/9</t>
  </si>
  <si>
    <t>4 vỉ anh Nguyên trả nợ, nhập 11 bình có 7 úp+4 vòi</t>
  </si>
  <si>
    <t>Nguyễn Văn Khoa (Cẩm Phả)</t>
  </si>
  <si>
    <t>Kho Huế (5 úp + 42 vòi)</t>
  </si>
  <si>
    <t>22/9/2026</t>
  </si>
  <si>
    <t>Tô Phương, Phương lái xe</t>
  </si>
  <si>
    <t>Trạm Cao Xanh</t>
  </si>
  <si>
    <t>23/9/2026</t>
  </si>
  <si>
    <t>24/9/2026</t>
  </si>
  <si>
    <t>23/9//2026</t>
  </si>
  <si>
    <t>25/9/2026</t>
  </si>
  <si>
    <t>Trạm Hạ Long thu tiền</t>
  </si>
  <si>
    <t>26/9/2026</t>
  </si>
  <si>
    <t>28/9/2026</t>
  </si>
  <si>
    <t>Úp</t>
  </si>
  <si>
    <t>Vòi</t>
  </si>
  <si>
    <t>29/9/2026</t>
  </si>
  <si>
    <t>Kho Huế (2 úp + 6 vòi)</t>
  </si>
  <si>
    <t>Tổng nhận</t>
  </si>
  <si>
    <t>ơi mai cho chị đăng kí 30 +3 RO  vòi và 10 vỉ 500 em nhé .(VPUB Tỉnh QN).Chiều mai em nhé . 0977446067</t>
  </si>
  <si>
    <t>500ml</t>
  </si>
  <si>
    <t xml:space="preserve"> 350 ml</t>
  </si>
  <si>
    <t>hộp</t>
  </si>
  <si>
    <t xml:space="preserve"> 500ml</t>
  </si>
  <si>
    <t>úp</t>
  </si>
  <si>
    <t xml:space="preserve">vỉ </t>
  </si>
  <si>
    <t>10 vỉ 350ml + 1 km đến lideco hộ em với nhé! Giao càng sớm càng tốt chị ạ!!</t>
  </si>
  <si>
    <t>Hiển</t>
  </si>
  <si>
    <r>
      <t>Thư Tuyền PXD: E ơi ship giúp c 10 +1 vỉ 500ml (980k) đến nhà chú Thắng ở tổ 13 khu phố Hà Trung 2 (tầm 11h-11r chú ấy đi làm về)</t>
    </r>
    <r>
      <rPr>
        <sz val="16"/>
        <color theme="1"/>
        <rFont val="Times New Roman"/>
        <family val="1"/>
        <charset val="163"/>
      </rPr>
      <t xml:space="preserve"> </t>
    </r>
    <r>
      <rPr>
        <u/>
        <sz val="16"/>
        <color theme="1"/>
        <rFont val="Calibri"/>
        <family val="2"/>
        <charset val="1"/>
      </rPr>
      <t>+84972133886</t>
    </r>
    <r>
      <rPr>
        <sz val="16"/>
        <color theme="1"/>
        <rFont val="Calibri"/>
        <family val="2"/>
        <charset val="1"/>
      </rPr>
      <t>.</t>
    </r>
  </si>
  <si>
    <t>CK29/9</t>
  </si>
  <si>
    <t>Minh Huệ</t>
  </si>
  <si>
    <r>
      <t xml:space="preserve">Minh HUệ PQT: 10+1 vỉ 350ml đến Lan Bò Quán, 6A Lê Thánh Tông, 089 8083222 ( </t>
    </r>
    <r>
      <rPr>
        <b/>
        <sz val="14"/>
        <color theme="1"/>
        <rFont val="Times New Roman"/>
        <family val="1"/>
      </rPr>
      <t>CHiều ship,</t>
    </r>
    <r>
      <rPr>
        <sz val="14"/>
        <color theme="1"/>
        <rFont val="Times New Roman"/>
        <family val="1"/>
        <charset val="163"/>
      </rPr>
      <t xml:space="preserve"> thu tiền luôn)</t>
    </r>
  </si>
  <si>
    <t>:Nguyễn Hải Ninh phòng KT đki 10+1 vỉ 500ml ship đến địa chỉ: Số nhà 260 tổ 61 khu Cao Thắng 7 phường Hà Lầm - sđt: 083 3762848 THU TIỀN LUÔN</t>
  </si>
  <si>
    <t>Hải Ninh</t>
  </si>
  <si>
    <t>Anh Hoàng Bảo vệ, trạm Hạ Lomg</t>
  </si>
  <si>
    <t>30/9/2026</t>
  </si>
  <si>
    <t>Thái Sơn</t>
  </si>
  <si>
    <r>
      <t xml:space="preserve">Nguyễn Thái Sơn phòng KT đki 15+1 vỉ 350ml đến trường mầm non Hạ long, 0904110068, </t>
    </r>
    <r>
      <rPr>
        <b/>
        <sz val="14"/>
        <color theme="1"/>
        <rFont val="Times New Roman"/>
        <family val="1"/>
      </rPr>
      <t>THU TIỀN LUÔN</t>
    </r>
  </si>
  <si>
    <r>
      <t xml:space="preserve">Công ty cổ phần xe khách quảng ninhTổ 4 phường hạ long, 5 bình RO, </t>
    </r>
    <r>
      <rPr>
        <b/>
        <sz val="14"/>
        <color theme="1"/>
        <rFont val="Times New Roman"/>
        <family val="1"/>
      </rPr>
      <t>THU CỌC 300.000</t>
    </r>
  </si>
  <si>
    <t>Số nhà 41 tổ 6 khu 5. Đi vào ngõ 56 cạnh công an phường Hạ long (đối diện chợ Hồng Hà), lên thẳng dốc, nhà đối diện nhà văn hoá khu 5, 0913265778,  10+1 vỉ 500 m</t>
  </si>
  <si>
    <t>Dung ghi số Hạ Long</t>
  </si>
  <si>
    <t>Bảo Long PCN: SN 11 kho gạo Yết Kiêu - 0963069266 - ship luôn 5 vỉ 500ml thu tiền luôn</t>
  </si>
  <si>
    <t>Bảo Long PCN</t>
  </si>
  <si>
    <t>Tô Phương, Phương lái xe chở hàng</t>
  </si>
  <si>
    <t>UBND phường Hạ Long  10 bình Ro</t>
  </si>
  <si>
    <t>chuyển sang cho chị 5 vỉ nước 500m, 0972502235, để sảnh chung cư sapphre</t>
  </si>
  <si>
    <t>Uông Bí</t>
  </si>
  <si>
    <t>Thúy Nghĩa</t>
  </si>
  <si>
    <t>1/10</t>
  </si>
  <si>
    <t>Xuân trạm 3 bình ion</t>
  </si>
  <si>
    <t>Hùng kều trạm</t>
  </si>
  <si>
    <r>
      <t xml:space="preserve">3 vỉ 350 sang trường mâm non Hạ Long, </t>
    </r>
    <r>
      <rPr>
        <b/>
        <sz val="14"/>
        <color theme="1"/>
        <rFont val="Times New Roman"/>
        <family val="1"/>
      </rPr>
      <t>thu tiền luôn</t>
    </r>
    <r>
      <rPr>
        <sz val="14"/>
        <color theme="1"/>
        <rFont val="Times New Roman"/>
        <family val="1"/>
        <charset val="163"/>
      </rPr>
      <t xml:space="preserve"> 0904110068</t>
    </r>
  </si>
  <si>
    <t>Thảo Pý Cẩm Phả thu tiền</t>
  </si>
  <si>
    <t>10 +1 bình nước thường : Melatect Cao Xanh, ĐT 0377218927</t>
  </si>
  <si>
    <r>
      <t>Minh Hue PQT: Số nhà 09, đường lương đình của, cạnh công ty xe khách quảng ninh. Phía sau lưng UBND phường hạ Long 0355047656 : ship khách 20 vỉ 350ml,</t>
    </r>
    <r>
      <rPr>
        <b/>
        <sz val="14"/>
        <color theme="1"/>
        <rFont val="Times New Roman"/>
        <family val="1"/>
      </rPr>
      <t xml:space="preserve"> 2 vỉ Minh Huệ qua xí nghiệp lấy</t>
    </r>
    <r>
      <rPr>
        <sz val="14"/>
        <color theme="1"/>
        <rFont val="Times New Roman"/>
        <family val="1"/>
        <charset val="163"/>
      </rPr>
      <t xml:space="preserve"> (Minh HUệ thanh toán tiền)</t>
    </r>
  </si>
  <si>
    <t>1 đơn 30 +3 vỉ 500ml tạp hóa cô sinh chợ cao xanh 3h chiều, chị Huế tự bốc</t>
  </si>
  <si>
    <t>E ơi cho chị đk 10 vỉ tặng 1 ở quán bia Cây Dừa sáng nay nhé (chị Cúc)</t>
  </si>
  <si>
    <t>CK1/10</t>
  </si>
  <si>
    <t>Kim Anh Bãi Cháy</t>
  </si>
  <si>
    <t>Cho chị 5 vỉ  500 nhà máy đóng tàu hạ Long, 0968244602</t>
  </si>
  <si>
    <t>Áo cưới 5 vỉ 350 ( Viết hóa đơn cho VNPT của chị Lan Bình)</t>
  </si>
  <si>
    <t>10+1 bình Ro đến Lideco bãi muối, ĐT0369946536</t>
  </si>
  <si>
    <t>3 Bình Ro đến quảng trường, ĐT0355922271</t>
  </si>
  <si>
    <t>Trường THPT Hạ Long (C Hà) đăng ký 10 +1 vỉ loại 350ml ( màng co); viết hóa đơn về cho trường nhé, '0867339411</t>
  </si>
  <si>
    <t>Xe Cẩm Phả chở</t>
  </si>
  <si>
    <r>
      <t xml:space="preserve">Mai Hạnh PXD: 5 bình nc có vòi ion kiềm Đến 71 giếng đồn </t>
    </r>
    <r>
      <rPr>
        <b/>
        <u/>
        <sz val="12"/>
        <color rgb="FF081B3A"/>
        <rFont val="Times New Roman"/>
        <family val="1"/>
      </rPr>
      <t>0334624668</t>
    </r>
    <r>
      <rPr>
        <b/>
        <sz val="12"/>
        <color rgb="FF081B3A"/>
        <rFont val="Times New Roman"/>
        <family val="1"/>
      </rPr>
      <t xml:space="preserve"> (THU TIỀN LUÔN - Khách cần ship luôn)</t>
    </r>
  </si>
  <si>
    <t>Cô Vân +84983132288  Trường tiểu học Quang Trung. Cơ sở 2 đối diện Go ấy ship 14+1 vỉ 350ml (A HÙng Quế thanh toán)</t>
  </si>
  <si>
    <t>Em ơi cho chị 3 vỉ 500 đến nhà máy đóng tàu nhé, ĐT0968244602</t>
  </si>
  <si>
    <t>Đan Thanh, chị Hoa, Chị Vượng</t>
  </si>
  <si>
    <r>
      <t xml:space="preserve">Bùi Linh XD: 1 bình kiềm đến KS Aurara cọt 3 thu tiền luôn </t>
    </r>
    <r>
      <rPr>
        <u/>
        <sz val="9"/>
        <color rgb="FF081B3A"/>
        <rFont val="Segoe UI"/>
        <family val="2"/>
      </rPr>
      <t>0903026655</t>
    </r>
    <r>
      <rPr>
        <sz val="14"/>
        <color theme="1"/>
        <rFont val="Times New Roman"/>
        <family val="1"/>
        <charset val="163"/>
      </rPr>
      <t>, THU CỌC 60.000đ</t>
    </r>
  </si>
  <si>
    <t>Chị Huy</t>
  </si>
  <si>
    <t>TM1/10</t>
  </si>
  <si>
    <t>Bùi Linh PXD</t>
  </si>
  <si>
    <t>Kim Anh BC</t>
  </si>
  <si>
    <t>Hóa chất mỏ Quảng Ninh, 17 bình RO + 12 vỉ 500 + 2 vỉ 350 trả nợ tháng 9 bao gồm nợ khuyến mại</t>
  </si>
  <si>
    <t>1/10/2026</t>
  </si>
  <si>
    <t>Vũ Anh BKS</t>
  </si>
  <si>
    <r>
      <t xml:space="preserve">Vũ Anh BKs: Ship chị 6 vỉ 350ml Đến trường mầm non uk ha long, </t>
    </r>
    <r>
      <rPr>
        <b/>
        <sz val="14"/>
        <color theme="1"/>
        <rFont val="Times New Roman"/>
        <family val="1"/>
      </rPr>
      <t>Khách hàng viết hoá đơn</t>
    </r>
  </si>
  <si>
    <t>Bốc thuê</t>
  </si>
  <si>
    <t>Bình Kiềm</t>
  </si>
  <si>
    <t>E đăng ký 10v+1 loại 500ml, và 2vi loại 350ml lấy trog sáng nay, sđt khách hàng 0368809123 sn 66 quán tóc Vân Nguyễn (UB TP đi xuống ạ. C</t>
  </si>
  <si>
    <t>Vận chuyển</t>
  </si>
  <si>
    <t>Tô Phương, Huế</t>
  </si>
  <si>
    <t>Hoàn thành</t>
  </si>
  <si>
    <t>Thơm, Hoa, Thanh</t>
  </si>
  <si>
    <t>cho e 3 vỉ 350ml trường mầm non hạ long . 090 4110068 ạ</t>
  </si>
  <si>
    <t>Cẩm Phả</t>
  </si>
  <si>
    <r>
      <rPr>
        <b/>
        <sz val="16"/>
        <color theme="1"/>
        <rFont val="Times New Roman"/>
        <family val="1"/>
        <charset val="163"/>
      </rPr>
      <t>Chiều ship</t>
    </r>
    <r>
      <rPr>
        <sz val="16"/>
        <color theme="1"/>
        <rFont val="Times New Roman"/>
        <family val="1"/>
        <charset val="163"/>
      </rPr>
      <t xml:space="preserve"> bánh cuốn gốc bàng bạch đằng 10+1 vỉ 500 </t>
    </r>
  </si>
  <si>
    <r>
      <rPr>
        <b/>
        <sz val="16"/>
        <color theme="1"/>
        <rFont val="Times New Roman"/>
        <family val="1"/>
        <charset val="163"/>
      </rPr>
      <t xml:space="preserve">Chiều ship </t>
    </r>
    <r>
      <rPr>
        <sz val="16"/>
        <color theme="1"/>
        <rFont val="Times New Roman"/>
        <family val="1"/>
        <charset val="163"/>
      </rPr>
      <t>Sân bia tố như gần bò sính cao thắng 10+1 vỉ 500</t>
    </r>
  </si>
  <si>
    <r>
      <rPr>
        <b/>
        <sz val="16"/>
        <color theme="1"/>
        <rFont val="Times New Roman"/>
        <family val="1"/>
        <charset val="163"/>
      </rPr>
      <t xml:space="preserve">E gửi đơn chiều giao </t>
    </r>
    <r>
      <rPr>
        <sz val="16"/>
        <color theme="1"/>
        <rFont val="Times New Roman"/>
        <family val="1"/>
        <charset val="163"/>
      </rPr>
      <t>Sở Xây Dựng 40 bình RO + 4km . E báo xe Cẩm Phả chở nước rồi ạ.  Hòn gai hỗ trợ bốc hàng giúp e thu hồi vỏ lên xe về nhé ạ. sdt người nhận : 0397399666</t>
    </r>
  </si>
  <si>
    <r>
      <rPr>
        <sz val="16"/>
        <color theme="1"/>
        <rFont val="Times New Roman"/>
        <family val="1"/>
        <charset val="163"/>
      </rPr>
      <t xml:space="preserve">Thêm 6 vỉ nhỏ trường cấp 1 Quang Trung  nữa chị nhé. 1 vỉ gửi bảo vệ giúp e ạ. Còn 2 vỉ nhỏ sáng người nhận cũng báo cho người ship rồi ạ. </t>
    </r>
    <r>
      <rPr>
        <b/>
        <sz val="16"/>
        <color theme="1"/>
        <rFont val="Times New Roman"/>
        <family val="1"/>
        <charset val="163"/>
      </rPr>
      <t xml:space="preserve">3 vỉ lớp 5A2, tầng 2 </t>
    </r>
  </si>
  <si>
    <r>
      <rPr>
        <sz val="16"/>
        <color theme="1"/>
        <rFont val="Times New Roman"/>
        <family val="1"/>
        <charset val="163"/>
      </rPr>
      <t>Vũ diệp PKD: C ơi e gửi ạ. 1</t>
    </r>
    <r>
      <rPr>
        <b/>
        <sz val="16"/>
        <color theme="1"/>
        <rFont val="Times New Roman"/>
        <family val="1"/>
        <charset val="163"/>
      </rPr>
      <t>1+1 vỉ 350ml đến</t>
    </r>
    <r>
      <rPr>
        <sz val="16"/>
        <color theme="1"/>
        <rFont val="Times New Roman"/>
        <family val="1"/>
        <charset val="163"/>
      </rPr>
      <t xml:space="preserve"> trường tiểu học Trần Quốc Toản cạnh công an phường Hồng Hà cũ, liên hệ Cô Chi 0912486978 thu tiền luôn</t>
    </r>
  </si>
  <si>
    <r>
      <rPr>
        <sz val="16"/>
        <color theme="1"/>
        <rFont val="Times New Roman"/>
        <family val="1"/>
        <charset val="163"/>
      </rPr>
      <t xml:space="preserve">Em đăng ký 10v +1 500ml cho Chang 094 8913689 đường sông 3. </t>
    </r>
    <r>
      <rPr>
        <b/>
        <sz val="16"/>
        <color theme="1"/>
        <rFont val="Times New Roman"/>
        <family val="1"/>
        <charset val="163"/>
      </rPr>
      <t>Chang thanh toán tiền ạ.</t>
    </r>
  </si>
  <si>
    <t>Em đăng ký 10 vỉ 500ml hội trường nhà khách cơ sở 2 với ạ</t>
  </si>
  <si>
    <r>
      <rPr>
        <sz val="16"/>
        <color theme="1"/>
        <rFont val="Times New Roman"/>
        <family val="1"/>
        <charset val="1"/>
      </rPr>
      <t xml:space="preserve">Vũ Lệ PQT: Đơn 20+2 vỉ 500ml đến số nhà 24 ngõ 6 đường Võ Thị Sáu - gần chung cư đồi T5 . 0986560712. </t>
    </r>
    <r>
      <rPr>
        <b/>
        <sz val="16"/>
        <color theme="1"/>
        <rFont val="Times New Roman"/>
        <family val="1"/>
        <charset val="1"/>
      </rPr>
      <t>Có xuất HĐ</t>
    </r>
  </si>
  <si>
    <t>Huế + Tô Phương</t>
  </si>
  <si>
    <r>
      <t xml:space="preserve">Minh Hằng PXD: 2 bình thường </t>
    </r>
    <r>
      <rPr>
        <b/>
        <sz val="16"/>
        <color theme="1"/>
        <rFont val="Times New Roman"/>
        <family val="1"/>
      </rPr>
      <t>(thu tiền luôn, thu cọc vỏ bình 2x 60,000=120,000đ)</t>
    </r>
    <r>
      <rPr>
        <sz val="16"/>
        <color theme="1"/>
        <rFont val="Times New Roman"/>
        <family val="1"/>
        <charset val="163"/>
      </rPr>
      <t xml:space="preserve"> . Thương - 0387111662 shland coffee, b38 MKL monbay, cạnh trường UK </t>
    </r>
  </si>
  <si>
    <t>Cho chị 2 vir500+1 vỉ km nhà máy đóng tàu nhé. ĐT 0968244602, lấy khuyến mại của ngày 1/10</t>
  </si>
  <si>
    <t>Vũ Diệp PKD</t>
  </si>
  <si>
    <t>Vũ Lệ</t>
  </si>
  <si>
    <t>CK2/10</t>
  </si>
  <si>
    <t>3/10/26</t>
  </si>
  <si>
    <t>50+5</t>
  </si>
  <si>
    <t>Trạm Hồng Gai, Trạm Hạ Long</t>
  </si>
  <si>
    <t>Vân Đồn</t>
  </si>
  <si>
    <t>CK2/10+cọc 300k</t>
  </si>
  <si>
    <t>Đan Thanh bán lẻ 1 bình kiềm</t>
  </si>
  <si>
    <t>Đan Thanh</t>
  </si>
  <si>
    <t>CK2/10 + cọc 60k</t>
  </si>
  <si>
    <t>2//10/2026</t>
  </si>
  <si>
    <t>2/10//2026</t>
  </si>
  <si>
    <t>c ơi sáng mai tầm từ 8-9h ship cho e 2 vỉ 500ml đến bảo vệ trường Lê Hồng Phong nhé ạ</t>
  </si>
  <si>
    <t>Hằng TBP</t>
  </si>
  <si>
    <t>Hùng Quế</t>
  </si>
  <si>
    <r>
      <t xml:space="preserve">E gửi đơn ship trường cấp cấp 1 Lê Hồng Phong Cột 3, cạnh CDC ,Tên lớp ở trên cửa lớp cứ bê đến nơi là dc ạ. </t>
    </r>
    <r>
      <rPr>
        <b/>
        <sz val="16"/>
        <color theme="1"/>
        <rFont val="Times New Roman"/>
        <family val="1"/>
        <charset val="163"/>
      </rPr>
      <t>Ship giúp e trưa nay lúc 11h nhé</t>
    </r>
    <r>
      <rPr>
        <sz val="16"/>
        <color theme="1"/>
        <rFont val="Times New Roman"/>
        <family val="1"/>
        <charset val="163"/>
      </rPr>
      <t>.  Lớp 4A5 : 3 vỉ nhỏ  Lớp 3A3: 2 vỉ nhỏ Lớp 1A6 : 2 vỉ nhỏ Lớp 2A6 : 2 vỉ nhỏ, 2 vỉ nhỏ lớp 3A2, lớp 5A2: 3 vỉ nhỏ</t>
    </r>
  </si>
  <si>
    <r>
      <t xml:space="preserve">XNN Vân Đồn nhoè Hgai hỗ trợ giao đơn này ạ: sdt ng nhận 50 + 5 vỉ nước 500ml - 0912659588,  0902358666, Anh Việt thủ kho nhận hàng ở hội trường D Hồ Cô Tiên, </t>
    </r>
    <r>
      <rPr>
        <b/>
        <sz val="16"/>
        <color theme="1"/>
        <rFont val="Times New Roman"/>
        <family val="1"/>
      </rPr>
      <t>chụp phiếu giao nhận giúp em nhé.</t>
    </r>
  </si>
  <si>
    <t xml:space="preserve">Chị Yến bán lẻ 3 vỉ </t>
  </si>
  <si>
    <t>Yến</t>
  </si>
  <si>
    <t>Vũ Anh BKS: Sn2, ngõ 43 (đối diện cổng phụ biên phòng tỉnh), Hà Tu. Sđt: 0383231599  2 vỉ 350ml, THU TIỀN LUÔN</t>
  </si>
  <si>
    <t>5 bình Số nhà 58 ngõ 55, 5 bình THường, ĐT: 0836915211</t>
  </si>
  <si>
    <t>CK3/10</t>
  </si>
  <si>
    <t>Chị Tăng thị cúc bán cho khách trên đồi văn nghệ</t>
  </si>
  <si>
    <t>Thu Huế + Tô Phương</t>
  </si>
  <si>
    <t>Chị Tô Phướng bán 11 vỉ 350</t>
  </si>
  <si>
    <t>2 vỉ nước nhỏ đến 1A3, trường cấp 1 Lê Hồng Phong k ạ?</t>
  </si>
  <si>
    <t>c Huệ PKD: Ship 10+1 vỉ 500ml sang quán Bia 365 đường bao biển 0914877878 THU TIỀN LUÔN</t>
  </si>
  <si>
    <t>Huệ PKD</t>
  </si>
  <si>
    <t>chuyển cho c 1 chuyến 11 vỉ xuống quán karaoke Diamond , Chế Dung vận động</t>
  </si>
  <si>
    <t>Chế Thùy Dung</t>
  </si>
  <si>
    <t>Hồng Hạnh PCN: 0967163983 khách lấy 3 bình RO đồn biên phòng gần bến phà cũ Hòn Gai e nhé, thu cọc vỏ +thu tiền luôn</t>
  </si>
  <si>
    <t>Hồng Hạnh PCN</t>
  </si>
  <si>
    <t>C Hạnh BAT: Số nhà 6, lô 10, ngõ 14, Phường Hạ Long, TP Quảng Ninh, đồi văn nghệ +84983533289 - khách có như cầu lấy 5 nc bình kiềm (thu cọc vỏ+ thu tiền</t>
  </si>
  <si>
    <t>Hạnh BAT</t>
  </si>
  <si>
    <t>1 đơn 50 +5 vỉ 500 4h30 chiều nay ship Yết kiêu, chị Huế</t>
  </si>
  <si>
    <t>Đàm bán lẻ 5 vỉ to</t>
  </si>
  <si>
    <t>Minh Hằng PXD</t>
  </si>
  <si>
    <t>5/10/2026</t>
  </si>
  <si>
    <r>
      <t xml:space="preserve"> Hồng Hạnh PCN: 0329980424 Cổng 5 toà nhà MonBay đang thi công có nhu cầu 1 bình nước thường 19l </t>
    </r>
    <r>
      <rPr>
        <b/>
        <sz val="18"/>
        <color theme="1"/>
        <rFont val="Calibri"/>
        <family val="2"/>
      </rPr>
      <t>THU TIỀN LUÔN</t>
    </r>
  </si>
  <si>
    <t>Số 9 san hô 2 hùng thắng hạ long, Khách hàng đăng ký 10 +1 vỉ nước. Em Nhung liên hệ xếp lịch hộ anh nhé. Khách hàng của Thiện Hải vận động 0968898898</t>
  </si>
  <si>
    <t>02 bình kiềm đến nhà số 2,ngõ 2, Hải Phong, ĐT0856741990</t>
  </si>
  <si>
    <t>KH mua 5 vỉ Quaromi 500 ml. SN 111- Phố Nguyễn Lương Bằng , P . Hạ Long , ĐT0365825599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</si>
</sst>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\-_-;_-@_-"/>
    <numFmt numFmtId="165" formatCode="_-* #,##0.00_-;\-* #,##0.00_-;_-* \-??_-;_-@_-"/>
    <numFmt numFmtId="166" formatCode="_-* #,##0_-;\-* #,##0_-;_-* \-??_-;_-@_-"/>
    <numFmt numFmtId="167" formatCode="dd/mm/yy"/>
  </numFmts>
  <fonts count="43" x14ac:knownFonts="1">
    <font>
      <sz val="11"/>
      <color theme="1"/>
      <name val="Calibri"/>
      <family val="2"/>
      <charset val="1"/>
    </font>
    <font>
      <sz val="12"/>
      <name val="Calibri"/>
      <family val="2"/>
      <charset val="1"/>
    </font>
    <font>
      <sz val="14"/>
      <color theme="1"/>
      <name val="Times New Roman"/>
      <family val="1"/>
      <charset val="163"/>
    </font>
    <font>
      <b/>
      <sz val="18"/>
      <color rgb="FFFF0000"/>
      <name val="Times New Roman"/>
      <family val="1"/>
      <charset val="163"/>
    </font>
    <font>
      <sz val="18"/>
      <color theme="1"/>
      <name val="Times New Roman"/>
      <family val="1"/>
      <charset val="163"/>
    </font>
    <font>
      <b/>
      <sz val="18"/>
      <color theme="1"/>
      <name val="Times New Roman"/>
      <family val="1"/>
      <charset val="163"/>
    </font>
    <font>
      <b/>
      <sz val="14"/>
      <color theme="1"/>
      <name val="Times New Roman"/>
      <family val="1"/>
      <charset val="163"/>
    </font>
    <font>
      <b/>
      <sz val="14"/>
      <color theme="1"/>
      <name val="Times New Roman"/>
      <family val="1"/>
      <charset val="1"/>
    </font>
    <font>
      <sz val="14"/>
      <color theme="1"/>
      <name val="Times New Roman"/>
      <family val="1"/>
      <charset val="1"/>
    </font>
    <font>
      <b/>
      <sz val="14"/>
      <color rgb="FFFF0000"/>
      <name val="Times New Roman"/>
      <family val="1"/>
      <charset val="163"/>
    </font>
    <font>
      <b/>
      <sz val="14"/>
      <color rgb="FFFF0000"/>
      <name val="Times New Roman"/>
      <family val="1"/>
      <charset val="1"/>
    </font>
    <font>
      <b/>
      <sz val="16"/>
      <color theme="1"/>
      <name val="Times New Roman"/>
      <family val="1"/>
      <charset val="1"/>
    </font>
    <font>
      <b/>
      <sz val="16"/>
      <color rgb="FFFF0000"/>
      <name val="Times New Roman"/>
      <family val="1"/>
      <charset val="1"/>
    </font>
    <font>
      <b/>
      <i/>
      <sz val="14"/>
      <color theme="1"/>
      <name val="Times New Roman"/>
      <family val="1"/>
      <charset val="1"/>
    </font>
    <font>
      <b/>
      <sz val="20"/>
      <color theme="1"/>
      <name val="Times New Roman"/>
      <family val="1"/>
      <charset val="163"/>
    </font>
    <font>
      <b/>
      <sz val="16"/>
      <color theme="1"/>
      <name val="Times New Roman"/>
      <family val="1"/>
      <charset val="163"/>
    </font>
    <font>
      <b/>
      <i/>
      <sz val="14"/>
      <color theme="1"/>
      <name val="Times New Roman"/>
      <family val="1"/>
      <charset val="163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2"/>
      <color theme="1"/>
      <name val="Times New Roman"/>
      <family val="1"/>
      <charset val="163"/>
    </font>
    <font>
      <b/>
      <sz val="13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Calibri"/>
      <family val="2"/>
    </font>
    <font>
      <b/>
      <sz val="11"/>
      <color theme="1"/>
      <name val="Times New Roman"/>
      <family val="1"/>
    </font>
    <font>
      <sz val="16"/>
      <color theme="1"/>
      <name val="Times New Roman"/>
      <family val="1"/>
      <charset val="163"/>
    </font>
    <font>
      <sz val="18"/>
      <color theme="1"/>
      <name val="Calibri"/>
      <family val="2"/>
      <charset val="1"/>
    </font>
    <font>
      <b/>
      <sz val="16"/>
      <color theme="1"/>
      <name val="Times New Roman"/>
      <family val="1"/>
    </font>
    <font>
      <sz val="14"/>
      <color theme="1"/>
      <name val="Calibri"/>
      <family val="2"/>
      <charset val="1"/>
    </font>
    <font>
      <sz val="8"/>
      <name val="Calibri"/>
      <family val="2"/>
      <charset val="1"/>
    </font>
    <font>
      <u/>
      <sz val="16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sz val="18"/>
      <color theme="1"/>
      <name val="Times New Roman"/>
      <family val="1"/>
      <charset val="1"/>
    </font>
    <font>
      <b/>
      <u/>
      <sz val="12"/>
      <color rgb="FF081B3A"/>
      <name val="Times New Roman"/>
      <family val="1"/>
    </font>
    <font>
      <b/>
      <sz val="12"/>
      <color rgb="FF081B3A"/>
      <name val="Times New Roman"/>
      <family val="1"/>
    </font>
    <font>
      <u/>
      <sz val="9"/>
      <color rgb="FF081B3A"/>
      <name val="Segoe UI"/>
      <family val="2"/>
    </font>
    <font>
      <sz val="16"/>
      <color theme="1"/>
      <name val="Times New Roman"/>
      <family val="1"/>
      <charset val="1"/>
    </font>
    <font>
      <b/>
      <sz val="16"/>
      <color rgb="FFFF0000"/>
      <name val="Times New Roman"/>
      <family val="1"/>
      <charset val="163"/>
    </font>
    <font>
      <sz val="16"/>
      <color theme="1"/>
      <name val="Times New Roman"/>
      <family val="1"/>
    </font>
    <font>
      <sz val="8"/>
      <color rgb="FFFFFFFF"/>
      <name val="Calibri"/>
      <family val="2"/>
      <charset val="1"/>
    </font>
    <font>
      <b/>
      <sz val="18"/>
      <color theme="1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theme="7" tint="0.59987182226020086"/>
        <bgColor rgb="FFFFF2CC"/>
      </patternFill>
    </fill>
    <fill>
      <patternFill patternType="solid">
        <fgColor theme="5" tint="0.59987182226020086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theme="9" tint="0.59987182226020086"/>
        <bgColor rgb="FFFBE5D6"/>
      </patternFill>
    </fill>
    <fill>
      <patternFill patternType="solid">
        <fgColor theme="0"/>
        <bgColor rgb="FFFFF5CE"/>
      </patternFill>
    </fill>
    <fill>
      <patternFill patternType="solid">
        <fgColor theme="7" tint="0.79989013336588644"/>
        <bgColor rgb="FFFFF5CE"/>
      </patternFill>
    </fill>
    <fill>
      <patternFill patternType="solid">
        <fgColor theme="5" tint="0.79989013336588644"/>
        <bgColor rgb="FFFFD8CE"/>
      </patternFill>
    </fill>
    <fill>
      <patternFill patternType="solid">
        <fgColor rgb="FF069A2E"/>
        <bgColor rgb="FF00A933"/>
      </patternFill>
    </fill>
    <fill>
      <patternFill patternType="solid">
        <fgColor rgb="FFFF5429"/>
        <bgColor rgb="FFFF3838"/>
      </patternFill>
    </fill>
    <fill>
      <patternFill patternType="solid">
        <fgColor rgb="FFFFD8CE"/>
        <bgColor rgb="FFFBE5D6"/>
      </patternFill>
    </fill>
    <fill>
      <patternFill patternType="solid">
        <fgColor rgb="FFFFF5CE"/>
        <bgColor rgb="FFFFF2CC"/>
      </patternFill>
    </fill>
    <fill>
      <patternFill patternType="solid">
        <fgColor rgb="FF3FAF46"/>
        <bgColor rgb="FF00A933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C4D4D"/>
        <bgColor indexed="64"/>
      </patternFill>
    </fill>
    <fill>
      <patternFill patternType="solid">
        <fgColor rgb="FFFFE3E3"/>
        <bgColor indexed="64"/>
      </patternFill>
    </fill>
    <fill>
      <patternFill patternType="solid">
        <fgColor rgb="FF92D050"/>
        <bgColor rgb="FF969696"/>
      </patternFill>
    </fill>
    <fill>
      <patternFill patternType="solid">
        <fgColor theme="0" tint="-4.9989318521683403E-2"/>
        <bgColor rgb="FFF7F7F7"/>
      </patternFill>
    </fill>
    <fill>
      <patternFill patternType="solid">
        <fgColor rgb="FFFF0000"/>
        <bgColor rgb="FF9C0006"/>
      </patternFill>
    </fill>
    <fill>
      <patternFill patternType="solid">
        <fgColor theme="0"/>
        <bgColor rgb="FFF7F7F7"/>
      </patternFill>
    </fill>
    <fill>
      <patternFill patternType="solid">
        <fgColor rgb="FFFFFF00"/>
        <bgColor rgb="FFFFD966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9C000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5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5CE"/>
      </patternFill>
    </fill>
    <fill>
      <patternFill patternType="solid">
        <fgColor rgb="FFF6C3FF"/>
        <bgColor rgb="FF00A933"/>
      </patternFill>
    </fill>
    <fill>
      <patternFill patternType="solid">
        <fgColor rgb="FFDC3939"/>
        <bgColor rgb="FF00A933"/>
      </patternFill>
    </fill>
    <fill>
      <patternFill patternType="solid">
        <fgColor rgb="FF00B050"/>
        <bgColor rgb="FFFFF2CC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rgb="FFFFF5CE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4">
    <xf numFmtId="0" fontId="0" fillId="0" borderId="0"/>
    <xf numFmtId="165" fontId="18" fillId="0" borderId="0" applyBorder="0" applyProtection="0"/>
    <xf numFmtId="0" fontId="1" fillId="0" borderId="0"/>
    <xf numFmtId="164" fontId="18" fillId="0" borderId="0" applyBorder="0" applyProtection="0"/>
  </cellStyleXfs>
  <cellXfs count="425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164" fontId="8" fillId="6" borderId="1" xfId="3" applyFont="1" applyFill="1" applyBorder="1" applyAlignment="1" applyProtection="1">
      <alignment horizontal="center" vertical="center" wrapText="1"/>
    </xf>
    <xf numFmtId="0" fontId="8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8" fillId="6" borderId="0" xfId="0" applyFont="1" applyFill="1" applyAlignment="1">
      <alignment vertical="center" wrapText="1"/>
    </xf>
    <xf numFmtId="0" fontId="7" fillId="6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6" borderId="0" xfId="0" applyFont="1" applyFill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vertical="center" wrapText="1"/>
    </xf>
    <xf numFmtId="164" fontId="10" fillId="6" borderId="0" xfId="0" applyNumberFormat="1" applyFont="1" applyFill="1" applyAlignment="1">
      <alignment vertical="center" wrapText="1"/>
    </xf>
    <xf numFmtId="0" fontId="10" fillId="6" borderId="0" xfId="0" applyFont="1" applyFill="1" applyAlignment="1">
      <alignment vertical="center" wrapText="1"/>
    </xf>
    <xf numFmtId="0" fontId="10" fillId="0" borderId="0" xfId="0" applyFont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164" fontId="8" fillId="6" borderId="6" xfId="0" applyNumberFormat="1" applyFont="1" applyFill="1" applyBorder="1" applyAlignment="1">
      <alignment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/>
    </xf>
    <xf numFmtId="164" fontId="8" fillId="6" borderId="0" xfId="0" applyNumberFormat="1" applyFont="1" applyFill="1" applyAlignment="1">
      <alignment vertical="center" wrapText="1"/>
    </xf>
    <xf numFmtId="0" fontId="8" fillId="6" borderId="4" xfId="0" applyFont="1" applyFill="1" applyBorder="1" applyAlignment="1">
      <alignment horizontal="left" vertical="center" wrapText="1" shrinkToFit="1"/>
    </xf>
    <xf numFmtId="0" fontId="7" fillId="6" borderId="4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vertic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/>
    <xf numFmtId="0" fontId="6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6" fillId="3" borderId="1" xfId="0" applyFont="1" applyFill="1" applyBorder="1" applyAlignment="1">
      <alignment vertic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vertical="center"/>
    </xf>
    <xf numFmtId="0" fontId="2" fillId="6" borderId="9" xfId="0" applyFont="1" applyFill="1" applyBorder="1" applyAlignment="1">
      <alignment horizontal="center" vertical="center" wrapText="1"/>
    </xf>
    <xf numFmtId="0" fontId="2" fillId="0" borderId="9" xfId="0" applyFont="1" applyBorder="1"/>
    <xf numFmtId="166" fontId="2" fillId="0" borderId="9" xfId="1" applyNumberFormat="1" applyFont="1" applyBorder="1" applyProtection="1"/>
    <xf numFmtId="0" fontId="2" fillId="0" borderId="4" xfId="0" applyFont="1" applyBorder="1" applyAlignment="1">
      <alignment horizontal="center"/>
    </xf>
    <xf numFmtId="0" fontId="2" fillId="6" borderId="4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center" vertical="center" wrapText="1"/>
    </xf>
    <xf numFmtId="166" fontId="2" fillId="0" borderId="4" xfId="1" applyNumberFormat="1" applyFont="1" applyBorder="1" applyProtection="1"/>
    <xf numFmtId="0" fontId="2" fillId="6" borderId="4" xfId="0" applyFont="1" applyFill="1" applyBorder="1" applyAlignment="1">
      <alignment vertical="center" wrapText="1"/>
    </xf>
    <xf numFmtId="0" fontId="2" fillId="0" borderId="8" xfId="0" applyFont="1" applyBorder="1" applyAlignment="1">
      <alignment horizontal="center"/>
    </xf>
    <xf numFmtId="0" fontId="2" fillId="0" borderId="8" xfId="0" applyFont="1" applyBorder="1"/>
    <xf numFmtId="166" fontId="2" fillId="0" borderId="8" xfId="1" applyNumberFormat="1" applyFont="1" applyBorder="1" applyProtection="1"/>
    <xf numFmtId="0" fontId="0" fillId="0" borderId="1" xfId="0" applyBorder="1"/>
    <xf numFmtId="0" fontId="1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7" fontId="0" fillId="0" borderId="1" xfId="0" applyNumberFormat="1" applyBorder="1" applyAlignment="1">
      <alignment horizontal="center"/>
    </xf>
    <xf numFmtId="0" fontId="17" fillId="12" borderId="1" xfId="0" applyFont="1" applyFill="1" applyBorder="1"/>
    <xf numFmtId="0" fontId="17" fillId="13" borderId="1" xfId="0" applyFont="1" applyFill="1" applyBorder="1"/>
    <xf numFmtId="0" fontId="17" fillId="10" borderId="1" xfId="0" applyFont="1" applyFill="1" applyBorder="1"/>
    <xf numFmtId="0" fontId="17" fillId="11" borderId="1" xfId="0" applyFont="1" applyFill="1" applyBorder="1"/>
    <xf numFmtId="0" fontId="0" fillId="0" borderId="1" xfId="0" applyBorder="1" applyAlignment="1">
      <alignment horizontal="center"/>
    </xf>
    <xf numFmtId="0" fontId="2" fillId="1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166" fontId="2" fillId="0" borderId="1" xfId="1" applyNumberFormat="1" applyFont="1" applyBorder="1" applyAlignment="1" applyProtection="1">
      <alignment vertical="center"/>
    </xf>
    <xf numFmtId="0" fontId="2" fillId="0" borderId="0" xfId="0" applyFont="1" applyAlignment="1">
      <alignment vertical="center"/>
    </xf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0" borderId="1" xfId="0" quotePrefix="1" applyBorder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9" fillId="19" borderId="1" xfId="0" applyFont="1" applyFill="1" applyBorder="1" applyAlignment="1">
      <alignment horizontal="center" vertical="top" wrapText="1"/>
    </xf>
    <xf numFmtId="0" fontId="20" fillId="19" borderId="1" xfId="0" applyFont="1" applyFill="1" applyBorder="1" applyAlignment="1">
      <alignment horizontal="center" vertical="center" wrapText="1"/>
    </xf>
    <xf numFmtId="0" fontId="19" fillId="19" borderId="1" xfId="0" applyFont="1" applyFill="1" applyBorder="1" applyAlignment="1">
      <alignment horizontal="center" vertical="center" wrapText="1"/>
    </xf>
    <xf numFmtId="0" fontId="0" fillId="20" borderId="1" xfId="0" applyFill="1" applyBorder="1"/>
    <xf numFmtId="0" fontId="0" fillId="21" borderId="1" xfId="0" applyFill="1" applyBorder="1"/>
    <xf numFmtId="0" fontId="0" fillId="0" borderId="1" xfId="0" applyBorder="1" applyAlignment="1">
      <alignment wrapText="1"/>
    </xf>
    <xf numFmtId="0" fontId="0" fillId="22" borderId="1" xfId="0" applyFill="1" applyBorder="1"/>
    <xf numFmtId="0" fontId="6" fillId="18" borderId="1" xfId="0" applyFont="1" applyFill="1" applyBorder="1" applyAlignment="1">
      <alignment horizontal="center"/>
    </xf>
    <xf numFmtId="0" fontId="6" fillId="23" borderId="7" xfId="0" applyFont="1" applyFill="1" applyBorder="1" applyAlignment="1">
      <alignment horizontal="center"/>
    </xf>
    <xf numFmtId="0" fontId="19" fillId="21" borderId="1" xfId="0" applyFont="1" applyFill="1" applyBorder="1" applyAlignment="1">
      <alignment horizontal="center" vertical="top" wrapText="1"/>
    </xf>
    <xf numFmtId="0" fontId="8" fillId="24" borderId="1" xfId="0" applyFont="1" applyFill="1" applyBorder="1"/>
    <xf numFmtId="0" fontId="0" fillId="25" borderId="1" xfId="0" applyFill="1" applyBorder="1"/>
    <xf numFmtId="0" fontId="0" fillId="21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19" fillId="21" borderId="1" xfId="0" applyFont="1" applyFill="1" applyBorder="1" applyAlignment="1">
      <alignment horizontal="center" wrapText="1"/>
    </xf>
    <xf numFmtId="14" fontId="0" fillId="21" borderId="1" xfId="0" applyNumberFormat="1" applyFill="1" applyBorder="1" applyAlignment="1">
      <alignment horizontal="center"/>
    </xf>
    <xf numFmtId="0" fontId="0" fillId="25" borderId="0" xfId="0" applyFill="1" applyAlignment="1">
      <alignment horizontal="center"/>
    </xf>
    <xf numFmtId="0" fontId="8" fillId="24" borderId="1" xfId="0" applyFont="1" applyFill="1" applyBorder="1" applyAlignment="1">
      <alignment horizontal="center"/>
    </xf>
    <xf numFmtId="0" fontId="0" fillId="21" borderId="1" xfId="0" quotePrefix="1" applyFill="1" applyBorder="1" applyAlignment="1">
      <alignment horizontal="center"/>
    </xf>
    <xf numFmtId="14" fontId="0" fillId="0" borderId="1" xfId="0" applyNumberFormat="1" applyBorder="1"/>
    <xf numFmtId="0" fontId="0" fillId="0" borderId="3" xfId="0" applyBorder="1"/>
    <xf numFmtId="0" fontId="2" fillId="26" borderId="4" xfId="0" applyFont="1" applyFill="1" applyBorder="1" applyAlignment="1">
      <alignment horizontal="left" vertical="center" wrapText="1"/>
    </xf>
    <xf numFmtId="0" fontId="8" fillId="25" borderId="5" xfId="0" applyFont="1" applyFill="1" applyBorder="1" applyAlignment="1">
      <alignment horizontal="center" vertical="center" wrapText="1"/>
    </xf>
    <xf numFmtId="0" fontId="7" fillId="25" borderId="5" xfId="0" applyFont="1" applyFill="1" applyBorder="1" applyAlignment="1">
      <alignment horizontal="center" vertical="center" wrapText="1"/>
    </xf>
    <xf numFmtId="164" fontId="8" fillId="25" borderId="5" xfId="3" applyFont="1" applyFill="1" applyBorder="1" applyAlignment="1" applyProtection="1">
      <alignment vertical="center" wrapText="1"/>
    </xf>
    <xf numFmtId="164" fontId="8" fillId="25" borderId="5" xfId="0" applyNumberFormat="1" applyFont="1" applyFill="1" applyBorder="1" applyAlignment="1">
      <alignment vertical="center" wrapText="1"/>
    </xf>
    <xf numFmtId="0" fontId="7" fillId="25" borderId="0" xfId="0" applyFont="1" applyFill="1" applyAlignment="1">
      <alignment vertical="center" wrapText="1"/>
    </xf>
    <xf numFmtId="0" fontId="8" fillId="25" borderId="4" xfId="0" applyFont="1" applyFill="1" applyBorder="1" applyAlignment="1">
      <alignment horizontal="center" vertical="center" wrapText="1"/>
    </xf>
    <xf numFmtId="164" fontId="8" fillId="25" borderId="4" xfId="3" applyFont="1" applyFill="1" applyBorder="1" applyAlignment="1" applyProtection="1">
      <alignment vertical="center" wrapText="1"/>
    </xf>
    <xf numFmtId="164" fontId="8" fillId="25" borderId="4" xfId="0" applyNumberFormat="1" applyFont="1" applyFill="1" applyBorder="1" applyAlignment="1">
      <alignment vertical="center" wrapText="1"/>
    </xf>
    <xf numFmtId="0" fontId="8" fillId="25" borderId="0" xfId="0" applyFont="1" applyFill="1" applyAlignment="1">
      <alignment vertical="center" wrapText="1"/>
    </xf>
    <xf numFmtId="0" fontId="7" fillId="25" borderId="4" xfId="0" applyFont="1" applyFill="1" applyBorder="1" applyAlignment="1">
      <alignment horizontal="center" vertical="center" wrapText="1"/>
    </xf>
    <xf numFmtId="0" fontId="8" fillId="25" borderId="4" xfId="0" applyFont="1" applyFill="1" applyBorder="1" applyAlignment="1">
      <alignment vertical="center" wrapText="1"/>
    </xf>
    <xf numFmtId="0" fontId="8" fillId="25" borderId="8" xfId="0" applyFont="1" applyFill="1" applyBorder="1" applyAlignment="1">
      <alignment horizontal="center" vertical="center" wrapText="1"/>
    </xf>
    <xf numFmtId="164" fontId="8" fillId="25" borderId="8" xfId="3" applyFont="1" applyFill="1" applyBorder="1" applyAlignment="1" applyProtection="1">
      <alignment vertical="center" wrapText="1"/>
    </xf>
    <xf numFmtId="164" fontId="8" fillId="25" borderId="8" xfId="0" applyNumberFormat="1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2" fillId="25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vertical="center"/>
    </xf>
    <xf numFmtId="166" fontId="2" fillId="25" borderId="1" xfId="1" applyNumberFormat="1" applyFont="1" applyFill="1" applyBorder="1" applyAlignment="1" applyProtection="1">
      <alignment vertical="center"/>
    </xf>
    <xf numFmtId="166" fontId="2" fillId="25" borderId="1" xfId="0" applyNumberFormat="1" applyFont="1" applyFill="1" applyBorder="1" applyAlignment="1">
      <alignment vertical="center"/>
    </xf>
    <xf numFmtId="0" fontId="0" fillId="25" borderId="0" xfId="0" applyFill="1"/>
    <xf numFmtId="0" fontId="2" fillId="25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0" fontId="6" fillId="28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6" fillId="28" borderId="0" xfId="0" applyFont="1" applyFill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10" fillId="30" borderId="1" xfId="0" applyFont="1" applyFill="1" applyBorder="1" applyAlignment="1">
      <alignment vertical="center" wrapText="1"/>
    </xf>
    <xf numFmtId="0" fontId="10" fillId="30" borderId="1" xfId="0" applyFont="1" applyFill="1" applyBorder="1" applyAlignment="1">
      <alignment horizontal="center" vertical="center" wrapText="1"/>
    </xf>
    <xf numFmtId="164" fontId="10" fillId="30" borderId="1" xfId="0" applyNumberFormat="1" applyFont="1" applyFill="1" applyBorder="1" applyAlignment="1">
      <alignment vertical="center" wrapText="1"/>
    </xf>
    <xf numFmtId="0" fontId="21" fillId="0" borderId="1" xfId="0" applyFont="1" applyBorder="1" applyAlignment="1">
      <alignment horizontal="center" vertical="center"/>
    </xf>
    <xf numFmtId="0" fontId="22" fillId="0" borderId="0" xfId="0" applyFont="1"/>
    <xf numFmtId="0" fontId="22" fillId="0" borderId="1" xfId="0" applyFont="1" applyBorder="1"/>
    <xf numFmtId="0" fontId="22" fillId="0" borderId="0" xfId="0" applyFont="1" applyAlignment="1">
      <alignment vertical="center"/>
    </xf>
    <xf numFmtId="0" fontId="22" fillId="0" borderId="1" xfId="0" applyFont="1" applyBorder="1" applyAlignment="1">
      <alignment vertical="center"/>
    </xf>
    <xf numFmtId="0" fontId="22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166" fontId="21" fillId="14" borderId="1" xfId="1" applyNumberFormat="1" applyFont="1" applyFill="1" applyBorder="1" applyAlignment="1">
      <alignment horizontal="center"/>
    </xf>
    <xf numFmtId="166" fontId="21" fillId="15" borderId="1" xfId="1" applyNumberFormat="1" applyFont="1" applyFill="1" applyBorder="1" applyAlignment="1">
      <alignment horizontal="center"/>
    </xf>
    <xf numFmtId="166" fontId="22" fillId="0" borderId="1" xfId="1" applyNumberFormat="1" applyFont="1" applyBorder="1"/>
    <xf numFmtId="0" fontId="6" fillId="30" borderId="1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17" fillId="32" borderId="1" xfId="0" applyFont="1" applyFill="1" applyBorder="1"/>
    <xf numFmtId="0" fontId="17" fillId="33" borderId="1" xfId="0" applyFont="1" applyFill="1" applyBorder="1"/>
    <xf numFmtId="16" fontId="0" fillId="0" borderId="1" xfId="0" quotePrefix="1" applyNumberFormat="1" applyBorder="1"/>
    <xf numFmtId="0" fontId="17" fillId="4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8" fillId="6" borderId="11" xfId="0" applyFont="1" applyFill="1" applyBorder="1" applyAlignment="1">
      <alignment vertical="center" wrapText="1"/>
    </xf>
    <xf numFmtId="0" fontId="2" fillId="0" borderId="11" xfId="0" applyFont="1" applyBorder="1"/>
    <xf numFmtId="0" fontId="8" fillId="26" borderId="4" xfId="0" applyFont="1" applyFill="1" applyBorder="1" applyAlignment="1">
      <alignment vertical="center" wrapText="1"/>
    </xf>
    <xf numFmtId="0" fontId="2" fillId="25" borderId="2" xfId="0" applyFont="1" applyFill="1" applyBorder="1" applyAlignment="1">
      <alignment vertical="center" wrapText="1"/>
    </xf>
    <xf numFmtId="14" fontId="0" fillId="21" borderId="1" xfId="0" quotePrefix="1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quotePrefix="1" applyBorder="1"/>
    <xf numFmtId="0" fontId="17" fillId="34" borderId="1" xfId="0" applyFont="1" applyFill="1" applyBorder="1"/>
    <xf numFmtId="0" fontId="8" fillId="6" borderId="10" xfId="0" applyFont="1" applyFill="1" applyBorder="1" applyAlignment="1">
      <alignment vertical="center" wrapText="1"/>
    </xf>
    <xf numFmtId="14" fontId="22" fillId="0" borderId="1" xfId="0" quotePrefix="1" applyNumberFormat="1" applyFont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4" fillId="6" borderId="4" xfId="0" applyFont="1" applyFill="1" applyBorder="1" applyAlignment="1">
      <alignment vertical="center" wrapText="1"/>
    </xf>
    <xf numFmtId="0" fontId="25" fillId="17" borderId="1" xfId="0" applyFont="1" applyFill="1" applyBorder="1"/>
    <xf numFmtId="0" fontId="5" fillId="0" borderId="0" xfId="0" applyFont="1" applyAlignment="1">
      <alignment horizontal="center" vertical="center"/>
    </xf>
    <xf numFmtId="0" fontId="2" fillId="26" borderId="4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vertical="center"/>
    </xf>
    <xf numFmtId="0" fontId="22" fillId="25" borderId="1" xfId="0" applyFont="1" applyFill="1" applyBorder="1" applyAlignment="1">
      <alignment horizontal="center" vertical="center"/>
    </xf>
    <xf numFmtId="14" fontId="22" fillId="25" borderId="1" xfId="0" quotePrefix="1" applyNumberFormat="1" applyFont="1" applyFill="1" applyBorder="1" applyAlignment="1">
      <alignment horizontal="center" vertical="center"/>
    </xf>
    <xf numFmtId="0" fontId="22" fillId="25" borderId="1" xfId="0" applyFont="1" applyFill="1" applyBorder="1" applyAlignment="1">
      <alignment vertical="center"/>
    </xf>
    <xf numFmtId="0" fontId="22" fillId="25" borderId="0" xfId="0" applyFont="1" applyFill="1" applyAlignment="1">
      <alignment vertical="center"/>
    </xf>
    <xf numFmtId="0" fontId="26" fillId="11" borderId="1" xfId="0" applyFont="1" applyFill="1" applyBorder="1" applyAlignment="1">
      <alignment vertical="center"/>
    </xf>
    <xf numFmtId="0" fontId="26" fillId="11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0" xfId="0" applyFont="1" applyFill="1" applyAlignment="1">
      <alignment vertical="center" wrapText="1"/>
    </xf>
    <xf numFmtId="166" fontId="21" fillId="0" borderId="11" xfId="1" applyNumberFormat="1" applyFont="1" applyBorder="1" applyAlignment="1">
      <alignment horizontal="center" vertical="center"/>
    </xf>
    <xf numFmtId="0" fontId="2" fillId="25" borderId="2" xfId="0" applyFont="1" applyFill="1" applyBorder="1" applyAlignment="1">
      <alignment vertical="center"/>
    </xf>
    <xf numFmtId="166" fontId="21" fillId="36" borderId="1" xfId="1" applyNumberFormat="1" applyFont="1" applyFill="1" applyBorder="1" applyAlignment="1">
      <alignment horizontal="center"/>
    </xf>
    <xf numFmtId="166" fontId="21" fillId="37" borderId="1" xfId="1" applyNumberFormat="1" applyFont="1" applyFill="1" applyBorder="1" applyAlignment="1">
      <alignment horizontal="center"/>
    </xf>
    <xf numFmtId="0" fontId="22" fillId="37" borderId="1" xfId="0" applyFont="1" applyFill="1" applyBorder="1" applyAlignment="1">
      <alignment horizontal="center" vertical="center"/>
    </xf>
    <xf numFmtId="14" fontId="22" fillId="37" borderId="1" xfId="0" applyNumberFormat="1" applyFont="1" applyFill="1" applyBorder="1" applyAlignment="1">
      <alignment horizontal="center" vertical="center"/>
    </xf>
    <xf numFmtId="166" fontId="22" fillId="37" borderId="1" xfId="1" applyNumberFormat="1" applyFont="1" applyFill="1" applyBorder="1"/>
    <xf numFmtId="0" fontId="22" fillId="37" borderId="0" xfId="0" applyFont="1" applyFill="1"/>
    <xf numFmtId="0" fontId="0" fillId="14" borderId="0" xfId="0" applyFill="1"/>
    <xf numFmtId="0" fontId="27" fillId="25" borderId="1" xfId="0" applyFont="1" applyFill="1" applyBorder="1" applyAlignment="1">
      <alignment vertical="center"/>
    </xf>
    <xf numFmtId="166" fontId="2" fillId="25" borderId="1" xfId="0" applyNumberFormat="1" applyFont="1" applyFill="1" applyBorder="1" applyAlignment="1">
      <alignment horizontal="center" vertical="center"/>
    </xf>
    <xf numFmtId="166" fontId="18" fillId="25" borderId="1" xfId="1" applyNumberFormat="1" applyFill="1" applyBorder="1" applyAlignment="1">
      <alignment vertical="center"/>
    </xf>
    <xf numFmtId="0" fontId="6" fillId="30" borderId="1" xfId="0" applyFont="1" applyFill="1" applyBorder="1" applyAlignment="1">
      <alignment vertical="center"/>
    </xf>
    <xf numFmtId="166" fontId="6" fillId="0" borderId="0" xfId="0" applyNumberFormat="1" applyFont="1"/>
    <xf numFmtId="166" fontId="6" fillId="0" borderId="1" xfId="0" applyNumberFormat="1" applyFont="1" applyBorder="1"/>
    <xf numFmtId="166" fontId="29" fillId="0" borderId="1" xfId="1" applyNumberFormat="1" applyFont="1" applyBorder="1" applyAlignment="1">
      <alignment vertical="center"/>
    </xf>
    <xf numFmtId="166" fontId="2" fillId="25" borderId="2" xfId="0" applyNumberFormat="1" applyFont="1" applyFill="1" applyBorder="1" applyAlignment="1">
      <alignment vertical="center"/>
    </xf>
    <xf numFmtId="0" fontId="2" fillId="38" borderId="0" xfId="0" applyFont="1" applyFill="1" applyAlignment="1">
      <alignment vertical="center" wrapText="1"/>
    </xf>
    <xf numFmtId="0" fontId="2" fillId="38" borderId="1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vertical="center" wrapText="1"/>
    </xf>
    <xf numFmtId="166" fontId="2" fillId="25" borderId="2" xfId="1" applyNumberFormat="1" applyFont="1" applyFill="1" applyBorder="1" applyAlignment="1" applyProtection="1">
      <alignment vertical="center"/>
    </xf>
    <xf numFmtId="0" fontId="25" fillId="0" borderId="0" xfId="0" applyFont="1" applyAlignment="1">
      <alignment horizontal="center"/>
    </xf>
    <xf numFmtId="166" fontId="18" fillId="0" borderId="0" xfId="1" applyNumberFormat="1" applyAlignment="1">
      <alignment horizontal="center"/>
    </xf>
    <xf numFmtId="0" fontId="2" fillId="0" borderId="1" xfId="0" applyFont="1" applyBorder="1" applyAlignment="1">
      <alignment vertical="center" wrapText="1"/>
    </xf>
    <xf numFmtId="14" fontId="22" fillId="25" borderId="1" xfId="0" applyNumberFormat="1" applyFont="1" applyFill="1" applyBorder="1" applyAlignment="1">
      <alignment horizontal="center" vertical="center"/>
    </xf>
    <xf numFmtId="0" fontId="22" fillId="25" borderId="1" xfId="0" applyFont="1" applyFill="1" applyBorder="1"/>
    <xf numFmtId="0" fontId="22" fillId="25" borderId="0" xfId="0" applyFont="1" applyFill="1"/>
    <xf numFmtId="14" fontId="22" fillId="0" borderId="1" xfId="0" applyNumberFormat="1" applyFont="1" applyBorder="1" applyAlignment="1">
      <alignment vertical="center"/>
    </xf>
    <xf numFmtId="14" fontId="22" fillId="25" borderId="1" xfId="0" quotePrefix="1" applyNumberFormat="1" applyFont="1" applyFill="1" applyBorder="1" applyAlignment="1">
      <alignment vertical="center"/>
    </xf>
    <xf numFmtId="14" fontId="22" fillId="0" borderId="1" xfId="0" quotePrefix="1" applyNumberFormat="1" applyFont="1" applyBorder="1" applyAlignment="1">
      <alignment vertical="center"/>
    </xf>
    <xf numFmtId="0" fontId="2" fillId="25" borderId="0" xfId="0" applyFont="1" applyFill="1" applyAlignment="1">
      <alignment vertical="center"/>
    </xf>
    <xf numFmtId="166" fontId="21" fillId="36" borderId="14" xfId="1" applyNumberFormat="1" applyFont="1" applyFill="1" applyBorder="1" applyAlignment="1">
      <alignment horizontal="center"/>
    </xf>
    <xf numFmtId="0" fontId="22" fillId="14" borderId="0" xfId="0" applyFont="1" applyFill="1"/>
    <xf numFmtId="166" fontId="21" fillId="15" borderId="14" xfId="1" applyNumberFormat="1" applyFont="1" applyFill="1" applyBorder="1" applyAlignment="1">
      <alignment horizontal="center"/>
    </xf>
    <xf numFmtId="166" fontId="21" fillId="37" borderId="14" xfId="1" applyNumberFormat="1" applyFont="1" applyFill="1" applyBorder="1" applyAlignment="1">
      <alignment horizontal="center"/>
    </xf>
    <xf numFmtId="166" fontId="26" fillId="14" borderId="1" xfId="0" applyNumberFormat="1" applyFont="1" applyFill="1" applyBorder="1"/>
    <xf numFmtId="166" fontId="21" fillId="0" borderId="0" xfId="0" applyNumberFormat="1" applyFont="1" applyAlignment="1">
      <alignment horizontal="center"/>
    </xf>
    <xf numFmtId="166" fontId="21" fillId="14" borderId="14" xfId="1" applyNumberFormat="1" applyFont="1" applyFill="1" applyBorder="1" applyAlignment="1">
      <alignment horizontal="center"/>
    </xf>
    <xf numFmtId="166" fontId="21" fillId="37" borderId="11" xfId="1" applyNumberFormat="1" applyFont="1" applyFill="1" applyBorder="1" applyAlignment="1">
      <alignment horizontal="center"/>
    </xf>
    <xf numFmtId="166" fontId="22" fillId="0" borderId="11" xfId="1" applyNumberFormat="1" applyFont="1" applyBorder="1"/>
    <xf numFmtId="166" fontId="22" fillId="37" borderId="11" xfId="1" applyNumberFormat="1" applyFont="1" applyFill="1" applyBorder="1"/>
    <xf numFmtId="0" fontId="22" fillId="0" borderId="11" xfId="0" applyFont="1" applyBorder="1"/>
    <xf numFmtId="0" fontId="22" fillId="25" borderId="11" xfId="0" applyFont="1" applyFill="1" applyBorder="1"/>
    <xf numFmtId="166" fontId="26" fillId="14" borderId="11" xfId="0" applyNumberFormat="1" applyFont="1" applyFill="1" applyBorder="1"/>
    <xf numFmtId="166" fontId="21" fillId="15" borderId="11" xfId="1" applyNumberFormat="1" applyFont="1" applyFill="1" applyBorder="1" applyAlignment="1">
      <alignment horizontal="center" vertical="center"/>
    </xf>
    <xf numFmtId="0" fontId="2" fillId="39" borderId="1" xfId="0" applyFont="1" applyFill="1" applyBorder="1" applyAlignment="1">
      <alignment horizontal="center" vertical="center"/>
    </xf>
    <xf numFmtId="0" fontId="2" fillId="39" borderId="1" xfId="0" applyFont="1" applyFill="1" applyBorder="1" applyAlignment="1">
      <alignment vertical="center"/>
    </xf>
    <xf numFmtId="166" fontId="2" fillId="39" borderId="1" xfId="1" applyNumberFormat="1" applyFont="1" applyFill="1" applyBorder="1" applyAlignment="1" applyProtection="1">
      <alignment vertical="center"/>
    </xf>
    <xf numFmtId="0" fontId="0" fillId="39" borderId="0" xfId="0" applyFill="1"/>
    <xf numFmtId="0" fontId="2" fillId="25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25" borderId="7" xfId="0" applyFont="1" applyFill="1" applyBorder="1" applyAlignment="1">
      <alignment vertical="center" wrapText="1"/>
    </xf>
    <xf numFmtId="0" fontId="0" fillId="0" borderId="7" xfId="0" applyBorder="1"/>
    <xf numFmtId="0" fontId="2" fillId="0" borderId="2" xfId="0" applyFont="1" applyBorder="1" applyAlignment="1">
      <alignment vertical="center" wrapText="1"/>
    </xf>
    <xf numFmtId="166" fontId="0" fillId="25" borderId="1" xfId="0" applyNumberFormat="1" applyFill="1" applyBorder="1"/>
    <xf numFmtId="166" fontId="30" fillId="25" borderId="1" xfId="1" applyNumberFormat="1" applyFont="1" applyFill="1" applyBorder="1" applyAlignment="1">
      <alignment vertical="center"/>
    </xf>
    <xf numFmtId="0" fontId="4" fillId="25" borderId="0" xfId="0" applyFont="1" applyFill="1" applyAlignment="1">
      <alignment vertical="center"/>
    </xf>
    <xf numFmtId="0" fontId="7" fillId="25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4" fillId="6" borderId="4" xfId="0" applyFont="1" applyFill="1" applyBorder="1" applyAlignment="1">
      <alignment horizontal="center" vertical="center" wrapText="1"/>
    </xf>
    <xf numFmtId="0" fontId="34" fillId="6" borderId="16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0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25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30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25" borderId="1" xfId="0" applyFont="1" applyFill="1" applyBorder="1" applyAlignment="1">
      <alignment horizontal="center" vertical="center" wrapText="1"/>
    </xf>
    <xf numFmtId="0" fontId="5" fillId="28" borderId="11" xfId="0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30" fillId="25" borderId="1" xfId="0" applyFont="1" applyFill="1" applyBorder="1" applyAlignment="1">
      <alignment horizontal="center" vertical="center"/>
    </xf>
    <xf numFmtId="0" fontId="30" fillId="25" borderId="0" xfId="0" applyFont="1" applyFill="1" applyAlignment="1">
      <alignment vertical="center"/>
    </xf>
    <xf numFmtId="0" fontId="4" fillId="14" borderId="0" xfId="0" applyFont="1" applyFill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4" fillId="14" borderId="2" xfId="0" applyFont="1" applyFill="1" applyBorder="1" applyAlignment="1">
      <alignment horizontal="center"/>
    </xf>
    <xf numFmtId="0" fontId="22" fillId="25" borderId="2" xfId="0" applyFont="1" applyFill="1" applyBorder="1" applyAlignment="1">
      <alignment horizontal="center" vertical="center"/>
    </xf>
    <xf numFmtId="14" fontId="22" fillId="25" borderId="2" xfId="0" applyNumberFormat="1" applyFont="1" applyFill="1" applyBorder="1" applyAlignment="1">
      <alignment horizontal="center" vertical="center"/>
    </xf>
    <xf numFmtId="0" fontId="22" fillId="25" borderId="2" xfId="0" applyFont="1" applyFill="1" applyBorder="1"/>
    <xf numFmtId="0" fontId="34" fillId="25" borderId="4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4" fillId="6" borderId="2" xfId="0" applyFont="1" applyFill="1" applyBorder="1" applyAlignment="1">
      <alignment horizontal="center" vertical="center" wrapText="1"/>
    </xf>
    <xf numFmtId="0" fontId="34" fillId="6" borderId="4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167" fontId="27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justify" vertical="center"/>
    </xf>
    <xf numFmtId="0" fontId="38" fillId="0" borderId="0" xfId="0" applyFont="1" applyAlignment="1">
      <alignment horizontal="left" wrapText="1"/>
    </xf>
    <xf numFmtId="0" fontId="15" fillId="0" borderId="1" xfId="0" applyFont="1" applyBorder="1" applyAlignment="1">
      <alignment vertical="center" wrapText="1"/>
    </xf>
    <xf numFmtId="0" fontId="38" fillId="0" borderId="1" xfId="0" applyFont="1" applyBorder="1" applyAlignment="1">
      <alignment horizontal="left" wrapText="1"/>
    </xf>
    <xf numFmtId="0" fontId="4" fillId="14" borderId="1" xfId="0" applyFont="1" applyFill="1" applyBorder="1" applyAlignment="1">
      <alignment horizontal="center" vertical="center" wrapText="1"/>
    </xf>
    <xf numFmtId="0" fontId="5" fillId="30" borderId="1" xfId="0" applyFont="1" applyFill="1" applyBorder="1" applyAlignment="1">
      <alignment horizontal="center" vertical="center"/>
    </xf>
    <xf numFmtId="0" fontId="34" fillId="6" borderId="16" xfId="0" applyFont="1" applyFill="1" applyBorder="1" applyAlignment="1">
      <alignment vertical="center" wrapText="1"/>
    </xf>
    <xf numFmtId="0" fontId="28" fillId="0" borderId="1" xfId="0" applyFont="1" applyBorder="1"/>
    <xf numFmtId="0" fontId="28" fillId="25" borderId="1" xfId="0" applyFont="1" applyFill="1" applyBorder="1"/>
    <xf numFmtId="0" fontId="39" fillId="0" borderId="0" xfId="0" applyFont="1" applyAlignment="1">
      <alignment vertical="center"/>
    </xf>
    <xf numFmtId="0" fontId="15" fillId="28" borderId="1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1" xfId="0" quotePrefix="1" applyFont="1" applyBorder="1" applyAlignment="1">
      <alignment horizontal="center" vertical="center"/>
    </xf>
    <xf numFmtId="0" fontId="33" fillId="0" borderId="1" xfId="0" applyFont="1" applyBorder="1"/>
    <xf numFmtId="0" fontId="33" fillId="25" borderId="1" xfId="0" applyFont="1" applyFill="1" applyBorder="1"/>
    <xf numFmtId="0" fontId="27" fillId="0" borderId="0" xfId="0" applyFont="1" applyAlignment="1">
      <alignment horizontal="center" vertical="center"/>
    </xf>
    <xf numFmtId="167" fontId="27" fillId="0" borderId="1" xfId="0" quotePrefix="1" applyNumberFormat="1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25" borderId="0" xfId="0" applyFont="1" applyFill="1" applyAlignment="1">
      <alignment vertical="center"/>
    </xf>
    <xf numFmtId="0" fontId="15" fillId="30" borderId="1" xfId="0" applyFont="1" applyFill="1" applyBorder="1" applyAlignment="1">
      <alignment horizontal="center" vertical="center"/>
    </xf>
    <xf numFmtId="0" fontId="15" fillId="31" borderId="1" xfId="0" applyFont="1" applyFill="1" applyBorder="1" applyAlignment="1">
      <alignment horizontal="left" vertical="center" wrapText="1"/>
    </xf>
    <xf numFmtId="0" fontId="15" fillId="25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27" fillId="0" borderId="2" xfId="0" applyFont="1" applyBorder="1" applyAlignment="1">
      <alignment vertical="center"/>
    </xf>
    <xf numFmtId="0" fontId="27" fillId="25" borderId="2" xfId="0" applyFont="1" applyFill="1" applyBorder="1" applyAlignment="1">
      <alignment vertical="center"/>
    </xf>
    <xf numFmtId="0" fontId="33" fillId="25" borderId="1" xfId="0" applyFont="1" applyFill="1" applyBorder="1" applyAlignment="1">
      <alignment vertical="center"/>
    </xf>
    <xf numFmtId="0" fontId="33" fillId="0" borderId="1" xfId="0" applyFont="1" applyBorder="1" applyAlignment="1">
      <alignment vertical="center"/>
    </xf>
    <xf numFmtId="0" fontId="40" fillId="0" borderId="1" xfId="0" applyFont="1" applyBorder="1"/>
    <xf numFmtId="0" fontId="40" fillId="0" borderId="1" xfId="0" applyFont="1" applyBorder="1" applyAlignment="1">
      <alignment vertical="center"/>
    </xf>
    <xf numFmtId="0" fontId="27" fillId="25" borderId="1" xfId="0" applyFont="1" applyFill="1" applyBorder="1" applyAlignment="1">
      <alignment vertical="center" wrapText="1"/>
    </xf>
    <xf numFmtId="0" fontId="38" fillId="35" borderId="0" xfId="0" applyFont="1" applyFill="1" applyAlignment="1">
      <alignment wrapText="1"/>
    </xf>
    <xf numFmtId="1" fontId="33" fillId="0" borderId="1" xfId="0" applyNumberFormat="1" applyFont="1" applyBorder="1"/>
    <xf numFmtId="1" fontId="33" fillId="25" borderId="1" xfId="0" applyNumberFormat="1" applyFont="1" applyFill="1" applyBorder="1"/>
    <xf numFmtId="14" fontId="0" fillId="0" borderId="0" xfId="0" applyNumberFormat="1" applyAlignment="1">
      <alignment horizontal="center"/>
    </xf>
    <xf numFmtId="0" fontId="27" fillId="0" borderId="2" xfId="0" applyFont="1" applyBorder="1" applyAlignment="1">
      <alignment horizontal="center" vertical="center" wrapText="1"/>
    </xf>
    <xf numFmtId="167" fontId="27" fillId="0" borderId="11" xfId="0" quotePrefix="1" applyNumberFormat="1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/>
    </xf>
    <xf numFmtId="0" fontId="38" fillId="0" borderId="1" xfId="0" applyFont="1" applyBorder="1" applyAlignment="1">
      <alignment wrapText="1"/>
    </xf>
    <xf numFmtId="0" fontId="38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41" fillId="0" borderId="0" xfId="0" applyFont="1" applyAlignment="1">
      <alignment vertical="center"/>
    </xf>
    <xf numFmtId="20" fontId="0" fillId="0" borderId="0" xfId="0" applyNumberFormat="1" applyAlignment="1">
      <alignment horizontal="left" vertical="center"/>
    </xf>
    <xf numFmtId="0" fontId="27" fillId="14" borderId="1" xfId="0" applyFont="1" applyFill="1" applyBorder="1" applyAlignment="1">
      <alignment horizontal="center" vertical="center" wrapText="1"/>
    </xf>
    <xf numFmtId="14" fontId="22" fillId="0" borderId="1" xfId="0" applyNumberFormat="1" applyFont="1" applyBorder="1"/>
    <xf numFmtId="0" fontId="15" fillId="30" borderId="3" xfId="0" applyFont="1" applyFill="1" applyBorder="1" applyAlignment="1">
      <alignment horizontal="center" vertical="center"/>
    </xf>
    <xf numFmtId="0" fontId="15" fillId="30" borderId="12" xfId="0" applyFont="1" applyFill="1" applyBorder="1" applyAlignment="1">
      <alignment horizontal="center" vertical="center"/>
    </xf>
    <xf numFmtId="0" fontId="15" fillId="30" borderId="7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 wrapText="1"/>
    </xf>
    <xf numFmtId="0" fontId="6" fillId="27" borderId="1" xfId="0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 wrapText="1"/>
    </xf>
    <xf numFmtId="0" fontId="5" fillId="27" borderId="2" xfId="0" applyFont="1" applyFill="1" applyBorder="1" applyAlignment="1">
      <alignment horizontal="center" vertical="center" wrapText="1"/>
    </xf>
    <xf numFmtId="0" fontId="5" fillId="27" borderId="11" xfId="0" applyFont="1" applyFill="1" applyBorder="1" applyAlignment="1">
      <alignment horizontal="center" vertical="center" wrapText="1"/>
    </xf>
    <xf numFmtId="0" fontId="5" fillId="27" borderId="12" xfId="0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horizontal="center" vertical="center" wrapText="1"/>
    </xf>
    <xf numFmtId="0" fontId="2" fillId="25" borderId="1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6" borderId="4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10" xfId="0" applyNumberFormat="1" applyFont="1" applyBorder="1" applyAlignment="1">
      <alignment horizontal="center" vertical="center"/>
    </xf>
    <xf numFmtId="14" fontId="22" fillId="0" borderId="1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14" fontId="22" fillId="0" borderId="2" xfId="0" quotePrefix="1" applyNumberFormat="1" applyFont="1" applyBorder="1" applyAlignment="1">
      <alignment horizontal="center" vertical="center"/>
    </xf>
    <xf numFmtId="14" fontId="22" fillId="0" borderId="10" xfId="0" quotePrefix="1" applyNumberFormat="1" applyFont="1" applyBorder="1" applyAlignment="1">
      <alignment horizontal="center" vertical="center"/>
    </xf>
    <xf numFmtId="14" fontId="22" fillId="0" borderId="11" xfId="0" quotePrefix="1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26" fillId="14" borderId="3" xfId="0" applyFont="1" applyFill="1" applyBorder="1" applyAlignment="1">
      <alignment horizontal="center" vertical="center"/>
    </xf>
    <xf numFmtId="0" fontId="26" fillId="14" borderId="7" xfId="0" applyFont="1" applyFill="1" applyBorder="1" applyAlignment="1">
      <alignment horizontal="center" vertical="center"/>
    </xf>
    <xf numFmtId="166" fontId="21" fillId="15" borderId="3" xfId="1" applyNumberFormat="1" applyFont="1" applyFill="1" applyBorder="1" applyAlignment="1">
      <alignment horizontal="center"/>
    </xf>
    <xf numFmtId="166" fontId="21" fillId="15" borderId="7" xfId="1" applyNumberFormat="1" applyFont="1" applyFill="1" applyBorder="1" applyAlignment="1">
      <alignment horizontal="center"/>
    </xf>
    <xf numFmtId="166" fontId="21" fillId="37" borderId="3" xfId="1" applyNumberFormat="1" applyFont="1" applyFill="1" applyBorder="1" applyAlignment="1">
      <alignment horizontal="center"/>
    </xf>
    <xf numFmtId="166" fontId="21" fillId="37" borderId="7" xfId="1" applyNumberFormat="1" applyFont="1" applyFill="1" applyBorder="1" applyAlignment="1">
      <alignment horizontal="center"/>
    </xf>
    <xf numFmtId="166" fontId="21" fillId="14" borderId="3" xfId="1" applyNumberFormat="1" applyFont="1" applyFill="1" applyBorder="1" applyAlignment="1">
      <alignment horizontal="center"/>
    </xf>
    <xf numFmtId="166" fontId="21" fillId="14" borderId="7" xfId="1" applyNumberFormat="1" applyFont="1" applyFill="1" applyBorder="1" applyAlignment="1">
      <alignment horizontal="center"/>
    </xf>
    <xf numFmtId="166" fontId="21" fillId="36" borderId="3" xfId="1" applyNumberFormat="1" applyFont="1" applyFill="1" applyBorder="1" applyAlignment="1">
      <alignment horizontal="center"/>
    </xf>
    <xf numFmtId="166" fontId="21" fillId="36" borderId="7" xfId="1" applyNumberFormat="1" applyFont="1" applyFill="1" applyBorder="1" applyAlignment="1">
      <alignment horizontal="center"/>
    </xf>
    <xf numFmtId="166" fontId="21" fillId="0" borderId="2" xfId="1" applyNumberFormat="1" applyFont="1" applyBorder="1" applyAlignment="1">
      <alignment horizontal="center" vertical="center"/>
    </xf>
    <xf numFmtId="166" fontId="21" fillId="0" borderId="11" xfId="1" applyNumberFormat="1" applyFont="1" applyBorder="1" applyAlignment="1">
      <alignment horizontal="center" vertical="center"/>
    </xf>
    <xf numFmtId="166" fontId="21" fillId="14" borderId="12" xfId="1" applyNumberFormat="1" applyFont="1" applyFill="1" applyBorder="1" applyAlignment="1">
      <alignment horizontal="center"/>
    </xf>
    <xf numFmtId="166" fontId="21" fillId="15" borderId="13" xfId="1" applyNumberFormat="1" applyFont="1" applyFill="1" applyBorder="1" applyAlignment="1">
      <alignment horizontal="center"/>
    </xf>
    <xf numFmtId="166" fontId="21" fillId="15" borderId="14" xfId="1" applyNumberFormat="1" applyFont="1" applyFill="1" applyBorder="1" applyAlignment="1">
      <alignment horizontal="center"/>
    </xf>
    <xf numFmtId="166" fontId="21" fillId="15" borderId="15" xfId="1" applyNumberFormat="1" applyFont="1" applyFill="1" applyBorder="1" applyAlignment="1">
      <alignment horizontal="center"/>
    </xf>
    <xf numFmtId="166" fontId="21" fillId="36" borderId="13" xfId="1" applyNumberFormat="1" applyFont="1" applyFill="1" applyBorder="1" applyAlignment="1">
      <alignment horizontal="center"/>
    </xf>
    <xf numFmtId="166" fontId="21" fillId="36" borderId="14" xfId="1" applyNumberFormat="1" applyFont="1" applyFill="1" applyBorder="1" applyAlignment="1">
      <alignment horizontal="center"/>
    </xf>
    <xf numFmtId="166" fontId="21" fillId="36" borderId="15" xfId="1" applyNumberFormat="1" applyFont="1" applyFill="1" applyBorder="1" applyAlignment="1">
      <alignment horizontal="center"/>
    </xf>
    <xf numFmtId="166" fontId="21" fillId="37" borderId="13" xfId="1" applyNumberFormat="1" applyFont="1" applyFill="1" applyBorder="1" applyAlignment="1">
      <alignment horizontal="center"/>
    </xf>
    <xf numFmtId="166" fontId="21" fillId="37" borderId="14" xfId="1" applyNumberFormat="1" applyFont="1" applyFill="1" applyBorder="1" applyAlignment="1">
      <alignment horizontal="center"/>
    </xf>
    <xf numFmtId="166" fontId="21" fillId="37" borderId="15" xfId="1" applyNumberFormat="1" applyFont="1" applyFill="1" applyBorder="1" applyAlignment="1">
      <alignment horizontal="center"/>
    </xf>
    <xf numFmtId="166" fontId="21" fillId="15" borderId="12" xfId="1" applyNumberFormat="1" applyFont="1" applyFill="1" applyBorder="1" applyAlignment="1">
      <alignment horizontal="center"/>
    </xf>
    <xf numFmtId="14" fontId="33" fillId="0" borderId="1" xfId="0" applyNumberFormat="1" applyFont="1" applyBorder="1"/>
    <xf numFmtId="14" fontId="33" fillId="0" borderId="1" xfId="0" quotePrefix="1" applyNumberFormat="1" applyFont="1" applyBorder="1"/>
    <xf numFmtId="0" fontId="28" fillId="0" borderId="0" xfId="0" applyFont="1" applyAlignment="1">
      <alignment horizontal="center" vertical="center" wrapText="1"/>
    </xf>
  </cellXfs>
  <cellStyles count="4">
    <cellStyle name="Comma" xfId="1" builtinId="3"/>
    <cellStyle name="Excel Built-in Comma [0] 1" xfId="3" xr:uid="{00000000-0005-0000-0000-000007000000}"/>
    <cellStyle name="Normal" xfId="0" builtinId="0"/>
    <cellStyle name="Normal 2" xfId="2" xr:uid="{00000000-0005-0000-0000-000006000000}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69A2E"/>
      <rgbColor rgb="FF000080"/>
      <rgbColor rgb="FF808000"/>
      <rgbColor rgb="FF800080"/>
      <rgbColor rgb="FF00A933"/>
      <rgbColor rgb="FFC5E0B4"/>
      <rgbColor rgb="FF808080"/>
      <rgbColor rgb="FF9999FF"/>
      <rgbColor rgb="FFFF3838"/>
      <rgbColor rgb="FFFFF5CE"/>
      <rgbColor rgb="FFFBE5D6"/>
      <rgbColor rgb="FF660066"/>
      <rgbColor rgb="FFFF7B59"/>
      <rgbColor rgb="FF0070C0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D8CE"/>
      <rgbColor rgb="FFFFF2CC"/>
      <rgbColor rgb="FFFFE699"/>
      <rgbColor rgb="FF99CCFF"/>
      <rgbColor rgb="FFFF99CC"/>
      <rgbColor rgb="FFCC99FF"/>
      <rgbColor rgb="FFF8CBAD"/>
      <rgbColor rgb="FF3366FF"/>
      <rgbColor rgb="FF33CCCC"/>
      <rgbColor rgb="FF81D41A"/>
      <rgbColor rgb="FFFFC000"/>
      <rgbColor rgb="FFFFBF00"/>
      <rgbColor rgb="FFFF5429"/>
      <rgbColor rgb="FF666699"/>
      <rgbColor rgb="FF92D050"/>
      <rgbColor rgb="FF081B3A"/>
      <rgbColor rgb="FF3FAF4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F295"/>
  <sheetViews>
    <sheetView tabSelected="1" zoomScale="56" zoomScaleNormal="55" workbookViewId="0">
      <pane xSplit="3" ySplit="5" topLeftCell="L60" activePane="bottomRight" state="frozen"/>
      <selection pane="topRight" activeCell="D1" sqref="D1"/>
      <selection pane="bottomLeft" activeCell="A6" sqref="A6"/>
      <selection pane="bottomRight" activeCell="N66" sqref="N66"/>
    </sheetView>
  </sheetViews>
  <sheetFormatPr defaultColWidth="9.109375" defaultRowHeight="22.8" x14ac:dyDescent="0.4"/>
  <cols>
    <col min="1" max="1" width="6.109375" style="105" customWidth="1"/>
    <col min="2" max="2" width="17.21875" style="324" customWidth="1"/>
    <col min="3" max="3" width="64.109375" style="104" customWidth="1"/>
    <col min="4" max="4" width="15" style="103" customWidth="1"/>
    <col min="5" max="5" width="16" style="280" customWidth="1"/>
    <col min="6" max="8" width="9.44140625" style="280" customWidth="1"/>
    <col min="9" max="9" width="7.88671875" style="280" customWidth="1"/>
    <col min="10" max="10" width="41.5546875" style="274" customWidth="1"/>
    <col min="11" max="11" width="23.5546875" style="274" customWidth="1"/>
    <col min="12" max="12" width="17.88671875" style="274" bestFit="1" customWidth="1"/>
    <col min="13" max="13" width="16.88671875" style="280" bestFit="1" customWidth="1"/>
    <col min="14" max="14" width="22.21875" style="280" customWidth="1"/>
    <col min="15" max="15" width="15.6640625" style="93" customWidth="1"/>
    <col min="16" max="16" width="12.109375" style="326" customWidth="1"/>
    <col min="17" max="17" width="12.5546875" style="326" customWidth="1"/>
    <col min="18" max="19" width="14.6640625" style="326" customWidth="1"/>
    <col min="20" max="20" width="13.109375" style="326" customWidth="1"/>
    <col min="21" max="21" width="11.88671875" style="326" customWidth="1"/>
    <col min="22" max="22" width="10.21875" style="326" customWidth="1"/>
    <col min="23" max="23" width="11.88671875" style="327" customWidth="1"/>
    <col min="24" max="24" width="11.88671875" style="238" customWidth="1"/>
    <col min="25" max="25" width="17.5546875" style="238" customWidth="1"/>
    <col min="26" max="26" width="31.44140625" style="292" customWidth="1"/>
    <col min="27" max="27" width="39.109375" style="274" customWidth="1"/>
    <col min="28" max="28" width="13.88671875" style="105" customWidth="1"/>
    <col min="29" max="29" width="19" style="93" bestFit="1" customWidth="1"/>
    <col min="30" max="30" width="37.33203125" style="93" bestFit="1" customWidth="1"/>
  </cols>
  <sheetData>
    <row r="1" spans="1:30" s="99" customFormat="1" ht="45.6" x14ac:dyDescent="0.4">
      <c r="A1" s="192" t="s">
        <v>0</v>
      </c>
      <c r="B1" s="318"/>
      <c r="C1" s="98"/>
      <c r="D1" s="98"/>
      <c r="E1" s="192"/>
      <c r="F1" s="192"/>
      <c r="G1" s="192"/>
      <c r="H1" s="192"/>
      <c r="I1" s="192"/>
      <c r="J1" s="192"/>
      <c r="K1" s="192"/>
      <c r="L1" s="192"/>
      <c r="M1" s="279" t="s">
        <v>1</v>
      </c>
      <c r="N1" s="280"/>
      <c r="P1" s="326"/>
      <c r="Q1" s="326"/>
      <c r="R1" s="326"/>
      <c r="S1" s="326"/>
      <c r="T1" s="326"/>
      <c r="U1" s="326"/>
      <c r="V1" s="326"/>
      <c r="W1" s="327"/>
      <c r="X1" s="264"/>
      <c r="Y1" s="264"/>
      <c r="Z1" s="292"/>
      <c r="AA1" s="195" t="s">
        <v>2</v>
      </c>
      <c r="AB1" s="195"/>
      <c r="AC1" s="100"/>
    </row>
    <row r="3" spans="1:30" s="101" customFormat="1" ht="45.6" x14ac:dyDescent="0.4">
      <c r="A3" s="360" t="s">
        <v>3</v>
      </c>
      <c r="B3" s="361" t="s">
        <v>4</v>
      </c>
      <c r="C3" s="360" t="s">
        <v>5</v>
      </c>
      <c r="D3" s="362" t="s">
        <v>6</v>
      </c>
      <c r="E3" s="363" t="s">
        <v>409</v>
      </c>
      <c r="F3" s="365" t="s">
        <v>7</v>
      </c>
      <c r="G3" s="365"/>
      <c r="H3" s="365"/>
      <c r="I3" s="365"/>
      <c r="J3" s="357" t="s">
        <v>8</v>
      </c>
      <c r="K3" s="359" t="s">
        <v>9</v>
      </c>
      <c r="L3" s="357" t="s">
        <v>10</v>
      </c>
      <c r="M3" s="275" t="s">
        <v>11</v>
      </c>
      <c r="N3" s="275" t="s">
        <v>411</v>
      </c>
      <c r="O3" s="171" t="s">
        <v>12</v>
      </c>
      <c r="P3" s="354" t="s">
        <v>7</v>
      </c>
      <c r="Q3" s="355"/>
      <c r="R3" s="355"/>
      <c r="S3" s="355"/>
      <c r="T3" s="355"/>
      <c r="U3" s="355"/>
      <c r="V3" s="355"/>
      <c r="W3" s="356"/>
      <c r="X3" s="265" t="s">
        <v>13</v>
      </c>
      <c r="Y3" s="265" t="s">
        <v>14</v>
      </c>
      <c r="Z3" s="293" t="s">
        <v>15</v>
      </c>
      <c r="AA3" s="314" t="s">
        <v>16</v>
      </c>
      <c r="AB3" s="171" t="s">
        <v>7</v>
      </c>
      <c r="AC3" s="171" t="s">
        <v>17</v>
      </c>
      <c r="AD3" s="220" t="s">
        <v>18</v>
      </c>
    </row>
    <row r="4" spans="1:30" s="101" customFormat="1" ht="45.6" customHeight="1" x14ac:dyDescent="0.4">
      <c r="A4" s="360"/>
      <c r="B4" s="361"/>
      <c r="C4" s="360"/>
      <c r="D4" s="362"/>
      <c r="E4" s="364"/>
      <c r="F4" s="303"/>
      <c r="G4" s="303"/>
      <c r="H4" s="303"/>
      <c r="I4" s="44"/>
      <c r="J4" s="357"/>
      <c r="K4" s="359"/>
      <c r="L4" s="357"/>
      <c r="M4" s="281" t="s">
        <v>23</v>
      </c>
      <c r="N4" s="281" t="s">
        <v>24</v>
      </c>
      <c r="O4" s="172"/>
      <c r="P4" s="328" t="s">
        <v>25</v>
      </c>
      <c r="Q4" s="328" t="s">
        <v>26</v>
      </c>
      <c r="R4" s="329" t="s">
        <v>32</v>
      </c>
      <c r="S4" s="329" t="s">
        <v>35</v>
      </c>
      <c r="T4" s="329" t="s">
        <v>36</v>
      </c>
      <c r="U4" s="329" t="s">
        <v>38</v>
      </c>
      <c r="V4" s="328" t="s">
        <v>27</v>
      </c>
      <c r="W4" s="330" t="s">
        <v>22</v>
      </c>
      <c r="X4" s="265"/>
      <c r="Y4" s="265"/>
      <c r="Z4" s="293"/>
      <c r="AA4" s="314"/>
      <c r="AB4" s="171"/>
      <c r="AC4" s="171"/>
      <c r="AD4" s="220"/>
    </row>
    <row r="5" spans="1:30" s="154" customFormat="1" ht="54" customHeight="1" x14ac:dyDescent="0.4">
      <c r="A5" s="151"/>
      <c r="B5" s="319"/>
      <c r="C5" s="151"/>
      <c r="D5" s="152"/>
      <c r="E5" s="287"/>
      <c r="F5" s="303">
        <v>350</v>
      </c>
      <c r="G5" s="303">
        <v>500</v>
      </c>
      <c r="H5" s="44" t="s">
        <v>38</v>
      </c>
      <c r="I5" s="44" t="s">
        <v>549</v>
      </c>
      <c r="J5" s="268"/>
      <c r="K5" s="268"/>
      <c r="L5" s="268"/>
      <c r="M5" s="282"/>
      <c r="N5" s="282"/>
      <c r="O5" s="153"/>
      <c r="P5" s="319">
        <f t="shared" ref="P5:V5" si="0">SUBTOTAL(9,P6:P268)</f>
        <v>255</v>
      </c>
      <c r="Q5" s="319">
        <f t="shared" si="0"/>
        <v>144</v>
      </c>
      <c r="R5" s="319">
        <f t="shared" si="0"/>
        <v>0</v>
      </c>
      <c r="S5" s="319">
        <f t="shared" si="0"/>
        <v>0</v>
      </c>
      <c r="T5" s="319">
        <f t="shared" si="0"/>
        <v>18</v>
      </c>
      <c r="U5" s="319">
        <f t="shared" si="0"/>
        <v>95</v>
      </c>
      <c r="V5" s="319">
        <f t="shared" si="0"/>
        <v>39</v>
      </c>
      <c r="W5" s="330">
        <f>SUBTOTAL(9,W6:W173)</f>
        <v>551</v>
      </c>
      <c r="X5" s="265"/>
      <c r="Y5" s="265"/>
      <c r="Z5" s="293"/>
      <c r="AA5" s="268"/>
      <c r="AB5" s="151">
        <f>SUBTOTAL(9,AB6:AB173)</f>
        <v>496</v>
      </c>
      <c r="AC5" s="223">
        <f>SUBTOTAL(9,AC6:AC173)</f>
        <v>2495000</v>
      </c>
      <c r="AD5" s="151"/>
    </row>
    <row r="6" spans="1:30" ht="85.2" customHeight="1" x14ac:dyDescent="0.4">
      <c r="A6" s="89">
        <v>1</v>
      </c>
      <c r="B6" s="307" t="s">
        <v>486</v>
      </c>
      <c r="C6" s="227" t="s">
        <v>489</v>
      </c>
      <c r="D6" s="149" t="s">
        <v>453</v>
      </c>
      <c r="E6" s="283" t="s">
        <v>433</v>
      </c>
      <c r="F6" s="283"/>
      <c r="G6" s="283">
        <v>11</v>
      </c>
      <c r="H6" s="283"/>
      <c r="I6" s="283"/>
      <c r="J6" s="269" t="s">
        <v>504</v>
      </c>
      <c r="K6" s="269"/>
      <c r="L6" s="269" t="s">
        <v>410</v>
      </c>
      <c r="M6" s="283" t="s">
        <v>30</v>
      </c>
      <c r="N6" s="299" t="s">
        <v>185</v>
      </c>
      <c r="O6" s="145" t="s">
        <v>38</v>
      </c>
      <c r="P6" s="331"/>
      <c r="Q6" s="331"/>
      <c r="R6" s="331"/>
      <c r="S6" s="331"/>
      <c r="T6" s="331"/>
      <c r="U6" s="331">
        <v>30</v>
      </c>
      <c r="V6" s="331">
        <v>3</v>
      </c>
      <c r="W6" s="217">
        <f t="shared" ref="W6:W21" si="1">SUM(P6:V6)</f>
        <v>33</v>
      </c>
      <c r="X6" s="146">
        <f>SUMIFS('Đơn giá'!C:C,'Đơn giá'!B:B,XUẤT!O6)</f>
        <v>48000</v>
      </c>
      <c r="Y6" s="147">
        <f>X6*U6</f>
        <v>1440000</v>
      </c>
      <c r="Z6" s="294"/>
      <c r="AA6" s="269" t="s">
        <v>475</v>
      </c>
      <c r="AB6" s="145">
        <f t="shared" ref="AB6:AB18" si="2">W6-V6</f>
        <v>30</v>
      </c>
      <c r="AC6" s="146">
        <f t="shared" ref="AC6:AC21" si="3">AB6*5000</f>
        <v>150000</v>
      </c>
    </row>
    <row r="7" spans="1:30" ht="85.2" customHeight="1" x14ac:dyDescent="0.4">
      <c r="A7" s="89">
        <v>2</v>
      </c>
      <c r="B7" s="307" t="s">
        <v>486</v>
      </c>
      <c r="C7" s="231" t="s">
        <v>496</v>
      </c>
      <c r="D7" s="149" t="s">
        <v>453</v>
      </c>
      <c r="E7" s="283" t="s">
        <v>192</v>
      </c>
      <c r="F7" s="283"/>
      <c r="G7" s="283">
        <v>11</v>
      </c>
      <c r="H7" s="283"/>
      <c r="I7" s="283"/>
      <c r="J7" s="269" t="s">
        <v>475</v>
      </c>
      <c r="K7" s="269"/>
      <c r="L7" s="269" t="s">
        <v>410</v>
      </c>
      <c r="M7" s="283" t="s">
        <v>43</v>
      </c>
      <c r="N7" s="283" t="s">
        <v>497</v>
      </c>
      <c r="O7" s="145" t="s">
        <v>28</v>
      </c>
      <c r="P7" s="331"/>
      <c r="Q7" s="331">
        <v>10</v>
      </c>
      <c r="R7" s="331"/>
      <c r="S7" s="331"/>
      <c r="T7" s="331"/>
      <c r="U7" s="331"/>
      <c r="V7" s="331">
        <v>1</v>
      </c>
      <c r="W7" s="217">
        <f t="shared" si="1"/>
        <v>11</v>
      </c>
      <c r="X7" s="146">
        <f>SUMIFS('Đơn giá'!C:C,'Đơn giá'!B:B,XUẤT!O7)</f>
        <v>85000</v>
      </c>
      <c r="Y7" s="147">
        <f>X7*Q7</f>
        <v>850000</v>
      </c>
      <c r="Z7" s="294"/>
      <c r="AA7" s="269" t="s">
        <v>475</v>
      </c>
      <c r="AB7" s="145">
        <f t="shared" si="2"/>
        <v>10</v>
      </c>
      <c r="AC7" s="146">
        <f t="shared" si="3"/>
        <v>50000</v>
      </c>
    </row>
    <row r="8" spans="1:30" ht="85.2" customHeight="1" x14ac:dyDescent="0.4">
      <c r="A8" s="89">
        <v>3</v>
      </c>
      <c r="B8" s="307" t="s">
        <v>486</v>
      </c>
      <c r="C8" s="231" t="s">
        <v>498</v>
      </c>
      <c r="D8" s="149" t="s">
        <v>453</v>
      </c>
      <c r="E8" s="283" t="s">
        <v>433</v>
      </c>
      <c r="F8" s="283"/>
      <c r="G8" s="283">
        <v>11</v>
      </c>
      <c r="H8" s="283"/>
      <c r="I8" s="283"/>
      <c r="J8" s="269" t="s">
        <v>475</v>
      </c>
      <c r="K8" s="269"/>
      <c r="L8" s="269" t="s">
        <v>410</v>
      </c>
      <c r="M8" s="283" t="s">
        <v>41</v>
      </c>
      <c r="N8" s="283" t="s">
        <v>448</v>
      </c>
      <c r="O8" s="145" t="s">
        <v>25</v>
      </c>
      <c r="P8" s="331">
        <v>10</v>
      </c>
      <c r="Q8" s="331"/>
      <c r="R8" s="331"/>
      <c r="S8" s="331"/>
      <c r="T8" s="331"/>
      <c r="U8" s="331"/>
      <c r="V8" s="331">
        <v>1</v>
      </c>
      <c r="W8" s="217">
        <f t="shared" si="1"/>
        <v>11</v>
      </c>
      <c r="X8" s="146">
        <f>SUMIFS('Đơn giá'!C:C,'Đơn giá'!B:B,XUẤT!O8)</f>
        <v>98000</v>
      </c>
      <c r="Y8" s="147">
        <f t="shared" ref="Y8" si="4">X8*P8</f>
        <v>980000</v>
      </c>
      <c r="Z8" s="294" t="s">
        <v>499</v>
      </c>
      <c r="AA8" s="269" t="s">
        <v>475</v>
      </c>
      <c r="AB8" s="145">
        <f t="shared" si="2"/>
        <v>10</v>
      </c>
      <c r="AC8" s="146">
        <f t="shared" si="3"/>
        <v>50000</v>
      </c>
    </row>
    <row r="9" spans="1:30" ht="85.2" customHeight="1" x14ac:dyDescent="0.4">
      <c r="A9" s="89">
        <v>4</v>
      </c>
      <c r="B9" s="307" t="s">
        <v>486</v>
      </c>
      <c r="C9" s="231" t="s">
        <v>501</v>
      </c>
      <c r="D9" s="149" t="s">
        <v>453</v>
      </c>
      <c r="E9" s="283" t="s">
        <v>216</v>
      </c>
      <c r="F9" s="283"/>
      <c r="G9" s="283">
        <v>11</v>
      </c>
      <c r="H9" s="283"/>
      <c r="I9" s="283"/>
      <c r="J9" s="269" t="s">
        <v>475</v>
      </c>
      <c r="K9" s="269"/>
      <c r="L9" s="269" t="s">
        <v>410</v>
      </c>
      <c r="M9" s="283" t="s">
        <v>41</v>
      </c>
      <c r="N9" s="283" t="s">
        <v>500</v>
      </c>
      <c r="O9" s="145" t="s">
        <v>28</v>
      </c>
      <c r="P9" s="331"/>
      <c r="Q9" s="331">
        <v>10</v>
      </c>
      <c r="R9" s="331"/>
      <c r="S9" s="331"/>
      <c r="T9" s="331"/>
      <c r="U9" s="331"/>
      <c r="V9" s="331">
        <v>1</v>
      </c>
      <c r="W9" s="217">
        <f t="shared" si="1"/>
        <v>11</v>
      </c>
      <c r="X9" s="146">
        <f>SUMIFS('Đơn giá'!C:C,'Đơn giá'!B:B,XUẤT!O9)</f>
        <v>85000</v>
      </c>
      <c r="Y9" s="147">
        <f>X9*Q9</f>
        <v>850000</v>
      </c>
      <c r="Z9" s="294"/>
      <c r="AA9" s="269" t="s">
        <v>475</v>
      </c>
      <c r="AB9" s="145">
        <f t="shared" si="2"/>
        <v>10</v>
      </c>
      <c r="AC9" s="146">
        <f t="shared" si="3"/>
        <v>50000</v>
      </c>
    </row>
    <row r="10" spans="1:30" ht="85.2" customHeight="1" x14ac:dyDescent="0.4">
      <c r="A10" s="89">
        <v>5</v>
      </c>
      <c r="B10" s="307" t="s">
        <v>486</v>
      </c>
      <c r="C10" s="231" t="s">
        <v>502</v>
      </c>
      <c r="D10" s="149" t="s">
        <v>453</v>
      </c>
      <c r="E10" s="283" t="s">
        <v>192</v>
      </c>
      <c r="F10" s="283"/>
      <c r="G10" s="283">
        <v>16</v>
      </c>
      <c r="H10" s="283"/>
      <c r="I10" s="283"/>
      <c r="J10" s="269" t="s">
        <v>475</v>
      </c>
      <c r="K10" s="269"/>
      <c r="L10" s="269" t="s">
        <v>410</v>
      </c>
      <c r="M10" s="283" t="s">
        <v>41</v>
      </c>
      <c r="N10" s="283" t="s">
        <v>503</v>
      </c>
      <c r="O10" s="145" t="s">
        <v>25</v>
      </c>
      <c r="P10" s="331">
        <v>10</v>
      </c>
      <c r="Q10" s="331"/>
      <c r="R10" s="331"/>
      <c r="S10" s="331"/>
      <c r="T10" s="331"/>
      <c r="U10" s="331"/>
      <c r="V10" s="331">
        <v>1</v>
      </c>
      <c r="W10" s="217">
        <f t="shared" si="1"/>
        <v>11</v>
      </c>
      <c r="X10" s="146">
        <f>SUMIFS('Đơn giá'!C:C,'Đơn giá'!B:B,XUẤT!O10)</f>
        <v>98000</v>
      </c>
      <c r="Y10" s="147">
        <f t="shared" ref="Y10" si="5">X10*P10</f>
        <v>980000</v>
      </c>
      <c r="Z10" s="294"/>
      <c r="AA10" s="269" t="s">
        <v>475</v>
      </c>
      <c r="AB10" s="145">
        <f t="shared" si="2"/>
        <v>10</v>
      </c>
      <c r="AC10" s="146">
        <f t="shared" si="3"/>
        <v>50000</v>
      </c>
    </row>
    <row r="11" spans="1:30" ht="85.2" customHeight="1" x14ac:dyDescent="0.4">
      <c r="A11" s="89">
        <v>1</v>
      </c>
      <c r="B11" s="307" t="s">
        <v>505</v>
      </c>
      <c r="C11" s="231" t="s">
        <v>507</v>
      </c>
      <c r="D11" s="149" t="s">
        <v>453</v>
      </c>
      <c r="E11" s="283" t="s">
        <v>192</v>
      </c>
      <c r="F11" s="283"/>
      <c r="G11" s="283"/>
      <c r="H11" s="283"/>
      <c r="I11" s="283"/>
      <c r="J11" s="269" t="s">
        <v>475</v>
      </c>
      <c r="K11" s="269"/>
      <c r="L11" s="269"/>
      <c r="M11" s="283" t="s">
        <v>41</v>
      </c>
      <c r="N11" s="283" t="s">
        <v>506</v>
      </c>
      <c r="O11" s="145" t="s">
        <v>28</v>
      </c>
      <c r="P11" s="331"/>
      <c r="Q11" s="331">
        <v>15</v>
      </c>
      <c r="R11" s="331"/>
      <c r="S11" s="331"/>
      <c r="T11" s="331"/>
      <c r="U11" s="331"/>
      <c r="V11" s="331">
        <v>1</v>
      </c>
      <c r="W11" s="217">
        <f t="shared" si="1"/>
        <v>16</v>
      </c>
      <c r="X11" s="146">
        <f>SUMIFS('Đơn giá'!C:C,'Đơn giá'!B:B,XUẤT!O11)</f>
        <v>85000</v>
      </c>
      <c r="Y11" s="147">
        <f>X11*Q11</f>
        <v>1275000</v>
      </c>
      <c r="Z11" s="294"/>
      <c r="AA11" s="269" t="s">
        <v>475</v>
      </c>
      <c r="AB11" s="145">
        <f t="shared" si="2"/>
        <v>15</v>
      </c>
      <c r="AC11" s="146">
        <f t="shared" si="3"/>
        <v>75000</v>
      </c>
    </row>
    <row r="12" spans="1:30" ht="85.2" customHeight="1" x14ac:dyDescent="0.4">
      <c r="A12" s="89">
        <v>2</v>
      </c>
      <c r="B12" s="307" t="s">
        <v>505</v>
      </c>
      <c r="C12" s="231" t="s">
        <v>508</v>
      </c>
      <c r="D12" s="149" t="s">
        <v>453</v>
      </c>
      <c r="E12" s="283" t="s">
        <v>433</v>
      </c>
      <c r="F12" s="283"/>
      <c r="G12" s="283">
        <v>11</v>
      </c>
      <c r="H12" s="283"/>
      <c r="I12" s="283"/>
      <c r="J12" s="269" t="s">
        <v>475</v>
      </c>
      <c r="K12" s="269"/>
      <c r="L12" s="269" t="s">
        <v>410</v>
      </c>
      <c r="M12" s="283" t="s">
        <v>30</v>
      </c>
      <c r="N12" s="283" t="s">
        <v>510</v>
      </c>
      <c r="O12" s="145" t="s">
        <v>38</v>
      </c>
      <c r="P12" s="331"/>
      <c r="Q12" s="331"/>
      <c r="R12" s="331"/>
      <c r="S12" s="331"/>
      <c r="T12" s="331"/>
      <c r="U12" s="331">
        <v>5</v>
      </c>
      <c r="V12" s="331"/>
      <c r="W12" s="217">
        <f t="shared" si="1"/>
        <v>5</v>
      </c>
      <c r="X12" s="146">
        <f>SUMIFS('Đơn giá'!C:C,'Đơn giá'!B:B,XUẤT!O12)</f>
        <v>48000</v>
      </c>
      <c r="Y12" s="147">
        <f>X12*U12</f>
        <v>240000</v>
      </c>
      <c r="Z12" s="294"/>
      <c r="AA12" s="269" t="s">
        <v>475</v>
      </c>
      <c r="AB12" s="145">
        <f t="shared" si="2"/>
        <v>5</v>
      </c>
      <c r="AC12" s="146">
        <f t="shared" si="3"/>
        <v>25000</v>
      </c>
    </row>
    <row r="13" spans="1:30" ht="85.2" customHeight="1" x14ac:dyDescent="0.4">
      <c r="A13" s="89">
        <v>3</v>
      </c>
      <c r="B13" s="307" t="s">
        <v>505</v>
      </c>
      <c r="C13" s="231" t="s">
        <v>509</v>
      </c>
      <c r="D13" s="149" t="s">
        <v>453</v>
      </c>
      <c r="E13" s="283"/>
      <c r="F13" s="283"/>
      <c r="G13" s="283">
        <v>5</v>
      </c>
      <c r="H13" s="283"/>
      <c r="I13" s="283"/>
      <c r="J13" s="269" t="s">
        <v>475</v>
      </c>
      <c r="K13" s="269"/>
      <c r="L13" s="269"/>
      <c r="M13" s="283" t="s">
        <v>30</v>
      </c>
      <c r="N13" s="270" t="s">
        <v>108</v>
      </c>
      <c r="O13" s="145" t="s">
        <v>25</v>
      </c>
      <c r="P13" s="331">
        <v>10</v>
      </c>
      <c r="Q13" s="331"/>
      <c r="R13" s="331"/>
      <c r="S13" s="331"/>
      <c r="T13" s="331"/>
      <c r="U13" s="331"/>
      <c r="V13" s="331">
        <v>1</v>
      </c>
      <c r="W13" s="217">
        <f t="shared" si="1"/>
        <v>11</v>
      </c>
      <c r="X13" s="146">
        <f>SUMIFS('Đơn giá'!C:C,'Đơn giá'!B:B,XUẤT!O13)</f>
        <v>98000</v>
      </c>
      <c r="Y13" s="147">
        <f t="shared" ref="Y13:Y14" si="6">X13*P13</f>
        <v>980000</v>
      </c>
      <c r="Z13" s="294"/>
      <c r="AA13" s="269" t="s">
        <v>475</v>
      </c>
      <c r="AB13" s="145">
        <f t="shared" si="2"/>
        <v>10</v>
      </c>
      <c r="AC13" s="146">
        <f t="shared" si="3"/>
        <v>50000</v>
      </c>
    </row>
    <row r="14" spans="1:30" ht="85.2" customHeight="1" x14ac:dyDescent="0.4">
      <c r="A14" s="89">
        <v>4</v>
      </c>
      <c r="B14" s="307" t="s">
        <v>505</v>
      </c>
      <c r="C14" s="231" t="s">
        <v>511</v>
      </c>
      <c r="D14" s="102"/>
      <c r="E14" s="283" t="s">
        <v>433</v>
      </c>
      <c r="F14" s="283"/>
      <c r="G14" s="283"/>
      <c r="H14" s="283"/>
      <c r="I14" s="283"/>
      <c r="J14" s="269" t="s">
        <v>475</v>
      </c>
      <c r="K14" s="269"/>
      <c r="L14" s="269"/>
      <c r="M14" s="283" t="s">
        <v>41</v>
      </c>
      <c r="N14" s="283" t="s">
        <v>512</v>
      </c>
      <c r="O14" s="145" t="s">
        <v>25</v>
      </c>
      <c r="P14" s="331">
        <v>5</v>
      </c>
      <c r="Q14" s="331"/>
      <c r="R14" s="331"/>
      <c r="S14" s="331"/>
      <c r="T14" s="331"/>
      <c r="U14" s="331"/>
      <c r="V14" s="331"/>
      <c r="W14" s="217">
        <f t="shared" si="1"/>
        <v>5</v>
      </c>
      <c r="X14" s="146">
        <f>SUMIFS('Đơn giá'!C:C,'Đơn giá'!B:B,XUẤT!O14)</f>
        <v>98000</v>
      </c>
      <c r="Y14" s="147">
        <f t="shared" si="6"/>
        <v>490000</v>
      </c>
      <c r="Z14" s="294" t="s">
        <v>527</v>
      </c>
      <c r="AA14" s="269" t="s">
        <v>475</v>
      </c>
      <c r="AB14" s="145">
        <f t="shared" si="2"/>
        <v>5</v>
      </c>
      <c r="AC14" s="146">
        <f t="shared" si="3"/>
        <v>25000</v>
      </c>
    </row>
    <row r="15" spans="1:30" ht="85.2" customHeight="1" x14ac:dyDescent="0.4">
      <c r="A15" s="89">
        <v>5</v>
      </c>
      <c r="B15" s="307" t="s">
        <v>505</v>
      </c>
      <c r="C15" s="231" t="s">
        <v>514</v>
      </c>
      <c r="D15" s="149" t="s">
        <v>453</v>
      </c>
      <c r="E15" s="283" t="s">
        <v>433</v>
      </c>
      <c r="F15" s="283"/>
      <c r="G15" s="283">
        <v>2</v>
      </c>
      <c r="H15" s="283"/>
      <c r="I15" s="283"/>
      <c r="J15" s="269" t="s">
        <v>513</v>
      </c>
      <c r="K15" s="269" t="s">
        <v>428</v>
      </c>
      <c r="L15" s="269" t="s">
        <v>410</v>
      </c>
      <c r="M15" s="283" t="s">
        <v>30</v>
      </c>
      <c r="N15" s="270" t="s">
        <v>39</v>
      </c>
      <c r="O15" s="145" t="s">
        <v>38</v>
      </c>
      <c r="P15" s="331"/>
      <c r="Q15" s="331"/>
      <c r="R15" s="331"/>
      <c r="S15" s="331"/>
      <c r="T15" s="331"/>
      <c r="U15" s="331">
        <v>10</v>
      </c>
      <c r="V15" s="331">
        <v>1</v>
      </c>
      <c r="W15" s="217">
        <f t="shared" si="1"/>
        <v>11</v>
      </c>
      <c r="X15" s="146">
        <f>SUMIFS('Đơn giá'!C:C,'Đơn giá'!B:B,XUẤT!O15)</f>
        <v>48000</v>
      </c>
      <c r="Y15" s="147">
        <f>X15*U15</f>
        <v>480000</v>
      </c>
      <c r="Z15" s="294"/>
      <c r="AA15" s="269" t="s">
        <v>475</v>
      </c>
      <c r="AB15" s="145">
        <f t="shared" si="2"/>
        <v>10</v>
      </c>
      <c r="AC15" s="146">
        <f t="shared" si="3"/>
        <v>50000</v>
      </c>
    </row>
    <row r="16" spans="1:30" ht="51" customHeight="1" x14ac:dyDescent="0.4">
      <c r="A16" s="89">
        <v>6</v>
      </c>
      <c r="B16" s="307" t="s">
        <v>505</v>
      </c>
      <c r="C16" s="231" t="s">
        <v>521</v>
      </c>
      <c r="D16" s="149" t="s">
        <v>453</v>
      </c>
      <c r="E16" s="283" t="s">
        <v>192</v>
      </c>
      <c r="F16" s="283"/>
      <c r="G16" s="283">
        <v>5</v>
      </c>
      <c r="H16" s="283"/>
      <c r="I16" s="283"/>
      <c r="J16" s="269" t="s">
        <v>475</v>
      </c>
      <c r="K16" s="269"/>
      <c r="L16" s="269"/>
      <c r="M16" s="283" t="s">
        <v>30</v>
      </c>
      <c r="N16" s="10" t="s">
        <v>69</v>
      </c>
      <c r="O16" s="145" t="s">
        <v>28</v>
      </c>
      <c r="P16" s="331"/>
      <c r="Q16" s="331">
        <v>3</v>
      </c>
      <c r="R16" s="331"/>
      <c r="S16" s="331"/>
      <c r="T16" s="331"/>
      <c r="U16" s="331"/>
      <c r="V16" s="331"/>
      <c r="W16" s="217">
        <f t="shared" si="1"/>
        <v>3</v>
      </c>
      <c r="X16" s="146">
        <f>SUMIFS('Đơn giá'!C:C,'Đơn giá'!B:B,XUẤT!O16)</f>
        <v>85000</v>
      </c>
      <c r="Y16" s="147">
        <f>Q16*X16</f>
        <v>255000</v>
      </c>
      <c r="Z16" s="294" t="s">
        <v>522</v>
      </c>
      <c r="AA16" s="269" t="s">
        <v>34</v>
      </c>
      <c r="AB16" s="145">
        <f t="shared" si="2"/>
        <v>3</v>
      </c>
      <c r="AC16" s="146">
        <f t="shared" si="3"/>
        <v>15000</v>
      </c>
    </row>
    <row r="17" spans="1:32" ht="61.8" customHeight="1" x14ac:dyDescent="0.4">
      <c r="A17" s="89">
        <v>7</v>
      </c>
      <c r="B17" s="307" t="s">
        <v>505</v>
      </c>
      <c r="C17" s="231" t="s">
        <v>515</v>
      </c>
      <c r="D17" s="149" t="s">
        <v>453</v>
      </c>
      <c r="E17" s="283" t="s">
        <v>192</v>
      </c>
      <c r="F17" s="283"/>
      <c r="G17" s="283"/>
      <c r="H17" s="283"/>
      <c r="I17" s="283"/>
      <c r="J17" s="269" t="s">
        <v>475</v>
      </c>
      <c r="K17" s="269"/>
      <c r="L17" s="269"/>
      <c r="M17" s="283" t="s">
        <v>516</v>
      </c>
      <c r="N17" s="283" t="s">
        <v>517</v>
      </c>
      <c r="O17" s="145" t="s">
        <v>25</v>
      </c>
      <c r="P17" s="331">
        <v>5</v>
      </c>
      <c r="Q17" s="331"/>
      <c r="R17" s="331"/>
      <c r="S17" s="331"/>
      <c r="T17" s="331"/>
      <c r="U17" s="331"/>
      <c r="V17" s="331"/>
      <c r="W17" s="217">
        <f t="shared" si="1"/>
        <v>5</v>
      </c>
      <c r="X17" s="146">
        <f>SUMIFS('Đơn giá'!C:C,'Đơn giá'!B:B,XUẤT!O17)</f>
        <v>98000</v>
      </c>
      <c r="Y17" s="147">
        <f>P17*X17</f>
        <v>490000</v>
      </c>
      <c r="Z17" s="294"/>
      <c r="AA17" s="269" t="s">
        <v>475</v>
      </c>
      <c r="AB17" s="145">
        <f t="shared" si="2"/>
        <v>5</v>
      </c>
      <c r="AC17" s="146">
        <f t="shared" si="3"/>
        <v>25000</v>
      </c>
    </row>
    <row r="18" spans="1:32" ht="61.8" customHeight="1" x14ac:dyDescent="0.4">
      <c r="A18" s="89"/>
      <c r="B18" s="307" t="s">
        <v>505</v>
      </c>
      <c r="C18" s="231" t="s">
        <v>520</v>
      </c>
      <c r="D18" s="149" t="s">
        <v>453</v>
      </c>
      <c r="E18" s="283" t="s">
        <v>433</v>
      </c>
      <c r="F18" s="283"/>
      <c r="G18" s="283">
        <v>5</v>
      </c>
      <c r="H18" s="283"/>
      <c r="I18" s="283"/>
      <c r="J18" s="270" t="s">
        <v>220</v>
      </c>
      <c r="K18" s="269"/>
      <c r="L18" s="269"/>
      <c r="M18" s="283" t="s">
        <v>30</v>
      </c>
      <c r="N18" s="300" t="s">
        <v>220</v>
      </c>
      <c r="O18" s="145" t="s">
        <v>36</v>
      </c>
      <c r="P18" s="331"/>
      <c r="Q18" s="331"/>
      <c r="R18" s="331"/>
      <c r="S18" s="331"/>
      <c r="T18" s="331">
        <v>1</v>
      </c>
      <c r="U18" s="331"/>
      <c r="V18" s="331"/>
      <c r="W18" s="217">
        <f t="shared" si="1"/>
        <v>1</v>
      </c>
      <c r="X18" s="146">
        <f>SUMIFS('Đơn giá'!C:C,'Đơn giá'!B:B,XUẤT!O18)</f>
        <v>52000</v>
      </c>
      <c r="Y18" s="147">
        <f>T18*X18</f>
        <v>52000</v>
      </c>
      <c r="Z18" s="294"/>
      <c r="AA18" s="302" t="s">
        <v>220</v>
      </c>
      <c r="AB18" s="145">
        <f t="shared" si="2"/>
        <v>1</v>
      </c>
      <c r="AC18" s="146">
        <f t="shared" si="3"/>
        <v>5000</v>
      </c>
    </row>
    <row r="19" spans="1:32" ht="61.8" customHeight="1" x14ac:dyDescent="0.4">
      <c r="A19" s="89"/>
      <c r="B19" s="307" t="s">
        <v>505</v>
      </c>
      <c r="C19" s="227" t="s">
        <v>530</v>
      </c>
      <c r="D19" s="149" t="s">
        <v>453</v>
      </c>
      <c r="E19" s="283" t="s">
        <v>192</v>
      </c>
      <c r="F19" s="284"/>
      <c r="G19" s="284"/>
      <c r="H19" s="283"/>
      <c r="I19" s="283"/>
      <c r="J19" s="270" t="s">
        <v>34</v>
      </c>
      <c r="K19" s="269"/>
      <c r="L19" s="269"/>
      <c r="M19" s="283" t="s">
        <v>30</v>
      </c>
      <c r="N19" s="300" t="s">
        <v>64</v>
      </c>
      <c r="O19" s="145" t="s">
        <v>28</v>
      </c>
      <c r="P19" s="331"/>
      <c r="Q19" s="331">
        <v>5</v>
      </c>
      <c r="R19" s="331"/>
      <c r="S19" s="331"/>
      <c r="T19" s="331"/>
      <c r="U19" s="331"/>
      <c r="V19" s="331"/>
      <c r="W19" s="217">
        <f t="shared" si="1"/>
        <v>5</v>
      </c>
      <c r="X19" s="146">
        <f>SUMIFS('Đơn giá'!C:C,'Đơn giá'!B:B,XUẤT!O19)</f>
        <v>85000</v>
      </c>
      <c r="Y19" s="147">
        <f>Q19*X19</f>
        <v>425000</v>
      </c>
      <c r="Z19" s="294"/>
      <c r="AA19" s="269" t="s">
        <v>34</v>
      </c>
      <c r="AB19" s="145">
        <f>W19-V19</f>
        <v>5</v>
      </c>
      <c r="AC19" s="146">
        <f t="shared" si="3"/>
        <v>25000</v>
      </c>
    </row>
    <row r="20" spans="1:32" ht="61.8" customHeight="1" x14ac:dyDescent="0.4">
      <c r="A20" s="258">
        <v>8</v>
      </c>
      <c r="B20" s="320" t="s">
        <v>505</v>
      </c>
      <c r="C20" s="261" t="s">
        <v>519</v>
      </c>
      <c r="D20" s="257" t="s">
        <v>453</v>
      </c>
      <c r="E20" s="284" t="s">
        <v>433</v>
      </c>
      <c r="F20" s="283"/>
      <c r="G20" s="283">
        <v>22</v>
      </c>
      <c r="H20" s="284"/>
      <c r="I20" s="284"/>
      <c r="J20" s="271" t="s">
        <v>37</v>
      </c>
      <c r="K20" s="276"/>
      <c r="L20" s="276" t="s">
        <v>410</v>
      </c>
      <c r="M20" s="284" t="s">
        <v>30</v>
      </c>
      <c r="N20" s="301" t="s">
        <v>37</v>
      </c>
      <c r="O20" s="209" t="s">
        <v>36</v>
      </c>
      <c r="P20" s="332"/>
      <c r="Q20" s="332"/>
      <c r="R20" s="332"/>
      <c r="S20" s="332"/>
      <c r="T20" s="332">
        <v>3</v>
      </c>
      <c r="U20" s="332"/>
      <c r="V20" s="332"/>
      <c r="W20" s="333">
        <f t="shared" si="1"/>
        <v>3</v>
      </c>
      <c r="X20" s="228">
        <f>SUMIFS('Đơn giá'!C:C,'Đơn giá'!B:B,XUẤT!O20)</f>
        <v>52000</v>
      </c>
      <c r="Y20" s="224">
        <f>T20*X20</f>
        <v>156000</v>
      </c>
      <c r="Z20" s="295"/>
      <c r="AA20" s="315" t="s">
        <v>37</v>
      </c>
      <c r="AB20" s="209">
        <f t="shared" ref="AB20:AB21" si="7">W20-V20</f>
        <v>3</v>
      </c>
      <c r="AC20" s="228">
        <f t="shared" si="3"/>
        <v>15000</v>
      </c>
    </row>
    <row r="21" spans="1:32" s="288" customFormat="1" ht="78" customHeight="1" x14ac:dyDescent="0.4">
      <c r="A21" s="89">
        <v>1</v>
      </c>
      <c r="B21" s="321" t="s">
        <v>518</v>
      </c>
      <c r="C21" s="231" t="s">
        <v>524</v>
      </c>
      <c r="D21" s="257" t="s">
        <v>453</v>
      </c>
      <c r="E21" s="284" t="s">
        <v>433</v>
      </c>
      <c r="F21" s="273"/>
      <c r="G21" s="273">
        <v>33</v>
      </c>
      <c r="H21" s="283"/>
      <c r="I21" s="283"/>
      <c r="J21" s="89" t="s">
        <v>475</v>
      </c>
      <c r="K21" s="89"/>
      <c r="L21" s="272" t="s">
        <v>410</v>
      </c>
      <c r="M21" s="102" t="s">
        <v>41</v>
      </c>
      <c r="N21" s="283" t="s">
        <v>500</v>
      </c>
      <c r="O21" s="145" t="s">
        <v>28</v>
      </c>
      <c r="P21" s="331"/>
      <c r="Q21" s="331">
        <v>20</v>
      </c>
      <c r="R21" s="331"/>
      <c r="S21" s="331"/>
      <c r="T21" s="331"/>
      <c r="U21" s="331"/>
      <c r="V21" s="331">
        <v>2</v>
      </c>
      <c r="W21" s="333">
        <f t="shared" si="1"/>
        <v>22</v>
      </c>
      <c r="X21" s="228">
        <f>SUMIFS('Đơn giá'!C:C,'Đơn giá'!B:B,XUẤT!O21)</f>
        <v>85000</v>
      </c>
      <c r="Y21" s="224">
        <f>Q21*X21</f>
        <v>1700000</v>
      </c>
      <c r="Z21" s="294"/>
      <c r="AA21" s="269" t="s">
        <v>475</v>
      </c>
      <c r="AB21" s="209">
        <f t="shared" si="7"/>
        <v>20</v>
      </c>
      <c r="AC21" s="228">
        <f t="shared" si="3"/>
        <v>100000</v>
      </c>
      <c r="AD21" s="91"/>
    </row>
    <row r="22" spans="1:32" s="238" customFormat="1" ht="64.2" customHeight="1" x14ac:dyDescent="0.45">
      <c r="A22" s="143">
        <v>2</v>
      </c>
      <c r="B22" s="321" t="s">
        <v>518</v>
      </c>
      <c r="C22" s="231" t="s">
        <v>525</v>
      </c>
      <c r="D22" s="184" t="s">
        <v>453</v>
      </c>
      <c r="E22" s="273" t="s">
        <v>192</v>
      </c>
      <c r="F22" s="272"/>
      <c r="G22" s="272">
        <v>11</v>
      </c>
      <c r="H22" s="273"/>
      <c r="I22" s="273"/>
      <c r="J22" s="290" t="s">
        <v>34</v>
      </c>
      <c r="K22" s="290"/>
      <c r="L22" s="272" t="s">
        <v>410</v>
      </c>
      <c r="M22" s="283" t="s">
        <v>30</v>
      </c>
      <c r="N22" s="273" t="s">
        <v>34</v>
      </c>
      <c r="O22" s="145" t="s">
        <v>25</v>
      </c>
      <c r="P22" s="334">
        <v>30</v>
      </c>
      <c r="Q22" s="334"/>
      <c r="R22" s="334"/>
      <c r="S22" s="334"/>
      <c r="T22" s="334"/>
      <c r="U22" s="334"/>
      <c r="V22" s="334">
        <v>3</v>
      </c>
      <c r="W22" s="217">
        <f t="shared" ref="W22:W42" si="8">SUM(P22:V22)</f>
        <v>33</v>
      </c>
      <c r="X22" s="146">
        <f>SUMIFS('Đơn giá'!C:C,'Đơn giá'!B:B,XUẤT!O22)</f>
        <v>98000</v>
      </c>
      <c r="Y22" s="147">
        <f t="shared" ref="Y22:Y44" si="9">X22*P22</f>
        <v>2940000</v>
      </c>
      <c r="Z22" s="278"/>
      <c r="AA22" s="273" t="s">
        <v>34</v>
      </c>
      <c r="AB22" s="145">
        <f t="shared" ref="AB22:AB74" si="10">W22-V22</f>
        <v>30</v>
      </c>
      <c r="AC22" s="146">
        <f t="shared" ref="AC22:AC74" si="11">AB22*5000</f>
        <v>150000</v>
      </c>
      <c r="AD22" s="291"/>
      <c r="AE22" s="291"/>
      <c r="AF22" s="291"/>
    </row>
    <row r="23" spans="1:32" s="291" customFormat="1" ht="64.2" customHeight="1" x14ac:dyDescent="0.45">
      <c r="A23" s="89">
        <v>3</v>
      </c>
      <c r="B23" s="321" t="s">
        <v>518</v>
      </c>
      <c r="C23" s="231" t="s">
        <v>526</v>
      </c>
      <c r="D23" s="184" t="s">
        <v>453</v>
      </c>
      <c r="E23" s="272" t="s">
        <v>433</v>
      </c>
      <c r="F23" s="272"/>
      <c r="G23" s="272">
        <v>5</v>
      </c>
      <c r="H23" s="272"/>
      <c r="I23" s="272"/>
      <c r="J23" s="89" t="s">
        <v>475</v>
      </c>
      <c r="K23" s="289"/>
      <c r="L23" s="272" t="s">
        <v>410</v>
      </c>
      <c r="M23" s="283" t="s">
        <v>30</v>
      </c>
      <c r="N23" s="302" t="s">
        <v>146</v>
      </c>
      <c r="O23" s="145" t="s">
        <v>25</v>
      </c>
      <c r="P23" s="335">
        <v>10</v>
      </c>
      <c r="Q23" s="335"/>
      <c r="R23" s="335"/>
      <c r="S23" s="335"/>
      <c r="T23" s="335"/>
      <c r="U23" s="335"/>
      <c r="V23" s="335">
        <v>1</v>
      </c>
      <c r="W23" s="217">
        <f t="shared" si="8"/>
        <v>11</v>
      </c>
      <c r="X23" s="146">
        <f>SUMIFS('Đơn giá'!C:C,'Đơn giá'!B:B,XUẤT!O23)</f>
        <v>98000</v>
      </c>
      <c r="Y23" s="147">
        <f>P23*X23</f>
        <v>980000</v>
      </c>
      <c r="Z23" s="277"/>
      <c r="AA23" s="269" t="s">
        <v>475</v>
      </c>
      <c r="AB23" s="91">
        <f t="shared" si="10"/>
        <v>10</v>
      </c>
      <c r="AC23" s="92">
        <f t="shared" si="11"/>
        <v>50000</v>
      </c>
      <c r="AD23" s="288"/>
      <c r="AE23" s="288"/>
      <c r="AF23" s="288"/>
    </row>
    <row r="24" spans="1:32" s="148" customFormat="1" ht="64.2" customHeight="1" x14ac:dyDescent="0.45">
      <c r="A24" s="143">
        <v>4</v>
      </c>
      <c r="B24" s="321" t="s">
        <v>518</v>
      </c>
      <c r="C24" s="231" t="s">
        <v>529</v>
      </c>
      <c r="D24" s="184" t="s">
        <v>453</v>
      </c>
      <c r="E24" s="272" t="s">
        <v>49</v>
      </c>
      <c r="F24" s="272"/>
      <c r="G24" s="272">
        <v>11</v>
      </c>
      <c r="H24" s="272"/>
      <c r="I24" s="272"/>
      <c r="J24" s="89" t="s">
        <v>475</v>
      </c>
      <c r="K24" s="272"/>
      <c r="L24" s="272" t="s">
        <v>410</v>
      </c>
      <c r="M24" s="283" t="s">
        <v>30</v>
      </c>
      <c r="N24" s="302" t="s">
        <v>187</v>
      </c>
      <c r="O24" s="145" t="s">
        <v>25</v>
      </c>
      <c r="P24" s="336">
        <v>5</v>
      </c>
      <c r="Q24" s="322"/>
      <c r="R24" s="322"/>
      <c r="S24" s="322"/>
      <c r="T24" s="322"/>
      <c r="U24" s="322"/>
      <c r="V24" s="322"/>
      <c r="W24" s="217">
        <f t="shared" si="8"/>
        <v>5</v>
      </c>
      <c r="X24" s="146">
        <f>SUMIFS('Đơn giá'!C:C,'Đơn giá'!B:B,XUẤT!O24)</f>
        <v>98000</v>
      </c>
      <c r="Y24" s="147">
        <f t="shared" si="9"/>
        <v>490000</v>
      </c>
      <c r="Z24" s="277" t="s">
        <v>527</v>
      </c>
      <c r="AA24" s="269" t="s">
        <v>528</v>
      </c>
      <c r="AB24" s="91">
        <f t="shared" si="10"/>
        <v>5</v>
      </c>
      <c r="AC24" s="92">
        <f t="shared" si="11"/>
        <v>25000</v>
      </c>
      <c r="AD24"/>
      <c r="AE24"/>
      <c r="AF24"/>
    </row>
    <row r="25" spans="1:32" s="148" customFormat="1" ht="64.2" customHeight="1" x14ac:dyDescent="0.45">
      <c r="A25" s="89">
        <v>5</v>
      </c>
      <c r="B25" s="321" t="s">
        <v>518</v>
      </c>
      <c r="C25" s="150" t="s">
        <v>531</v>
      </c>
      <c r="D25" s="184" t="s">
        <v>453</v>
      </c>
      <c r="E25" s="272" t="s">
        <v>433</v>
      </c>
      <c r="F25" s="272"/>
      <c r="G25" s="272">
        <v>3</v>
      </c>
      <c r="H25" s="272"/>
      <c r="I25" s="272"/>
      <c r="J25" s="89" t="s">
        <v>475</v>
      </c>
      <c r="K25" s="266" t="s">
        <v>457</v>
      </c>
      <c r="L25" s="272" t="s">
        <v>410</v>
      </c>
      <c r="M25" s="283" t="s">
        <v>30</v>
      </c>
      <c r="N25" s="302" t="s">
        <v>251</v>
      </c>
      <c r="O25" s="91" t="s">
        <v>38</v>
      </c>
      <c r="P25" s="322"/>
      <c r="Q25" s="322"/>
      <c r="R25" s="322"/>
      <c r="S25" s="322"/>
      <c r="T25" s="322"/>
      <c r="U25" s="322">
        <v>10</v>
      </c>
      <c r="V25" s="322">
        <v>1</v>
      </c>
      <c r="W25" s="217">
        <f t="shared" si="8"/>
        <v>11</v>
      </c>
      <c r="X25" s="146">
        <f>SUMIFS('Đơn giá'!C:C,'Đơn giá'!B:B,XUẤT!O25)</f>
        <v>48000</v>
      </c>
      <c r="Y25" s="147">
        <f>U25*X25</f>
        <v>480000</v>
      </c>
      <c r="Z25" s="277"/>
      <c r="AA25" s="269" t="s">
        <v>475</v>
      </c>
      <c r="AB25" s="91">
        <f t="shared" si="10"/>
        <v>10</v>
      </c>
      <c r="AC25" s="92">
        <f t="shared" si="11"/>
        <v>50000</v>
      </c>
      <c r="AD25" s="145"/>
    </row>
    <row r="26" spans="1:32" s="148" customFormat="1" ht="64.2" customHeight="1" x14ac:dyDescent="0.45">
      <c r="A26" s="143">
        <v>6</v>
      </c>
      <c r="B26" s="321" t="s">
        <v>518</v>
      </c>
      <c r="C26" s="231" t="s">
        <v>532</v>
      </c>
      <c r="D26" s="184" t="s">
        <v>453</v>
      </c>
      <c r="E26" s="272" t="s">
        <v>433</v>
      </c>
      <c r="F26" s="272"/>
      <c r="G26" s="272">
        <v>11</v>
      </c>
      <c r="H26" s="272"/>
      <c r="I26" s="272"/>
      <c r="J26" s="89" t="s">
        <v>475</v>
      </c>
      <c r="K26" s="272"/>
      <c r="L26" s="272" t="s">
        <v>410</v>
      </c>
      <c r="M26" s="283" t="s">
        <v>30</v>
      </c>
      <c r="N26" s="302" t="s">
        <v>251</v>
      </c>
      <c r="O26" s="91" t="s">
        <v>38</v>
      </c>
      <c r="P26" s="322"/>
      <c r="Q26" s="322"/>
      <c r="R26" s="322"/>
      <c r="S26" s="322"/>
      <c r="T26" s="322"/>
      <c r="U26" s="322">
        <v>3</v>
      </c>
      <c r="V26" s="322"/>
      <c r="W26" s="217">
        <f t="shared" si="8"/>
        <v>3</v>
      </c>
      <c r="X26" s="146">
        <f>SUMIFS('Đơn giá'!C:C,'Đơn giá'!B:B,XUẤT!O26)</f>
        <v>48000</v>
      </c>
      <c r="Y26" s="147">
        <f>U26*X26</f>
        <v>144000</v>
      </c>
      <c r="Z26" s="277"/>
      <c r="AA26" s="269" t="s">
        <v>475</v>
      </c>
      <c r="AB26" s="91">
        <f t="shared" si="10"/>
        <v>3</v>
      </c>
      <c r="AC26" s="92">
        <f t="shared" si="11"/>
        <v>15000</v>
      </c>
      <c r="AD26" s="145"/>
    </row>
    <row r="27" spans="1:32" s="288" customFormat="1" ht="56.4" customHeight="1" x14ac:dyDescent="0.45">
      <c r="A27" s="89">
        <v>7</v>
      </c>
      <c r="B27" s="321" t="s">
        <v>518</v>
      </c>
      <c r="C27" s="150" t="s">
        <v>523</v>
      </c>
      <c r="D27" s="257" t="s">
        <v>453</v>
      </c>
      <c r="E27" s="272" t="s">
        <v>192</v>
      </c>
      <c r="F27" s="272"/>
      <c r="G27" s="272">
        <v>11</v>
      </c>
      <c r="H27" s="272"/>
      <c r="I27" s="272"/>
      <c r="J27" s="89" t="s">
        <v>475</v>
      </c>
      <c r="K27" s="289" t="s">
        <v>476</v>
      </c>
      <c r="L27" s="272" t="s">
        <v>410</v>
      </c>
      <c r="M27" s="283" t="s">
        <v>30</v>
      </c>
      <c r="N27" s="270" t="s">
        <v>121</v>
      </c>
      <c r="O27" s="91" t="s">
        <v>38</v>
      </c>
      <c r="P27" s="335"/>
      <c r="Q27" s="335"/>
      <c r="R27" s="335"/>
      <c r="S27" s="335"/>
      <c r="T27" s="335"/>
      <c r="U27" s="337">
        <v>10</v>
      </c>
      <c r="V27" s="335">
        <v>1</v>
      </c>
      <c r="W27" s="217">
        <f t="shared" ref="W27" si="12">SUM(P27:V27)</f>
        <v>11</v>
      </c>
      <c r="X27" s="146">
        <f>SUMIFS('Đơn giá'!C:C,'Đơn giá'!B:B,XUẤT!O27)</f>
        <v>48000</v>
      </c>
      <c r="Y27" s="147">
        <f>U27*X27</f>
        <v>480000</v>
      </c>
      <c r="Z27" s="277"/>
      <c r="AA27" s="10" t="s">
        <v>166</v>
      </c>
      <c r="AB27" s="91">
        <f t="shared" ref="AB27" si="13">W27-V27</f>
        <v>10</v>
      </c>
      <c r="AC27" s="92">
        <f t="shared" ref="AC27" si="14">AB27*5000</f>
        <v>50000</v>
      </c>
      <c r="AD27" s="91"/>
    </row>
    <row r="28" spans="1:32" s="148" customFormat="1" ht="59.4" customHeight="1" x14ac:dyDescent="0.45">
      <c r="A28" s="89">
        <v>8</v>
      </c>
      <c r="B28" s="321" t="s">
        <v>518</v>
      </c>
      <c r="C28" s="227" t="s">
        <v>533</v>
      </c>
      <c r="D28" s="257" t="s">
        <v>453</v>
      </c>
      <c r="E28" s="272" t="s">
        <v>433</v>
      </c>
      <c r="F28" s="272"/>
      <c r="G28" s="272">
        <v>11</v>
      </c>
      <c r="H28" s="272"/>
      <c r="I28" s="272"/>
      <c r="J28" s="89" t="s">
        <v>475</v>
      </c>
      <c r="K28" s="272"/>
      <c r="L28" s="272" t="s">
        <v>410</v>
      </c>
      <c r="M28" s="283" t="s">
        <v>30</v>
      </c>
      <c r="N28" s="302" t="s">
        <v>71</v>
      </c>
      <c r="O28" s="145" t="s">
        <v>28</v>
      </c>
      <c r="P28" s="322"/>
      <c r="Q28" s="322">
        <v>10</v>
      </c>
      <c r="R28" s="322"/>
      <c r="S28" s="322"/>
      <c r="T28" s="322"/>
      <c r="U28" s="322"/>
      <c r="V28" s="322">
        <v>1</v>
      </c>
      <c r="W28" s="217">
        <f t="shared" si="8"/>
        <v>11</v>
      </c>
      <c r="X28" s="146">
        <f>SUMIFS('Đơn giá'!C:C,'Đơn giá'!B:B,XUẤT!O28)</f>
        <v>85000</v>
      </c>
      <c r="Y28" s="147">
        <f>Q28*X28</f>
        <v>850000</v>
      </c>
      <c r="Z28" s="277"/>
      <c r="AA28" s="316" t="s">
        <v>475</v>
      </c>
      <c r="AB28" s="91">
        <f t="shared" si="10"/>
        <v>10</v>
      </c>
      <c r="AC28" s="92">
        <f t="shared" si="11"/>
        <v>50000</v>
      </c>
      <c r="AD28"/>
    </row>
    <row r="29" spans="1:32" s="148" customFormat="1" ht="63.6" customHeight="1" x14ac:dyDescent="0.45">
      <c r="A29" s="89">
        <v>9</v>
      </c>
      <c r="B29" s="321" t="s">
        <v>518</v>
      </c>
      <c r="C29" s="366" t="s">
        <v>544</v>
      </c>
      <c r="D29" s="257" t="s">
        <v>453</v>
      </c>
      <c r="E29" s="257" t="s">
        <v>534</v>
      </c>
      <c r="F29" s="272"/>
      <c r="G29" s="272"/>
      <c r="H29" s="272"/>
      <c r="I29" s="272"/>
      <c r="J29" s="272" t="s">
        <v>34</v>
      </c>
      <c r="K29" s="289" t="s">
        <v>476</v>
      </c>
      <c r="L29" s="272" t="s">
        <v>410</v>
      </c>
      <c r="M29" s="283" t="s">
        <v>30</v>
      </c>
      <c r="N29" s="302" t="s">
        <v>71</v>
      </c>
      <c r="O29" s="145" t="s">
        <v>28</v>
      </c>
      <c r="P29" s="322"/>
      <c r="Q29" s="322">
        <v>2</v>
      </c>
      <c r="R29" s="322"/>
      <c r="S29" s="322"/>
      <c r="T29" s="322"/>
      <c r="U29" s="322"/>
      <c r="V29" s="322"/>
      <c r="W29" s="217">
        <f t="shared" si="8"/>
        <v>2</v>
      </c>
      <c r="X29" s="146">
        <v>85000</v>
      </c>
      <c r="Y29" s="147">
        <f>Q29*X29</f>
        <v>170000</v>
      </c>
      <c r="Z29" s="277"/>
      <c r="AA29" s="316" t="s">
        <v>475</v>
      </c>
      <c r="AB29" s="91">
        <f t="shared" si="10"/>
        <v>2</v>
      </c>
      <c r="AC29" s="92">
        <f t="shared" si="11"/>
        <v>10000</v>
      </c>
      <c r="AD29"/>
    </row>
    <row r="30" spans="1:32" s="148" customFormat="1" ht="63.6" customHeight="1" x14ac:dyDescent="0.45">
      <c r="A30" s="89"/>
      <c r="B30" s="321" t="s">
        <v>518</v>
      </c>
      <c r="C30" s="367"/>
      <c r="D30" s="257"/>
      <c r="E30" s="257"/>
      <c r="F30" s="272"/>
      <c r="G30" s="272"/>
      <c r="H30" s="272"/>
      <c r="I30" s="272"/>
      <c r="J30" s="272"/>
      <c r="K30" s="289"/>
      <c r="L30" s="272" t="s">
        <v>410</v>
      </c>
      <c r="M30" s="283" t="s">
        <v>30</v>
      </c>
      <c r="N30" s="302" t="s">
        <v>71</v>
      </c>
      <c r="O30" s="91" t="s">
        <v>38</v>
      </c>
      <c r="P30" s="322"/>
      <c r="Q30" s="322"/>
      <c r="R30" s="322"/>
      <c r="S30" s="322"/>
      <c r="T30" s="322"/>
      <c r="U30" s="322">
        <v>16</v>
      </c>
      <c r="V30" s="322">
        <v>1</v>
      </c>
      <c r="W30" s="217">
        <f t="shared" si="8"/>
        <v>17</v>
      </c>
      <c r="X30" s="146"/>
      <c r="Y30" s="147"/>
      <c r="Z30" s="277"/>
      <c r="AA30" s="316"/>
      <c r="AB30" s="91"/>
      <c r="AC30" s="92"/>
      <c r="AD30"/>
    </row>
    <row r="31" spans="1:32" s="148" customFormat="1" ht="64.2" customHeight="1" x14ac:dyDescent="0.45">
      <c r="A31" s="143">
        <v>10</v>
      </c>
      <c r="B31" s="321" t="s">
        <v>518</v>
      </c>
      <c r="C31" s="150" t="s">
        <v>535</v>
      </c>
      <c r="D31" s="257" t="s">
        <v>453</v>
      </c>
      <c r="E31" s="272" t="s">
        <v>192</v>
      </c>
      <c r="F31" s="272">
        <v>15</v>
      </c>
      <c r="G31" s="272"/>
      <c r="H31" s="272"/>
      <c r="I31" s="272"/>
      <c r="J31" s="89" t="s">
        <v>475</v>
      </c>
      <c r="K31" s="272"/>
      <c r="L31" s="272" t="s">
        <v>410</v>
      </c>
      <c r="M31" s="285" t="s">
        <v>41</v>
      </c>
      <c r="N31" s="285"/>
      <c r="O31" s="91" t="s">
        <v>36</v>
      </c>
      <c r="P31" s="322"/>
      <c r="Q31" s="322"/>
      <c r="R31" s="322"/>
      <c r="S31" s="322"/>
      <c r="T31" s="322">
        <v>5</v>
      </c>
      <c r="U31" s="322"/>
      <c r="V31" s="322"/>
      <c r="W31" s="217">
        <f t="shared" ref="W31" si="15">SUM(P31:V31)</f>
        <v>5</v>
      </c>
      <c r="X31" s="146">
        <f>SUMIFS('Đơn giá'!C:C,'Đơn giá'!B:B,XUẤT!O31)</f>
        <v>52000</v>
      </c>
      <c r="Y31" s="147">
        <f>T31*X31</f>
        <v>260000</v>
      </c>
      <c r="Z31" s="277" t="s">
        <v>575</v>
      </c>
      <c r="AA31" s="316" t="s">
        <v>475</v>
      </c>
      <c r="AB31" s="91">
        <f t="shared" si="10"/>
        <v>5</v>
      </c>
      <c r="AC31" s="92">
        <f t="shared" si="11"/>
        <v>25000</v>
      </c>
      <c r="AD31"/>
    </row>
    <row r="32" spans="1:32" s="148" customFormat="1" ht="70.2" customHeight="1" x14ac:dyDescent="0.45">
      <c r="A32" s="89">
        <v>11</v>
      </c>
      <c r="B32" s="321" t="s">
        <v>518</v>
      </c>
      <c r="C32" s="150" t="s">
        <v>536</v>
      </c>
      <c r="D32" s="257" t="s">
        <v>453</v>
      </c>
      <c r="E32" s="272" t="s">
        <v>433</v>
      </c>
      <c r="F32" s="272">
        <v>3</v>
      </c>
      <c r="G32" s="272"/>
      <c r="H32" s="272"/>
      <c r="I32" s="272"/>
      <c r="J32" s="89" t="s">
        <v>538</v>
      </c>
      <c r="K32" s="272"/>
      <c r="L32" s="272" t="s">
        <v>410</v>
      </c>
      <c r="M32" s="285" t="s">
        <v>41</v>
      </c>
      <c r="N32" s="285" t="s">
        <v>583</v>
      </c>
      <c r="O32" s="145" t="s">
        <v>28</v>
      </c>
      <c r="P32" s="322"/>
      <c r="Q32" s="322">
        <v>14</v>
      </c>
      <c r="R32" s="322"/>
      <c r="S32" s="322"/>
      <c r="T32" s="322"/>
      <c r="U32" s="322"/>
      <c r="V32" s="322">
        <v>1</v>
      </c>
      <c r="W32" s="217">
        <f t="shared" si="8"/>
        <v>15</v>
      </c>
      <c r="X32" s="146">
        <v>85000</v>
      </c>
      <c r="Y32" s="147">
        <f t="shared" ref="Y32:Y33" si="16">T32+X32</f>
        <v>85000</v>
      </c>
      <c r="Z32" s="277"/>
      <c r="AA32" s="316" t="s">
        <v>475</v>
      </c>
      <c r="AB32" s="91">
        <f t="shared" si="10"/>
        <v>14</v>
      </c>
      <c r="AC32" s="92">
        <f t="shared" si="11"/>
        <v>70000</v>
      </c>
      <c r="AD32"/>
    </row>
    <row r="33" spans="1:30" s="148" customFormat="1" ht="48.6" customHeight="1" x14ac:dyDescent="0.45">
      <c r="A33" s="89">
        <v>12</v>
      </c>
      <c r="B33" s="321" t="s">
        <v>518</v>
      </c>
      <c r="C33" s="150" t="s">
        <v>537</v>
      </c>
      <c r="D33" s="257" t="s">
        <v>453</v>
      </c>
      <c r="E33" s="257" t="s">
        <v>49</v>
      </c>
      <c r="F33" s="273"/>
      <c r="G33" s="273"/>
      <c r="H33" s="272"/>
      <c r="I33" s="272"/>
      <c r="J33" s="272" t="s">
        <v>543</v>
      </c>
      <c r="K33" s="272"/>
      <c r="L33" s="272" t="s">
        <v>410</v>
      </c>
      <c r="M33" s="283" t="s">
        <v>30</v>
      </c>
      <c r="N33" s="302" t="s">
        <v>187</v>
      </c>
      <c r="O33" s="145" t="s">
        <v>25</v>
      </c>
      <c r="P33" s="322">
        <v>3</v>
      </c>
      <c r="Q33" s="322"/>
      <c r="R33" s="322"/>
      <c r="S33" s="322"/>
      <c r="T33" s="322"/>
      <c r="U33" s="322"/>
      <c r="V33" s="322"/>
      <c r="W33" s="217">
        <f t="shared" si="8"/>
        <v>3</v>
      </c>
      <c r="X33" s="146">
        <v>85000</v>
      </c>
      <c r="Y33" s="147">
        <f t="shared" si="16"/>
        <v>85000</v>
      </c>
      <c r="Z33" s="277"/>
      <c r="AA33" s="316" t="s">
        <v>528</v>
      </c>
      <c r="AB33" s="91">
        <f t="shared" si="10"/>
        <v>3</v>
      </c>
      <c r="AC33" s="92">
        <f t="shared" si="11"/>
        <v>15000</v>
      </c>
      <c r="AD33"/>
    </row>
    <row r="34" spans="1:30" s="148" customFormat="1" ht="54" customHeight="1" x14ac:dyDescent="0.45">
      <c r="A34" s="143">
        <v>13</v>
      </c>
      <c r="B34" s="321" t="s">
        <v>518</v>
      </c>
      <c r="C34" s="150" t="s">
        <v>539</v>
      </c>
      <c r="D34" s="257" t="s">
        <v>453</v>
      </c>
      <c r="E34" s="273" t="s">
        <v>433</v>
      </c>
      <c r="F34" s="272">
        <v>6</v>
      </c>
      <c r="G34" s="272"/>
      <c r="H34" s="273"/>
      <c r="I34" s="273"/>
      <c r="J34" s="273" t="s">
        <v>540</v>
      </c>
      <c r="K34" s="273"/>
      <c r="L34" s="272" t="s">
        <v>410</v>
      </c>
      <c r="M34" s="286" t="s">
        <v>41</v>
      </c>
      <c r="N34" s="302" t="s">
        <v>542</v>
      </c>
      <c r="O34" s="145" t="s">
        <v>36</v>
      </c>
      <c r="P34" s="323"/>
      <c r="Q34" s="323"/>
      <c r="R34" s="323"/>
      <c r="S34" s="323"/>
      <c r="T34" s="323">
        <v>1</v>
      </c>
      <c r="U34" s="323"/>
      <c r="V34" s="323"/>
      <c r="W34" s="217">
        <f t="shared" si="8"/>
        <v>1</v>
      </c>
      <c r="X34" s="146">
        <f>SUMIFS('Đơn giá'!C:C,'Đơn giá'!B:B,XUẤT!O34)</f>
        <v>52000</v>
      </c>
      <c r="Y34" s="147">
        <f>T34*X34</f>
        <v>52000</v>
      </c>
      <c r="Z34" s="278" t="s">
        <v>541</v>
      </c>
      <c r="AA34" s="302" t="s">
        <v>108</v>
      </c>
      <c r="AB34" s="145">
        <f t="shared" si="10"/>
        <v>1</v>
      </c>
      <c r="AC34" s="146">
        <f t="shared" si="11"/>
        <v>5000</v>
      </c>
    </row>
    <row r="35" spans="1:30" s="148" customFormat="1" ht="49.8" customHeight="1" x14ac:dyDescent="0.45">
      <c r="A35" s="89">
        <v>28</v>
      </c>
      <c r="B35" s="321" t="s">
        <v>518</v>
      </c>
      <c r="C35" s="227" t="s">
        <v>547</v>
      </c>
      <c r="D35" s="257" t="s">
        <v>453</v>
      </c>
      <c r="E35" s="272" t="s">
        <v>192</v>
      </c>
      <c r="F35" s="272"/>
      <c r="G35" s="272"/>
      <c r="H35" s="272"/>
      <c r="I35" s="272"/>
      <c r="J35" s="272" t="s">
        <v>34</v>
      </c>
      <c r="K35" s="272"/>
      <c r="L35" s="272" t="s">
        <v>410</v>
      </c>
      <c r="M35" s="285" t="s">
        <v>41</v>
      </c>
      <c r="N35" s="285" t="s">
        <v>546</v>
      </c>
      <c r="O35" s="145" t="s">
        <v>28</v>
      </c>
      <c r="P35" s="322"/>
      <c r="Q35" s="322">
        <v>6</v>
      </c>
      <c r="R35" s="322"/>
      <c r="S35" s="322"/>
      <c r="T35" s="322"/>
      <c r="U35" s="322"/>
      <c r="V35" s="322"/>
      <c r="W35" s="217">
        <f t="shared" si="8"/>
        <v>6</v>
      </c>
      <c r="X35" s="146">
        <f>SUMIFS('Đơn giá'!C:C,'Đơn giá'!B:B,XUẤT!O35)</f>
        <v>85000</v>
      </c>
      <c r="Y35" s="147">
        <f>Q35*X35</f>
        <v>510000</v>
      </c>
      <c r="Z35" s="277" t="s">
        <v>527</v>
      </c>
      <c r="AA35" s="316" t="s">
        <v>34</v>
      </c>
      <c r="AB35" s="91">
        <f t="shared" si="10"/>
        <v>6</v>
      </c>
      <c r="AC35" s="92">
        <f t="shared" si="11"/>
        <v>30000</v>
      </c>
      <c r="AD35" s="145"/>
    </row>
    <row r="36" spans="1:30" s="148" customFormat="1" ht="80.400000000000006" customHeight="1" x14ac:dyDescent="0.45">
      <c r="A36" s="143">
        <v>1</v>
      </c>
      <c r="B36" s="304">
        <v>46297</v>
      </c>
      <c r="C36" s="305" t="s">
        <v>550</v>
      </c>
      <c r="D36" s="306" t="s">
        <v>551</v>
      </c>
      <c r="E36" s="352" t="s">
        <v>192</v>
      </c>
      <c r="F36" s="283">
        <v>2</v>
      </c>
      <c r="G36" s="283">
        <v>11</v>
      </c>
      <c r="H36" s="283"/>
      <c r="I36" s="283"/>
      <c r="J36" s="307" t="s">
        <v>552</v>
      </c>
      <c r="K36" s="307"/>
      <c r="L36" s="307" t="s">
        <v>553</v>
      </c>
      <c r="M36" s="283" t="s">
        <v>30</v>
      </c>
      <c r="N36" s="308" t="s">
        <v>183</v>
      </c>
      <c r="O36" s="145" t="s">
        <v>25</v>
      </c>
      <c r="P36" s="322">
        <v>10</v>
      </c>
      <c r="Q36" s="322"/>
      <c r="R36" s="322"/>
      <c r="S36" s="322"/>
      <c r="T36" s="322"/>
      <c r="U36" s="340"/>
      <c r="V36" s="322">
        <v>1</v>
      </c>
      <c r="W36" s="217">
        <f t="shared" si="8"/>
        <v>11</v>
      </c>
      <c r="X36" s="146">
        <f>SUMIFS('Đơn giá'!C:C,'Đơn giá'!B:B,XUẤT!O36)</f>
        <v>98000</v>
      </c>
      <c r="Y36" s="147">
        <f>P36*X36</f>
        <v>980000</v>
      </c>
      <c r="Z36" s="277" t="s">
        <v>570</v>
      </c>
      <c r="AA36" s="316" t="s">
        <v>565</v>
      </c>
      <c r="AB36" s="91">
        <f t="shared" si="10"/>
        <v>10</v>
      </c>
      <c r="AC36" s="92">
        <f t="shared" si="11"/>
        <v>50000</v>
      </c>
      <c r="AD36" s="145"/>
    </row>
    <row r="37" spans="1:30" s="148" customFormat="1" ht="80.400000000000006" customHeight="1" x14ac:dyDescent="0.45">
      <c r="A37" s="143"/>
      <c r="B37" s="304">
        <v>46297</v>
      </c>
      <c r="C37" s="305" t="s">
        <v>550</v>
      </c>
      <c r="D37" s="306" t="s">
        <v>551</v>
      </c>
      <c r="E37" s="352" t="s">
        <v>192</v>
      </c>
      <c r="F37" s="283"/>
      <c r="G37" s="283"/>
      <c r="H37" s="283"/>
      <c r="I37" s="283"/>
      <c r="J37" s="307" t="s">
        <v>552</v>
      </c>
      <c r="K37" s="307" t="s">
        <v>433</v>
      </c>
      <c r="L37" s="307" t="s">
        <v>553</v>
      </c>
      <c r="M37" s="283" t="s">
        <v>30</v>
      </c>
      <c r="N37" s="308" t="s">
        <v>183</v>
      </c>
      <c r="O37" s="145" t="s">
        <v>28</v>
      </c>
      <c r="P37" s="322"/>
      <c r="Q37" s="322">
        <v>2</v>
      </c>
      <c r="R37" s="322"/>
      <c r="S37" s="322"/>
      <c r="T37" s="322"/>
      <c r="U37" s="322"/>
      <c r="V37" s="322"/>
      <c r="W37" s="217">
        <f t="shared" ref="W37" si="17">SUM(P37:V37)</f>
        <v>2</v>
      </c>
      <c r="X37" s="146">
        <f>SUMIFS('Đơn giá'!C:C,'Đơn giá'!B:B,XUẤT!O37)</f>
        <v>85000</v>
      </c>
      <c r="Y37" s="147">
        <f>Q37*X37</f>
        <v>170000</v>
      </c>
      <c r="Z37" s="277" t="s">
        <v>570</v>
      </c>
      <c r="AA37" s="316" t="s">
        <v>565</v>
      </c>
      <c r="AB37" s="91">
        <f t="shared" ref="AB37" si="18">W37-V37</f>
        <v>2</v>
      </c>
      <c r="AC37" s="92">
        <f t="shared" ref="AC37" si="19">AB37*5000</f>
        <v>10000</v>
      </c>
      <c r="AD37" s="145"/>
    </row>
    <row r="38" spans="1:30" s="148" customFormat="1" ht="124.2" customHeight="1" x14ac:dyDescent="0.45">
      <c r="A38" s="89">
        <v>2</v>
      </c>
      <c r="B38" s="304">
        <v>46297</v>
      </c>
      <c r="C38" s="305" t="s">
        <v>584</v>
      </c>
      <c r="D38" s="306" t="s">
        <v>551</v>
      </c>
      <c r="E38" s="352" t="s">
        <v>192</v>
      </c>
      <c r="F38" s="283">
        <v>11</v>
      </c>
      <c r="G38" s="283"/>
      <c r="H38" s="283"/>
      <c r="I38" s="283"/>
      <c r="J38" s="307" t="s">
        <v>552</v>
      </c>
      <c r="K38" s="307"/>
      <c r="L38" s="307" t="s">
        <v>553</v>
      </c>
      <c r="M38" s="306" t="s">
        <v>49</v>
      </c>
      <c r="N38" s="306" t="s">
        <v>49</v>
      </c>
      <c r="O38" s="145" t="s">
        <v>28</v>
      </c>
      <c r="P38" s="322"/>
      <c r="Q38" s="322">
        <v>14</v>
      </c>
      <c r="R38" s="322"/>
      <c r="S38" s="322"/>
      <c r="T38" s="322"/>
      <c r="U38" s="340"/>
      <c r="V38" s="322"/>
      <c r="W38" s="217">
        <f t="shared" si="8"/>
        <v>14</v>
      </c>
      <c r="X38" s="146">
        <f>SUMIFS('Đơn giá'!C:C,'Đơn giá'!B:B,XUẤT!O38)</f>
        <v>85000</v>
      </c>
      <c r="Y38" s="147">
        <f>Q38*X38</f>
        <v>1190000</v>
      </c>
      <c r="Z38" s="277"/>
      <c r="AA38" s="316" t="s">
        <v>565</v>
      </c>
      <c r="AB38" s="91">
        <f t="shared" si="10"/>
        <v>14</v>
      </c>
      <c r="AC38" s="92">
        <f t="shared" si="11"/>
        <v>70000</v>
      </c>
      <c r="AD38" s="145"/>
    </row>
    <row r="39" spans="1:30" s="148" customFormat="1" ht="97.8" customHeight="1" x14ac:dyDescent="0.45">
      <c r="A39" s="143">
        <v>3</v>
      </c>
      <c r="B39" s="304">
        <v>46297</v>
      </c>
      <c r="C39" s="305" t="s">
        <v>566</v>
      </c>
      <c r="D39" s="306" t="s">
        <v>551</v>
      </c>
      <c r="E39" s="352" t="s">
        <v>192</v>
      </c>
      <c r="F39" s="283"/>
      <c r="G39" s="283"/>
      <c r="H39" s="283">
        <v>2</v>
      </c>
      <c r="I39" s="283"/>
      <c r="J39" s="307" t="s">
        <v>552</v>
      </c>
      <c r="K39" s="307"/>
      <c r="L39" s="307" t="s">
        <v>553</v>
      </c>
      <c r="M39" s="306" t="s">
        <v>41</v>
      </c>
      <c r="N39" s="102" t="s">
        <v>605</v>
      </c>
      <c r="O39" s="145" t="s">
        <v>38</v>
      </c>
      <c r="P39" s="322"/>
      <c r="Q39" s="322"/>
      <c r="R39" s="322"/>
      <c r="S39" s="322"/>
      <c r="T39" s="322"/>
      <c r="U39" s="340">
        <v>2</v>
      </c>
      <c r="V39" s="322"/>
      <c r="W39" s="217">
        <f t="shared" ref="W39" si="20">SUM(P39:V39)</f>
        <v>2</v>
      </c>
      <c r="X39" s="146">
        <f>SUMIFS('Đơn giá'!C:C,'Đơn giá'!B:B,XUẤT!O39)</f>
        <v>48000</v>
      </c>
      <c r="Y39" s="147">
        <f>U39*X39</f>
        <v>96000</v>
      </c>
      <c r="Z39" s="277"/>
      <c r="AA39" s="316" t="s">
        <v>565</v>
      </c>
      <c r="AB39" s="91">
        <f t="shared" si="10"/>
        <v>2</v>
      </c>
      <c r="AC39" s="92">
        <f t="shared" si="11"/>
        <v>10000</v>
      </c>
      <c r="AD39" s="145"/>
    </row>
    <row r="40" spans="1:30" s="148" customFormat="1" ht="45" customHeight="1" x14ac:dyDescent="0.45">
      <c r="A40" s="89">
        <v>6</v>
      </c>
      <c r="B40" s="304">
        <v>46297</v>
      </c>
      <c r="C40" s="310" t="s">
        <v>567</v>
      </c>
      <c r="D40" s="306" t="s">
        <v>551</v>
      </c>
      <c r="E40" s="306" t="s">
        <v>49</v>
      </c>
      <c r="F40" s="283"/>
      <c r="G40" s="283">
        <v>2</v>
      </c>
      <c r="H40" s="283"/>
      <c r="I40" s="283"/>
      <c r="J40" s="307" t="s">
        <v>49</v>
      </c>
      <c r="K40" s="307"/>
      <c r="L40" s="307" t="s">
        <v>553</v>
      </c>
      <c r="M40" s="283" t="s">
        <v>30</v>
      </c>
      <c r="N40" s="102" t="s">
        <v>187</v>
      </c>
      <c r="O40" s="145" t="s">
        <v>25</v>
      </c>
      <c r="P40" s="322">
        <v>2</v>
      </c>
      <c r="Q40" s="322"/>
      <c r="R40" s="322"/>
      <c r="S40" s="322"/>
      <c r="T40" s="322"/>
      <c r="U40" s="322"/>
      <c r="V40" s="322">
        <v>1</v>
      </c>
      <c r="W40" s="217">
        <f t="shared" si="8"/>
        <v>3</v>
      </c>
      <c r="X40" s="146">
        <f>SUMIFS('Đơn giá'!C:C,'Đơn giá'!B:B,XUẤT!O40)</f>
        <v>98000</v>
      </c>
      <c r="Y40" s="147">
        <f>V40*X40</f>
        <v>98000</v>
      </c>
      <c r="Z40" s="277"/>
      <c r="AA40" s="316" t="s">
        <v>565</v>
      </c>
      <c r="AB40" s="91">
        <f t="shared" si="10"/>
        <v>2</v>
      </c>
      <c r="AC40" s="92">
        <f t="shared" si="11"/>
        <v>10000</v>
      </c>
      <c r="AD40" s="145"/>
    </row>
    <row r="41" spans="1:30" s="148" customFormat="1" ht="45" customHeight="1" x14ac:dyDescent="0.45">
      <c r="A41" s="143">
        <v>7</v>
      </c>
      <c r="B41" s="304">
        <v>46297</v>
      </c>
      <c r="C41" s="305" t="s">
        <v>555</v>
      </c>
      <c r="D41" s="306" t="s">
        <v>551</v>
      </c>
      <c r="E41" s="352" t="s">
        <v>192</v>
      </c>
      <c r="F41" s="283">
        <v>3</v>
      </c>
      <c r="G41" s="283"/>
      <c r="H41" s="283"/>
      <c r="I41" s="283"/>
      <c r="J41" s="307" t="s">
        <v>552</v>
      </c>
      <c r="K41" s="307"/>
      <c r="L41" s="307" t="s">
        <v>553</v>
      </c>
      <c r="M41" s="313" t="s">
        <v>556</v>
      </c>
      <c r="N41" s="102"/>
      <c r="O41" s="145" t="s">
        <v>28</v>
      </c>
      <c r="P41" s="322"/>
      <c r="Q41" s="322">
        <v>3</v>
      </c>
      <c r="R41" s="322"/>
      <c r="S41" s="322"/>
      <c r="T41" s="322"/>
      <c r="U41" s="340"/>
      <c r="V41" s="322"/>
      <c r="W41" s="217">
        <f t="shared" si="8"/>
        <v>3</v>
      </c>
      <c r="X41" s="146">
        <f>SUMIFS('Đơn giá'!C:C,'Đơn giá'!B:B,XUẤT!O41)</f>
        <v>85000</v>
      </c>
      <c r="Y41" s="147">
        <f>Q41*X41</f>
        <v>255000</v>
      </c>
      <c r="Z41" s="277"/>
      <c r="AA41" s="316" t="s">
        <v>565</v>
      </c>
      <c r="AB41" s="91">
        <f t="shared" ref="AB41" si="21">W41-V41</f>
        <v>3</v>
      </c>
      <c r="AC41" s="92">
        <f t="shared" ref="AC41" si="22">AB41*5000</f>
        <v>15000</v>
      </c>
      <c r="AD41" s="145"/>
    </row>
    <row r="42" spans="1:30" s="148" customFormat="1" ht="40.799999999999997" customHeight="1" x14ac:dyDescent="0.45">
      <c r="A42" s="143">
        <v>9</v>
      </c>
      <c r="B42" s="304">
        <v>46297</v>
      </c>
      <c r="C42" s="311" t="s">
        <v>557</v>
      </c>
      <c r="D42" s="306" t="s">
        <v>551</v>
      </c>
      <c r="E42" s="352" t="s">
        <v>192</v>
      </c>
      <c r="F42" s="283"/>
      <c r="G42" s="283">
        <v>11</v>
      </c>
      <c r="H42" s="283"/>
      <c r="I42" s="283"/>
      <c r="J42" s="307" t="s">
        <v>552</v>
      </c>
      <c r="K42" s="269"/>
      <c r="L42" s="269"/>
      <c r="M42" s="283" t="s">
        <v>30</v>
      </c>
      <c r="N42" s="102" t="s">
        <v>34</v>
      </c>
      <c r="O42" s="145" t="s">
        <v>25</v>
      </c>
      <c r="P42" s="322">
        <v>10</v>
      </c>
      <c r="Q42" s="322"/>
      <c r="R42" s="322"/>
      <c r="S42" s="322"/>
      <c r="T42" s="322"/>
      <c r="U42" s="340"/>
      <c r="V42" s="322">
        <v>1</v>
      </c>
      <c r="W42" s="217">
        <f t="shared" si="8"/>
        <v>11</v>
      </c>
      <c r="X42" s="146">
        <f>SUMIFS('Đơn giá'!C:C,'Đơn giá'!B:B,XUẤT!O42)</f>
        <v>98000</v>
      </c>
      <c r="Y42" s="147">
        <f>P42*X42</f>
        <v>980000</v>
      </c>
      <c r="Z42" s="277"/>
      <c r="AA42" s="316" t="s">
        <v>565</v>
      </c>
      <c r="AB42" s="91">
        <f t="shared" ref="AB42" si="23">W42-V42</f>
        <v>10</v>
      </c>
      <c r="AC42" s="92">
        <f t="shared" ref="AC42" si="24">AB42*5000</f>
        <v>50000</v>
      </c>
      <c r="AD42" s="145"/>
    </row>
    <row r="43" spans="1:30" s="148" customFormat="1" ht="40.799999999999997" customHeight="1" x14ac:dyDescent="0.45">
      <c r="A43" s="89">
        <v>10</v>
      </c>
      <c r="B43" s="304">
        <v>46297</v>
      </c>
      <c r="C43" s="311" t="s">
        <v>558</v>
      </c>
      <c r="D43" s="306" t="s">
        <v>551</v>
      </c>
      <c r="E43" s="352" t="s">
        <v>192</v>
      </c>
      <c r="F43" s="283"/>
      <c r="G43" s="283">
        <v>11</v>
      </c>
      <c r="H43" s="283"/>
      <c r="I43" s="283"/>
      <c r="J43" s="307" t="s">
        <v>552</v>
      </c>
      <c r="K43" s="269"/>
      <c r="L43" s="269"/>
      <c r="M43" s="283" t="s">
        <v>30</v>
      </c>
      <c r="N43" s="102" t="s">
        <v>34</v>
      </c>
      <c r="O43" s="145" t="s">
        <v>25</v>
      </c>
      <c r="P43" s="322">
        <v>10</v>
      </c>
      <c r="Q43" s="322"/>
      <c r="R43" s="322"/>
      <c r="S43" s="322"/>
      <c r="T43" s="322"/>
      <c r="U43" s="340"/>
      <c r="V43" s="322">
        <v>1</v>
      </c>
      <c r="W43" s="217">
        <f t="shared" ref="W43:W112" si="25">SUM(P43:V43)</f>
        <v>11</v>
      </c>
      <c r="X43" s="146">
        <f>SUMIFS('Đơn giá'!C:C,'Đơn giá'!B:B,XUẤT!O43)</f>
        <v>98000</v>
      </c>
      <c r="Y43" s="147">
        <f>X43*P43</f>
        <v>980000</v>
      </c>
      <c r="Z43" s="277"/>
      <c r="AA43" s="316" t="s">
        <v>565</v>
      </c>
      <c r="AB43" s="91">
        <f t="shared" si="10"/>
        <v>10</v>
      </c>
      <c r="AC43" s="92">
        <f t="shared" si="11"/>
        <v>50000</v>
      </c>
      <c r="AD43" s="145"/>
    </row>
    <row r="44" spans="1:30" s="148" customFormat="1" ht="61.8" customHeight="1" x14ac:dyDescent="0.45">
      <c r="A44" s="143">
        <v>11</v>
      </c>
      <c r="B44" s="304">
        <v>46297</v>
      </c>
      <c r="C44" s="311" t="s">
        <v>559</v>
      </c>
      <c r="D44" s="306" t="s">
        <v>548</v>
      </c>
      <c r="E44" s="306" t="s">
        <v>534</v>
      </c>
      <c r="F44" s="283"/>
      <c r="G44" s="283"/>
      <c r="H44" s="283">
        <v>44</v>
      </c>
      <c r="I44" s="283"/>
      <c r="J44" s="307" t="s">
        <v>554</v>
      </c>
      <c r="K44" s="309" t="s">
        <v>428</v>
      </c>
      <c r="L44" s="269"/>
      <c r="M44" s="306" t="s">
        <v>49</v>
      </c>
      <c r="N44" s="102"/>
      <c r="O44" s="145" t="s">
        <v>36</v>
      </c>
      <c r="P44" s="322"/>
      <c r="Q44" s="322"/>
      <c r="R44" s="322"/>
      <c r="S44" s="322"/>
      <c r="T44" s="322"/>
      <c r="U44" s="322"/>
      <c r="V44" s="322"/>
      <c r="W44" s="217">
        <f t="shared" si="25"/>
        <v>0</v>
      </c>
      <c r="X44" s="146">
        <f>SUMIFS('Đơn giá'!C:C,'Đơn giá'!B:B,XUẤT!O44)</f>
        <v>52000</v>
      </c>
      <c r="Y44" s="147">
        <f t="shared" si="9"/>
        <v>0</v>
      </c>
      <c r="Z44" s="277"/>
      <c r="AA44" s="316"/>
      <c r="AB44" s="91">
        <f t="shared" si="10"/>
        <v>0</v>
      </c>
      <c r="AC44" s="92">
        <f t="shared" si="11"/>
        <v>0</v>
      </c>
      <c r="AD44" s="145"/>
    </row>
    <row r="45" spans="1:30" s="148" customFormat="1" ht="83.4" x14ac:dyDescent="0.45">
      <c r="A45" s="143">
        <v>12</v>
      </c>
      <c r="B45" s="304">
        <v>46297</v>
      </c>
      <c r="C45" s="305" t="s">
        <v>560</v>
      </c>
      <c r="D45" s="306" t="s">
        <v>551</v>
      </c>
      <c r="E45" s="352" t="s">
        <v>192</v>
      </c>
      <c r="F45" s="283">
        <v>6</v>
      </c>
      <c r="G45" s="283"/>
      <c r="H45" s="283"/>
      <c r="I45" s="283"/>
      <c r="J45" s="307" t="s">
        <v>552</v>
      </c>
      <c r="K45" s="269"/>
      <c r="L45" s="269"/>
      <c r="M45" s="306" t="s">
        <v>49</v>
      </c>
      <c r="N45" s="102"/>
      <c r="O45" s="145" t="s">
        <v>28</v>
      </c>
      <c r="P45" s="322"/>
      <c r="Q45" s="322">
        <v>6</v>
      </c>
      <c r="R45" s="322"/>
      <c r="S45" s="322"/>
      <c r="T45" s="322"/>
      <c r="U45" s="340"/>
      <c r="V45" s="322"/>
      <c r="W45" s="217">
        <f t="shared" si="25"/>
        <v>6</v>
      </c>
      <c r="X45" s="146">
        <f>SUMIFS('Đơn giá'!C:C,'Đơn giá'!B:B,XUẤT!O45)</f>
        <v>85000</v>
      </c>
      <c r="Y45" s="147">
        <f>Q45*X45</f>
        <v>510000</v>
      </c>
      <c r="Z45" s="277"/>
      <c r="AA45" s="316" t="s">
        <v>565</v>
      </c>
      <c r="AB45" s="91">
        <f t="shared" si="10"/>
        <v>6</v>
      </c>
      <c r="AC45" s="92">
        <f t="shared" si="11"/>
        <v>30000</v>
      </c>
      <c r="AD45" s="145"/>
    </row>
    <row r="46" spans="1:30" s="148" customFormat="1" ht="85.2" customHeight="1" x14ac:dyDescent="0.45">
      <c r="A46" s="143">
        <v>13</v>
      </c>
      <c r="B46" s="304">
        <v>46297</v>
      </c>
      <c r="C46" s="305" t="s">
        <v>561</v>
      </c>
      <c r="D46" s="306" t="s">
        <v>551</v>
      </c>
      <c r="E46" s="352" t="s">
        <v>192</v>
      </c>
      <c r="F46" s="283">
        <v>12</v>
      </c>
      <c r="G46" s="283"/>
      <c r="H46" s="283"/>
      <c r="I46" s="283"/>
      <c r="J46" s="307" t="s">
        <v>552</v>
      </c>
      <c r="K46" s="269"/>
      <c r="L46" s="307" t="s">
        <v>553</v>
      </c>
      <c r="M46" s="306" t="s">
        <v>41</v>
      </c>
      <c r="N46" s="102" t="s">
        <v>568</v>
      </c>
      <c r="O46" s="145" t="s">
        <v>28</v>
      </c>
      <c r="P46" s="322"/>
      <c r="Q46" s="322">
        <v>10</v>
      </c>
      <c r="R46" s="322"/>
      <c r="S46" s="322"/>
      <c r="T46" s="322"/>
      <c r="U46" s="340"/>
      <c r="V46" s="322">
        <v>1</v>
      </c>
      <c r="W46" s="217">
        <f t="shared" si="25"/>
        <v>11</v>
      </c>
      <c r="X46" s="146">
        <f>SUMIFS('Đơn giá'!C:C,'Đơn giá'!B:B,XUẤT!O46)</f>
        <v>85000</v>
      </c>
      <c r="Y46" s="147">
        <f>Q46*X46</f>
        <v>850000</v>
      </c>
      <c r="Z46" s="277"/>
      <c r="AA46" s="316" t="s">
        <v>565</v>
      </c>
      <c r="AB46" s="91">
        <f t="shared" ref="AB46:AB47" si="26">W46-V46</f>
        <v>10</v>
      </c>
      <c r="AC46" s="92">
        <f t="shared" ref="AC46:AC47" si="27">AB46*5000</f>
        <v>50000</v>
      </c>
      <c r="AD46" s="145"/>
    </row>
    <row r="47" spans="1:30" s="148" customFormat="1" ht="63" customHeight="1" x14ac:dyDescent="0.45">
      <c r="A47" s="143">
        <v>14</v>
      </c>
      <c r="B47" s="304">
        <v>46297</v>
      </c>
      <c r="C47" s="305" t="s">
        <v>562</v>
      </c>
      <c r="D47" s="306" t="s">
        <v>551</v>
      </c>
      <c r="E47" s="306" t="s">
        <v>192</v>
      </c>
      <c r="F47" s="283"/>
      <c r="G47" s="283">
        <v>11</v>
      </c>
      <c r="H47" s="283"/>
      <c r="I47" s="283"/>
      <c r="J47" s="307" t="s">
        <v>552</v>
      </c>
      <c r="K47" s="269"/>
      <c r="L47" s="269"/>
      <c r="M47" s="306" t="s">
        <v>41</v>
      </c>
      <c r="N47" s="102"/>
      <c r="O47" s="145" t="s">
        <v>25</v>
      </c>
      <c r="P47" s="322">
        <v>10</v>
      </c>
      <c r="Q47" s="322"/>
      <c r="R47" s="322"/>
      <c r="S47" s="322"/>
      <c r="T47" s="322"/>
      <c r="U47" s="340"/>
      <c r="V47" s="322">
        <v>1</v>
      </c>
      <c r="W47" s="217">
        <f t="shared" si="25"/>
        <v>11</v>
      </c>
      <c r="X47" s="146">
        <f>SUMIFS('Đơn giá'!C:C,'Đơn giá'!B:B,XUẤT!O47)</f>
        <v>98000</v>
      </c>
      <c r="Y47" s="147">
        <f>P47*X47</f>
        <v>980000</v>
      </c>
      <c r="Z47" s="277" t="s">
        <v>570</v>
      </c>
      <c r="AA47" s="316" t="s">
        <v>565</v>
      </c>
      <c r="AB47" s="91">
        <f t="shared" si="26"/>
        <v>10</v>
      </c>
      <c r="AC47" s="92">
        <f t="shared" si="27"/>
        <v>50000</v>
      </c>
      <c r="AD47" s="145"/>
    </row>
    <row r="48" spans="1:30" s="148" customFormat="1" ht="54.6" customHeight="1" x14ac:dyDescent="0.45">
      <c r="A48" s="143">
        <v>15</v>
      </c>
      <c r="B48" s="304">
        <v>46297</v>
      </c>
      <c r="C48" s="312" t="s">
        <v>563</v>
      </c>
      <c r="D48" s="306" t="s">
        <v>551</v>
      </c>
      <c r="E48" s="306" t="s">
        <v>192</v>
      </c>
      <c r="F48" s="283"/>
      <c r="G48" s="283">
        <v>10</v>
      </c>
      <c r="H48" s="283"/>
      <c r="I48" s="283"/>
      <c r="J48" s="307" t="s">
        <v>552</v>
      </c>
      <c r="K48" s="269"/>
      <c r="L48" s="269"/>
      <c r="M48" s="283" t="s">
        <v>30</v>
      </c>
      <c r="N48" s="102" t="s">
        <v>187</v>
      </c>
      <c r="O48" s="145" t="s">
        <v>25</v>
      </c>
      <c r="P48" s="323">
        <v>10</v>
      </c>
      <c r="Q48" s="323"/>
      <c r="R48" s="323"/>
      <c r="S48" s="323"/>
      <c r="T48" s="323"/>
      <c r="U48" s="341"/>
      <c r="V48" s="323">
        <v>1</v>
      </c>
      <c r="W48" s="217">
        <f t="shared" si="25"/>
        <v>11</v>
      </c>
      <c r="X48" s="146">
        <f>SUMIFS('Đơn giá'!C:C,'Đơn giá'!B:B,XUẤT!O48)</f>
        <v>98000</v>
      </c>
      <c r="Y48" s="147">
        <f t="shared" ref="Y48:Y111" si="28">X48*P48</f>
        <v>980000</v>
      </c>
      <c r="Z48" s="278"/>
      <c r="AA48" s="316" t="s">
        <v>565</v>
      </c>
      <c r="AB48" s="145">
        <f t="shared" si="10"/>
        <v>10</v>
      </c>
      <c r="AC48" s="146">
        <f t="shared" si="11"/>
        <v>50000</v>
      </c>
      <c r="AD48" s="145"/>
    </row>
    <row r="49" spans="1:31" s="148" customFormat="1" ht="54.6" customHeight="1" x14ac:dyDescent="0.45">
      <c r="A49" s="143">
        <v>16</v>
      </c>
      <c r="B49" s="304">
        <v>46297</v>
      </c>
      <c r="C49" s="312" t="s">
        <v>594</v>
      </c>
      <c r="D49" s="306" t="s">
        <v>551</v>
      </c>
      <c r="E49" s="343" t="s">
        <v>433</v>
      </c>
      <c r="F49" s="284">
        <v>2</v>
      </c>
      <c r="G49" s="284"/>
      <c r="H49" s="284"/>
      <c r="I49" s="284"/>
      <c r="J49" s="320" t="s">
        <v>577</v>
      </c>
      <c r="K49" s="276"/>
      <c r="L49" s="269"/>
      <c r="M49" s="283" t="s">
        <v>49</v>
      </c>
      <c r="N49" s="102" t="s">
        <v>582</v>
      </c>
      <c r="O49" s="145" t="s">
        <v>28</v>
      </c>
      <c r="P49" s="323"/>
      <c r="Q49" s="323">
        <v>2</v>
      </c>
      <c r="R49" s="323"/>
      <c r="S49" s="323"/>
      <c r="T49" s="323"/>
      <c r="U49" s="341"/>
      <c r="V49" s="323"/>
      <c r="W49" s="217">
        <f t="shared" si="25"/>
        <v>2</v>
      </c>
      <c r="X49" s="146">
        <f>SUMIFS('Đơn giá'!C:C,'Đơn giá'!B:B,XUẤT!O49)</f>
        <v>85000</v>
      </c>
      <c r="Y49" s="147">
        <f>Q49*X49</f>
        <v>170000</v>
      </c>
      <c r="Z49" s="278"/>
      <c r="AA49" s="10" t="s">
        <v>45</v>
      </c>
      <c r="AB49" s="145">
        <f t="shared" ref="AB49" si="29">W49-V49</f>
        <v>2</v>
      </c>
      <c r="AC49" s="146">
        <f t="shared" ref="AC49" si="30">AB49*5000</f>
        <v>10000</v>
      </c>
      <c r="AD49" s="145"/>
    </row>
    <row r="50" spans="1:31" s="148" customFormat="1" ht="87" customHeight="1" x14ac:dyDescent="0.45">
      <c r="A50" s="143">
        <v>17</v>
      </c>
      <c r="B50" s="304">
        <v>46297</v>
      </c>
      <c r="C50" s="348" t="s">
        <v>576</v>
      </c>
      <c r="D50" s="306" t="s">
        <v>551</v>
      </c>
      <c r="E50" s="306" t="s">
        <v>433</v>
      </c>
      <c r="F50" s="283"/>
      <c r="G50" s="283"/>
      <c r="H50" s="283"/>
      <c r="I50" s="283"/>
      <c r="J50" s="307" t="s">
        <v>577</v>
      </c>
      <c r="K50" s="269"/>
      <c r="L50" s="269"/>
      <c r="M50" s="306" t="s">
        <v>30</v>
      </c>
      <c r="N50" s="10" t="s">
        <v>45</v>
      </c>
      <c r="O50" s="145" t="s">
        <v>36</v>
      </c>
      <c r="P50" s="323"/>
      <c r="Q50" s="323"/>
      <c r="R50" s="323"/>
      <c r="S50" s="323"/>
      <c r="T50" s="323">
        <v>1</v>
      </c>
      <c r="U50" s="323"/>
      <c r="V50" s="323"/>
      <c r="W50" s="217">
        <f t="shared" ref="W50" si="31">SUM(P50:V50)</f>
        <v>1</v>
      </c>
      <c r="X50" s="146">
        <f>SUMIFS('Đơn giá'!C:C,'Đơn giá'!B:B,XUẤT!O50)</f>
        <v>52000</v>
      </c>
      <c r="Y50" s="147">
        <f>T50*X50</f>
        <v>52000</v>
      </c>
      <c r="Z50" s="278" t="s">
        <v>578</v>
      </c>
      <c r="AA50" s="10" t="s">
        <v>45</v>
      </c>
      <c r="AB50" s="145">
        <f t="shared" ref="AB50" si="32">W50-V50</f>
        <v>1</v>
      </c>
      <c r="AC50" s="146">
        <f t="shared" ref="AC50" si="33">AB50*5000</f>
        <v>5000</v>
      </c>
      <c r="AD50" s="145"/>
    </row>
    <row r="51" spans="1:31" s="148" customFormat="1" ht="87" customHeight="1" x14ac:dyDescent="0.45">
      <c r="A51" s="143">
        <v>18</v>
      </c>
      <c r="B51" s="304">
        <v>46297</v>
      </c>
      <c r="C51" s="348" t="s">
        <v>586</v>
      </c>
      <c r="D51" s="306" t="s">
        <v>453</v>
      </c>
      <c r="E51" s="306" t="s">
        <v>58</v>
      </c>
      <c r="F51" s="283"/>
      <c r="G51" s="283">
        <v>3</v>
      </c>
      <c r="H51" s="283"/>
      <c r="I51" s="283"/>
      <c r="J51" s="307" t="s">
        <v>587</v>
      </c>
      <c r="K51" s="269"/>
      <c r="L51" s="269" t="s">
        <v>410</v>
      </c>
      <c r="M51" s="306" t="s">
        <v>30</v>
      </c>
      <c r="N51" s="189" t="s">
        <v>71</v>
      </c>
      <c r="O51" s="145" t="s">
        <v>25</v>
      </c>
      <c r="P51" s="323">
        <v>3</v>
      </c>
      <c r="Q51" s="323"/>
      <c r="R51" s="323"/>
      <c r="S51" s="323"/>
      <c r="T51" s="323"/>
      <c r="U51" s="323"/>
      <c r="V51" s="323"/>
      <c r="W51" s="217">
        <f t="shared" ref="W51:W53" si="34">SUM(P51:V51)</f>
        <v>3</v>
      </c>
      <c r="X51" s="146">
        <f>SUMIFS('Đơn giá'!C:C,'Đơn giá'!B:B,XUẤT!O51)</f>
        <v>98000</v>
      </c>
      <c r="Y51" s="147">
        <f>P51*X51</f>
        <v>294000</v>
      </c>
      <c r="Z51" s="278"/>
      <c r="AA51" s="189" t="s">
        <v>71</v>
      </c>
      <c r="AB51" s="145">
        <f t="shared" ref="AB51:AB54" si="35">W51-V51</f>
        <v>3</v>
      </c>
      <c r="AC51" s="146">
        <f t="shared" ref="AC51:AC54" si="36">AB51*5000</f>
        <v>15000</v>
      </c>
      <c r="AD51" s="145"/>
    </row>
    <row r="52" spans="1:31" s="148" customFormat="1" ht="87" customHeight="1" x14ac:dyDescent="0.45">
      <c r="A52" s="143">
        <v>19</v>
      </c>
      <c r="B52" s="304">
        <v>46297</v>
      </c>
      <c r="C52" s="348" t="s">
        <v>593</v>
      </c>
      <c r="D52" s="306" t="s">
        <v>453</v>
      </c>
      <c r="E52" s="306" t="s">
        <v>192</v>
      </c>
      <c r="F52" s="283">
        <v>11</v>
      </c>
      <c r="G52" s="283"/>
      <c r="H52" s="283"/>
      <c r="I52" s="283"/>
      <c r="J52" s="320" t="s">
        <v>552</v>
      </c>
      <c r="K52" s="269"/>
      <c r="L52" s="269" t="s">
        <v>410</v>
      </c>
      <c r="M52" s="306" t="s">
        <v>30</v>
      </c>
      <c r="N52" s="10" t="s">
        <v>212</v>
      </c>
      <c r="O52" s="145" t="s">
        <v>28</v>
      </c>
      <c r="P52" s="323"/>
      <c r="Q52" s="323">
        <v>10</v>
      </c>
      <c r="R52" s="323"/>
      <c r="S52" s="323"/>
      <c r="T52" s="323"/>
      <c r="U52" s="323"/>
      <c r="V52" s="323">
        <v>1</v>
      </c>
      <c r="W52" s="217">
        <f t="shared" si="34"/>
        <v>11</v>
      </c>
      <c r="X52" s="146">
        <f>SUMIFS('Đơn giá'!C:C,'Đơn giá'!B:B,XUẤT!O52)</f>
        <v>85000</v>
      </c>
      <c r="Y52" s="147">
        <f>Q52*X52</f>
        <v>850000</v>
      </c>
      <c r="Z52" s="278"/>
      <c r="AA52" s="316" t="s">
        <v>565</v>
      </c>
      <c r="AB52" s="145">
        <f t="shared" ref="AB52" si="37">W52-V52</f>
        <v>10</v>
      </c>
      <c r="AC52" s="146">
        <f t="shared" ref="AC52" si="38">AB52*5000</f>
        <v>50000</v>
      </c>
      <c r="AD52" s="145"/>
    </row>
    <row r="53" spans="1:31" s="148" customFormat="1" ht="87" customHeight="1" x14ac:dyDescent="0.45">
      <c r="A53" s="143">
        <v>19</v>
      </c>
      <c r="B53" s="304">
        <v>46297</v>
      </c>
      <c r="C53" s="348" t="s">
        <v>591</v>
      </c>
      <c r="D53" s="306" t="s">
        <v>453</v>
      </c>
      <c r="E53" s="306" t="s">
        <v>192</v>
      </c>
      <c r="F53" s="283"/>
      <c r="G53" s="283">
        <v>11</v>
      </c>
      <c r="H53" s="283"/>
      <c r="I53" s="283"/>
      <c r="J53" s="307" t="s">
        <v>592</v>
      </c>
      <c r="K53" s="269"/>
      <c r="L53" s="269" t="s">
        <v>410</v>
      </c>
      <c r="M53" s="306" t="s">
        <v>30</v>
      </c>
      <c r="N53" s="10" t="s">
        <v>146</v>
      </c>
      <c r="O53" s="145" t="s">
        <v>25</v>
      </c>
      <c r="P53" s="323">
        <v>10</v>
      </c>
      <c r="Q53" s="323"/>
      <c r="R53" s="323"/>
      <c r="S53" s="323"/>
      <c r="T53" s="323"/>
      <c r="U53" s="323"/>
      <c r="V53" s="323">
        <v>1</v>
      </c>
      <c r="W53" s="217">
        <f t="shared" si="34"/>
        <v>11</v>
      </c>
      <c r="X53" s="146">
        <f>SUMIFS('Đơn giá'!C:C,'Đơn giá'!B:B,XUẤT!O53)</f>
        <v>98000</v>
      </c>
      <c r="Y53" s="147">
        <f t="shared" ref="Y53" si="39">P53*X53</f>
        <v>980000</v>
      </c>
      <c r="Z53" s="278"/>
      <c r="AA53" s="316" t="s">
        <v>565</v>
      </c>
      <c r="AB53" s="145">
        <f t="shared" si="35"/>
        <v>10</v>
      </c>
      <c r="AC53" s="146">
        <f t="shared" si="36"/>
        <v>50000</v>
      </c>
      <c r="AD53" s="145"/>
    </row>
    <row r="54" spans="1:31" s="148" customFormat="1" ht="88.8" customHeight="1" x14ac:dyDescent="0.45">
      <c r="A54" s="143">
        <v>1</v>
      </c>
      <c r="B54" s="325" t="s">
        <v>571</v>
      </c>
      <c r="C54" s="347" t="s">
        <v>585</v>
      </c>
      <c r="D54" s="306" t="s">
        <v>551</v>
      </c>
      <c r="E54" s="286" t="s">
        <v>534</v>
      </c>
      <c r="F54" s="273"/>
      <c r="G54" s="273" t="s">
        <v>572</v>
      </c>
      <c r="H54" s="273"/>
      <c r="I54" s="273"/>
      <c r="J54" s="273" t="s">
        <v>573</v>
      </c>
      <c r="K54" s="273"/>
      <c r="L54" s="273"/>
      <c r="M54" s="286" t="s">
        <v>574</v>
      </c>
      <c r="N54" s="286" t="s">
        <v>574</v>
      </c>
      <c r="O54" s="145" t="s">
        <v>36</v>
      </c>
      <c r="P54" s="323"/>
      <c r="Q54" s="323"/>
      <c r="R54" s="323"/>
      <c r="S54" s="323"/>
      <c r="T54" s="323"/>
      <c r="U54" s="323"/>
      <c r="V54" s="323"/>
      <c r="W54" s="217">
        <f t="shared" si="25"/>
        <v>0</v>
      </c>
      <c r="X54" s="146">
        <f>SUMIFS('Đơn giá'!C:C,'Đơn giá'!B:B,XUẤT!O54)</f>
        <v>52000</v>
      </c>
      <c r="Y54" s="147">
        <f t="shared" si="28"/>
        <v>0</v>
      </c>
      <c r="Z54" s="278"/>
      <c r="AA54" s="317"/>
      <c r="AB54" s="145">
        <f t="shared" si="35"/>
        <v>0</v>
      </c>
      <c r="AC54" s="146">
        <f t="shared" si="36"/>
        <v>0</v>
      </c>
      <c r="AD54" s="145"/>
    </row>
    <row r="55" spans="1:31" s="148" customFormat="1" ht="64.8" customHeight="1" x14ac:dyDescent="0.45">
      <c r="A55" s="143">
        <v>2</v>
      </c>
      <c r="B55" s="344" t="s">
        <v>571</v>
      </c>
      <c r="C55" s="347" t="s">
        <v>581</v>
      </c>
      <c r="D55" s="345" t="s">
        <v>551</v>
      </c>
      <c r="E55" s="346" t="s">
        <v>433</v>
      </c>
      <c r="F55" s="346"/>
      <c r="G55" s="346">
        <v>2</v>
      </c>
      <c r="H55" s="346"/>
      <c r="I55" s="346"/>
      <c r="J55" s="346" t="s">
        <v>577</v>
      </c>
      <c r="K55" s="346"/>
      <c r="L55" s="272"/>
      <c r="M55" s="285" t="s">
        <v>49</v>
      </c>
      <c r="N55" s="285" t="s">
        <v>582</v>
      </c>
      <c r="O55" s="145" t="s">
        <v>25</v>
      </c>
      <c r="P55" s="322">
        <v>2</v>
      </c>
      <c r="Q55" s="322"/>
      <c r="R55" s="322"/>
      <c r="S55" s="322"/>
      <c r="T55" s="322"/>
      <c r="U55" s="322"/>
      <c r="V55" s="322"/>
      <c r="W55" s="217">
        <f t="shared" ref="W55:W61" si="40">SUM(P55:V55)</f>
        <v>2</v>
      </c>
      <c r="X55" s="146">
        <f>SUMIFS('Đơn giá'!C:C,'Đơn giá'!B:B,XUẤT!O55)</f>
        <v>98000</v>
      </c>
      <c r="Y55" s="147">
        <f t="shared" si="28"/>
        <v>196000</v>
      </c>
      <c r="Z55" s="277"/>
      <c r="AA55" s="316"/>
      <c r="AB55" s="91">
        <f t="shared" si="10"/>
        <v>2</v>
      </c>
      <c r="AC55" s="92">
        <f t="shared" si="11"/>
        <v>10000</v>
      </c>
      <c r="AD55" s="145"/>
    </row>
    <row r="56" spans="1:31" s="148" customFormat="1" ht="88.2" customHeight="1" x14ac:dyDescent="0.45">
      <c r="A56" s="143">
        <v>3</v>
      </c>
      <c r="B56" s="344" t="s">
        <v>571</v>
      </c>
      <c r="C56" s="347" t="s">
        <v>588</v>
      </c>
      <c r="D56" s="345" t="s">
        <v>551</v>
      </c>
      <c r="E56" s="346" t="s">
        <v>433</v>
      </c>
      <c r="F56" s="272">
        <v>2</v>
      </c>
      <c r="G56" s="272"/>
      <c r="H56" s="272"/>
      <c r="I56" s="272"/>
      <c r="J56" s="346" t="s">
        <v>577</v>
      </c>
      <c r="K56" s="272"/>
      <c r="L56" s="272"/>
      <c r="M56" s="283" t="s">
        <v>41</v>
      </c>
      <c r="N56" s="285" t="s">
        <v>546</v>
      </c>
      <c r="O56" s="145" t="s">
        <v>28</v>
      </c>
      <c r="P56" s="322"/>
      <c r="Q56" s="322">
        <v>2</v>
      </c>
      <c r="R56" s="322"/>
      <c r="S56" s="322"/>
      <c r="T56" s="322"/>
      <c r="U56" s="322"/>
      <c r="V56" s="322"/>
      <c r="W56" s="217">
        <f t="shared" si="40"/>
        <v>2</v>
      </c>
      <c r="X56" s="146">
        <f>SUMIFS('Đơn giá'!C:C,'Đơn giá'!B:B,XUẤT!O56)</f>
        <v>85000</v>
      </c>
      <c r="Y56" s="147">
        <f>Q56*X56</f>
        <v>170000</v>
      </c>
      <c r="Z56" s="277" t="s">
        <v>590</v>
      </c>
      <c r="AA56" s="10" t="s">
        <v>45</v>
      </c>
      <c r="AB56" s="91">
        <f t="shared" si="10"/>
        <v>2</v>
      </c>
      <c r="AC56" s="92">
        <f t="shared" si="11"/>
        <v>10000</v>
      </c>
      <c r="AD56" s="145"/>
    </row>
    <row r="57" spans="1:31" s="148" customFormat="1" ht="41.4" customHeight="1" x14ac:dyDescent="0.45">
      <c r="A57" s="143">
        <v>4</v>
      </c>
      <c r="B57" s="344" t="s">
        <v>571</v>
      </c>
      <c r="C57" s="347" t="s">
        <v>589</v>
      </c>
      <c r="D57" s="79"/>
      <c r="E57" s="352" t="s">
        <v>192</v>
      </c>
      <c r="F57" s="272"/>
      <c r="G57" s="272"/>
      <c r="H57" s="272">
        <v>5</v>
      </c>
      <c r="I57" s="272"/>
      <c r="J57" s="272" t="s">
        <v>552</v>
      </c>
      <c r="K57" s="272"/>
      <c r="L57" s="272"/>
      <c r="M57" s="285" t="s">
        <v>30</v>
      </c>
      <c r="N57" s="10" t="s">
        <v>186</v>
      </c>
      <c r="O57" s="145" t="s">
        <v>38</v>
      </c>
      <c r="P57" s="322"/>
      <c r="Q57" s="322"/>
      <c r="R57" s="322"/>
      <c r="S57" s="322"/>
      <c r="T57" s="322"/>
      <c r="U57" s="322">
        <v>5</v>
      </c>
      <c r="V57" s="322"/>
      <c r="W57" s="217">
        <f t="shared" si="40"/>
        <v>5</v>
      </c>
      <c r="X57" s="146">
        <f>SUMIFS('Đơn giá'!C:C,'Đơn giá'!B:B,XUẤT!O57)</f>
        <v>48000</v>
      </c>
      <c r="Y57" s="147">
        <f t="shared" si="28"/>
        <v>0</v>
      </c>
      <c r="Z57" s="277"/>
      <c r="AA57" s="316"/>
      <c r="AB57" s="91">
        <f t="shared" si="10"/>
        <v>5</v>
      </c>
      <c r="AC57" s="92">
        <f t="shared" si="11"/>
        <v>25000</v>
      </c>
      <c r="AD57" s="145"/>
    </row>
    <row r="58" spans="1:31" s="148" customFormat="1" ht="87" customHeight="1" x14ac:dyDescent="0.45">
      <c r="A58" s="143">
        <v>16</v>
      </c>
      <c r="B58" s="344" t="s">
        <v>571</v>
      </c>
      <c r="C58" s="339" t="s">
        <v>564</v>
      </c>
      <c r="D58" s="343" t="s">
        <v>551</v>
      </c>
      <c r="E58" s="343" t="s">
        <v>433</v>
      </c>
      <c r="F58" s="284"/>
      <c r="G58" s="284">
        <v>22</v>
      </c>
      <c r="H58" s="284"/>
      <c r="I58" s="284"/>
      <c r="J58" s="320" t="s">
        <v>552</v>
      </c>
      <c r="K58" s="276"/>
      <c r="L58" s="269"/>
      <c r="M58" s="306" t="s">
        <v>41</v>
      </c>
      <c r="N58" s="102" t="s">
        <v>569</v>
      </c>
      <c r="O58" s="145" t="s">
        <v>25</v>
      </c>
      <c r="P58" s="323">
        <v>20</v>
      </c>
      <c r="Q58" s="323"/>
      <c r="R58" s="323"/>
      <c r="S58" s="323"/>
      <c r="T58" s="323"/>
      <c r="U58" s="341"/>
      <c r="V58" s="323">
        <v>2</v>
      </c>
      <c r="W58" s="217">
        <f t="shared" si="40"/>
        <v>22</v>
      </c>
      <c r="X58" s="146">
        <f>SUMIFS('Đơn giá'!C:C,'Đơn giá'!B:B,XUẤT!O58)</f>
        <v>98000</v>
      </c>
      <c r="Y58" s="147">
        <f>P58*X58</f>
        <v>1960000</v>
      </c>
      <c r="Z58" s="278"/>
      <c r="AA58" s="316" t="s">
        <v>565</v>
      </c>
      <c r="AB58" s="145">
        <f t="shared" ref="AB58" si="41">W58-V58</f>
        <v>20</v>
      </c>
      <c r="AC58" s="146">
        <f t="shared" ref="AC58" si="42">AB58*5000</f>
        <v>100000</v>
      </c>
      <c r="AD58" s="145"/>
    </row>
    <row r="59" spans="1:31" s="148" customFormat="1" ht="52.2" customHeight="1" x14ac:dyDescent="0.45">
      <c r="A59" s="143">
        <v>6</v>
      </c>
      <c r="B59" s="344" t="s">
        <v>571</v>
      </c>
      <c r="C59" s="347" t="s">
        <v>595</v>
      </c>
      <c r="D59" s="343" t="s">
        <v>551</v>
      </c>
      <c r="E59" s="343" t="s">
        <v>433</v>
      </c>
      <c r="F59" s="272"/>
      <c r="G59" s="272">
        <v>11</v>
      </c>
      <c r="H59" s="272"/>
      <c r="I59" s="272"/>
      <c r="J59" s="320" t="s">
        <v>552</v>
      </c>
      <c r="K59" s="272"/>
      <c r="L59" s="272"/>
      <c r="M59" s="306" t="s">
        <v>41</v>
      </c>
      <c r="N59" s="285" t="s">
        <v>596</v>
      </c>
      <c r="O59" s="145" t="s">
        <v>25</v>
      </c>
      <c r="P59" s="322">
        <v>10</v>
      </c>
      <c r="Q59" s="322"/>
      <c r="R59" s="322"/>
      <c r="S59" s="322"/>
      <c r="T59" s="322"/>
      <c r="U59" s="322"/>
      <c r="V59" s="322">
        <v>1</v>
      </c>
      <c r="W59" s="217">
        <f t="shared" si="40"/>
        <v>11</v>
      </c>
      <c r="X59" s="146">
        <f>SUMIFS('Đơn giá'!C:C,'Đơn giá'!B:B,XUẤT!O59)</f>
        <v>98000</v>
      </c>
      <c r="Y59" s="147">
        <f>P59*X59</f>
        <v>980000</v>
      </c>
      <c r="Z59" s="277"/>
      <c r="AA59" s="316" t="s">
        <v>565</v>
      </c>
      <c r="AB59" s="91">
        <f t="shared" si="10"/>
        <v>10</v>
      </c>
      <c r="AC59" s="92">
        <f t="shared" si="11"/>
        <v>50000</v>
      </c>
      <c r="AD59" s="145"/>
    </row>
    <row r="60" spans="1:31" s="148" customFormat="1" ht="43.8" customHeight="1" x14ac:dyDescent="0.45">
      <c r="A60" s="143">
        <v>7</v>
      </c>
      <c r="B60" s="344" t="s">
        <v>571</v>
      </c>
      <c r="C60" s="347" t="s">
        <v>597</v>
      </c>
      <c r="D60" s="343" t="s">
        <v>551</v>
      </c>
      <c r="E60" s="343" t="s">
        <v>433</v>
      </c>
      <c r="F60" s="272"/>
      <c r="G60" s="272">
        <v>11</v>
      </c>
      <c r="H60" s="272"/>
      <c r="I60" s="272"/>
      <c r="J60" s="320" t="s">
        <v>552</v>
      </c>
      <c r="K60" s="272"/>
      <c r="L60" s="272"/>
      <c r="M60" s="285" t="s">
        <v>30</v>
      </c>
      <c r="N60" s="136" t="s">
        <v>598</v>
      </c>
      <c r="O60" s="145" t="s">
        <v>25</v>
      </c>
      <c r="P60" s="322">
        <v>10</v>
      </c>
      <c r="Q60" s="322"/>
      <c r="R60" s="322"/>
      <c r="S60" s="322"/>
      <c r="T60" s="322"/>
      <c r="U60" s="322"/>
      <c r="V60" s="322">
        <v>1</v>
      </c>
      <c r="W60" s="217">
        <f t="shared" si="40"/>
        <v>11</v>
      </c>
      <c r="X60" s="146">
        <f>SUMIFS('Đơn giá'!C:C,'Đơn giá'!B:B,XUẤT!O60)</f>
        <v>98000</v>
      </c>
      <c r="Y60" s="147">
        <f>P60*X60</f>
        <v>980000</v>
      </c>
      <c r="Z60" s="277"/>
      <c r="AA60" s="316" t="s">
        <v>565</v>
      </c>
      <c r="AB60" s="91">
        <f t="shared" si="10"/>
        <v>10</v>
      </c>
      <c r="AC60" s="92">
        <f t="shared" si="11"/>
        <v>50000</v>
      </c>
      <c r="AD60" s="145"/>
    </row>
    <row r="61" spans="1:31" s="148" customFormat="1" ht="70.2" customHeight="1" x14ac:dyDescent="0.45">
      <c r="A61" s="143">
        <v>8</v>
      </c>
      <c r="B61" s="344" t="s">
        <v>571</v>
      </c>
      <c r="C61" s="347" t="s">
        <v>599</v>
      </c>
      <c r="D61" s="343" t="s">
        <v>551</v>
      </c>
      <c r="E61" s="343" t="s">
        <v>192</v>
      </c>
      <c r="F61" s="272"/>
      <c r="G61" s="272"/>
      <c r="H61" s="272">
        <v>3</v>
      </c>
      <c r="I61" s="272"/>
      <c r="J61" s="320" t="s">
        <v>552</v>
      </c>
      <c r="K61" s="272"/>
      <c r="L61" s="272"/>
      <c r="M61" s="306" t="s">
        <v>41</v>
      </c>
      <c r="N61" s="285" t="s">
        <v>600</v>
      </c>
      <c r="O61" s="145" t="s">
        <v>38</v>
      </c>
      <c r="P61" s="322"/>
      <c r="Q61" s="322"/>
      <c r="R61" s="322"/>
      <c r="S61" s="322"/>
      <c r="T61" s="322"/>
      <c r="U61" s="322">
        <v>3</v>
      </c>
      <c r="V61" s="322"/>
      <c r="W61" s="217">
        <f t="shared" si="40"/>
        <v>3</v>
      </c>
      <c r="X61" s="146">
        <f>SUMIFS('Đơn giá'!C:C,'Đơn giá'!B:B,XUẤT!O61)</f>
        <v>48000</v>
      </c>
      <c r="Y61" s="147">
        <f>U61*X61</f>
        <v>144000</v>
      </c>
      <c r="Z61" s="277"/>
      <c r="AA61" s="316" t="s">
        <v>565</v>
      </c>
      <c r="AB61" s="91">
        <f t="shared" si="10"/>
        <v>3</v>
      </c>
      <c r="AC61" s="92">
        <f t="shared" si="11"/>
        <v>15000</v>
      </c>
      <c r="AD61" s="145"/>
    </row>
    <row r="62" spans="1:31" s="148" customFormat="1" ht="89.4" customHeight="1" x14ac:dyDescent="0.45">
      <c r="A62" s="143">
        <v>9</v>
      </c>
      <c r="B62" s="344" t="s">
        <v>571</v>
      </c>
      <c r="C62" s="347" t="s">
        <v>601</v>
      </c>
      <c r="D62" s="343" t="s">
        <v>551</v>
      </c>
      <c r="E62" s="343" t="s">
        <v>192</v>
      </c>
      <c r="F62" s="272"/>
      <c r="G62" s="272"/>
      <c r="H62" s="272"/>
      <c r="I62" s="272">
        <v>5</v>
      </c>
      <c r="J62" s="320" t="s">
        <v>552</v>
      </c>
      <c r="K62" s="272"/>
      <c r="L62" s="272"/>
      <c r="M62" s="306" t="s">
        <v>41</v>
      </c>
      <c r="N62" s="285" t="s">
        <v>602</v>
      </c>
      <c r="O62" s="145" t="s">
        <v>36</v>
      </c>
      <c r="P62" s="322"/>
      <c r="Q62" s="322"/>
      <c r="R62" s="322"/>
      <c r="S62" s="322"/>
      <c r="T62" s="322">
        <v>5</v>
      </c>
      <c r="U62" s="322"/>
      <c r="V62" s="322"/>
      <c r="W62" s="217">
        <f t="shared" si="25"/>
        <v>5</v>
      </c>
      <c r="X62" s="146">
        <f>SUMIFS('Đơn giá'!C:C,'Đơn giá'!B:B,XUẤT!O62)</f>
        <v>52000</v>
      </c>
      <c r="Y62" s="147">
        <f>T62*X62</f>
        <v>260000</v>
      </c>
      <c r="Z62" s="277"/>
      <c r="AA62" s="316" t="s">
        <v>565</v>
      </c>
      <c r="AB62" s="91">
        <f t="shared" si="10"/>
        <v>5</v>
      </c>
      <c r="AC62" s="92">
        <f t="shared" si="11"/>
        <v>25000</v>
      </c>
      <c r="AD62" s="145"/>
    </row>
    <row r="63" spans="1:31" s="150" customFormat="1" ht="52.2" customHeight="1" x14ac:dyDescent="0.45">
      <c r="A63" s="143">
        <v>10</v>
      </c>
      <c r="B63" s="344" t="s">
        <v>571</v>
      </c>
      <c r="C63" s="347" t="s">
        <v>603</v>
      </c>
      <c r="D63" s="343" t="s">
        <v>551</v>
      </c>
      <c r="E63" s="272" t="s">
        <v>192</v>
      </c>
      <c r="F63" s="272"/>
      <c r="G63" s="272">
        <v>55</v>
      </c>
      <c r="H63" s="272"/>
      <c r="I63" s="272"/>
      <c r="J63" s="272" t="s">
        <v>34</v>
      </c>
      <c r="K63" s="272"/>
      <c r="L63" s="272"/>
      <c r="M63" s="285" t="s">
        <v>30</v>
      </c>
      <c r="N63" s="272" t="s">
        <v>34</v>
      </c>
      <c r="O63" s="145" t="s">
        <v>25</v>
      </c>
      <c r="P63" s="322">
        <v>50</v>
      </c>
      <c r="Q63" s="322"/>
      <c r="R63" s="322"/>
      <c r="S63" s="322"/>
      <c r="T63" s="322"/>
      <c r="U63" s="322"/>
      <c r="V63" s="322">
        <v>5</v>
      </c>
      <c r="W63" s="338">
        <f t="shared" si="25"/>
        <v>55</v>
      </c>
      <c r="X63" s="150">
        <f>SUMIFS('Đơn giá'!C:C,'Đơn giá'!B:B,XUẤT!O63)</f>
        <v>98000</v>
      </c>
      <c r="Y63" s="147">
        <f t="shared" si="28"/>
        <v>4900000</v>
      </c>
      <c r="Z63" s="277"/>
      <c r="AA63" s="316" t="s">
        <v>565</v>
      </c>
      <c r="AB63" s="91">
        <f t="shared" si="10"/>
        <v>50</v>
      </c>
      <c r="AC63" s="92">
        <f t="shared" si="11"/>
        <v>250000</v>
      </c>
      <c r="AE63" s="259"/>
    </row>
    <row r="64" spans="1:31" s="148" customFormat="1" ht="62.4" customHeight="1" x14ac:dyDescent="0.45">
      <c r="A64" s="143">
        <v>11</v>
      </c>
      <c r="B64" s="322" t="s">
        <v>571</v>
      </c>
      <c r="C64" s="347" t="s">
        <v>604</v>
      </c>
      <c r="D64" s="343" t="s">
        <v>551</v>
      </c>
      <c r="E64" s="272" t="s">
        <v>433</v>
      </c>
      <c r="F64" s="272"/>
      <c r="G64" s="272">
        <v>5</v>
      </c>
      <c r="H64" s="272"/>
      <c r="I64" s="272"/>
      <c r="J64" s="10" t="s">
        <v>172</v>
      </c>
      <c r="K64" s="272"/>
      <c r="L64" s="272"/>
      <c r="M64" s="285" t="s">
        <v>30</v>
      </c>
      <c r="N64" s="10" t="s">
        <v>172</v>
      </c>
      <c r="O64" s="145" t="s">
        <v>25</v>
      </c>
      <c r="P64" s="322">
        <v>5</v>
      </c>
      <c r="Q64" s="322"/>
      <c r="R64" s="322"/>
      <c r="S64" s="322"/>
      <c r="T64" s="322"/>
      <c r="U64" s="322"/>
      <c r="V64" s="322"/>
      <c r="W64" s="217">
        <f t="shared" si="25"/>
        <v>5</v>
      </c>
      <c r="X64" s="146">
        <f>SUMIFS('Đơn giá'!C:C,'Đơn giá'!B:B,XUẤT!O64)</f>
        <v>98000</v>
      </c>
      <c r="Y64" s="147">
        <f t="shared" si="28"/>
        <v>490000</v>
      </c>
      <c r="Z64" s="277" t="s">
        <v>590</v>
      </c>
      <c r="AA64" s="10" t="s">
        <v>172</v>
      </c>
      <c r="AB64" s="91">
        <f t="shared" si="10"/>
        <v>5</v>
      </c>
      <c r="AC64" s="92">
        <f t="shared" si="11"/>
        <v>25000</v>
      </c>
      <c r="AD64" s="145"/>
    </row>
    <row r="65" spans="1:30" s="148" customFormat="1" ht="46.2" customHeight="1" x14ac:dyDescent="0.45">
      <c r="A65" s="267"/>
      <c r="B65" s="422">
        <v>46122</v>
      </c>
      <c r="C65" s="347" t="s">
        <v>609</v>
      </c>
      <c r="D65" s="343" t="s">
        <v>551</v>
      </c>
      <c r="E65" s="272" t="s">
        <v>192</v>
      </c>
      <c r="F65" s="272"/>
      <c r="G65" s="272"/>
      <c r="H65" s="272"/>
      <c r="I65" s="272">
        <v>2</v>
      </c>
      <c r="J65" s="10" t="s">
        <v>106</v>
      </c>
      <c r="K65" s="272"/>
      <c r="L65" s="272"/>
      <c r="M65" s="285" t="s">
        <v>30</v>
      </c>
      <c r="N65" s="10" t="s">
        <v>106</v>
      </c>
      <c r="O65" s="145" t="s">
        <v>36</v>
      </c>
      <c r="P65" s="322"/>
      <c r="Q65" s="322"/>
      <c r="R65" s="322"/>
      <c r="S65" s="322"/>
      <c r="T65" s="322">
        <v>2</v>
      </c>
      <c r="U65" s="322"/>
      <c r="V65" s="322"/>
      <c r="W65" s="217">
        <f t="shared" si="25"/>
        <v>2</v>
      </c>
      <c r="X65" s="146">
        <f>SUMIFS('Đơn giá'!C:C,'Đơn giá'!B:B,XUẤT!O65)</f>
        <v>52000</v>
      </c>
      <c r="Y65" s="147">
        <f>T65*X65</f>
        <v>104000</v>
      </c>
      <c r="Z65" s="277"/>
      <c r="AA65" s="10" t="s">
        <v>106</v>
      </c>
      <c r="AB65" s="91">
        <f t="shared" si="10"/>
        <v>2</v>
      </c>
      <c r="AC65" s="92">
        <f t="shared" si="11"/>
        <v>10000</v>
      </c>
      <c r="AD65" s="145"/>
    </row>
    <row r="66" spans="1:30" s="148" customFormat="1" ht="63" customHeight="1" x14ac:dyDescent="0.45">
      <c r="A66" s="267"/>
      <c r="B66" s="422">
        <v>46122</v>
      </c>
      <c r="C66" s="347" t="s">
        <v>610</v>
      </c>
      <c r="D66" s="79"/>
      <c r="E66" s="272"/>
      <c r="F66" s="272"/>
      <c r="G66" s="272">
        <v>5</v>
      </c>
      <c r="H66" s="272"/>
      <c r="I66" s="272"/>
      <c r="J66" s="10" t="s">
        <v>108</v>
      </c>
      <c r="K66" s="272"/>
      <c r="L66" s="272"/>
      <c r="M66" s="285" t="s">
        <v>30</v>
      </c>
      <c r="N66" s="10" t="s">
        <v>108</v>
      </c>
      <c r="O66" s="145" t="s">
        <v>25</v>
      </c>
      <c r="P66" s="322">
        <v>5</v>
      </c>
      <c r="Q66" s="322"/>
      <c r="R66" s="322"/>
      <c r="S66" s="322"/>
      <c r="T66" s="322"/>
      <c r="U66" s="322"/>
      <c r="V66" s="322"/>
      <c r="W66" s="217">
        <f t="shared" si="25"/>
        <v>5</v>
      </c>
      <c r="X66" s="146">
        <f>SUMIFS('Đơn giá'!C:C,'Đơn giá'!B:B,XUẤT!O66)</f>
        <v>98000</v>
      </c>
      <c r="Y66" s="147">
        <f t="shared" si="28"/>
        <v>490000</v>
      </c>
      <c r="Z66" s="277"/>
      <c r="AA66" s="10" t="s">
        <v>108</v>
      </c>
      <c r="AB66" s="91">
        <f t="shared" si="10"/>
        <v>5</v>
      </c>
      <c r="AC66" s="92">
        <f t="shared" si="11"/>
        <v>25000</v>
      </c>
      <c r="AD66" s="145"/>
    </row>
    <row r="67" spans="1:30" s="148" customFormat="1" ht="30.6" customHeight="1" x14ac:dyDescent="0.45">
      <c r="A67" s="267"/>
      <c r="B67" s="322"/>
      <c r="C67" s="350">
        <v>836915211</v>
      </c>
      <c r="D67" s="79"/>
      <c r="E67" s="272"/>
      <c r="F67" s="272"/>
      <c r="G67" s="272"/>
      <c r="H67" s="272"/>
      <c r="I67" s="272"/>
      <c r="J67" s="272"/>
      <c r="K67" s="272"/>
      <c r="L67" s="272"/>
      <c r="M67" s="285"/>
      <c r="N67" s="285"/>
      <c r="O67" s="145" t="s">
        <v>36</v>
      </c>
      <c r="P67" s="322"/>
      <c r="Q67" s="322"/>
      <c r="R67" s="322"/>
      <c r="S67" s="322"/>
      <c r="T67" s="322"/>
      <c r="U67" s="322"/>
      <c r="V67" s="322"/>
      <c r="W67" s="217">
        <f t="shared" si="25"/>
        <v>0</v>
      </c>
      <c r="X67" s="146">
        <f>SUMIFS('Đơn giá'!C:C,'Đơn giá'!B:B,XUẤT!O67)</f>
        <v>52000</v>
      </c>
      <c r="Y67" s="147">
        <f>T67*X67</f>
        <v>0</v>
      </c>
      <c r="Z67" s="277"/>
      <c r="AA67" s="316"/>
      <c r="AB67" s="91">
        <f t="shared" si="10"/>
        <v>0</v>
      </c>
      <c r="AC67" s="92">
        <f t="shared" si="11"/>
        <v>0</v>
      </c>
      <c r="AD67" s="145"/>
    </row>
    <row r="68" spans="1:30" s="148" customFormat="1" ht="31.8" customHeight="1" x14ac:dyDescent="0.45">
      <c r="A68" s="267"/>
      <c r="B68" s="322"/>
      <c r="C68"/>
      <c r="D68" s="79"/>
      <c r="E68" s="272"/>
      <c r="F68" s="272"/>
      <c r="G68" s="272"/>
      <c r="H68" s="272"/>
      <c r="I68" s="272"/>
      <c r="J68" s="272"/>
      <c r="K68" s="272"/>
      <c r="L68" s="272"/>
      <c r="M68" s="285"/>
      <c r="N68" s="285"/>
      <c r="O68" s="145" t="s">
        <v>36</v>
      </c>
      <c r="P68" s="322"/>
      <c r="Q68" s="322"/>
      <c r="R68" s="322"/>
      <c r="S68" s="322"/>
      <c r="T68" s="322"/>
      <c r="U68" s="322"/>
      <c r="V68" s="322"/>
      <c r="W68" s="217">
        <f t="shared" si="25"/>
        <v>0</v>
      </c>
      <c r="X68" s="146">
        <f>SUMIFS('Đơn giá'!C:C,'Đơn giá'!B:B,XUẤT!O68)</f>
        <v>52000</v>
      </c>
      <c r="Y68" s="147">
        <f>T68*X68</f>
        <v>0</v>
      </c>
      <c r="Z68" s="277"/>
      <c r="AA68" s="316"/>
      <c r="AB68" s="91">
        <f t="shared" si="10"/>
        <v>0</v>
      </c>
      <c r="AC68" s="92">
        <f t="shared" si="11"/>
        <v>0</v>
      </c>
      <c r="AD68" s="145"/>
    </row>
    <row r="69" spans="1:30" s="148" customFormat="1" ht="96" customHeight="1" x14ac:dyDescent="0.45">
      <c r="A69" s="267"/>
      <c r="B69" s="423" t="s">
        <v>606</v>
      </c>
      <c r="C69" s="347" t="s">
        <v>608</v>
      </c>
      <c r="D69" s="343" t="s">
        <v>551</v>
      </c>
      <c r="E69" s="272" t="s">
        <v>49</v>
      </c>
      <c r="F69" s="272"/>
      <c r="G69" s="272"/>
      <c r="H69" s="272"/>
      <c r="I69" s="272"/>
      <c r="J69" s="272"/>
      <c r="K69" s="272"/>
      <c r="L69" s="272"/>
      <c r="M69" s="285" t="s">
        <v>30</v>
      </c>
      <c r="N69" s="10" t="s">
        <v>274</v>
      </c>
      <c r="O69" s="145" t="s">
        <v>36</v>
      </c>
      <c r="P69" s="322"/>
      <c r="Q69" s="322"/>
      <c r="R69" s="322"/>
      <c r="S69" s="322"/>
      <c r="T69" s="322"/>
      <c r="U69" s="322"/>
      <c r="V69" s="322"/>
      <c r="W69" s="217">
        <f t="shared" si="25"/>
        <v>0</v>
      </c>
      <c r="X69" s="146">
        <f>SUMIFS('Đơn giá'!C:C,'Đơn giá'!B:B,XUẤT!O69)</f>
        <v>52000</v>
      </c>
      <c r="Y69" s="147">
        <f t="shared" si="28"/>
        <v>0</v>
      </c>
      <c r="Z69" s="277"/>
      <c r="AA69" s="316"/>
      <c r="AB69" s="91">
        <f t="shared" si="10"/>
        <v>0</v>
      </c>
      <c r="AC69" s="92">
        <f t="shared" si="11"/>
        <v>0</v>
      </c>
      <c r="AD69" s="145"/>
    </row>
    <row r="70" spans="1:30" s="148" customFormat="1" ht="90.6" customHeight="1" x14ac:dyDescent="0.45">
      <c r="A70" s="267"/>
      <c r="B70" s="423" t="s">
        <v>606</v>
      </c>
      <c r="C70" s="424" t="s">
        <v>607</v>
      </c>
      <c r="D70" s="343" t="s">
        <v>551</v>
      </c>
      <c r="E70" s="272"/>
      <c r="F70" s="272"/>
      <c r="G70" s="272"/>
      <c r="H70" s="272"/>
      <c r="I70" s="272"/>
      <c r="J70" s="272"/>
      <c r="K70" s="272"/>
      <c r="L70" s="272"/>
      <c r="M70" s="285" t="s">
        <v>41</v>
      </c>
      <c r="N70" s="285" t="s">
        <v>600</v>
      </c>
      <c r="O70" s="145" t="s">
        <v>38</v>
      </c>
      <c r="P70" s="322"/>
      <c r="Q70" s="322"/>
      <c r="R70" s="322"/>
      <c r="S70" s="322"/>
      <c r="T70" s="322"/>
      <c r="U70" s="322">
        <v>1</v>
      </c>
      <c r="V70" s="322"/>
      <c r="W70" s="217">
        <f t="shared" si="25"/>
        <v>1</v>
      </c>
      <c r="X70" s="146">
        <f>SUMIFS('Đơn giá'!C:C,'Đơn giá'!B:B,XUẤT!O70)</f>
        <v>48000</v>
      </c>
      <c r="Y70" s="147">
        <f t="shared" si="28"/>
        <v>0</v>
      </c>
      <c r="Z70" s="277"/>
      <c r="AA70" s="316"/>
      <c r="AB70" s="91">
        <f t="shared" si="10"/>
        <v>1</v>
      </c>
      <c r="AC70" s="92">
        <f t="shared" si="11"/>
        <v>5000</v>
      </c>
      <c r="AD70" s="145"/>
    </row>
    <row r="71" spans="1:30" s="148" customFormat="1" ht="49.2" customHeight="1" x14ac:dyDescent="0.45">
      <c r="A71" s="143">
        <v>8</v>
      </c>
      <c r="B71" s="322"/>
      <c r="C71" s="349"/>
      <c r="D71" s="79"/>
      <c r="E71" s="272"/>
      <c r="F71" s="272"/>
      <c r="G71" s="272"/>
      <c r="H71" s="272"/>
      <c r="I71" s="272"/>
      <c r="J71" s="272"/>
      <c r="K71" s="272"/>
      <c r="L71" s="272"/>
      <c r="M71" s="285"/>
      <c r="N71" s="285"/>
      <c r="O71" s="145" t="s">
        <v>36</v>
      </c>
      <c r="P71" s="322"/>
      <c r="Q71" s="322"/>
      <c r="R71" s="322"/>
      <c r="S71" s="322"/>
      <c r="T71" s="322"/>
      <c r="U71" s="322"/>
      <c r="V71" s="322"/>
      <c r="W71" s="217">
        <f t="shared" si="25"/>
        <v>0</v>
      </c>
      <c r="X71" s="146">
        <f>SUMIFS('Đơn giá'!C:C,'Đơn giá'!B:B,XUẤT!O71)</f>
        <v>52000</v>
      </c>
      <c r="Y71" s="147">
        <f t="shared" si="28"/>
        <v>0</v>
      </c>
      <c r="Z71" s="277"/>
      <c r="AA71" s="316"/>
      <c r="AB71" s="145">
        <f t="shared" si="10"/>
        <v>0</v>
      </c>
      <c r="AC71" s="146">
        <f t="shared" si="11"/>
        <v>0</v>
      </c>
      <c r="AD71" s="145"/>
    </row>
    <row r="72" spans="1:30" s="148" customFormat="1" ht="49.8" customHeight="1" x14ac:dyDescent="0.45">
      <c r="A72" s="143">
        <v>9</v>
      </c>
      <c r="B72" s="323"/>
      <c r="C72"/>
      <c r="D72" s="117"/>
      <c r="E72" s="273"/>
      <c r="F72" s="273"/>
      <c r="G72" s="273"/>
      <c r="H72" s="273"/>
      <c r="I72" s="273"/>
      <c r="J72" s="273"/>
      <c r="K72" s="273"/>
      <c r="L72" s="273"/>
      <c r="M72" s="286"/>
      <c r="N72" s="286"/>
      <c r="O72" s="145" t="s">
        <v>36</v>
      </c>
      <c r="P72" s="323"/>
      <c r="Q72" s="323"/>
      <c r="R72" s="323"/>
      <c r="S72" s="323"/>
      <c r="T72" s="323"/>
      <c r="U72" s="323"/>
      <c r="V72" s="323"/>
      <c r="W72" s="217">
        <f t="shared" si="25"/>
        <v>0</v>
      </c>
      <c r="X72" s="146">
        <f>SUMIFS('Đơn giá'!C:C,'Đơn giá'!B:B,XUẤT!O72)</f>
        <v>52000</v>
      </c>
      <c r="Y72" s="147">
        <f t="shared" si="28"/>
        <v>0</v>
      </c>
      <c r="Z72" s="278"/>
      <c r="AA72" s="317"/>
      <c r="AB72" s="145">
        <f t="shared" si="10"/>
        <v>0</v>
      </c>
      <c r="AC72" s="146">
        <f t="shared" si="11"/>
        <v>0</v>
      </c>
      <c r="AD72" s="145"/>
    </row>
    <row r="73" spans="1:30" s="148" customFormat="1" ht="53.4" customHeight="1" x14ac:dyDescent="0.45">
      <c r="A73" s="143">
        <v>10</v>
      </c>
      <c r="B73" s="322"/>
      <c r="C73"/>
      <c r="D73" s="79"/>
      <c r="E73" s="272"/>
      <c r="F73" s="272"/>
      <c r="G73" s="272"/>
      <c r="H73" s="272"/>
      <c r="I73" s="272"/>
      <c r="J73" s="272"/>
      <c r="K73" s="272"/>
      <c r="L73" s="272"/>
      <c r="M73" s="285"/>
      <c r="N73" s="285"/>
      <c r="O73" s="145" t="s">
        <v>36</v>
      </c>
      <c r="P73" s="322"/>
      <c r="Q73" s="322"/>
      <c r="R73" s="322"/>
      <c r="S73" s="322"/>
      <c r="T73" s="322"/>
      <c r="U73" s="322"/>
      <c r="V73" s="322"/>
      <c r="W73" s="217">
        <f t="shared" si="25"/>
        <v>0</v>
      </c>
      <c r="X73" s="146">
        <f>SUMIFS('Đơn giá'!C:C,'Đơn giá'!B:B,XUẤT!O73)</f>
        <v>52000</v>
      </c>
      <c r="Y73" s="147">
        <f t="shared" si="28"/>
        <v>0</v>
      </c>
      <c r="Z73" s="277"/>
      <c r="AA73" s="316"/>
      <c r="AB73" s="91">
        <f t="shared" si="10"/>
        <v>0</v>
      </c>
      <c r="AC73" s="92">
        <f t="shared" si="11"/>
        <v>0</v>
      </c>
      <c r="AD73" s="145"/>
    </row>
    <row r="74" spans="1:30" s="148" customFormat="1" ht="53.4" customHeight="1" x14ac:dyDescent="0.45">
      <c r="A74" s="143">
        <v>11</v>
      </c>
      <c r="B74" s="322"/>
      <c r="C74"/>
      <c r="D74" s="79"/>
      <c r="E74" s="272"/>
      <c r="F74" s="272"/>
      <c r="G74" s="272"/>
      <c r="H74" s="272"/>
      <c r="I74" s="272"/>
      <c r="J74" s="272"/>
      <c r="K74" s="272"/>
      <c r="L74" s="272"/>
      <c r="M74" s="285"/>
      <c r="N74" s="285"/>
      <c r="O74" s="145" t="s">
        <v>36</v>
      </c>
      <c r="P74" s="322"/>
      <c r="Q74" s="322"/>
      <c r="R74" s="322"/>
      <c r="S74" s="322"/>
      <c r="T74" s="322"/>
      <c r="U74" s="322"/>
      <c r="V74" s="322"/>
      <c r="W74" s="217">
        <f t="shared" si="25"/>
        <v>0</v>
      </c>
      <c r="X74" s="146">
        <f>SUMIFS('Đơn giá'!C:C,'Đơn giá'!B:B,XUẤT!O74)</f>
        <v>52000</v>
      </c>
      <c r="Y74" s="147">
        <f t="shared" si="28"/>
        <v>0</v>
      </c>
      <c r="Z74" s="277"/>
      <c r="AA74" s="316"/>
      <c r="AB74" s="91">
        <f t="shared" si="10"/>
        <v>0</v>
      </c>
      <c r="AC74" s="92">
        <f t="shared" si="11"/>
        <v>0</v>
      </c>
      <c r="AD74" s="145"/>
    </row>
    <row r="75" spans="1:30" s="148" customFormat="1" ht="58.8" customHeight="1" x14ac:dyDescent="0.45">
      <c r="A75" s="358">
        <v>1</v>
      </c>
      <c r="B75" s="322"/>
      <c r="C75"/>
      <c r="D75" s="79"/>
      <c r="E75" s="272"/>
      <c r="F75" s="272"/>
      <c r="G75" s="272"/>
      <c r="H75" s="272"/>
      <c r="I75" s="272"/>
      <c r="J75" s="272"/>
      <c r="K75" s="272"/>
      <c r="L75" s="272"/>
      <c r="M75" s="285"/>
      <c r="N75" s="285"/>
      <c r="O75" s="145" t="s">
        <v>36</v>
      </c>
      <c r="P75" s="322"/>
      <c r="Q75" s="322"/>
      <c r="R75" s="322"/>
      <c r="S75" s="322"/>
      <c r="T75" s="322"/>
      <c r="U75" s="322"/>
      <c r="V75" s="322"/>
      <c r="W75" s="217">
        <f t="shared" si="25"/>
        <v>0</v>
      </c>
      <c r="X75" s="146">
        <f>SUMIFS('Đơn giá'!C:C,'Đơn giá'!B:B,XUẤT!O75)</f>
        <v>52000</v>
      </c>
      <c r="Y75" s="147">
        <f t="shared" si="28"/>
        <v>0</v>
      </c>
      <c r="Z75" s="277"/>
      <c r="AA75" s="316"/>
      <c r="AB75" s="91">
        <f t="shared" ref="AB75:AB136" si="43">W75-V75</f>
        <v>0</v>
      </c>
      <c r="AC75" s="92">
        <f t="shared" ref="AC75:AC134" si="44">AB75*5000</f>
        <v>0</v>
      </c>
      <c r="AD75" s="145"/>
    </row>
    <row r="76" spans="1:30" s="148" customFormat="1" ht="44.4" customHeight="1" x14ac:dyDescent="0.45">
      <c r="A76" s="358"/>
      <c r="B76" s="322"/>
      <c r="C76"/>
      <c r="D76" s="79"/>
      <c r="E76" s="272"/>
      <c r="F76" s="272"/>
      <c r="G76" s="272"/>
      <c r="H76" s="272"/>
      <c r="I76" s="272"/>
      <c r="J76" s="272"/>
      <c r="K76" s="272"/>
      <c r="L76" s="272"/>
      <c r="M76" s="285"/>
      <c r="N76" s="285"/>
      <c r="O76" s="145" t="s">
        <v>36</v>
      </c>
      <c r="P76" s="322"/>
      <c r="Q76" s="322"/>
      <c r="R76" s="322"/>
      <c r="S76" s="322"/>
      <c r="T76" s="322"/>
      <c r="U76" s="322"/>
      <c r="V76" s="322"/>
      <c r="W76" s="217">
        <f t="shared" si="25"/>
        <v>0</v>
      </c>
      <c r="X76" s="146">
        <v>85000</v>
      </c>
      <c r="Y76" s="147">
        <f>Q76*X76</f>
        <v>0</v>
      </c>
      <c r="Z76" s="277"/>
      <c r="AA76" s="316"/>
      <c r="AB76" s="91">
        <f t="shared" si="43"/>
        <v>0</v>
      </c>
      <c r="AC76" s="92">
        <f t="shared" si="44"/>
        <v>0</v>
      </c>
      <c r="AD76" s="145"/>
    </row>
    <row r="77" spans="1:30" s="148" customFormat="1" ht="46.2" customHeight="1" x14ac:dyDescent="0.45">
      <c r="A77" s="143">
        <v>2</v>
      </c>
      <c r="B77" s="322"/>
      <c r="C77"/>
      <c r="D77" s="79"/>
      <c r="E77" s="272"/>
      <c r="F77" s="272"/>
      <c r="G77" s="272"/>
      <c r="H77" s="272"/>
      <c r="I77" s="272"/>
      <c r="J77" s="272"/>
      <c r="K77" s="272"/>
      <c r="L77" s="272"/>
      <c r="M77" s="285"/>
      <c r="N77" s="285"/>
      <c r="O77" s="145" t="s">
        <v>36</v>
      </c>
      <c r="P77" s="322"/>
      <c r="Q77" s="322"/>
      <c r="R77" s="322"/>
      <c r="S77" s="322"/>
      <c r="T77" s="322"/>
      <c r="U77" s="322"/>
      <c r="V77" s="322"/>
      <c r="W77" s="217">
        <f t="shared" si="25"/>
        <v>0</v>
      </c>
      <c r="X77" s="146">
        <f>SUMIFS('Đơn giá'!C:C,'Đơn giá'!B:B,XUẤT!O77)</f>
        <v>52000</v>
      </c>
      <c r="Y77" s="147">
        <f t="shared" si="28"/>
        <v>0</v>
      </c>
      <c r="Z77" s="277"/>
      <c r="AA77" s="316"/>
      <c r="AB77" s="91">
        <f t="shared" si="43"/>
        <v>0</v>
      </c>
      <c r="AC77" s="92">
        <f t="shared" si="44"/>
        <v>0</v>
      </c>
      <c r="AD77" s="145"/>
    </row>
    <row r="78" spans="1:30" s="148" customFormat="1" ht="42.6" customHeight="1" x14ac:dyDescent="0.45">
      <c r="A78" s="143">
        <v>3</v>
      </c>
      <c r="B78" s="322"/>
      <c r="C78" s="351"/>
      <c r="D78" s="79"/>
      <c r="E78" s="272"/>
      <c r="F78" s="272"/>
      <c r="G78" s="272"/>
      <c r="H78" s="272"/>
      <c r="I78" s="272"/>
      <c r="J78" s="272"/>
      <c r="K78" s="272"/>
      <c r="L78" s="272"/>
      <c r="M78" s="285"/>
      <c r="N78" s="285"/>
      <c r="O78" s="145" t="s">
        <v>36</v>
      </c>
      <c r="P78" s="322"/>
      <c r="Q78" s="322"/>
      <c r="R78" s="322"/>
      <c r="S78" s="322"/>
      <c r="T78" s="322"/>
      <c r="U78" s="322"/>
      <c r="V78" s="322"/>
      <c r="W78" s="217">
        <f t="shared" si="25"/>
        <v>0</v>
      </c>
      <c r="X78" s="146">
        <f>SUMIFS('Đơn giá'!C:C,'Đơn giá'!B:B,XUẤT!O78)</f>
        <v>52000</v>
      </c>
      <c r="Y78" s="147">
        <f t="shared" si="28"/>
        <v>0</v>
      </c>
      <c r="Z78" s="277"/>
      <c r="AA78" s="316"/>
      <c r="AB78" s="91">
        <f t="shared" si="43"/>
        <v>0</v>
      </c>
      <c r="AC78" s="92">
        <f t="shared" si="44"/>
        <v>0</v>
      </c>
      <c r="AD78" s="145"/>
    </row>
    <row r="79" spans="1:30" s="148" customFormat="1" ht="87" customHeight="1" x14ac:dyDescent="0.45">
      <c r="A79" s="143">
        <v>4</v>
      </c>
      <c r="B79" s="322"/>
      <c r="C79" s="79"/>
      <c r="D79" s="79"/>
      <c r="E79" s="272"/>
      <c r="F79" s="272"/>
      <c r="G79" s="272"/>
      <c r="H79" s="272"/>
      <c r="I79" s="272"/>
      <c r="J79" s="272"/>
      <c r="K79" s="272"/>
      <c r="L79" s="272"/>
      <c r="M79" s="285"/>
      <c r="N79" s="285"/>
      <c r="O79" s="145" t="s">
        <v>36</v>
      </c>
      <c r="P79" s="322"/>
      <c r="Q79" s="322"/>
      <c r="R79" s="322"/>
      <c r="S79" s="322"/>
      <c r="T79" s="322"/>
      <c r="U79" s="322"/>
      <c r="V79" s="322"/>
      <c r="W79" s="217">
        <f t="shared" si="25"/>
        <v>0</v>
      </c>
      <c r="X79" s="146">
        <f>SUMIFS('Đơn giá'!C:C,'Đơn giá'!B:B,XUẤT!O79)</f>
        <v>52000</v>
      </c>
      <c r="Y79" s="147">
        <f t="shared" si="28"/>
        <v>0</v>
      </c>
      <c r="Z79" s="277"/>
      <c r="AA79" s="316"/>
      <c r="AB79" s="91">
        <f t="shared" si="43"/>
        <v>0</v>
      </c>
      <c r="AC79" s="92">
        <f t="shared" si="44"/>
        <v>0</v>
      </c>
      <c r="AD79" s="145"/>
    </row>
    <row r="80" spans="1:30" s="148" customFormat="1" ht="90" customHeight="1" x14ac:dyDescent="0.45">
      <c r="A80" s="143">
        <v>5</v>
      </c>
      <c r="B80" s="322"/>
      <c r="C80" s="79"/>
      <c r="D80" s="79"/>
      <c r="E80" s="272"/>
      <c r="F80" s="272"/>
      <c r="G80" s="272"/>
      <c r="H80" s="272"/>
      <c r="I80" s="272"/>
      <c r="J80" s="272"/>
      <c r="K80" s="272"/>
      <c r="L80" s="272"/>
      <c r="M80" s="285"/>
      <c r="N80" s="285"/>
      <c r="O80" s="145" t="s">
        <v>36</v>
      </c>
      <c r="P80" s="322"/>
      <c r="Q80" s="322"/>
      <c r="R80" s="322"/>
      <c r="S80" s="322"/>
      <c r="T80" s="322"/>
      <c r="U80" s="322"/>
      <c r="V80" s="322"/>
      <c r="W80" s="217">
        <f t="shared" si="25"/>
        <v>0</v>
      </c>
      <c r="X80" s="146">
        <f>SUMIFS('Đơn giá'!C:C,'Đơn giá'!B:B,XUẤT!O80)</f>
        <v>52000</v>
      </c>
      <c r="Y80" s="147">
        <f t="shared" si="28"/>
        <v>0</v>
      </c>
      <c r="Z80" s="277"/>
      <c r="AA80" s="316"/>
      <c r="AB80" s="91">
        <f t="shared" si="43"/>
        <v>0</v>
      </c>
      <c r="AC80" s="92">
        <f t="shared" si="44"/>
        <v>0</v>
      </c>
      <c r="AD80"/>
    </row>
    <row r="81" spans="1:30" s="256" customFormat="1" ht="58.8" customHeight="1" x14ac:dyDescent="0.45">
      <c r="A81" s="253">
        <v>6</v>
      </c>
      <c r="B81" s="322"/>
      <c r="C81" s="79"/>
      <c r="D81" s="79"/>
      <c r="E81" s="272"/>
      <c r="F81" s="272"/>
      <c r="G81" s="272"/>
      <c r="H81" s="272"/>
      <c r="I81" s="272"/>
      <c r="J81" s="272"/>
      <c r="K81" s="272"/>
      <c r="L81" s="272"/>
      <c r="M81" s="285"/>
      <c r="N81" s="285"/>
      <c r="O81" s="145" t="s">
        <v>36</v>
      </c>
      <c r="P81" s="322"/>
      <c r="Q81" s="322"/>
      <c r="R81" s="322"/>
      <c r="S81" s="322"/>
      <c r="T81" s="322"/>
      <c r="U81" s="322"/>
      <c r="V81" s="322"/>
      <c r="W81" s="217">
        <f t="shared" si="25"/>
        <v>0</v>
      </c>
      <c r="X81" s="146">
        <f>SUMIFS('Đơn giá'!C:C,'Đơn giá'!B:B,XUẤT!O81)</f>
        <v>52000</v>
      </c>
      <c r="Y81" s="147">
        <f>Q81*X81</f>
        <v>0</v>
      </c>
      <c r="Z81" s="277"/>
      <c r="AA81" s="316"/>
      <c r="AB81" s="254">
        <f t="shared" si="43"/>
        <v>0</v>
      </c>
      <c r="AC81" s="255">
        <f t="shared" si="44"/>
        <v>0</v>
      </c>
      <c r="AD81"/>
    </row>
    <row r="82" spans="1:30" s="148" customFormat="1" ht="59.4" customHeight="1" x14ac:dyDescent="0.45">
      <c r="A82" s="143">
        <v>7</v>
      </c>
      <c r="B82" s="322"/>
      <c r="C82" s="79"/>
      <c r="D82" s="79"/>
      <c r="E82" s="272"/>
      <c r="F82" s="272"/>
      <c r="G82" s="272"/>
      <c r="H82" s="272"/>
      <c r="I82" s="272"/>
      <c r="J82" s="272"/>
      <c r="K82" s="272"/>
      <c r="L82" s="272"/>
      <c r="M82" s="285"/>
      <c r="N82" s="285"/>
      <c r="O82" s="145" t="s">
        <v>36</v>
      </c>
      <c r="P82" s="322"/>
      <c r="Q82" s="322"/>
      <c r="R82" s="322"/>
      <c r="S82" s="322"/>
      <c r="T82" s="322"/>
      <c r="U82" s="322"/>
      <c r="V82" s="322"/>
      <c r="W82" s="217">
        <f t="shared" si="25"/>
        <v>0</v>
      </c>
      <c r="X82" s="146">
        <f>SUMIFS('Đơn giá'!C:C,'Đơn giá'!B:B,XUẤT!O82)</f>
        <v>52000</v>
      </c>
      <c r="Y82" s="147">
        <f t="shared" si="28"/>
        <v>0</v>
      </c>
      <c r="Z82" s="277"/>
      <c r="AA82" s="316"/>
      <c r="AB82" s="91">
        <f t="shared" si="43"/>
        <v>0</v>
      </c>
      <c r="AC82" s="92">
        <f t="shared" si="44"/>
        <v>0</v>
      </c>
      <c r="AD82"/>
    </row>
    <row r="83" spans="1:30" s="148" customFormat="1" ht="87.6" customHeight="1" x14ac:dyDescent="0.45">
      <c r="A83" s="143">
        <v>8</v>
      </c>
      <c r="B83" s="322"/>
      <c r="C83" s="79"/>
      <c r="D83" s="79"/>
      <c r="E83" s="272"/>
      <c r="F83" s="272"/>
      <c r="G83" s="272"/>
      <c r="H83" s="272"/>
      <c r="I83" s="272"/>
      <c r="J83" s="272"/>
      <c r="K83" s="272"/>
      <c r="L83" s="272"/>
      <c r="M83" s="285"/>
      <c r="N83" s="285"/>
      <c r="O83" s="145" t="s">
        <v>36</v>
      </c>
      <c r="P83" s="322"/>
      <c r="Q83" s="322"/>
      <c r="R83" s="322"/>
      <c r="S83" s="322"/>
      <c r="T83" s="322"/>
      <c r="U83" s="322"/>
      <c r="V83" s="322"/>
      <c r="W83" s="217">
        <f t="shared" si="25"/>
        <v>0</v>
      </c>
      <c r="X83" s="146">
        <f>SUMIFS('Đơn giá'!C:C,'Đơn giá'!B:B,XUẤT!O83)</f>
        <v>52000</v>
      </c>
      <c r="Y83" s="147">
        <f t="shared" si="28"/>
        <v>0</v>
      </c>
      <c r="Z83" s="277"/>
      <c r="AA83" s="316"/>
      <c r="AB83" s="91">
        <f t="shared" si="43"/>
        <v>0</v>
      </c>
      <c r="AC83" s="92">
        <f t="shared" si="44"/>
        <v>0</v>
      </c>
      <c r="AD83"/>
    </row>
    <row r="84" spans="1:30" s="148" customFormat="1" ht="48.6" customHeight="1" x14ac:dyDescent="0.45">
      <c r="A84" s="143">
        <v>9</v>
      </c>
      <c r="B84" s="322"/>
      <c r="C84" s="79"/>
      <c r="D84" s="79"/>
      <c r="E84" s="272"/>
      <c r="F84" s="272"/>
      <c r="G84" s="272"/>
      <c r="H84" s="272"/>
      <c r="I84" s="272"/>
      <c r="J84" s="272"/>
      <c r="K84" s="272"/>
      <c r="L84" s="272"/>
      <c r="M84" s="285"/>
      <c r="N84" s="285"/>
      <c r="O84" s="145" t="s">
        <v>36</v>
      </c>
      <c r="P84" s="322"/>
      <c r="Q84" s="322"/>
      <c r="R84" s="322"/>
      <c r="S84" s="322"/>
      <c r="T84" s="322"/>
      <c r="U84" s="322"/>
      <c r="V84" s="322"/>
      <c r="W84" s="217">
        <f t="shared" si="25"/>
        <v>0</v>
      </c>
      <c r="X84" s="146">
        <f>SUMIFS('Đơn giá'!C:C,'Đơn giá'!B:B,XUẤT!O84)</f>
        <v>52000</v>
      </c>
      <c r="Y84" s="147">
        <f t="shared" si="28"/>
        <v>0</v>
      </c>
      <c r="Z84" s="277"/>
      <c r="AA84" s="316"/>
      <c r="AB84" s="145">
        <f t="shared" si="43"/>
        <v>0</v>
      </c>
      <c r="AC84" s="146">
        <f t="shared" si="44"/>
        <v>0</v>
      </c>
      <c r="AD84"/>
    </row>
    <row r="85" spans="1:30" s="148" customFormat="1" ht="55.8" customHeight="1" x14ac:dyDescent="0.45">
      <c r="A85" s="143">
        <v>10</v>
      </c>
      <c r="B85" s="322"/>
      <c r="C85" s="79"/>
      <c r="D85" s="79"/>
      <c r="E85" s="272"/>
      <c r="F85" s="272"/>
      <c r="G85" s="272"/>
      <c r="H85" s="272"/>
      <c r="I85" s="272"/>
      <c r="J85" s="272"/>
      <c r="K85" s="272"/>
      <c r="L85" s="272"/>
      <c r="M85" s="285"/>
      <c r="N85" s="285"/>
      <c r="O85" s="145" t="s">
        <v>36</v>
      </c>
      <c r="P85" s="322"/>
      <c r="Q85" s="322"/>
      <c r="R85" s="322"/>
      <c r="S85" s="322"/>
      <c r="T85" s="322"/>
      <c r="U85" s="322"/>
      <c r="V85" s="322"/>
      <c r="W85" s="217">
        <f t="shared" si="25"/>
        <v>0</v>
      </c>
      <c r="X85" s="146">
        <f>SUMIFS('Đơn giá'!C:C,'Đơn giá'!B:B,XUẤT!O85)</f>
        <v>52000</v>
      </c>
      <c r="Y85" s="147">
        <f t="shared" si="28"/>
        <v>0</v>
      </c>
      <c r="Z85" s="277"/>
      <c r="AA85" s="316"/>
      <c r="AB85" s="91">
        <f t="shared" si="43"/>
        <v>0</v>
      </c>
      <c r="AC85" s="92">
        <f t="shared" si="44"/>
        <v>0</v>
      </c>
      <c r="AD85"/>
    </row>
    <row r="86" spans="1:30" s="148" customFormat="1" ht="42" customHeight="1" x14ac:dyDescent="0.45">
      <c r="A86" s="143">
        <v>11</v>
      </c>
      <c r="B86" s="322"/>
      <c r="C86" s="79"/>
      <c r="D86" s="79"/>
      <c r="E86" s="272"/>
      <c r="F86" s="272"/>
      <c r="G86" s="272"/>
      <c r="H86" s="272"/>
      <c r="I86" s="272"/>
      <c r="J86" s="272"/>
      <c r="K86" s="272"/>
      <c r="L86" s="272"/>
      <c r="M86" s="285"/>
      <c r="N86" s="285"/>
      <c r="O86" s="145" t="s">
        <v>36</v>
      </c>
      <c r="P86" s="322"/>
      <c r="Q86" s="322"/>
      <c r="R86" s="322"/>
      <c r="S86" s="322"/>
      <c r="T86" s="322"/>
      <c r="U86" s="322"/>
      <c r="V86" s="322"/>
      <c r="W86" s="217">
        <f t="shared" si="25"/>
        <v>0</v>
      </c>
      <c r="X86" s="146">
        <f>SUMIFS('Đơn giá'!C:C,'Đơn giá'!B:B,XUẤT!O86)</f>
        <v>52000</v>
      </c>
      <c r="Y86" s="147">
        <f t="shared" si="28"/>
        <v>0</v>
      </c>
      <c r="Z86" s="277"/>
      <c r="AA86" s="316"/>
      <c r="AB86" s="91">
        <f t="shared" si="43"/>
        <v>0</v>
      </c>
      <c r="AC86" s="92">
        <f t="shared" si="44"/>
        <v>0</v>
      </c>
      <c r="AD86"/>
    </row>
    <row r="87" spans="1:30" s="148" customFormat="1" ht="45" customHeight="1" x14ac:dyDescent="0.45">
      <c r="A87" s="143">
        <v>1</v>
      </c>
      <c r="B87" s="322"/>
      <c r="C87" s="79"/>
      <c r="D87" s="79"/>
      <c r="E87" s="272"/>
      <c r="F87" s="272"/>
      <c r="G87" s="272"/>
      <c r="H87" s="272"/>
      <c r="I87" s="272"/>
      <c r="J87" s="272"/>
      <c r="K87" s="272"/>
      <c r="L87" s="272"/>
      <c r="M87" s="285"/>
      <c r="N87" s="285"/>
      <c r="O87" s="145" t="s">
        <v>36</v>
      </c>
      <c r="P87" s="322"/>
      <c r="Q87" s="322"/>
      <c r="R87" s="322"/>
      <c r="S87" s="322"/>
      <c r="T87" s="322"/>
      <c r="U87" s="322"/>
      <c r="V87" s="322"/>
      <c r="W87" s="217">
        <f t="shared" si="25"/>
        <v>0</v>
      </c>
      <c r="X87" s="146">
        <f>SUMIFS('Đơn giá'!C:C,'Đơn giá'!B:B,XUẤT!O87)</f>
        <v>52000</v>
      </c>
      <c r="Y87" s="147">
        <f t="shared" si="28"/>
        <v>0</v>
      </c>
      <c r="Z87" s="277"/>
      <c r="AA87" s="316"/>
      <c r="AB87" s="91">
        <f t="shared" si="43"/>
        <v>0</v>
      </c>
      <c r="AC87" s="92">
        <f t="shared" si="44"/>
        <v>0</v>
      </c>
      <c r="AD87"/>
    </row>
    <row r="88" spans="1:30" s="148" customFormat="1" ht="45" customHeight="1" x14ac:dyDescent="0.45">
      <c r="A88" s="143">
        <v>2</v>
      </c>
      <c r="B88" s="322"/>
      <c r="C88" s="79"/>
      <c r="D88" s="79"/>
      <c r="E88" s="272"/>
      <c r="F88" s="272"/>
      <c r="G88" s="272"/>
      <c r="H88" s="272"/>
      <c r="I88" s="272"/>
      <c r="J88" s="272"/>
      <c r="K88" s="272"/>
      <c r="L88" s="272"/>
      <c r="M88" s="285"/>
      <c r="N88" s="285"/>
      <c r="O88" s="145" t="s">
        <v>36</v>
      </c>
      <c r="P88" s="322"/>
      <c r="Q88" s="322"/>
      <c r="R88" s="322"/>
      <c r="S88" s="322"/>
      <c r="T88" s="322"/>
      <c r="U88" s="322"/>
      <c r="V88" s="322"/>
      <c r="W88" s="217">
        <f t="shared" si="25"/>
        <v>0</v>
      </c>
      <c r="X88" s="146">
        <f>SUMIFS('Đơn giá'!C:C,'Đơn giá'!B:B,XUẤT!O88)</f>
        <v>52000</v>
      </c>
      <c r="Y88" s="147">
        <f t="shared" si="28"/>
        <v>0</v>
      </c>
      <c r="Z88" s="277"/>
      <c r="AA88" s="316"/>
      <c r="AB88" s="91">
        <f t="shared" si="43"/>
        <v>0</v>
      </c>
      <c r="AC88" s="92">
        <f t="shared" si="44"/>
        <v>0</v>
      </c>
      <c r="AD88"/>
    </row>
    <row r="89" spans="1:30" s="148" customFormat="1" ht="45" customHeight="1" x14ac:dyDescent="0.45">
      <c r="A89" s="143">
        <v>3</v>
      </c>
      <c r="B89" s="322"/>
      <c r="C89" s="79"/>
      <c r="D89" s="79"/>
      <c r="E89" s="272"/>
      <c r="F89" s="272"/>
      <c r="G89" s="272"/>
      <c r="H89" s="272"/>
      <c r="I89" s="272"/>
      <c r="J89" s="272"/>
      <c r="K89" s="272"/>
      <c r="L89" s="272"/>
      <c r="M89" s="285"/>
      <c r="N89" s="285"/>
      <c r="O89" s="145" t="s">
        <v>36</v>
      </c>
      <c r="P89" s="322"/>
      <c r="Q89" s="322"/>
      <c r="R89" s="322"/>
      <c r="S89" s="322"/>
      <c r="T89" s="322"/>
      <c r="U89" s="322"/>
      <c r="V89" s="322"/>
      <c r="W89" s="217">
        <f t="shared" si="25"/>
        <v>0</v>
      </c>
      <c r="X89" s="146">
        <f>SUMIFS('Đơn giá'!C:C,'Đơn giá'!B:B,XUẤT!O89)</f>
        <v>52000</v>
      </c>
      <c r="Y89" s="147">
        <f t="shared" si="28"/>
        <v>0</v>
      </c>
      <c r="Z89" s="277"/>
      <c r="AA89" s="316"/>
      <c r="AB89" s="91">
        <f t="shared" si="43"/>
        <v>0</v>
      </c>
      <c r="AC89" s="92">
        <f t="shared" si="44"/>
        <v>0</v>
      </c>
      <c r="AD89"/>
    </row>
    <row r="90" spans="1:30" s="148" customFormat="1" ht="45" customHeight="1" x14ac:dyDescent="0.45">
      <c r="A90" s="143">
        <v>4</v>
      </c>
      <c r="B90" s="322"/>
      <c r="C90" s="79"/>
      <c r="D90" s="79"/>
      <c r="E90" s="272"/>
      <c r="F90" s="272"/>
      <c r="G90" s="272"/>
      <c r="H90" s="272"/>
      <c r="I90" s="272"/>
      <c r="J90" s="272"/>
      <c r="K90" s="272"/>
      <c r="L90" s="272"/>
      <c r="M90" s="285"/>
      <c r="N90" s="285"/>
      <c r="O90" s="145" t="s">
        <v>36</v>
      </c>
      <c r="P90" s="322"/>
      <c r="Q90" s="322"/>
      <c r="R90" s="322"/>
      <c r="S90" s="322"/>
      <c r="T90" s="322"/>
      <c r="U90" s="322"/>
      <c r="V90" s="322"/>
      <c r="W90" s="217">
        <f t="shared" si="25"/>
        <v>0</v>
      </c>
      <c r="X90" s="146">
        <f>SUMIFS('Đơn giá'!C:C,'Đơn giá'!B:B,XUẤT!O90)</f>
        <v>52000</v>
      </c>
      <c r="Y90" s="147">
        <f t="shared" si="28"/>
        <v>0</v>
      </c>
      <c r="Z90" s="277"/>
      <c r="AA90" s="316"/>
      <c r="AB90" s="91">
        <f t="shared" si="43"/>
        <v>0</v>
      </c>
      <c r="AC90" s="92">
        <f t="shared" si="44"/>
        <v>0</v>
      </c>
      <c r="AD90"/>
    </row>
    <row r="91" spans="1:30" s="148" customFormat="1" ht="45" customHeight="1" x14ac:dyDescent="0.45">
      <c r="A91" s="143">
        <v>5</v>
      </c>
      <c r="B91" s="322"/>
      <c r="C91" s="79"/>
      <c r="D91" s="79"/>
      <c r="E91" s="272"/>
      <c r="F91" s="272"/>
      <c r="G91" s="272"/>
      <c r="H91" s="272"/>
      <c r="I91" s="272"/>
      <c r="J91" s="272"/>
      <c r="K91" s="272"/>
      <c r="L91" s="272"/>
      <c r="M91" s="285"/>
      <c r="N91" s="285"/>
      <c r="O91" s="145" t="s">
        <v>36</v>
      </c>
      <c r="P91" s="322"/>
      <c r="Q91" s="322"/>
      <c r="R91" s="322"/>
      <c r="S91" s="322"/>
      <c r="T91" s="322"/>
      <c r="U91" s="322"/>
      <c r="V91" s="322"/>
      <c r="W91" s="217">
        <f t="shared" si="25"/>
        <v>0</v>
      </c>
      <c r="X91" s="146">
        <v>98000</v>
      </c>
      <c r="Y91" s="147">
        <f t="shared" si="28"/>
        <v>0</v>
      </c>
      <c r="Z91" s="277"/>
      <c r="AA91" s="316"/>
      <c r="AB91" s="91">
        <f t="shared" si="43"/>
        <v>0</v>
      </c>
      <c r="AC91" s="92">
        <f t="shared" si="44"/>
        <v>0</v>
      </c>
      <c r="AD91" s="145"/>
    </row>
    <row r="92" spans="1:30" s="148" customFormat="1" ht="45" customHeight="1" x14ac:dyDescent="0.45">
      <c r="A92" s="143">
        <v>6</v>
      </c>
      <c r="B92" s="322"/>
      <c r="C92" s="79"/>
      <c r="D92" s="79"/>
      <c r="E92" s="272"/>
      <c r="F92" s="272"/>
      <c r="G92" s="272"/>
      <c r="H92" s="272"/>
      <c r="I92" s="272"/>
      <c r="J92" s="272"/>
      <c r="K92" s="272"/>
      <c r="L92" s="272"/>
      <c r="M92" s="285"/>
      <c r="N92" s="285"/>
      <c r="O92" s="145" t="s">
        <v>36</v>
      </c>
      <c r="P92" s="322"/>
      <c r="Q92" s="322"/>
      <c r="R92" s="322"/>
      <c r="S92" s="322"/>
      <c r="T92" s="322"/>
      <c r="U92" s="322"/>
      <c r="V92" s="322"/>
      <c r="W92" s="217">
        <f t="shared" si="25"/>
        <v>0</v>
      </c>
      <c r="X92" s="146">
        <f>SUMIFS('Đơn giá'!C:C,'Đơn giá'!B:B,XUẤT!O92)</f>
        <v>52000</v>
      </c>
      <c r="Y92" s="147">
        <f t="shared" si="28"/>
        <v>0</v>
      </c>
      <c r="Z92" s="277"/>
      <c r="AA92" s="316"/>
      <c r="AB92" s="91">
        <f t="shared" si="43"/>
        <v>0</v>
      </c>
      <c r="AC92" s="92">
        <f t="shared" si="44"/>
        <v>0</v>
      </c>
      <c r="AD92" s="145"/>
    </row>
    <row r="93" spans="1:30" s="216" customFormat="1" ht="45" customHeight="1" x14ac:dyDescent="0.45">
      <c r="A93" s="197">
        <v>7</v>
      </c>
      <c r="B93" s="322"/>
      <c r="C93" s="79"/>
      <c r="D93" s="79"/>
      <c r="E93" s="272"/>
      <c r="F93" s="272"/>
      <c r="G93" s="272"/>
      <c r="H93" s="272"/>
      <c r="I93" s="272"/>
      <c r="J93" s="272"/>
      <c r="K93" s="272"/>
      <c r="L93" s="272"/>
      <c r="M93" s="285"/>
      <c r="N93" s="285"/>
      <c r="O93" s="145" t="s">
        <v>36</v>
      </c>
      <c r="P93" s="322"/>
      <c r="Q93" s="322"/>
      <c r="R93" s="322"/>
      <c r="S93" s="322"/>
      <c r="T93" s="322"/>
      <c r="U93" s="322"/>
      <c r="V93" s="322"/>
      <c r="W93" s="217">
        <f t="shared" si="25"/>
        <v>0</v>
      </c>
      <c r="X93" s="146">
        <v>98000</v>
      </c>
      <c r="Y93" s="147">
        <f>P93*X93</f>
        <v>0</v>
      </c>
      <c r="Z93" s="277"/>
      <c r="AA93" s="316"/>
      <c r="AB93" s="91">
        <f t="shared" si="43"/>
        <v>0</v>
      </c>
      <c r="AC93" s="92">
        <f t="shared" si="44"/>
        <v>0</v>
      </c>
      <c r="AD93" s="198"/>
    </row>
    <row r="94" spans="1:30" s="148" customFormat="1" ht="78" customHeight="1" x14ac:dyDescent="0.45">
      <c r="A94" s="143">
        <v>1</v>
      </c>
      <c r="B94" s="322"/>
      <c r="C94" s="79"/>
      <c r="D94" s="79"/>
      <c r="E94" s="272"/>
      <c r="F94" s="272"/>
      <c r="G94" s="272"/>
      <c r="H94" s="272"/>
      <c r="I94" s="272"/>
      <c r="J94" s="272"/>
      <c r="K94" s="272"/>
      <c r="L94" s="272"/>
      <c r="M94" s="285"/>
      <c r="N94" s="285"/>
      <c r="O94" s="145" t="s">
        <v>36</v>
      </c>
      <c r="P94" s="322"/>
      <c r="Q94" s="322"/>
      <c r="R94" s="322"/>
      <c r="S94" s="322"/>
      <c r="T94" s="322"/>
      <c r="U94" s="322"/>
      <c r="V94" s="322"/>
      <c r="W94" s="217">
        <f t="shared" si="25"/>
        <v>0</v>
      </c>
      <c r="X94" s="146">
        <f>SUMIFS('Đơn giá'!C:C,'Đơn giá'!B:B,XUẤT!O94)</f>
        <v>52000</v>
      </c>
      <c r="Y94" s="147">
        <f t="shared" si="28"/>
        <v>0</v>
      </c>
      <c r="Z94" s="277"/>
      <c r="AA94" s="316"/>
      <c r="AB94" s="91">
        <f t="shared" si="43"/>
        <v>0</v>
      </c>
      <c r="AC94" s="92">
        <f t="shared" si="44"/>
        <v>0</v>
      </c>
      <c r="AD94" s="7"/>
    </row>
    <row r="95" spans="1:30" s="148" customFormat="1" ht="71.400000000000006" customHeight="1" x14ac:dyDescent="0.45">
      <c r="A95" s="143">
        <v>2</v>
      </c>
      <c r="B95" s="322"/>
      <c r="C95" s="79"/>
      <c r="D95" s="79"/>
      <c r="E95" s="272"/>
      <c r="F95" s="272"/>
      <c r="G95" s="272"/>
      <c r="H95" s="272"/>
      <c r="I95" s="272"/>
      <c r="J95" s="272"/>
      <c r="K95" s="272"/>
      <c r="L95" s="272"/>
      <c r="M95" s="285"/>
      <c r="N95" s="285"/>
      <c r="O95" s="145" t="s">
        <v>36</v>
      </c>
      <c r="P95" s="322"/>
      <c r="Q95" s="322"/>
      <c r="R95" s="322"/>
      <c r="S95" s="322"/>
      <c r="T95" s="322"/>
      <c r="U95" s="322"/>
      <c r="V95" s="322"/>
      <c r="W95" s="217">
        <f t="shared" si="25"/>
        <v>0</v>
      </c>
      <c r="X95" s="146">
        <f>SUMIFS('Đơn giá'!C:C,'Đơn giá'!B:B,XUẤT!O95)</f>
        <v>52000</v>
      </c>
      <c r="Y95" s="147">
        <f t="shared" si="28"/>
        <v>0</v>
      </c>
      <c r="Z95" s="277"/>
      <c r="AA95" s="316"/>
      <c r="AB95" s="91">
        <f t="shared" si="43"/>
        <v>0</v>
      </c>
      <c r="AC95" s="92">
        <f t="shared" si="44"/>
        <v>0</v>
      </c>
      <c r="AD95" s="145"/>
    </row>
    <row r="96" spans="1:30" s="148" customFormat="1" ht="71.400000000000006" customHeight="1" x14ac:dyDescent="0.45">
      <c r="A96" s="143">
        <v>3</v>
      </c>
      <c r="B96" s="322"/>
      <c r="C96" s="79"/>
      <c r="D96" s="79"/>
      <c r="E96" s="272"/>
      <c r="F96" s="272"/>
      <c r="G96" s="272"/>
      <c r="H96" s="272"/>
      <c r="I96" s="272"/>
      <c r="J96" s="272"/>
      <c r="K96" s="272"/>
      <c r="L96" s="272"/>
      <c r="M96" s="285"/>
      <c r="N96" s="285"/>
      <c r="O96" s="145" t="s">
        <v>36</v>
      </c>
      <c r="P96" s="322"/>
      <c r="Q96" s="322"/>
      <c r="R96" s="322"/>
      <c r="S96" s="322"/>
      <c r="T96" s="322"/>
      <c r="U96" s="322"/>
      <c r="V96" s="322"/>
      <c r="W96" s="217">
        <f t="shared" si="25"/>
        <v>0</v>
      </c>
      <c r="X96" s="146">
        <f>SUMIFS('Đơn giá'!C:C,'Đơn giá'!B:B,XUẤT!O96)</f>
        <v>52000</v>
      </c>
      <c r="Y96" s="147">
        <f t="shared" si="28"/>
        <v>0</v>
      </c>
      <c r="Z96" s="277"/>
      <c r="AA96" s="316"/>
      <c r="AB96" s="91">
        <f t="shared" si="43"/>
        <v>0</v>
      </c>
      <c r="AC96" s="92">
        <f t="shared" si="44"/>
        <v>0</v>
      </c>
      <c r="AD96" s="145"/>
    </row>
    <row r="97" spans="1:30" s="148" customFormat="1" ht="45" customHeight="1" x14ac:dyDescent="0.45">
      <c r="A97" s="143">
        <v>4</v>
      </c>
      <c r="B97" s="322"/>
      <c r="C97" s="79"/>
      <c r="D97" s="79"/>
      <c r="E97" s="272"/>
      <c r="F97" s="272"/>
      <c r="G97" s="272"/>
      <c r="H97" s="272"/>
      <c r="I97" s="272"/>
      <c r="J97" s="272"/>
      <c r="K97" s="272"/>
      <c r="L97" s="272"/>
      <c r="M97" s="285"/>
      <c r="N97" s="285"/>
      <c r="O97" s="145" t="s">
        <v>36</v>
      </c>
      <c r="P97" s="322"/>
      <c r="Q97" s="322"/>
      <c r="R97" s="322"/>
      <c r="S97" s="322"/>
      <c r="T97" s="322"/>
      <c r="U97" s="322"/>
      <c r="V97" s="322"/>
      <c r="W97" s="217">
        <f t="shared" si="25"/>
        <v>0</v>
      </c>
      <c r="X97" s="146">
        <f>SUMIFS('Đơn giá'!C:C,'Đơn giá'!B:B,XUẤT!O97)</f>
        <v>52000</v>
      </c>
      <c r="Y97" s="147">
        <f t="shared" si="28"/>
        <v>0</v>
      </c>
      <c r="Z97" s="277"/>
      <c r="AA97" s="316"/>
      <c r="AB97" s="145">
        <f t="shared" si="43"/>
        <v>0</v>
      </c>
      <c r="AC97" s="146">
        <f t="shared" si="44"/>
        <v>0</v>
      </c>
      <c r="AD97" s="145"/>
    </row>
    <row r="98" spans="1:30" s="148" customFormat="1" ht="79.8" customHeight="1" x14ac:dyDescent="0.45">
      <c r="A98" s="143">
        <v>5</v>
      </c>
      <c r="B98" s="322"/>
      <c r="C98" s="79"/>
      <c r="D98" s="79"/>
      <c r="E98" s="272"/>
      <c r="F98" s="272"/>
      <c r="G98" s="272"/>
      <c r="H98" s="272"/>
      <c r="I98" s="272"/>
      <c r="J98" s="272"/>
      <c r="K98" s="272"/>
      <c r="L98" s="272"/>
      <c r="M98" s="285"/>
      <c r="N98" s="285"/>
      <c r="O98" s="145" t="s">
        <v>36</v>
      </c>
      <c r="P98" s="322"/>
      <c r="Q98" s="322"/>
      <c r="R98" s="322"/>
      <c r="S98" s="322"/>
      <c r="T98" s="322"/>
      <c r="U98" s="322"/>
      <c r="V98" s="322"/>
      <c r="W98" s="217">
        <f t="shared" si="25"/>
        <v>0</v>
      </c>
      <c r="X98" s="146">
        <f>SUMIFS('Đơn giá'!C:C,'Đơn giá'!B:B,XUẤT!O98)</f>
        <v>52000</v>
      </c>
      <c r="Y98" s="147">
        <f t="shared" si="28"/>
        <v>0</v>
      </c>
      <c r="Z98" s="277"/>
      <c r="AA98" s="316"/>
      <c r="AB98" s="91">
        <f t="shared" si="43"/>
        <v>0</v>
      </c>
      <c r="AC98" s="92">
        <f t="shared" si="44"/>
        <v>0</v>
      </c>
      <c r="AD98" s="145"/>
    </row>
    <row r="99" spans="1:30" s="148" customFormat="1" ht="69" customHeight="1" x14ac:dyDescent="0.45">
      <c r="A99" s="143">
        <v>6</v>
      </c>
      <c r="B99" s="322"/>
      <c r="C99" s="79"/>
      <c r="D99" s="79"/>
      <c r="E99" s="272"/>
      <c r="F99" s="272"/>
      <c r="G99" s="272"/>
      <c r="H99" s="272"/>
      <c r="I99" s="272"/>
      <c r="J99" s="272"/>
      <c r="K99" s="272"/>
      <c r="L99" s="272"/>
      <c r="M99" s="285"/>
      <c r="N99" s="285"/>
      <c r="O99" s="145" t="s">
        <v>36</v>
      </c>
      <c r="P99" s="322"/>
      <c r="Q99" s="322"/>
      <c r="R99" s="322"/>
      <c r="S99" s="322"/>
      <c r="T99" s="322"/>
      <c r="U99" s="322"/>
      <c r="V99" s="322"/>
      <c r="W99" s="217">
        <f t="shared" si="25"/>
        <v>0</v>
      </c>
      <c r="X99" s="146">
        <f>SUMIFS('Đơn giá'!C:C,'Đơn giá'!B:B,XUẤT!O99)</f>
        <v>52000</v>
      </c>
      <c r="Y99" s="147">
        <f t="shared" si="28"/>
        <v>0</v>
      </c>
      <c r="Z99" s="277"/>
      <c r="AA99" s="316"/>
      <c r="AB99" s="91">
        <f t="shared" si="43"/>
        <v>0</v>
      </c>
      <c r="AC99" s="92">
        <f t="shared" si="44"/>
        <v>0</v>
      </c>
      <c r="AD99" s="145"/>
    </row>
    <row r="100" spans="1:30" s="148" customFormat="1" ht="148.80000000000001" customHeight="1" x14ac:dyDescent="0.45">
      <c r="A100" s="143">
        <v>7</v>
      </c>
      <c r="B100" s="322"/>
      <c r="C100" s="79"/>
      <c r="D100" s="79"/>
      <c r="E100" s="272"/>
      <c r="F100" s="272"/>
      <c r="G100" s="272"/>
      <c r="H100" s="272"/>
      <c r="I100" s="272"/>
      <c r="J100" s="272"/>
      <c r="K100" s="272"/>
      <c r="L100" s="272"/>
      <c r="M100" s="285"/>
      <c r="N100" s="285"/>
      <c r="O100" s="145" t="s">
        <v>36</v>
      </c>
      <c r="P100" s="322"/>
      <c r="Q100" s="322"/>
      <c r="R100" s="322"/>
      <c r="S100" s="322"/>
      <c r="T100" s="322"/>
      <c r="U100" s="322"/>
      <c r="V100" s="322"/>
      <c r="W100" s="217">
        <f t="shared" si="25"/>
        <v>0</v>
      </c>
      <c r="X100" s="146">
        <v>52000</v>
      </c>
      <c r="Y100" s="147">
        <f>T100*X100</f>
        <v>0</v>
      </c>
      <c r="Z100" s="277"/>
      <c r="AA100" s="316"/>
      <c r="AB100" s="91">
        <f t="shared" si="43"/>
        <v>0</v>
      </c>
      <c r="AC100" s="92">
        <f t="shared" si="44"/>
        <v>0</v>
      </c>
      <c r="AD100" s="145"/>
    </row>
    <row r="101" spans="1:30" s="148" customFormat="1" ht="71.400000000000006" customHeight="1" x14ac:dyDescent="0.45">
      <c r="A101" s="358">
        <v>8</v>
      </c>
      <c r="B101" s="322"/>
      <c r="C101" s="79"/>
      <c r="D101" s="79"/>
      <c r="E101" s="272"/>
      <c r="F101" s="272"/>
      <c r="G101" s="272"/>
      <c r="H101" s="272"/>
      <c r="I101" s="272"/>
      <c r="J101" s="272"/>
      <c r="K101" s="272"/>
      <c r="L101" s="272"/>
      <c r="M101" s="285"/>
      <c r="N101" s="285"/>
      <c r="O101" s="145" t="s">
        <v>36</v>
      </c>
      <c r="P101" s="322"/>
      <c r="Q101" s="322"/>
      <c r="R101" s="322"/>
      <c r="S101" s="322"/>
      <c r="T101" s="322"/>
      <c r="U101" s="322"/>
      <c r="V101" s="322"/>
      <c r="W101" s="217">
        <f t="shared" si="25"/>
        <v>0</v>
      </c>
      <c r="X101" s="146">
        <f>SUMIFS('Đơn giá'!C:C,'Đơn giá'!B:B,XUẤT!O101)</f>
        <v>52000</v>
      </c>
      <c r="Y101" s="147">
        <f>T101*X101</f>
        <v>0</v>
      </c>
      <c r="Z101" s="277"/>
      <c r="AA101" s="316"/>
      <c r="AB101" s="91">
        <f t="shared" si="43"/>
        <v>0</v>
      </c>
      <c r="AC101" s="92">
        <f t="shared" si="44"/>
        <v>0</v>
      </c>
      <c r="AD101" s="145"/>
    </row>
    <row r="102" spans="1:30" s="148" customFormat="1" ht="33" customHeight="1" x14ac:dyDescent="0.45">
      <c r="A102" s="358"/>
      <c r="B102" s="322"/>
      <c r="C102" s="79"/>
      <c r="D102" s="79"/>
      <c r="E102" s="272"/>
      <c r="F102" s="272"/>
      <c r="G102" s="272"/>
      <c r="H102" s="272"/>
      <c r="I102" s="272"/>
      <c r="J102" s="272"/>
      <c r="K102" s="272"/>
      <c r="L102" s="272"/>
      <c r="M102" s="285"/>
      <c r="N102" s="285"/>
      <c r="O102" s="145" t="s">
        <v>36</v>
      </c>
      <c r="P102" s="322"/>
      <c r="Q102" s="322"/>
      <c r="R102" s="322"/>
      <c r="S102" s="322"/>
      <c r="T102" s="322"/>
      <c r="U102" s="322"/>
      <c r="V102" s="322"/>
      <c r="W102" s="217">
        <f t="shared" si="25"/>
        <v>0</v>
      </c>
      <c r="X102" s="146">
        <f>SUMIFS('Đơn giá'!C:C,'Đơn giá'!B:B,XUẤT!O102)</f>
        <v>52000</v>
      </c>
      <c r="Y102" s="147">
        <f>S102*X102</f>
        <v>0</v>
      </c>
      <c r="Z102" s="277"/>
      <c r="AA102" s="316"/>
      <c r="AB102" s="91">
        <f t="shared" si="43"/>
        <v>0</v>
      </c>
      <c r="AC102" s="92">
        <f t="shared" si="44"/>
        <v>0</v>
      </c>
      <c r="AD102" s="145"/>
    </row>
    <row r="103" spans="1:30" s="148" customFormat="1" ht="57" customHeight="1" x14ac:dyDescent="0.45">
      <c r="A103" s="143">
        <v>9</v>
      </c>
      <c r="B103" s="322"/>
      <c r="C103" s="79"/>
      <c r="D103" s="79"/>
      <c r="E103" s="272"/>
      <c r="F103" s="272"/>
      <c r="G103" s="272"/>
      <c r="H103" s="272"/>
      <c r="I103" s="272"/>
      <c r="J103" s="272"/>
      <c r="K103" s="272"/>
      <c r="L103" s="272"/>
      <c r="M103" s="285"/>
      <c r="N103" s="285"/>
      <c r="O103" s="145" t="s">
        <v>36</v>
      </c>
      <c r="P103" s="322"/>
      <c r="Q103" s="322"/>
      <c r="R103" s="322"/>
      <c r="S103" s="322"/>
      <c r="T103" s="322"/>
      <c r="U103" s="322"/>
      <c r="V103" s="322"/>
      <c r="W103" s="217">
        <f t="shared" si="25"/>
        <v>0</v>
      </c>
      <c r="X103" s="146">
        <f>SUMIFS('Đơn giá'!C:C,'Đơn giá'!B:B,XUẤT!O103)</f>
        <v>52000</v>
      </c>
      <c r="Y103" s="147">
        <f t="shared" si="28"/>
        <v>0</v>
      </c>
      <c r="Z103" s="277"/>
      <c r="AA103" s="316"/>
      <c r="AB103" s="91">
        <f t="shared" si="43"/>
        <v>0</v>
      </c>
      <c r="AC103" s="92">
        <f t="shared" si="44"/>
        <v>0</v>
      </c>
      <c r="AD103" s="145"/>
    </row>
    <row r="104" spans="1:30" s="148" customFormat="1" ht="37.799999999999997" customHeight="1" x14ac:dyDescent="0.45">
      <c r="A104" s="143">
        <v>10</v>
      </c>
      <c r="B104" s="322"/>
      <c r="C104" s="79"/>
      <c r="D104" s="79"/>
      <c r="E104" s="272"/>
      <c r="F104" s="272"/>
      <c r="G104" s="272"/>
      <c r="H104" s="272"/>
      <c r="I104" s="272"/>
      <c r="J104" s="272"/>
      <c r="K104" s="272"/>
      <c r="L104" s="272"/>
      <c r="M104" s="285"/>
      <c r="N104" s="285"/>
      <c r="O104" s="145" t="s">
        <v>36</v>
      </c>
      <c r="P104" s="322"/>
      <c r="Q104" s="322"/>
      <c r="R104" s="322"/>
      <c r="S104" s="322"/>
      <c r="T104" s="322"/>
      <c r="U104" s="322"/>
      <c r="V104" s="322"/>
      <c r="W104" s="217">
        <f t="shared" si="25"/>
        <v>0</v>
      </c>
      <c r="X104" s="146">
        <f>SUMIFS('Đơn giá'!C:C,'Đơn giá'!B:B,XUẤT!O104)</f>
        <v>52000</v>
      </c>
      <c r="Y104" s="147">
        <f t="shared" si="28"/>
        <v>0</v>
      </c>
      <c r="Z104" s="277"/>
      <c r="AA104" s="316"/>
      <c r="AB104" s="91">
        <f t="shared" si="43"/>
        <v>0</v>
      </c>
      <c r="AC104" s="92">
        <f t="shared" si="44"/>
        <v>0</v>
      </c>
      <c r="AD104" s="145" t="s">
        <v>481</v>
      </c>
    </row>
    <row r="105" spans="1:30" s="148" customFormat="1" ht="32.4" customHeight="1" x14ac:dyDescent="0.45">
      <c r="A105" s="143">
        <v>11</v>
      </c>
      <c r="B105" s="322"/>
      <c r="C105" s="79"/>
      <c r="D105" s="79"/>
      <c r="E105" s="272"/>
      <c r="F105" s="272"/>
      <c r="G105" s="272"/>
      <c r="H105" s="272"/>
      <c r="I105" s="272"/>
      <c r="J105" s="272"/>
      <c r="K105" s="272"/>
      <c r="L105" s="272"/>
      <c r="M105" s="285"/>
      <c r="N105" s="285"/>
      <c r="O105" s="145" t="s">
        <v>36</v>
      </c>
      <c r="P105" s="322"/>
      <c r="Q105" s="322"/>
      <c r="R105" s="322"/>
      <c r="S105" s="322"/>
      <c r="T105" s="322"/>
      <c r="U105" s="322"/>
      <c r="V105" s="322"/>
      <c r="W105" s="217">
        <f t="shared" si="25"/>
        <v>0</v>
      </c>
      <c r="X105" s="146">
        <f>SUMIFS('Đơn giá'!C:C,'Đơn giá'!B:B,XUẤT!O105)</f>
        <v>52000</v>
      </c>
      <c r="Y105" s="147">
        <f t="shared" si="28"/>
        <v>0</v>
      </c>
      <c r="Z105" s="277"/>
      <c r="AA105" s="316"/>
      <c r="AB105" s="91">
        <f t="shared" si="43"/>
        <v>0</v>
      </c>
      <c r="AC105" s="92">
        <f t="shared" si="44"/>
        <v>0</v>
      </c>
      <c r="AD105" s="145"/>
    </row>
    <row r="106" spans="1:30" s="148" customFormat="1" ht="116.4" customHeight="1" x14ac:dyDescent="0.45">
      <c r="A106" s="143">
        <v>1</v>
      </c>
      <c r="B106" s="322"/>
      <c r="C106" s="79"/>
      <c r="D106" s="79"/>
      <c r="E106" s="272"/>
      <c r="F106" s="272"/>
      <c r="G106" s="272"/>
      <c r="H106" s="272"/>
      <c r="I106" s="272"/>
      <c r="J106" s="272"/>
      <c r="K106" s="272"/>
      <c r="L106" s="272"/>
      <c r="M106" s="285"/>
      <c r="N106" s="285"/>
      <c r="O106" s="144" t="s">
        <v>36</v>
      </c>
      <c r="P106" s="322"/>
      <c r="Q106" s="322"/>
      <c r="R106" s="322"/>
      <c r="S106" s="322"/>
      <c r="T106" s="322"/>
      <c r="U106" s="322"/>
      <c r="V106" s="322"/>
      <c r="W106" s="217">
        <f t="shared" si="25"/>
        <v>0</v>
      </c>
      <c r="X106" s="146">
        <f>SUMIFS('Đơn giá'!C:C,'Đơn giá'!B:B,XUẤT!O106)</f>
        <v>52000</v>
      </c>
      <c r="Y106" s="147">
        <f>T106*X106</f>
        <v>0</v>
      </c>
      <c r="Z106" s="277"/>
      <c r="AA106" s="316"/>
      <c r="AB106" s="91">
        <f t="shared" si="43"/>
        <v>0</v>
      </c>
      <c r="AC106" s="92">
        <f t="shared" si="44"/>
        <v>0</v>
      </c>
      <c r="AD106" s="145"/>
    </row>
    <row r="107" spans="1:30" s="148" customFormat="1" ht="46.8" customHeight="1" x14ac:dyDescent="0.45">
      <c r="A107" s="358">
        <v>2</v>
      </c>
      <c r="B107" s="322"/>
      <c r="C107" s="79"/>
      <c r="D107" s="79"/>
      <c r="E107" s="272"/>
      <c r="F107" s="272"/>
      <c r="G107" s="272"/>
      <c r="H107" s="272"/>
      <c r="I107" s="272"/>
      <c r="J107" s="272"/>
      <c r="K107" s="272"/>
      <c r="L107" s="272"/>
      <c r="M107" s="285"/>
      <c r="N107" s="285"/>
      <c r="O107" s="144" t="s">
        <v>36</v>
      </c>
      <c r="P107" s="322"/>
      <c r="Q107" s="322"/>
      <c r="R107" s="322"/>
      <c r="S107" s="322"/>
      <c r="T107" s="322"/>
      <c r="U107" s="322"/>
      <c r="V107" s="322"/>
      <c r="W107" s="217">
        <f t="shared" si="25"/>
        <v>0</v>
      </c>
      <c r="X107" s="146">
        <f>SUMIFS('Đơn giá'!C:C,'Đơn giá'!B:B,XUẤT!O107)</f>
        <v>52000</v>
      </c>
      <c r="Y107" s="147">
        <f t="shared" ref="Y107" si="45">T107*X107</f>
        <v>0</v>
      </c>
      <c r="Z107" s="277"/>
      <c r="AA107" s="316"/>
      <c r="AB107" s="91">
        <f t="shared" si="43"/>
        <v>0</v>
      </c>
      <c r="AC107" s="92">
        <f t="shared" si="44"/>
        <v>0</v>
      </c>
      <c r="AD107" s="145"/>
    </row>
    <row r="108" spans="1:30" s="148" customFormat="1" ht="76.2" customHeight="1" x14ac:dyDescent="0.45">
      <c r="A108" s="358"/>
      <c r="B108" s="322"/>
      <c r="C108" s="79"/>
      <c r="D108" s="79"/>
      <c r="E108" s="272"/>
      <c r="F108" s="272"/>
      <c r="G108" s="272"/>
      <c r="H108" s="272"/>
      <c r="I108" s="272"/>
      <c r="J108" s="272"/>
      <c r="K108" s="272"/>
      <c r="L108" s="272"/>
      <c r="M108" s="285"/>
      <c r="N108" s="285"/>
      <c r="O108" s="144" t="s">
        <v>28</v>
      </c>
      <c r="P108" s="322"/>
      <c r="Q108" s="322"/>
      <c r="R108" s="322"/>
      <c r="S108" s="322"/>
      <c r="T108" s="322"/>
      <c r="U108" s="322"/>
      <c r="V108" s="322"/>
      <c r="W108" s="217">
        <f t="shared" si="25"/>
        <v>0</v>
      </c>
      <c r="X108" s="146">
        <f>SUMIFS('Đơn giá'!C:C,'Đơn giá'!B:B,XUẤT!O108)</f>
        <v>85000</v>
      </c>
      <c r="Y108" s="147">
        <f>Q108*X108</f>
        <v>0</v>
      </c>
      <c r="Z108" s="277"/>
      <c r="AA108" s="316"/>
      <c r="AB108" s="91">
        <f t="shared" si="43"/>
        <v>0</v>
      </c>
      <c r="AC108" s="92">
        <f t="shared" si="44"/>
        <v>0</v>
      </c>
      <c r="AD108" s="217"/>
    </row>
    <row r="109" spans="1:30" s="148" customFormat="1" ht="55.2" customHeight="1" x14ac:dyDescent="0.45">
      <c r="A109" s="358">
        <v>3</v>
      </c>
      <c r="B109" s="322"/>
      <c r="C109" s="79"/>
      <c r="D109" s="79"/>
      <c r="E109" s="272"/>
      <c r="F109" s="272"/>
      <c r="G109" s="272"/>
      <c r="H109" s="272"/>
      <c r="I109" s="272"/>
      <c r="J109" s="272"/>
      <c r="K109" s="272"/>
      <c r="L109" s="272"/>
      <c r="M109" s="285"/>
      <c r="N109" s="285"/>
      <c r="O109" s="144" t="s">
        <v>25</v>
      </c>
      <c r="P109" s="322"/>
      <c r="Q109" s="322"/>
      <c r="R109" s="322"/>
      <c r="S109" s="322"/>
      <c r="T109" s="322"/>
      <c r="U109" s="322"/>
      <c r="V109" s="322"/>
      <c r="W109" s="217">
        <f t="shared" si="25"/>
        <v>0</v>
      </c>
      <c r="X109" s="146">
        <f>SUMIFS('Đơn giá'!C:C,'Đơn giá'!B:B,XUẤT!O109)</f>
        <v>98000</v>
      </c>
      <c r="Y109" s="147">
        <f t="shared" si="28"/>
        <v>0</v>
      </c>
      <c r="Z109" s="277"/>
      <c r="AA109" s="316"/>
      <c r="AB109" s="91">
        <f t="shared" si="43"/>
        <v>0</v>
      </c>
      <c r="AC109" s="92">
        <f t="shared" si="44"/>
        <v>0</v>
      </c>
      <c r="AD109" s="145"/>
    </row>
    <row r="110" spans="1:30" s="148" customFormat="1" ht="55.2" customHeight="1" x14ac:dyDescent="0.45">
      <c r="A110" s="358"/>
      <c r="B110" s="322"/>
      <c r="C110" s="79"/>
      <c r="D110" s="79"/>
      <c r="E110" s="272"/>
      <c r="F110" s="272"/>
      <c r="G110" s="272"/>
      <c r="H110" s="272"/>
      <c r="I110" s="272"/>
      <c r="J110" s="272"/>
      <c r="K110" s="272"/>
      <c r="L110" s="272"/>
      <c r="M110" s="285"/>
      <c r="N110" s="285"/>
      <c r="O110" s="144" t="s">
        <v>38</v>
      </c>
      <c r="P110" s="322"/>
      <c r="Q110" s="322"/>
      <c r="R110" s="322"/>
      <c r="S110" s="322"/>
      <c r="T110" s="322"/>
      <c r="U110" s="322"/>
      <c r="V110" s="322"/>
      <c r="W110" s="217">
        <f t="shared" si="25"/>
        <v>0</v>
      </c>
      <c r="X110" s="146">
        <f>SUMIFS('Đơn giá'!C:C,'Đơn giá'!B:B,XUẤT!O110)</f>
        <v>48000</v>
      </c>
      <c r="Y110" s="147">
        <f>U110*X110</f>
        <v>0</v>
      </c>
      <c r="Z110" s="277"/>
      <c r="AA110" s="316"/>
      <c r="AB110" s="91">
        <f t="shared" si="43"/>
        <v>0</v>
      </c>
      <c r="AC110" s="92">
        <f t="shared" si="44"/>
        <v>0</v>
      </c>
      <c r="AD110" s="145"/>
    </row>
    <row r="111" spans="1:30" s="148" customFormat="1" ht="55.2" customHeight="1" x14ac:dyDescent="0.45">
      <c r="A111" s="358">
        <v>4</v>
      </c>
      <c r="B111" s="322"/>
      <c r="C111" s="79"/>
      <c r="D111" s="79"/>
      <c r="E111" s="272"/>
      <c r="F111" s="272"/>
      <c r="G111" s="272"/>
      <c r="H111" s="272"/>
      <c r="I111" s="272"/>
      <c r="J111" s="272"/>
      <c r="K111" s="272"/>
      <c r="L111" s="272"/>
      <c r="M111" s="285"/>
      <c r="N111" s="285"/>
      <c r="O111" s="144" t="s">
        <v>25</v>
      </c>
      <c r="P111" s="322"/>
      <c r="Q111" s="322"/>
      <c r="R111" s="322"/>
      <c r="S111" s="322"/>
      <c r="T111" s="322"/>
      <c r="U111" s="322"/>
      <c r="V111" s="322"/>
      <c r="W111" s="217">
        <f t="shared" si="25"/>
        <v>0</v>
      </c>
      <c r="X111" s="146">
        <f>SUMIFS('Đơn giá'!C:C,'Đơn giá'!B:B,XUẤT!O111)</f>
        <v>98000</v>
      </c>
      <c r="Y111" s="147">
        <f t="shared" si="28"/>
        <v>0</v>
      </c>
      <c r="Z111" s="277"/>
      <c r="AA111" s="316"/>
      <c r="AB111" s="91">
        <f t="shared" si="43"/>
        <v>0</v>
      </c>
      <c r="AC111" s="92">
        <f t="shared" si="44"/>
        <v>0</v>
      </c>
      <c r="AD111" s="145"/>
    </row>
    <row r="112" spans="1:30" s="148" customFormat="1" ht="71.400000000000006" customHeight="1" x14ac:dyDescent="0.45">
      <c r="A112" s="358"/>
      <c r="B112" s="322"/>
      <c r="C112" s="79"/>
      <c r="D112" s="79"/>
      <c r="E112" s="272"/>
      <c r="F112" s="272"/>
      <c r="G112" s="272"/>
      <c r="H112" s="272"/>
      <c r="I112" s="272"/>
      <c r="J112" s="272"/>
      <c r="K112" s="272"/>
      <c r="L112" s="272"/>
      <c r="M112" s="285"/>
      <c r="N112" s="285"/>
      <c r="O112" s="144" t="s">
        <v>38</v>
      </c>
      <c r="P112" s="322"/>
      <c r="Q112" s="322"/>
      <c r="R112" s="322"/>
      <c r="S112" s="322"/>
      <c r="T112" s="322"/>
      <c r="U112" s="322"/>
      <c r="V112" s="322"/>
      <c r="W112" s="217">
        <f t="shared" si="25"/>
        <v>0</v>
      </c>
      <c r="X112" s="146">
        <f>SUMIFS('Đơn giá'!C:C,'Đơn giá'!B:B,XUẤT!O112)</f>
        <v>48000</v>
      </c>
      <c r="Y112" s="147">
        <f>X112*U112</f>
        <v>0</v>
      </c>
      <c r="Z112" s="277"/>
      <c r="AA112" s="316"/>
      <c r="AB112" s="91">
        <f t="shared" si="43"/>
        <v>0</v>
      </c>
      <c r="AC112" s="92">
        <f t="shared" si="44"/>
        <v>0</v>
      </c>
      <c r="AD112" s="145"/>
    </row>
    <row r="113" spans="1:30" s="148" customFormat="1" ht="69" customHeight="1" x14ac:dyDescent="0.45">
      <c r="A113" s="143">
        <v>6</v>
      </c>
      <c r="B113" s="322"/>
      <c r="C113" s="79"/>
      <c r="D113" s="79"/>
      <c r="E113" s="272"/>
      <c r="F113" s="272"/>
      <c r="G113" s="272"/>
      <c r="H113" s="272"/>
      <c r="I113" s="272"/>
      <c r="J113" s="272"/>
      <c r="K113" s="272"/>
      <c r="L113" s="272"/>
      <c r="M113" s="285"/>
      <c r="N113" s="285"/>
      <c r="O113" s="144" t="s">
        <v>36</v>
      </c>
      <c r="P113" s="322"/>
      <c r="Q113" s="322"/>
      <c r="R113" s="322"/>
      <c r="S113" s="322"/>
      <c r="T113" s="322"/>
      <c r="U113" s="322"/>
      <c r="V113" s="322"/>
      <c r="W113" s="217">
        <f t="shared" ref="W113:W145" si="46">SUM(P113:V113)</f>
        <v>0</v>
      </c>
      <c r="X113" s="146">
        <f>SUMIFS('Đơn giá'!C:C,'Đơn giá'!B:B,XUẤT!O113)</f>
        <v>52000</v>
      </c>
      <c r="Y113" s="147">
        <f>T113*X113</f>
        <v>0</v>
      </c>
      <c r="Z113" s="277"/>
      <c r="AA113" s="316"/>
      <c r="AB113" s="91">
        <f t="shared" si="43"/>
        <v>0</v>
      </c>
      <c r="AC113" s="92">
        <f t="shared" si="44"/>
        <v>0</v>
      </c>
      <c r="AD113" s="145"/>
    </row>
    <row r="114" spans="1:30" s="148" customFormat="1" ht="55.8" customHeight="1" x14ac:dyDescent="0.45">
      <c r="A114" s="143"/>
      <c r="B114" s="322"/>
      <c r="C114" s="79"/>
      <c r="D114" s="79"/>
      <c r="E114" s="272"/>
      <c r="F114" s="272"/>
      <c r="G114" s="272"/>
      <c r="H114" s="272"/>
      <c r="I114" s="272"/>
      <c r="J114" s="272"/>
      <c r="K114" s="272"/>
      <c r="L114" s="272"/>
      <c r="M114" s="285"/>
      <c r="N114" s="285"/>
      <c r="O114" s="144" t="s">
        <v>25</v>
      </c>
      <c r="P114" s="322"/>
      <c r="Q114" s="322"/>
      <c r="R114" s="322"/>
      <c r="S114" s="322"/>
      <c r="T114" s="322"/>
      <c r="U114" s="322"/>
      <c r="V114" s="322"/>
      <c r="W114" s="217">
        <f t="shared" si="46"/>
        <v>0</v>
      </c>
      <c r="X114" s="146">
        <f>SUMIFS('Đơn giá'!C:C,'Đơn giá'!B:B,XUẤT!O114)</f>
        <v>98000</v>
      </c>
      <c r="Y114" s="147">
        <f t="shared" ref="X114:Y139" si="47">X114*P114</f>
        <v>0</v>
      </c>
      <c r="Z114" s="277"/>
      <c r="AA114" s="316"/>
      <c r="AB114" s="91">
        <f t="shared" si="43"/>
        <v>0</v>
      </c>
      <c r="AC114" s="92">
        <f t="shared" si="44"/>
        <v>0</v>
      </c>
      <c r="AD114" s="145"/>
    </row>
    <row r="115" spans="1:30" s="148" customFormat="1" ht="57.6" customHeight="1" x14ac:dyDescent="0.45">
      <c r="A115" s="143"/>
      <c r="B115" s="322"/>
      <c r="C115" s="79"/>
      <c r="D115" s="79"/>
      <c r="E115" s="272"/>
      <c r="F115" s="272"/>
      <c r="G115" s="272"/>
      <c r="H115" s="272"/>
      <c r="I115" s="272"/>
      <c r="J115" s="272"/>
      <c r="K115" s="272"/>
      <c r="L115" s="272"/>
      <c r="M115" s="285"/>
      <c r="N115" s="285"/>
      <c r="O115" s="144" t="s">
        <v>25</v>
      </c>
      <c r="P115" s="322"/>
      <c r="Q115" s="322"/>
      <c r="R115" s="322"/>
      <c r="S115" s="322"/>
      <c r="T115" s="322"/>
      <c r="U115" s="322"/>
      <c r="V115" s="322"/>
      <c r="W115" s="217">
        <f t="shared" si="46"/>
        <v>0</v>
      </c>
      <c r="X115" s="146">
        <f>SUMIFS('Đơn giá'!C:C,'Đơn giá'!B:B,XUẤT!O115)</f>
        <v>98000</v>
      </c>
      <c r="Y115" s="147">
        <f t="shared" si="47"/>
        <v>0</v>
      </c>
      <c r="Z115" s="277"/>
      <c r="AA115" s="316"/>
      <c r="AB115" s="91">
        <f t="shared" si="43"/>
        <v>0</v>
      </c>
      <c r="AC115" s="92">
        <f t="shared" si="44"/>
        <v>0</v>
      </c>
      <c r="AD115" s="145"/>
    </row>
    <row r="116" spans="1:30" s="148" customFormat="1" ht="50.4" customHeight="1" x14ac:dyDescent="0.45">
      <c r="A116" s="143"/>
      <c r="B116" s="322"/>
      <c r="C116" s="79"/>
      <c r="D116" s="79"/>
      <c r="E116" s="272"/>
      <c r="F116" s="272"/>
      <c r="G116" s="272"/>
      <c r="H116" s="272"/>
      <c r="I116" s="272"/>
      <c r="J116" s="272"/>
      <c r="K116" s="272"/>
      <c r="L116" s="272"/>
      <c r="M116" s="285"/>
      <c r="N116" s="285"/>
      <c r="O116" s="144" t="s">
        <v>25</v>
      </c>
      <c r="P116" s="322"/>
      <c r="Q116" s="322"/>
      <c r="R116" s="322"/>
      <c r="S116" s="322"/>
      <c r="T116" s="322"/>
      <c r="U116" s="322"/>
      <c r="V116" s="322"/>
      <c r="W116" s="217">
        <f t="shared" si="46"/>
        <v>0</v>
      </c>
      <c r="X116" s="146">
        <f>SUMIFS('Đơn giá'!C:C,'Đơn giá'!B:B,XUẤT!O116)</f>
        <v>98000</v>
      </c>
      <c r="Y116" s="147">
        <f t="shared" si="47"/>
        <v>0</v>
      </c>
      <c r="Z116" s="277"/>
      <c r="AA116" s="316"/>
      <c r="AB116" s="91">
        <f t="shared" si="43"/>
        <v>0</v>
      </c>
      <c r="AC116" s="92">
        <f t="shared" si="44"/>
        <v>0</v>
      </c>
      <c r="AD116" s="145"/>
    </row>
    <row r="117" spans="1:30" s="148" customFormat="1" ht="94.2" customHeight="1" x14ac:dyDescent="0.45">
      <c r="A117" s="143">
        <v>2</v>
      </c>
      <c r="B117" s="322"/>
      <c r="C117" s="79"/>
      <c r="D117" s="79"/>
      <c r="E117" s="272"/>
      <c r="F117" s="272"/>
      <c r="G117" s="272"/>
      <c r="H117" s="272"/>
      <c r="I117" s="272"/>
      <c r="J117" s="272"/>
      <c r="K117" s="272"/>
      <c r="L117" s="272"/>
      <c r="M117" s="285"/>
      <c r="N117" s="285"/>
      <c r="O117" s="144" t="s">
        <v>38</v>
      </c>
      <c r="P117" s="322"/>
      <c r="Q117" s="322"/>
      <c r="R117" s="322"/>
      <c r="S117" s="322"/>
      <c r="T117" s="322"/>
      <c r="U117" s="322"/>
      <c r="V117" s="322"/>
      <c r="W117" s="217">
        <f t="shared" si="46"/>
        <v>0</v>
      </c>
      <c r="X117" s="146">
        <f>SUMIFS('Đơn giá'!C:C,'Đơn giá'!B:B,XUẤT!O117)</f>
        <v>48000</v>
      </c>
      <c r="Y117" s="147">
        <f>U117*X117</f>
        <v>0</v>
      </c>
      <c r="Z117" s="277"/>
      <c r="AA117" s="316"/>
      <c r="AB117" s="91">
        <f t="shared" si="43"/>
        <v>0</v>
      </c>
      <c r="AC117" s="92">
        <f t="shared" si="44"/>
        <v>0</v>
      </c>
      <c r="AD117" s="145"/>
    </row>
    <row r="118" spans="1:30" s="148" customFormat="1" ht="85.8" customHeight="1" x14ac:dyDescent="0.45">
      <c r="A118" s="143">
        <v>3</v>
      </c>
      <c r="B118" s="322"/>
      <c r="C118" s="79"/>
      <c r="D118" s="79"/>
      <c r="E118" s="272"/>
      <c r="F118" s="272"/>
      <c r="G118" s="272"/>
      <c r="H118" s="272"/>
      <c r="I118" s="272"/>
      <c r="J118" s="272"/>
      <c r="K118" s="272"/>
      <c r="L118" s="272"/>
      <c r="M118" s="285"/>
      <c r="N118" s="285"/>
      <c r="O118" s="144" t="s">
        <v>25</v>
      </c>
      <c r="P118" s="322"/>
      <c r="Q118" s="322"/>
      <c r="R118" s="322"/>
      <c r="S118" s="322"/>
      <c r="T118" s="322"/>
      <c r="U118" s="322"/>
      <c r="V118" s="322"/>
      <c r="W118" s="217">
        <f t="shared" si="46"/>
        <v>0</v>
      </c>
      <c r="X118" s="146">
        <f>SUMIFS('Đơn giá'!C:C,'Đơn giá'!B:B,XUẤT!O118)</f>
        <v>98000</v>
      </c>
      <c r="Y118" s="147">
        <f t="shared" si="47"/>
        <v>0</v>
      </c>
      <c r="Z118" s="277"/>
      <c r="AA118" s="316"/>
      <c r="AB118" s="91">
        <f t="shared" si="43"/>
        <v>0</v>
      </c>
      <c r="AC118" s="92">
        <f t="shared" si="44"/>
        <v>0</v>
      </c>
      <c r="AD118" s="145"/>
    </row>
    <row r="119" spans="1:30" s="148" customFormat="1" ht="55.2" customHeight="1" x14ac:dyDescent="0.45">
      <c r="A119" s="143">
        <v>4</v>
      </c>
      <c r="B119" s="322"/>
      <c r="C119" s="79"/>
      <c r="D119" s="79"/>
      <c r="E119" s="272"/>
      <c r="F119" s="272"/>
      <c r="G119" s="272"/>
      <c r="H119" s="272"/>
      <c r="I119" s="272"/>
      <c r="J119" s="272"/>
      <c r="K119" s="272"/>
      <c r="L119" s="272"/>
      <c r="M119" s="285"/>
      <c r="N119" s="285"/>
      <c r="O119" s="144" t="s">
        <v>25</v>
      </c>
      <c r="P119" s="322"/>
      <c r="Q119" s="322"/>
      <c r="R119" s="322"/>
      <c r="S119" s="322"/>
      <c r="T119" s="322"/>
      <c r="U119" s="322"/>
      <c r="V119" s="322"/>
      <c r="W119" s="217">
        <f t="shared" si="46"/>
        <v>0</v>
      </c>
      <c r="X119" s="147">
        <v>98000</v>
      </c>
      <c r="Y119" s="218">
        <f>P119*X119</f>
        <v>0</v>
      </c>
      <c r="Z119" s="277"/>
      <c r="AA119" s="316"/>
      <c r="AB119" s="91">
        <f t="shared" si="43"/>
        <v>0</v>
      </c>
      <c r="AC119" s="92">
        <f t="shared" si="44"/>
        <v>0</v>
      </c>
      <c r="AD119" s="262" t="e">
        <f>Y34+#REF!+Y72+Y81+Y138</f>
        <v>#REF!</v>
      </c>
    </row>
    <row r="120" spans="1:30" s="148" customFormat="1" ht="55.2" customHeight="1" x14ac:dyDescent="0.45">
      <c r="A120" s="143"/>
      <c r="B120" s="322"/>
      <c r="C120" s="79"/>
      <c r="D120" s="79"/>
      <c r="E120" s="272"/>
      <c r="F120" s="272"/>
      <c r="G120" s="272"/>
      <c r="H120" s="272"/>
      <c r="I120" s="272"/>
      <c r="J120" s="272"/>
      <c r="K120" s="272"/>
      <c r="L120" s="272"/>
      <c r="M120" s="285"/>
      <c r="N120" s="285"/>
      <c r="O120" s="144" t="s">
        <v>36</v>
      </c>
      <c r="P120" s="322"/>
      <c r="Q120" s="322"/>
      <c r="R120" s="322"/>
      <c r="S120" s="322"/>
      <c r="T120" s="322"/>
      <c r="U120" s="322"/>
      <c r="V120" s="322"/>
      <c r="W120" s="217">
        <f t="shared" si="46"/>
        <v>0</v>
      </c>
      <c r="X120" s="146">
        <f>SUMIFS('Đơn giá'!C:C,'Đơn giá'!B:B,XUẤT!O120)</f>
        <v>52000</v>
      </c>
      <c r="Y120" s="218">
        <f>T120*X120</f>
        <v>0</v>
      </c>
      <c r="Z120" s="277"/>
      <c r="AA120" s="316"/>
      <c r="AB120" s="91">
        <f t="shared" si="43"/>
        <v>0</v>
      </c>
      <c r="AC120" s="92">
        <f t="shared" si="44"/>
        <v>0</v>
      </c>
      <c r="AD120" s="117"/>
    </row>
    <row r="121" spans="1:30" s="148" customFormat="1" ht="55.2" customHeight="1" x14ac:dyDescent="0.45">
      <c r="A121" s="143">
        <v>5</v>
      </c>
      <c r="B121" s="322"/>
      <c r="C121" s="79"/>
      <c r="D121" s="79"/>
      <c r="E121" s="272"/>
      <c r="F121" s="272"/>
      <c r="G121" s="272"/>
      <c r="H121" s="272"/>
      <c r="I121" s="272"/>
      <c r="J121" s="272"/>
      <c r="K121" s="272"/>
      <c r="L121" s="272"/>
      <c r="M121" s="285"/>
      <c r="N121" s="285"/>
      <c r="O121" s="144" t="s">
        <v>25</v>
      </c>
      <c r="P121" s="322"/>
      <c r="Q121" s="322"/>
      <c r="R121" s="322"/>
      <c r="S121" s="322"/>
      <c r="T121" s="322"/>
      <c r="U121" s="322"/>
      <c r="V121" s="322"/>
      <c r="W121" s="217">
        <f t="shared" si="46"/>
        <v>0</v>
      </c>
      <c r="X121" s="147">
        <v>98000</v>
      </c>
      <c r="Y121" s="218">
        <f>P121*X121</f>
        <v>0</v>
      </c>
      <c r="Z121" s="277"/>
      <c r="AA121" s="316"/>
      <c r="AB121" s="91">
        <f t="shared" si="43"/>
        <v>0</v>
      </c>
      <c r="AC121" s="92">
        <f t="shared" si="44"/>
        <v>0</v>
      </c>
      <c r="AD121" s="117"/>
    </row>
    <row r="122" spans="1:30" s="148" customFormat="1" ht="87.6" customHeight="1" x14ac:dyDescent="0.45">
      <c r="A122" s="143">
        <v>7</v>
      </c>
      <c r="B122" s="322"/>
      <c r="C122" s="79"/>
      <c r="D122" s="79"/>
      <c r="E122" s="272"/>
      <c r="F122" s="272"/>
      <c r="G122" s="272"/>
      <c r="H122" s="272"/>
      <c r="I122" s="272"/>
      <c r="J122" s="272"/>
      <c r="K122" s="272"/>
      <c r="L122" s="272"/>
      <c r="M122" s="285"/>
      <c r="N122" s="285"/>
      <c r="O122" s="144" t="s">
        <v>25</v>
      </c>
      <c r="P122" s="322"/>
      <c r="Q122" s="322"/>
      <c r="R122" s="322"/>
      <c r="S122" s="322"/>
      <c r="T122" s="322"/>
      <c r="U122" s="322"/>
      <c r="V122" s="322"/>
      <c r="W122" s="217">
        <f t="shared" si="46"/>
        <v>0</v>
      </c>
      <c r="X122" s="147">
        <v>98000</v>
      </c>
      <c r="Y122" s="218">
        <f>P122*X122</f>
        <v>0</v>
      </c>
      <c r="Z122" s="277"/>
      <c r="AA122" s="316"/>
      <c r="AB122" s="91">
        <f t="shared" si="43"/>
        <v>0</v>
      </c>
      <c r="AC122" s="92">
        <f t="shared" si="44"/>
        <v>0</v>
      </c>
      <c r="AD122" s="117"/>
    </row>
    <row r="123" spans="1:30" s="148" customFormat="1" ht="64.8" customHeight="1" x14ac:dyDescent="0.45">
      <c r="A123" s="143">
        <v>8</v>
      </c>
      <c r="B123" s="322"/>
      <c r="C123" s="79"/>
      <c r="D123" s="79"/>
      <c r="E123" s="272"/>
      <c r="F123" s="272"/>
      <c r="G123" s="272"/>
      <c r="H123" s="272"/>
      <c r="I123" s="272"/>
      <c r="J123" s="272"/>
      <c r="K123" s="272"/>
      <c r="L123" s="272"/>
      <c r="M123" s="285"/>
      <c r="N123" s="285"/>
      <c r="O123" s="144" t="s">
        <v>36</v>
      </c>
      <c r="P123" s="322"/>
      <c r="Q123" s="322"/>
      <c r="R123" s="322"/>
      <c r="S123" s="322"/>
      <c r="T123" s="322"/>
      <c r="U123" s="322"/>
      <c r="V123" s="322"/>
      <c r="W123" s="217">
        <f t="shared" si="46"/>
        <v>0</v>
      </c>
      <c r="X123" s="147">
        <v>52000</v>
      </c>
      <c r="Y123" s="218">
        <f>T123*X123</f>
        <v>0</v>
      </c>
      <c r="Z123" s="277"/>
      <c r="AA123" s="316"/>
      <c r="AB123" s="91">
        <f t="shared" si="43"/>
        <v>0</v>
      </c>
      <c r="AC123" s="92">
        <f t="shared" si="44"/>
        <v>0</v>
      </c>
      <c r="AD123" s="117"/>
    </row>
    <row r="124" spans="1:30" s="148" customFormat="1" ht="64.8" customHeight="1" x14ac:dyDescent="0.45">
      <c r="A124" s="143">
        <v>9</v>
      </c>
      <c r="B124" s="322"/>
      <c r="C124" s="79"/>
      <c r="D124" s="79"/>
      <c r="E124" s="272"/>
      <c r="F124" s="272"/>
      <c r="G124" s="272"/>
      <c r="H124" s="272"/>
      <c r="I124" s="272"/>
      <c r="J124" s="272"/>
      <c r="K124" s="272"/>
      <c r="L124" s="272"/>
      <c r="M124" s="285"/>
      <c r="N124" s="285"/>
      <c r="O124" s="144" t="s">
        <v>36</v>
      </c>
      <c r="P124" s="322"/>
      <c r="Q124" s="322"/>
      <c r="R124" s="322"/>
      <c r="S124" s="322"/>
      <c r="T124" s="322"/>
      <c r="U124" s="322"/>
      <c r="V124" s="322"/>
      <c r="W124" s="217">
        <f t="shared" si="46"/>
        <v>0</v>
      </c>
      <c r="X124" s="146">
        <f>SUMIFS('Đơn giá'!C:C,'Đơn giá'!B:B,XUẤT!O124)</f>
        <v>52000</v>
      </c>
      <c r="Y124" s="218">
        <f>T124*X124</f>
        <v>0</v>
      </c>
      <c r="Z124" s="277"/>
      <c r="AA124" s="316"/>
      <c r="AB124" s="91">
        <f t="shared" si="43"/>
        <v>0</v>
      </c>
      <c r="AC124" s="92">
        <f t="shared" si="44"/>
        <v>0</v>
      </c>
      <c r="AD124" s="117"/>
    </row>
    <row r="125" spans="1:30" s="148" customFormat="1" ht="64.8" customHeight="1" x14ac:dyDescent="0.45">
      <c r="A125" s="143">
        <v>10</v>
      </c>
      <c r="B125" s="322"/>
      <c r="C125" s="79"/>
      <c r="D125" s="79"/>
      <c r="E125" s="272"/>
      <c r="F125" s="272"/>
      <c r="G125" s="272"/>
      <c r="H125" s="272"/>
      <c r="I125" s="272"/>
      <c r="J125" s="272"/>
      <c r="K125" s="272"/>
      <c r="L125" s="272"/>
      <c r="M125" s="285"/>
      <c r="N125" s="285"/>
      <c r="O125" s="144" t="s">
        <v>36</v>
      </c>
      <c r="P125" s="322"/>
      <c r="Q125" s="322"/>
      <c r="R125" s="322"/>
      <c r="S125" s="322"/>
      <c r="T125" s="322"/>
      <c r="U125" s="322"/>
      <c r="V125" s="322"/>
      <c r="W125" s="217">
        <f t="shared" si="46"/>
        <v>0</v>
      </c>
      <c r="X125" s="146">
        <f>SUMIFS('Đơn giá'!C:C,'Đơn giá'!B:B,XUẤT!O125)</f>
        <v>52000</v>
      </c>
      <c r="Y125" s="218">
        <f>T125*X125</f>
        <v>0</v>
      </c>
      <c r="Z125" s="277"/>
      <c r="AA125" s="316"/>
      <c r="AB125" s="91">
        <f t="shared" si="43"/>
        <v>0</v>
      </c>
      <c r="AC125" s="92">
        <f t="shared" si="44"/>
        <v>0</v>
      </c>
      <c r="AD125" s="117"/>
    </row>
    <row r="126" spans="1:30" s="148" customFormat="1" ht="64.8" customHeight="1" x14ac:dyDescent="0.45">
      <c r="A126" s="143">
        <v>11</v>
      </c>
      <c r="B126" s="322"/>
      <c r="C126" s="79"/>
      <c r="D126" s="79"/>
      <c r="E126" s="272"/>
      <c r="F126" s="272"/>
      <c r="G126" s="272"/>
      <c r="H126" s="272"/>
      <c r="I126" s="272"/>
      <c r="J126" s="272"/>
      <c r="K126" s="272"/>
      <c r="L126" s="272"/>
      <c r="M126" s="285"/>
      <c r="N126" s="285"/>
      <c r="O126" s="144" t="s">
        <v>36</v>
      </c>
      <c r="P126" s="322"/>
      <c r="Q126" s="322"/>
      <c r="R126" s="322"/>
      <c r="S126" s="322"/>
      <c r="T126" s="322"/>
      <c r="U126" s="322"/>
      <c r="V126" s="322"/>
      <c r="W126" s="217">
        <f t="shared" si="46"/>
        <v>0</v>
      </c>
      <c r="X126" s="146">
        <f>SUMIFS('Đơn giá'!C:C,'Đơn giá'!B:B,XUẤT!O126)</f>
        <v>52000</v>
      </c>
      <c r="Y126" s="218">
        <f>T126*X126</f>
        <v>0</v>
      </c>
      <c r="Z126" s="277"/>
      <c r="AA126" s="316"/>
      <c r="AB126" s="91">
        <f t="shared" si="43"/>
        <v>0</v>
      </c>
      <c r="AC126" s="92">
        <f t="shared" si="44"/>
        <v>0</v>
      </c>
      <c r="AD126" s="117"/>
    </row>
    <row r="127" spans="1:30" s="148" customFormat="1" ht="64.8" customHeight="1" x14ac:dyDescent="0.45">
      <c r="A127" s="143">
        <v>12</v>
      </c>
      <c r="B127" s="322"/>
      <c r="C127" s="79"/>
      <c r="D127" s="79"/>
      <c r="E127" s="272"/>
      <c r="F127" s="272"/>
      <c r="G127" s="272"/>
      <c r="H127" s="272"/>
      <c r="I127" s="272"/>
      <c r="J127" s="272"/>
      <c r="K127" s="272"/>
      <c r="L127" s="272"/>
      <c r="M127" s="285"/>
      <c r="N127" s="285"/>
      <c r="O127" s="144" t="s">
        <v>25</v>
      </c>
      <c r="P127" s="322"/>
      <c r="Q127" s="322"/>
      <c r="R127" s="322"/>
      <c r="S127" s="322"/>
      <c r="T127" s="322"/>
      <c r="U127" s="322"/>
      <c r="V127" s="322"/>
      <c r="W127" s="217">
        <f t="shared" si="46"/>
        <v>0</v>
      </c>
      <c r="X127" s="147">
        <v>98000</v>
      </c>
      <c r="Y127" s="218">
        <f>X127*P127</f>
        <v>0</v>
      </c>
      <c r="Z127" s="277"/>
      <c r="AA127" s="316"/>
      <c r="AB127" s="145">
        <f t="shared" si="43"/>
        <v>0</v>
      </c>
      <c r="AC127" s="146">
        <f t="shared" si="44"/>
        <v>0</v>
      </c>
      <c r="AD127" s="117"/>
    </row>
    <row r="128" spans="1:30" s="148" customFormat="1" ht="64.8" customHeight="1" x14ac:dyDescent="0.45">
      <c r="A128" s="143">
        <v>13</v>
      </c>
      <c r="B128" s="322"/>
      <c r="C128" s="79"/>
      <c r="D128" s="79"/>
      <c r="E128" s="272"/>
      <c r="F128" s="272"/>
      <c r="G128" s="272"/>
      <c r="H128" s="272"/>
      <c r="I128" s="272"/>
      <c r="J128" s="272"/>
      <c r="K128" s="272"/>
      <c r="L128" s="272"/>
      <c r="M128" s="285"/>
      <c r="N128" s="285"/>
      <c r="O128" s="144" t="s">
        <v>25</v>
      </c>
      <c r="P128" s="322"/>
      <c r="Q128" s="322"/>
      <c r="R128" s="322"/>
      <c r="S128" s="322"/>
      <c r="T128" s="322"/>
      <c r="U128" s="322"/>
      <c r="V128" s="322"/>
      <c r="W128" s="217">
        <f t="shared" si="46"/>
        <v>0</v>
      </c>
      <c r="X128" s="147">
        <v>98000</v>
      </c>
      <c r="Y128" s="218">
        <f>P128*X128</f>
        <v>0</v>
      </c>
      <c r="Z128" s="277"/>
      <c r="AA128" s="316"/>
      <c r="AB128" s="91">
        <f t="shared" si="43"/>
        <v>0</v>
      </c>
      <c r="AC128" s="92">
        <f t="shared" si="44"/>
        <v>0</v>
      </c>
      <c r="AD128" s="117"/>
    </row>
    <row r="129" spans="1:30" s="148" customFormat="1" ht="64.8" customHeight="1" x14ac:dyDescent="0.45">
      <c r="A129" s="143">
        <v>14</v>
      </c>
      <c r="B129" s="322"/>
      <c r="C129" s="79"/>
      <c r="D129" s="79"/>
      <c r="E129" s="272"/>
      <c r="F129" s="272"/>
      <c r="G129" s="272"/>
      <c r="H129" s="272"/>
      <c r="I129" s="272"/>
      <c r="J129" s="272"/>
      <c r="K129" s="272"/>
      <c r="L129" s="272"/>
      <c r="M129" s="285"/>
      <c r="N129" s="285"/>
      <c r="O129" s="144" t="s">
        <v>38</v>
      </c>
      <c r="P129" s="322"/>
      <c r="Q129" s="322"/>
      <c r="R129" s="322"/>
      <c r="S129" s="322"/>
      <c r="T129" s="322"/>
      <c r="U129" s="322"/>
      <c r="V129" s="322"/>
      <c r="W129" s="217">
        <f t="shared" si="46"/>
        <v>0</v>
      </c>
      <c r="X129" s="147">
        <v>48000</v>
      </c>
      <c r="Y129" s="218">
        <f>U129*X129</f>
        <v>0</v>
      </c>
      <c r="Z129" s="277"/>
      <c r="AA129" s="316"/>
      <c r="AB129" s="91">
        <f t="shared" si="43"/>
        <v>0</v>
      </c>
      <c r="AC129" s="92">
        <f t="shared" si="44"/>
        <v>0</v>
      </c>
      <c r="AD129" s="117"/>
    </row>
    <row r="130" spans="1:30" s="148" customFormat="1" ht="64.8" customHeight="1" x14ac:dyDescent="0.45">
      <c r="A130" s="143">
        <v>15</v>
      </c>
      <c r="B130" s="322"/>
      <c r="C130" s="79"/>
      <c r="D130" s="79"/>
      <c r="E130" s="272"/>
      <c r="F130" s="272"/>
      <c r="G130" s="272"/>
      <c r="H130" s="272"/>
      <c r="I130" s="272"/>
      <c r="J130" s="272"/>
      <c r="K130" s="272"/>
      <c r="L130" s="272"/>
      <c r="M130" s="285"/>
      <c r="N130" s="285"/>
      <c r="O130" s="144" t="s">
        <v>38</v>
      </c>
      <c r="P130" s="322"/>
      <c r="Q130" s="322"/>
      <c r="R130" s="322"/>
      <c r="S130" s="322"/>
      <c r="T130" s="322"/>
      <c r="U130" s="322"/>
      <c r="V130" s="322"/>
      <c r="W130" s="217">
        <f t="shared" si="46"/>
        <v>0</v>
      </c>
      <c r="X130" s="147">
        <v>48000</v>
      </c>
      <c r="Y130" s="218">
        <f>U130*X130</f>
        <v>0</v>
      </c>
      <c r="Z130" s="277"/>
      <c r="AA130" s="316"/>
      <c r="AB130" s="91">
        <f t="shared" si="43"/>
        <v>0</v>
      </c>
      <c r="AC130" s="92">
        <f t="shared" si="44"/>
        <v>0</v>
      </c>
      <c r="AD130" s="117"/>
    </row>
    <row r="131" spans="1:30" s="148" customFormat="1" ht="52.8" customHeight="1" x14ac:dyDescent="0.45">
      <c r="A131" s="358">
        <v>2</v>
      </c>
      <c r="B131" s="322"/>
      <c r="C131" s="79"/>
      <c r="D131" s="79"/>
      <c r="E131" s="272"/>
      <c r="F131" s="272"/>
      <c r="G131" s="272"/>
      <c r="H131" s="272"/>
      <c r="I131" s="272"/>
      <c r="J131" s="272"/>
      <c r="K131" s="272"/>
      <c r="L131" s="272"/>
      <c r="M131" s="285"/>
      <c r="N131" s="285"/>
      <c r="O131" s="144" t="s">
        <v>36</v>
      </c>
      <c r="P131" s="322"/>
      <c r="Q131" s="322"/>
      <c r="R131" s="322"/>
      <c r="S131" s="322"/>
      <c r="T131" s="322"/>
      <c r="U131" s="322"/>
      <c r="V131" s="322"/>
      <c r="W131" s="217">
        <f t="shared" si="46"/>
        <v>0</v>
      </c>
      <c r="X131" s="146">
        <f>SUMIFS('Đơn giá'!C:C,'Đơn giá'!B:B,XUẤT!O131)</f>
        <v>52000</v>
      </c>
      <c r="Y131" s="219">
        <f>T131*X131</f>
        <v>0</v>
      </c>
      <c r="Z131" s="277"/>
      <c r="AA131" s="316"/>
      <c r="AB131" s="91">
        <f t="shared" si="43"/>
        <v>0</v>
      </c>
      <c r="AC131" s="92">
        <f t="shared" si="44"/>
        <v>0</v>
      </c>
      <c r="AD131" s="117"/>
    </row>
    <row r="132" spans="1:30" s="148" customFormat="1" ht="31.2" customHeight="1" x14ac:dyDescent="0.45">
      <c r="A132" s="358"/>
      <c r="B132" s="322"/>
      <c r="C132" s="79"/>
      <c r="D132" s="79"/>
      <c r="E132" s="272"/>
      <c r="F132" s="272"/>
      <c r="G132" s="272"/>
      <c r="H132" s="272"/>
      <c r="I132" s="272"/>
      <c r="J132" s="272"/>
      <c r="K132" s="272"/>
      <c r="L132" s="272"/>
      <c r="M132" s="285"/>
      <c r="N132" s="285"/>
      <c r="O132" s="144" t="s">
        <v>38</v>
      </c>
      <c r="P132" s="322"/>
      <c r="Q132" s="322"/>
      <c r="R132" s="322"/>
      <c r="S132" s="322"/>
      <c r="T132" s="322"/>
      <c r="U132" s="322"/>
      <c r="V132" s="322"/>
      <c r="W132" s="217">
        <f t="shared" si="46"/>
        <v>0</v>
      </c>
      <c r="X132" s="147">
        <v>48000</v>
      </c>
      <c r="Y132" s="218">
        <f>U132*X132</f>
        <v>0</v>
      </c>
      <c r="Z132" s="277"/>
      <c r="AA132" s="316"/>
      <c r="AB132" s="91">
        <f t="shared" si="43"/>
        <v>0</v>
      </c>
      <c r="AC132" s="92">
        <f t="shared" si="44"/>
        <v>0</v>
      </c>
      <c r="AD132" s="117"/>
    </row>
    <row r="133" spans="1:30" s="148" customFormat="1" ht="43.2" customHeight="1" x14ac:dyDescent="0.45">
      <c r="A133" s="358"/>
      <c r="B133" s="322"/>
      <c r="C133" s="79"/>
      <c r="D133" s="79"/>
      <c r="E133" s="272"/>
      <c r="F133" s="272"/>
      <c r="G133" s="272"/>
      <c r="H133" s="272"/>
      <c r="I133" s="272"/>
      <c r="J133" s="272"/>
      <c r="K133" s="272"/>
      <c r="L133" s="272"/>
      <c r="M133" s="285"/>
      <c r="N133" s="285"/>
      <c r="O133" s="144" t="s">
        <v>35</v>
      </c>
      <c r="P133" s="322"/>
      <c r="Q133" s="322"/>
      <c r="R133" s="322"/>
      <c r="S133" s="322"/>
      <c r="T133" s="322"/>
      <c r="U133" s="322"/>
      <c r="V133" s="322"/>
      <c r="W133" s="217">
        <f t="shared" si="46"/>
        <v>0</v>
      </c>
      <c r="X133" s="147">
        <v>93000</v>
      </c>
      <c r="Y133" s="218">
        <f>S133*X133</f>
        <v>0</v>
      </c>
      <c r="Z133" s="277"/>
      <c r="AA133" s="316"/>
      <c r="AB133" s="91">
        <f t="shared" si="43"/>
        <v>0</v>
      </c>
      <c r="AC133" s="92">
        <f t="shared" si="44"/>
        <v>0</v>
      </c>
      <c r="AD133" s="117"/>
    </row>
    <row r="134" spans="1:30" s="148" customFormat="1" ht="123.6" customHeight="1" x14ac:dyDescent="0.45">
      <c r="A134" s="143">
        <v>3</v>
      </c>
      <c r="B134" s="322"/>
      <c r="C134" s="79"/>
      <c r="D134" s="79"/>
      <c r="E134" s="272"/>
      <c r="F134" s="272"/>
      <c r="G134" s="272"/>
      <c r="H134" s="272"/>
      <c r="I134" s="272"/>
      <c r="J134" s="272"/>
      <c r="K134" s="272"/>
      <c r="L134" s="272"/>
      <c r="M134" s="285"/>
      <c r="N134" s="285"/>
      <c r="O134" s="144" t="s">
        <v>25</v>
      </c>
      <c r="P134" s="322"/>
      <c r="Q134" s="322"/>
      <c r="R134" s="322"/>
      <c r="S134" s="322"/>
      <c r="T134" s="322"/>
      <c r="U134" s="322"/>
      <c r="V134" s="322"/>
      <c r="W134" s="217">
        <f t="shared" si="46"/>
        <v>0</v>
      </c>
      <c r="X134" s="147">
        <v>98000</v>
      </c>
      <c r="Y134" s="218">
        <f>P134*X134</f>
        <v>0</v>
      </c>
      <c r="Z134" s="277"/>
      <c r="AA134" s="316"/>
      <c r="AB134" s="91">
        <f t="shared" si="43"/>
        <v>0</v>
      </c>
      <c r="AC134" s="92">
        <f t="shared" si="44"/>
        <v>0</v>
      </c>
      <c r="AD134" s="117"/>
    </row>
    <row r="135" spans="1:30" s="148" customFormat="1" ht="69" customHeight="1" x14ac:dyDescent="0.45">
      <c r="A135" s="143">
        <v>5</v>
      </c>
      <c r="B135" s="322"/>
      <c r="C135" s="79"/>
      <c r="D135" s="79"/>
      <c r="E135" s="272"/>
      <c r="F135" s="272"/>
      <c r="G135" s="272"/>
      <c r="H135" s="272"/>
      <c r="I135" s="272"/>
      <c r="J135" s="272"/>
      <c r="K135" s="272"/>
      <c r="L135" s="272"/>
      <c r="M135" s="285"/>
      <c r="N135" s="285"/>
      <c r="O135" s="144" t="s">
        <v>25</v>
      </c>
      <c r="P135" s="322"/>
      <c r="Q135" s="322"/>
      <c r="R135" s="322"/>
      <c r="S135" s="322"/>
      <c r="T135" s="322"/>
      <c r="U135" s="322"/>
      <c r="V135" s="322"/>
      <c r="W135" s="217">
        <f t="shared" si="46"/>
        <v>0</v>
      </c>
      <c r="X135" s="147">
        <v>98000</v>
      </c>
      <c r="Y135" s="218">
        <f>P135*X135</f>
        <v>0</v>
      </c>
      <c r="Z135" s="277"/>
      <c r="AA135" s="316"/>
      <c r="AB135" s="91">
        <f t="shared" si="43"/>
        <v>0</v>
      </c>
      <c r="AC135" s="92">
        <f t="shared" ref="AC135:AC176" si="48">AB135*5000</f>
        <v>0</v>
      </c>
      <c r="AD135" s="117"/>
    </row>
    <row r="136" spans="1:30" s="148" customFormat="1" ht="117" customHeight="1" x14ac:dyDescent="0.45">
      <c r="A136" s="143">
        <v>6</v>
      </c>
      <c r="B136" s="322"/>
      <c r="C136" s="79"/>
      <c r="D136" s="79"/>
      <c r="E136" s="272"/>
      <c r="F136" s="272"/>
      <c r="G136" s="272"/>
      <c r="H136" s="272"/>
      <c r="I136" s="272"/>
      <c r="J136" s="272"/>
      <c r="K136" s="272"/>
      <c r="L136" s="272"/>
      <c r="M136" s="285"/>
      <c r="N136" s="285"/>
      <c r="O136" s="144" t="s">
        <v>28</v>
      </c>
      <c r="P136" s="322"/>
      <c r="Q136" s="322"/>
      <c r="R136" s="322"/>
      <c r="S136" s="322"/>
      <c r="T136" s="322"/>
      <c r="U136" s="322"/>
      <c r="V136" s="322"/>
      <c r="W136" s="217">
        <f t="shared" si="46"/>
        <v>0</v>
      </c>
      <c r="X136" s="147">
        <f>P136*85000</f>
        <v>0</v>
      </c>
      <c r="Y136" s="218">
        <f t="shared" ref="Y136" si="49">P136*X136</f>
        <v>0</v>
      </c>
      <c r="Z136" s="277"/>
      <c r="AA136" s="316"/>
      <c r="AB136" s="91">
        <f t="shared" si="43"/>
        <v>0</v>
      </c>
      <c r="AC136" s="92">
        <f t="shared" si="48"/>
        <v>0</v>
      </c>
      <c r="AD136" s="117"/>
    </row>
    <row r="137" spans="1:30" s="148" customFormat="1" ht="69" customHeight="1" x14ac:dyDescent="0.45">
      <c r="A137" s="143">
        <v>7</v>
      </c>
      <c r="B137" s="322"/>
      <c r="C137" s="79"/>
      <c r="D137" s="79"/>
      <c r="E137" s="272"/>
      <c r="F137" s="272"/>
      <c r="G137" s="272"/>
      <c r="H137" s="272"/>
      <c r="I137" s="272"/>
      <c r="J137" s="272"/>
      <c r="K137" s="272"/>
      <c r="L137" s="272"/>
      <c r="M137" s="285"/>
      <c r="N137" s="285"/>
      <c r="O137" s="144" t="s">
        <v>25</v>
      </c>
      <c r="P137" s="322"/>
      <c r="Q137" s="322"/>
      <c r="R137" s="322"/>
      <c r="S137" s="322"/>
      <c r="T137" s="322"/>
      <c r="U137" s="322"/>
      <c r="V137" s="322"/>
      <c r="W137" s="217">
        <f t="shared" si="46"/>
        <v>0</v>
      </c>
      <c r="X137" s="147">
        <v>98000</v>
      </c>
      <c r="Y137" s="218">
        <f>P137*X137</f>
        <v>0</v>
      </c>
      <c r="Z137" s="277"/>
      <c r="AA137" s="316"/>
      <c r="AB137" s="91">
        <f t="shared" ref="AB137:AB144" si="50">W137-V137</f>
        <v>0</v>
      </c>
      <c r="AC137" s="92">
        <f t="shared" si="48"/>
        <v>0</v>
      </c>
      <c r="AD137" s="117"/>
    </row>
    <row r="138" spans="1:30" s="148" customFormat="1" ht="118.2" customHeight="1" x14ac:dyDescent="0.45">
      <c r="A138" s="143">
        <v>8</v>
      </c>
      <c r="B138" s="322"/>
      <c r="C138" s="79"/>
      <c r="D138" s="79"/>
      <c r="E138" s="272"/>
      <c r="F138" s="272"/>
      <c r="G138" s="272"/>
      <c r="H138" s="272"/>
      <c r="I138" s="272"/>
      <c r="J138" s="272"/>
      <c r="K138" s="272"/>
      <c r="L138" s="272"/>
      <c r="M138" s="285"/>
      <c r="N138" s="285"/>
      <c r="O138" s="144" t="s">
        <v>25</v>
      </c>
      <c r="P138" s="322"/>
      <c r="Q138" s="322"/>
      <c r="R138" s="322"/>
      <c r="S138" s="322"/>
      <c r="T138" s="322"/>
      <c r="U138" s="322"/>
      <c r="V138" s="322"/>
      <c r="W138" s="217">
        <f t="shared" si="46"/>
        <v>0</v>
      </c>
      <c r="X138" s="147">
        <v>98000</v>
      </c>
      <c r="Y138" s="218">
        <f>P138*X138</f>
        <v>0</v>
      </c>
      <c r="Z138" s="277"/>
      <c r="AA138" s="316"/>
      <c r="AB138" s="145">
        <f t="shared" si="50"/>
        <v>0</v>
      </c>
      <c r="AC138" s="146">
        <f t="shared" si="48"/>
        <v>0</v>
      </c>
      <c r="AD138" s="117"/>
    </row>
    <row r="139" spans="1:30" s="148" customFormat="1" ht="66.599999999999994" customHeight="1" x14ac:dyDescent="0.45">
      <c r="A139" s="143">
        <v>9</v>
      </c>
      <c r="B139" s="322"/>
      <c r="C139" s="79"/>
      <c r="D139" s="79"/>
      <c r="E139" s="272"/>
      <c r="F139" s="272"/>
      <c r="G139" s="272"/>
      <c r="H139" s="272"/>
      <c r="I139" s="272"/>
      <c r="J139" s="272"/>
      <c r="K139" s="272"/>
      <c r="L139" s="272"/>
      <c r="M139" s="285"/>
      <c r="N139" s="285"/>
      <c r="O139" s="144"/>
      <c r="P139" s="322"/>
      <c r="Q139" s="322"/>
      <c r="R139" s="322"/>
      <c r="S139" s="322"/>
      <c r="T139" s="322"/>
      <c r="U139" s="322"/>
      <c r="V139" s="322"/>
      <c r="W139" s="217">
        <f t="shared" si="46"/>
        <v>0</v>
      </c>
      <c r="X139" s="147">
        <f t="shared" si="47"/>
        <v>0</v>
      </c>
      <c r="Y139" s="218">
        <f t="shared" ref="Y139:Y143" si="51">P139*X139</f>
        <v>0</v>
      </c>
      <c r="Z139" s="277"/>
      <c r="AA139" s="316"/>
      <c r="AB139" s="91">
        <f t="shared" si="50"/>
        <v>0</v>
      </c>
      <c r="AC139" s="92">
        <f t="shared" si="48"/>
        <v>0</v>
      </c>
      <c r="AD139" s="117"/>
    </row>
    <row r="140" spans="1:30" s="148" customFormat="1" ht="118.2" customHeight="1" x14ac:dyDescent="0.45">
      <c r="A140" s="143">
        <v>10</v>
      </c>
      <c r="B140" s="322"/>
      <c r="C140" s="79"/>
      <c r="D140" s="79"/>
      <c r="E140" s="272"/>
      <c r="F140" s="272"/>
      <c r="G140" s="272"/>
      <c r="H140" s="272"/>
      <c r="I140" s="272"/>
      <c r="J140" s="272"/>
      <c r="K140" s="272"/>
      <c r="L140" s="272"/>
      <c r="M140" s="285"/>
      <c r="N140" s="285"/>
      <c r="O140" s="144" t="s">
        <v>28</v>
      </c>
      <c r="P140" s="322"/>
      <c r="Q140" s="322"/>
      <c r="R140" s="322"/>
      <c r="S140" s="322"/>
      <c r="T140" s="322"/>
      <c r="U140" s="322"/>
      <c r="V140" s="322"/>
      <c r="W140" s="217">
        <f t="shared" si="46"/>
        <v>0</v>
      </c>
      <c r="X140" s="147">
        <v>85000</v>
      </c>
      <c r="Y140" s="218">
        <f>Q140*X140</f>
        <v>0</v>
      </c>
      <c r="Z140" s="277"/>
      <c r="AA140" s="316"/>
      <c r="AB140" s="91">
        <f t="shared" si="50"/>
        <v>0</v>
      </c>
      <c r="AC140" s="92">
        <f t="shared" si="48"/>
        <v>0</v>
      </c>
      <c r="AD140" s="117"/>
    </row>
    <row r="141" spans="1:30" s="148" customFormat="1" ht="69" customHeight="1" x14ac:dyDescent="0.45">
      <c r="A141" s="143">
        <v>11</v>
      </c>
      <c r="B141" s="322"/>
      <c r="C141" s="79"/>
      <c r="D141" s="79"/>
      <c r="E141" s="272"/>
      <c r="F141" s="272"/>
      <c r="G141" s="272"/>
      <c r="H141" s="272"/>
      <c r="I141" s="272"/>
      <c r="J141" s="272"/>
      <c r="K141" s="272"/>
      <c r="L141" s="272"/>
      <c r="M141" s="285"/>
      <c r="N141" s="285"/>
      <c r="O141" s="144" t="s">
        <v>38</v>
      </c>
      <c r="P141" s="322"/>
      <c r="Q141" s="322"/>
      <c r="R141" s="322"/>
      <c r="S141" s="322"/>
      <c r="T141" s="322"/>
      <c r="U141" s="322"/>
      <c r="V141" s="322"/>
      <c r="W141" s="217">
        <f t="shared" si="46"/>
        <v>0</v>
      </c>
      <c r="X141" s="147">
        <v>48000</v>
      </c>
      <c r="Y141" s="218">
        <f>U141*X141</f>
        <v>0</v>
      </c>
      <c r="Z141" s="277"/>
      <c r="AA141" s="316"/>
      <c r="AB141" s="91">
        <f t="shared" si="50"/>
        <v>0</v>
      </c>
      <c r="AC141" s="92">
        <f t="shared" si="48"/>
        <v>0</v>
      </c>
      <c r="AD141" s="117"/>
    </row>
    <row r="142" spans="1:30" s="148" customFormat="1" ht="69" customHeight="1" x14ac:dyDescent="0.45">
      <c r="A142" s="143"/>
      <c r="B142" s="322"/>
      <c r="C142" s="79"/>
      <c r="D142" s="79"/>
      <c r="E142" s="272"/>
      <c r="F142" s="272"/>
      <c r="G142" s="272"/>
      <c r="H142" s="272"/>
      <c r="I142" s="272"/>
      <c r="J142" s="272"/>
      <c r="K142" s="272"/>
      <c r="L142" s="272"/>
      <c r="M142" s="285"/>
      <c r="N142" s="285"/>
      <c r="O142" s="144" t="s">
        <v>25</v>
      </c>
      <c r="P142" s="322"/>
      <c r="Q142" s="322"/>
      <c r="R142" s="322"/>
      <c r="S142" s="322"/>
      <c r="T142" s="322"/>
      <c r="U142" s="322"/>
      <c r="V142" s="322"/>
      <c r="W142" s="217">
        <f t="shared" si="46"/>
        <v>0</v>
      </c>
      <c r="X142" s="147">
        <v>98000</v>
      </c>
      <c r="Y142" s="218">
        <f t="shared" si="51"/>
        <v>0</v>
      </c>
      <c r="Z142" s="277"/>
      <c r="AA142" s="316"/>
      <c r="AB142" s="91">
        <f t="shared" si="50"/>
        <v>0</v>
      </c>
      <c r="AC142" s="92">
        <f t="shared" si="48"/>
        <v>0</v>
      </c>
      <c r="AD142" s="117"/>
    </row>
    <row r="143" spans="1:30" s="148" customFormat="1" ht="69" customHeight="1" x14ac:dyDescent="0.45">
      <c r="A143" s="143"/>
      <c r="B143" s="322"/>
      <c r="C143" s="79"/>
      <c r="D143" s="79"/>
      <c r="E143" s="272"/>
      <c r="F143" s="272"/>
      <c r="G143" s="272"/>
      <c r="H143" s="272"/>
      <c r="I143" s="272"/>
      <c r="J143" s="272"/>
      <c r="K143" s="272"/>
      <c r="L143" s="272"/>
      <c r="M143" s="285"/>
      <c r="N143" s="285"/>
      <c r="O143" s="144" t="s">
        <v>25</v>
      </c>
      <c r="P143" s="322"/>
      <c r="Q143" s="322"/>
      <c r="R143" s="322"/>
      <c r="S143" s="322"/>
      <c r="T143" s="322"/>
      <c r="U143" s="322"/>
      <c r="V143" s="322"/>
      <c r="W143" s="217">
        <f t="shared" si="46"/>
        <v>0</v>
      </c>
      <c r="X143" s="147">
        <v>98000</v>
      </c>
      <c r="Y143" s="218">
        <f t="shared" si="51"/>
        <v>0</v>
      </c>
      <c r="Z143" s="277"/>
      <c r="AA143" s="316"/>
      <c r="AB143" s="91">
        <f t="shared" si="50"/>
        <v>0</v>
      </c>
      <c r="AC143" s="92">
        <f t="shared" si="48"/>
        <v>0</v>
      </c>
      <c r="AD143" s="117"/>
    </row>
    <row r="144" spans="1:30" s="148" customFormat="1" ht="69" customHeight="1" x14ac:dyDescent="0.45">
      <c r="A144" s="143"/>
      <c r="B144" s="322"/>
      <c r="C144" s="79"/>
      <c r="D144" s="79"/>
      <c r="E144" s="272"/>
      <c r="F144" s="272"/>
      <c r="G144" s="272"/>
      <c r="H144" s="272"/>
      <c r="I144" s="272"/>
      <c r="J144" s="272"/>
      <c r="K144" s="272"/>
      <c r="L144" s="272"/>
      <c r="M144" s="285"/>
      <c r="N144" s="285"/>
      <c r="O144" s="144" t="s">
        <v>25</v>
      </c>
      <c r="P144" s="322"/>
      <c r="Q144" s="322"/>
      <c r="R144" s="322"/>
      <c r="S144" s="322"/>
      <c r="T144" s="322"/>
      <c r="U144" s="322"/>
      <c r="V144" s="322"/>
      <c r="W144" s="217">
        <f t="shared" si="46"/>
        <v>0</v>
      </c>
      <c r="X144" s="147">
        <v>98000</v>
      </c>
      <c r="Y144" s="218">
        <f>P144*X144</f>
        <v>0</v>
      </c>
      <c r="Z144" s="277"/>
      <c r="AA144" s="316"/>
      <c r="AB144" s="91">
        <f t="shared" si="50"/>
        <v>0</v>
      </c>
      <c r="AC144" s="92">
        <v>15000</v>
      </c>
      <c r="AD144" s="117"/>
    </row>
    <row r="145" spans="1:31" s="79" customFormat="1" ht="63" customHeight="1" x14ac:dyDescent="0.45">
      <c r="A145" s="89">
        <v>1</v>
      </c>
      <c r="B145" s="322"/>
      <c r="E145" s="272"/>
      <c r="F145" s="272"/>
      <c r="G145" s="272"/>
      <c r="H145" s="272"/>
      <c r="I145" s="272"/>
      <c r="J145" s="272"/>
      <c r="K145" s="272"/>
      <c r="L145" s="272"/>
      <c r="M145" s="285"/>
      <c r="N145" s="285"/>
      <c r="O145" s="91"/>
      <c r="P145" s="322"/>
      <c r="Q145" s="322"/>
      <c r="R145" s="322"/>
      <c r="S145" s="322"/>
      <c r="T145" s="322"/>
      <c r="U145" s="322"/>
      <c r="V145" s="322"/>
      <c r="W145" s="217">
        <f t="shared" si="46"/>
        <v>0</v>
      </c>
      <c r="X145" s="145"/>
      <c r="Y145" s="145"/>
      <c r="Z145" s="277"/>
      <c r="AA145" s="316"/>
      <c r="AB145" s="89"/>
      <c r="AC145" s="91"/>
      <c r="AE145" s="260"/>
    </row>
    <row r="146" spans="1:31" s="148" customFormat="1" ht="60" customHeight="1" x14ac:dyDescent="0.45">
      <c r="A146" s="143">
        <v>2</v>
      </c>
      <c r="B146" s="322"/>
      <c r="C146" s="79"/>
      <c r="D146" s="79"/>
      <c r="E146" s="272"/>
      <c r="F146" s="272"/>
      <c r="G146" s="272"/>
      <c r="H146" s="272"/>
      <c r="I146" s="272"/>
      <c r="J146" s="272"/>
      <c r="K146" s="272"/>
      <c r="L146" s="272"/>
      <c r="M146" s="285"/>
      <c r="N146" s="285"/>
      <c r="O146" s="144" t="s">
        <v>38</v>
      </c>
      <c r="P146" s="322"/>
      <c r="Q146" s="322"/>
      <c r="R146" s="322"/>
      <c r="S146" s="322"/>
      <c r="T146" s="322"/>
      <c r="U146" s="322"/>
      <c r="V146" s="322"/>
      <c r="W146" s="217">
        <f t="shared" ref="W146:W149" si="52">SUM(P146:V146)</f>
        <v>0</v>
      </c>
      <c r="X146" s="143">
        <v>48000</v>
      </c>
      <c r="Y146" s="263">
        <f>U146*X146</f>
        <v>0</v>
      </c>
      <c r="Z146" s="277"/>
      <c r="AA146" s="316"/>
      <c r="AB146" s="91">
        <f t="shared" ref="AB146" si="53">W146-V146</f>
        <v>0</v>
      </c>
      <c r="AC146" s="92">
        <f t="shared" ref="AC146" si="54">AB146*5000</f>
        <v>0</v>
      </c>
      <c r="AD146" s="117"/>
    </row>
    <row r="147" spans="1:31" s="79" customFormat="1" ht="86.4" customHeight="1" x14ac:dyDescent="0.45">
      <c r="A147" s="89">
        <v>3</v>
      </c>
      <c r="B147" s="322"/>
      <c r="E147" s="272"/>
      <c r="F147" s="272"/>
      <c r="G147" s="272"/>
      <c r="H147" s="272"/>
      <c r="I147" s="272"/>
      <c r="J147" s="272"/>
      <c r="K147" s="272"/>
      <c r="L147" s="272"/>
      <c r="M147" s="285"/>
      <c r="N147" s="285"/>
      <c r="O147" s="144" t="s">
        <v>25</v>
      </c>
      <c r="P147" s="322"/>
      <c r="Q147" s="322"/>
      <c r="R147" s="322"/>
      <c r="S147" s="322"/>
      <c r="T147" s="322"/>
      <c r="U147" s="322"/>
      <c r="V147" s="322"/>
      <c r="W147" s="217">
        <f t="shared" si="52"/>
        <v>0</v>
      </c>
      <c r="X147" s="147">
        <v>98000</v>
      </c>
      <c r="Y147" s="218">
        <f>P147*X147</f>
        <v>0</v>
      </c>
      <c r="Z147" s="277"/>
      <c r="AA147" s="316"/>
      <c r="AB147" s="91">
        <f t="shared" ref="AB147:AB189" si="55">W147-V147</f>
        <v>0</v>
      </c>
      <c r="AC147" s="92">
        <f t="shared" si="48"/>
        <v>0</v>
      </c>
      <c r="AE147" s="260"/>
    </row>
    <row r="148" spans="1:31" ht="119.4" customHeight="1" x14ac:dyDescent="0.45">
      <c r="A148" s="89">
        <v>4</v>
      </c>
      <c r="B148" s="322"/>
      <c r="C148" s="79"/>
      <c r="D148" s="79"/>
      <c r="E148" s="272"/>
      <c r="F148" s="272"/>
      <c r="G148" s="272"/>
      <c r="H148" s="272"/>
      <c r="I148" s="272"/>
      <c r="J148" s="272"/>
      <c r="K148" s="272"/>
      <c r="L148" s="272"/>
      <c r="M148" s="285"/>
      <c r="N148" s="285"/>
      <c r="O148" s="144" t="s">
        <v>35</v>
      </c>
      <c r="P148" s="322"/>
      <c r="Q148" s="322"/>
      <c r="R148" s="322"/>
      <c r="S148" s="322"/>
      <c r="T148" s="322"/>
      <c r="U148" s="322"/>
      <c r="V148" s="322"/>
      <c r="W148" s="217">
        <f t="shared" si="52"/>
        <v>0</v>
      </c>
      <c r="X148" s="147">
        <v>93000</v>
      </c>
      <c r="Y148" s="218">
        <f>S148*X148</f>
        <v>0</v>
      </c>
      <c r="Z148" s="277"/>
      <c r="AA148" s="316"/>
      <c r="AB148" s="91">
        <f t="shared" si="55"/>
        <v>0</v>
      </c>
      <c r="AC148" s="92">
        <f t="shared" si="48"/>
        <v>0</v>
      </c>
      <c r="AD148" s="79"/>
    </row>
    <row r="149" spans="1:31" ht="69" customHeight="1" x14ac:dyDescent="0.45">
      <c r="A149" s="89">
        <v>5</v>
      </c>
      <c r="B149" s="322"/>
      <c r="C149" s="79"/>
      <c r="D149" s="79"/>
      <c r="E149" s="272"/>
      <c r="F149" s="272"/>
      <c r="G149" s="272"/>
      <c r="H149" s="272"/>
      <c r="I149" s="272"/>
      <c r="J149" s="272"/>
      <c r="K149" s="272"/>
      <c r="L149" s="272"/>
      <c r="M149" s="285"/>
      <c r="N149" s="285"/>
      <c r="O149" s="144" t="s">
        <v>25</v>
      </c>
      <c r="P149" s="322"/>
      <c r="Q149" s="322"/>
      <c r="R149" s="322"/>
      <c r="S149" s="322"/>
      <c r="T149" s="322"/>
      <c r="U149" s="322"/>
      <c r="V149" s="322"/>
      <c r="W149" s="217">
        <f t="shared" si="52"/>
        <v>0</v>
      </c>
      <c r="X149" s="146">
        <f>SUMIFS('Đơn giá'!C:C,'Đơn giá'!B:B,XUẤT!O149)</f>
        <v>98000</v>
      </c>
      <c r="Y149" s="147">
        <f t="shared" ref="Y149:Y155" si="56">X149*P149</f>
        <v>0</v>
      </c>
      <c r="Z149" s="277"/>
      <c r="AA149" s="316"/>
      <c r="AB149" s="91">
        <f t="shared" si="55"/>
        <v>0</v>
      </c>
      <c r="AC149" s="92">
        <f t="shared" si="48"/>
        <v>0</v>
      </c>
      <c r="AD149" s="91"/>
    </row>
    <row r="150" spans="1:31" ht="69" customHeight="1" x14ac:dyDescent="0.45">
      <c r="A150" s="89">
        <v>6</v>
      </c>
      <c r="B150" s="322"/>
      <c r="C150" s="79"/>
      <c r="D150" s="79"/>
      <c r="E150" s="272"/>
      <c r="F150" s="272"/>
      <c r="G150" s="272"/>
      <c r="H150" s="272"/>
      <c r="I150" s="272"/>
      <c r="J150" s="272"/>
      <c r="K150" s="272"/>
      <c r="L150" s="272"/>
      <c r="M150" s="285"/>
      <c r="N150" s="285"/>
      <c r="O150" s="144" t="s">
        <v>25</v>
      </c>
      <c r="P150" s="322"/>
      <c r="Q150" s="322"/>
      <c r="R150" s="322"/>
      <c r="S150" s="322"/>
      <c r="T150" s="322"/>
      <c r="U150" s="322"/>
      <c r="V150" s="322"/>
      <c r="W150" s="217">
        <f t="shared" ref="W150:W169" si="57">SUM(P150:V150)</f>
        <v>0</v>
      </c>
      <c r="X150" s="146">
        <f>SUMIFS('Đơn giá'!C:C,'Đơn giá'!B:B,XUẤT!O150)</f>
        <v>98000</v>
      </c>
      <c r="Y150" s="147">
        <f t="shared" si="56"/>
        <v>0</v>
      </c>
      <c r="Z150" s="277"/>
      <c r="AA150" s="316"/>
      <c r="AB150" s="91">
        <f t="shared" si="55"/>
        <v>0</v>
      </c>
      <c r="AC150" s="92">
        <f t="shared" si="48"/>
        <v>0</v>
      </c>
      <c r="AD150" s="91"/>
    </row>
    <row r="151" spans="1:31" ht="69" customHeight="1" x14ac:dyDescent="0.45">
      <c r="A151" s="89">
        <v>7</v>
      </c>
      <c r="B151" s="322"/>
      <c r="C151" s="79"/>
      <c r="D151" s="79"/>
      <c r="E151" s="272"/>
      <c r="F151" s="272"/>
      <c r="G151" s="272"/>
      <c r="H151" s="272"/>
      <c r="I151" s="272"/>
      <c r="J151" s="272"/>
      <c r="K151" s="272"/>
      <c r="L151" s="272"/>
      <c r="M151" s="285"/>
      <c r="N151" s="285"/>
      <c r="O151" s="144" t="s">
        <v>28</v>
      </c>
      <c r="P151" s="322"/>
      <c r="Q151" s="322"/>
      <c r="R151" s="322"/>
      <c r="S151" s="322"/>
      <c r="T151" s="322"/>
      <c r="U151" s="322"/>
      <c r="V151" s="322"/>
      <c r="W151" s="217">
        <f t="shared" si="57"/>
        <v>0</v>
      </c>
      <c r="X151" s="146">
        <v>85000</v>
      </c>
      <c r="Y151" s="147">
        <f>X151*Q151</f>
        <v>0</v>
      </c>
      <c r="Z151" s="277"/>
      <c r="AA151" s="316"/>
      <c r="AB151" s="91">
        <f t="shared" si="55"/>
        <v>0</v>
      </c>
      <c r="AC151" s="92">
        <f t="shared" si="48"/>
        <v>0</v>
      </c>
      <c r="AD151" s="91"/>
    </row>
    <row r="152" spans="1:31" ht="81.599999999999994" customHeight="1" x14ac:dyDescent="0.45">
      <c r="A152" s="89">
        <v>8</v>
      </c>
      <c r="B152" s="322"/>
      <c r="C152" s="79"/>
      <c r="D152" s="79"/>
      <c r="E152" s="272"/>
      <c r="F152" s="272"/>
      <c r="G152" s="272"/>
      <c r="H152" s="272"/>
      <c r="I152" s="272"/>
      <c r="J152" s="272"/>
      <c r="K152" s="272"/>
      <c r="L152" s="272"/>
      <c r="M152" s="285"/>
      <c r="N152" s="285"/>
      <c r="O152" s="144" t="s">
        <v>36</v>
      </c>
      <c r="P152" s="322"/>
      <c r="Q152" s="322"/>
      <c r="R152" s="322"/>
      <c r="S152" s="322"/>
      <c r="T152" s="322"/>
      <c r="U152" s="322"/>
      <c r="V152" s="322"/>
      <c r="W152" s="217">
        <f t="shared" si="57"/>
        <v>0</v>
      </c>
      <c r="X152" s="146">
        <v>52000</v>
      </c>
      <c r="Y152" s="147">
        <f>X152*T152</f>
        <v>0</v>
      </c>
      <c r="Z152" s="277"/>
      <c r="AA152" s="316"/>
      <c r="AB152" s="91">
        <f t="shared" si="55"/>
        <v>0</v>
      </c>
      <c r="AC152" s="92">
        <f t="shared" si="48"/>
        <v>0</v>
      </c>
      <c r="AD152" s="91"/>
    </row>
    <row r="153" spans="1:31" ht="69" customHeight="1" x14ac:dyDescent="0.45">
      <c r="A153" s="89">
        <v>9</v>
      </c>
      <c r="B153" s="322"/>
      <c r="C153" s="79"/>
      <c r="D153" s="79"/>
      <c r="E153" s="272"/>
      <c r="F153" s="272"/>
      <c r="G153" s="272"/>
      <c r="H153" s="272"/>
      <c r="I153" s="272"/>
      <c r="J153" s="272"/>
      <c r="K153" s="272"/>
      <c r="L153" s="272"/>
      <c r="M153" s="285"/>
      <c r="N153" s="285"/>
      <c r="O153" s="144" t="s">
        <v>36</v>
      </c>
      <c r="P153" s="322"/>
      <c r="Q153" s="322"/>
      <c r="R153" s="322"/>
      <c r="S153" s="322"/>
      <c r="T153" s="322"/>
      <c r="U153" s="322"/>
      <c r="V153" s="322"/>
      <c r="W153" s="217">
        <f t="shared" si="57"/>
        <v>0</v>
      </c>
      <c r="X153" s="146">
        <f>SUMIFS('Đơn giá'!C:C,'Đơn giá'!B:B,XUẤT!O153)</f>
        <v>52000</v>
      </c>
      <c r="Y153" s="147">
        <f>X153*T153</f>
        <v>0</v>
      </c>
      <c r="Z153" s="277"/>
      <c r="AA153" s="316"/>
      <c r="AB153" s="91">
        <f t="shared" si="55"/>
        <v>0</v>
      </c>
      <c r="AC153" s="92">
        <f t="shared" si="48"/>
        <v>0</v>
      </c>
      <c r="AD153" s="91"/>
    </row>
    <row r="154" spans="1:31" ht="109.8" customHeight="1" x14ac:dyDescent="0.45">
      <c r="A154" s="89">
        <v>10</v>
      </c>
      <c r="B154" s="322"/>
      <c r="C154" s="79"/>
      <c r="D154" s="79"/>
      <c r="E154" s="272"/>
      <c r="F154" s="272"/>
      <c r="G154" s="272"/>
      <c r="H154" s="272"/>
      <c r="I154" s="272"/>
      <c r="J154" s="272"/>
      <c r="K154" s="272"/>
      <c r="L154" s="272"/>
      <c r="M154" s="285"/>
      <c r="N154" s="285"/>
      <c r="O154" s="144" t="s">
        <v>36</v>
      </c>
      <c r="P154" s="322"/>
      <c r="Q154" s="322"/>
      <c r="R154" s="322"/>
      <c r="S154" s="322"/>
      <c r="T154" s="322"/>
      <c r="U154" s="322"/>
      <c r="V154" s="322"/>
      <c r="W154" s="217">
        <f t="shared" ref="W154" si="58">SUM(P154:V154)</f>
        <v>0</v>
      </c>
      <c r="X154" s="147">
        <v>52000</v>
      </c>
      <c r="Y154" s="147">
        <f>X154*T154</f>
        <v>0</v>
      </c>
      <c r="Z154" s="277"/>
      <c r="AA154" s="316"/>
      <c r="AB154" s="91">
        <f t="shared" ref="AB154" si="59">W154-V154</f>
        <v>0</v>
      </c>
      <c r="AC154" s="92">
        <f t="shared" ref="AC154" si="60">AB154*5000</f>
        <v>0</v>
      </c>
      <c r="AD154" s="79"/>
    </row>
    <row r="155" spans="1:31" ht="69" customHeight="1" x14ac:dyDescent="0.45">
      <c r="A155" s="89">
        <v>11</v>
      </c>
      <c r="B155" s="322"/>
      <c r="C155" s="79"/>
      <c r="D155" s="79"/>
      <c r="E155" s="272"/>
      <c r="F155" s="272"/>
      <c r="G155" s="272"/>
      <c r="H155" s="272"/>
      <c r="I155" s="272"/>
      <c r="J155" s="272"/>
      <c r="K155" s="272"/>
      <c r="L155" s="272"/>
      <c r="M155" s="285"/>
      <c r="N155" s="285"/>
      <c r="O155" s="144" t="s">
        <v>25</v>
      </c>
      <c r="P155" s="322"/>
      <c r="Q155" s="322"/>
      <c r="R155" s="322"/>
      <c r="S155" s="322"/>
      <c r="T155" s="322"/>
      <c r="U155" s="322"/>
      <c r="V155" s="322"/>
      <c r="W155" s="217">
        <f t="shared" si="57"/>
        <v>0</v>
      </c>
      <c r="X155" s="146">
        <f>SUMIFS('Đơn giá'!C:C,'Đơn giá'!B:B,XUẤT!O155)</f>
        <v>98000</v>
      </c>
      <c r="Y155" s="147">
        <f t="shared" si="56"/>
        <v>0</v>
      </c>
      <c r="Z155" s="277"/>
      <c r="AA155" s="316"/>
      <c r="AB155" s="91">
        <f t="shared" si="55"/>
        <v>0</v>
      </c>
      <c r="AC155" s="92">
        <f t="shared" si="48"/>
        <v>0</v>
      </c>
      <c r="AD155" s="91"/>
    </row>
    <row r="156" spans="1:31" ht="105.6" customHeight="1" x14ac:dyDescent="0.45">
      <c r="A156" s="89">
        <v>12</v>
      </c>
      <c r="B156" s="322"/>
      <c r="C156" s="79"/>
      <c r="D156" s="79"/>
      <c r="E156" s="272"/>
      <c r="F156" s="272"/>
      <c r="G156" s="272"/>
      <c r="H156" s="272"/>
      <c r="I156" s="272"/>
      <c r="J156" s="272"/>
      <c r="K156" s="272"/>
      <c r="L156" s="272"/>
      <c r="M156" s="285"/>
      <c r="N156" s="285"/>
      <c r="O156" s="144" t="s">
        <v>36</v>
      </c>
      <c r="P156" s="322"/>
      <c r="Q156" s="322"/>
      <c r="R156" s="322"/>
      <c r="S156" s="322"/>
      <c r="T156" s="322"/>
      <c r="U156" s="322"/>
      <c r="V156" s="322"/>
      <c r="W156" s="217">
        <f t="shared" si="57"/>
        <v>0</v>
      </c>
      <c r="X156" s="146">
        <f>SUMIFS('Đơn giá'!C:C,'Đơn giá'!B:B,XUẤT!O156)</f>
        <v>52000</v>
      </c>
      <c r="Y156" s="147">
        <f>X156*T156</f>
        <v>0</v>
      </c>
      <c r="Z156" s="277"/>
      <c r="AA156" s="316"/>
      <c r="AB156" s="91">
        <f t="shared" si="55"/>
        <v>0</v>
      </c>
      <c r="AC156" s="92">
        <f t="shared" si="48"/>
        <v>0</v>
      </c>
      <c r="AD156" s="91"/>
    </row>
    <row r="157" spans="1:31" ht="69" customHeight="1" x14ac:dyDescent="0.45">
      <c r="A157" s="89">
        <v>13</v>
      </c>
      <c r="B157" s="322"/>
      <c r="C157" s="79"/>
      <c r="D157" s="79"/>
      <c r="E157" s="272"/>
      <c r="F157" s="272"/>
      <c r="G157" s="272"/>
      <c r="H157" s="272"/>
      <c r="I157" s="272"/>
      <c r="J157" s="272"/>
      <c r="K157" s="272"/>
      <c r="L157" s="272"/>
      <c r="M157" s="285"/>
      <c r="N157" s="285"/>
      <c r="O157" s="144" t="s">
        <v>28</v>
      </c>
      <c r="P157" s="322"/>
      <c r="Q157" s="322"/>
      <c r="R157" s="322"/>
      <c r="S157" s="322"/>
      <c r="T157" s="322"/>
      <c r="U157" s="322"/>
      <c r="V157" s="322"/>
      <c r="W157" s="217">
        <f t="shared" ref="W157:W159" si="61">SUM(P157:V157)</f>
        <v>0</v>
      </c>
      <c r="X157" s="146">
        <f>SUMIFS('Đơn giá'!C:C,'Đơn giá'!B:B,XUẤT!O157)</f>
        <v>85000</v>
      </c>
      <c r="Y157" s="147">
        <f>X157*Q157</f>
        <v>0</v>
      </c>
      <c r="Z157" s="277"/>
      <c r="AA157" s="316"/>
      <c r="AB157" s="91">
        <f t="shared" ref="AB157:AB159" si="62">W157-V157</f>
        <v>0</v>
      </c>
      <c r="AC157" s="92">
        <f t="shared" ref="AC157:AC159" si="63">AB157*5000</f>
        <v>0</v>
      </c>
      <c r="AD157" s="91"/>
    </row>
    <row r="158" spans="1:31" ht="109.8" customHeight="1" x14ac:dyDescent="0.45">
      <c r="A158" s="89"/>
      <c r="B158" s="322"/>
      <c r="C158" s="79"/>
      <c r="D158" s="79"/>
      <c r="E158" s="272"/>
      <c r="F158" s="272"/>
      <c r="G158" s="272"/>
      <c r="H158" s="272"/>
      <c r="I158" s="272"/>
      <c r="J158" s="272"/>
      <c r="K158" s="272"/>
      <c r="L158" s="272"/>
      <c r="M158" s="285"/>
      <c r="N158" s="285"/>
      <c r="O158" s="144" t="s">
        <v>25</v>
      </c>
      <c r="P158" s="322"/>
      <c r="Q158" s="322"/>
      <c r="R158" s="322"/>
      <c r="S158" s="322"/>
      <c r="T158" s="322"/>
      <c r="U158" s="322"/>
      <c r="V158" s="322"/>
      <c r="W158" s="217">
        <f t="shared" si="61"/>
        <v>0</v>
      </c>
      <c r="X158" s="147">
        <v>98000</v>
      </c>
      <c r="Y158" s="147">
        <f>X158*P158</f>
        <v>0</v>
      </c>
      <c r="Z158" s="277"/>
      <c r="AA158" s="316"/>
      <c r="AB158" s="91">
        <f t="shared" si="62"/>
        <v>0</v>
      </c>
      <c r="AC158" s="92">
        <f t="shared" si="63"/>
        <v>0</v>
      </c>
      <c r="AD158" s="79"/>
    </row>
    <row r="159" spans="1:31" ht="69" customHeight="1" x14ac:dyDescent="0.45">
      <c r="A159" s="89"/>
      <c r="B159" s="322"/>
      <c r="C159" s="79"/>
      <c r="D159" s="79"/>
      <c r="E159" s="272"/>
      <c r="F159" s="272"/>
      <c r="G159" s="272"/>
      <c r="H159" s="272"/>
      <c r="I159" s="272"/>
      <c r="J159" s="272"/>
      <c r="K159" s="272"/>
      <c r="L159" s="272"/>
      <c r="M159" s="285"/>
      <c r="N159" s="285"/>
      <c r="O159" s="144" t="s">
        <v>25</v>
      </c>
      <c r="P159" s="322"/>
      <c r="Q159" s="322"/>
      <c r="R159" s="322"/>
      <c r="S159" s="322"/>
      <c r="T159" s="322"/>
      <c r="U159" s="322"/>
      <c r="V159" s="322"/>
      <c r="W159" s="217">
        <f t="shared" si="61"/>
        <v>0</v>
      </c>
      <c r="X159" s="146">
        <f>SUMIFS('Đơn giá'!C:C,'Đơn giá'!B:B,XUẤT!O159)</f>
        <v>98000</v>
      </c>
      <c r="Y159" s="147">
        <f t="shared" ref="Y159" si="64">X159*P159</f>
        <v>0</v>
      </c>
      <c r="Z159" s="277"/>
      <c r="AA159" s="316"/>
      <c r="AB159" s="91">
        <f t="shared" si="62"/>
        <v>0</v>
      </c>
      <c r="AC159" s="92">
        <f t="shared" si="63"/>
        <v>0</v>
      </c>
      <c r="AD159" s="91"/>
    </row>
    <row r="160" spans="1:31" ht="54.6" customHeight="1" x14ac:dyDescent="0.45">
      <c r="A160" s="89"/>
      <c r="B160" s="322"/>
      <c r="C160" s="79"/>
      <c r="D160" s="79"/>
      <c r="E160" s="272"/>
      <c r="F160" s="272"/>
      <c r="G160" s="272"/>
      <c r="H160" s="272"/>
      <c r="I160" s="272"/>
      <c r="J160" s="272"/>
      <c r="K160" s="272"/>
      <c r="L160" s="272"/>
      <c r="M160" s="285"/>
      <c r="N160" s="285"/>
      <c r="O160" s="144" t="s">
        <v>25</v>
      </c>
      <c r="P160" s="322"/>
      <c r="Q160" s="322"/>
      <c r="R160" s="322"/>
      <c r="S160" s="322"/>
      <c r="T160" s="322"/>
      <c r="U160" s="322"/>
      <c r="V160" s="322"/>
      <c r="W160" s="217">
        <f t="shared" si="57"/>
        <v>0</v>
      </c>
      <c r="X160" s="146">
        <f>SUMIFS('Đơn giá'!C:C,'Đơn giá'!B:B,XUẤT!O160)</f>
        <v>98000</v>
      </c>
      <c r="Y160" s="147">
        <f t="shared" ref="Y160:Y164" si="65">X160*P160</f>
        <v>0</v>
      </c>
      <c r="Z160" s="277"/>
      <c r="AA160" s="316"/>
      <c r="AB160" s="91">
        <f t="shared" si="55"/>
        <v>0</v>
      </c>
      <c r="AC160" s="92">
        <f t="shared" si="48"/>
        <v>0</v>
      </c>
      <c r="AD160" s="91"/>
    </row>
    <row r="161" spans="1:30" ht="41.4" customHeight="1" x14ac:dyDescent="0.45">
      <c r="A161" s="89"/>
      <c r="B161" s="322"/>
      <c r="C161" s="79"/>
      <c r="D161" s="79"/>
      <c r="E161" s="272"/>
      <c r="F161" s="272"/>
      <c r="G161" s="272"/>
      <c r="H161" s="272"/>
      <c r="I161" s="272"/>
      <c r="J161" s="272"/>
      <c r="K161" s="272"/>
      <c r="L161" s="272"/>
      <c r="M161" s="285"/>
      <c r="N161" s="285"/>
      <c r="O161" s="144"/>
      <c r="P161" s="322"/>
      <c r="Q161" s="322"/>
      <c r="R161" s="322"/>
      <c r="S161" s="322"/>
      <c r="T161" s="322"/>
      <c r="U161" s="322"/>
      <c r="V161" s="322"/>
      <c r="W161" s="217">
        <f t="shared" si="57"/>
        <v>0</v>
      </c>
      <c r="X161" s="146">
        <f>SUMIFS('Đơn giá'!C:C,'Đơn giá'!B:B,XUẤT!O161)</f>
        <v>0</v>
      </c>
      <c r="Y161" s="147">
        <f t="shared" si="65"/>
        <v>0</v>
      </c>
      <c r="Z161" s="277"/>
      <c r="AA161" s="316"/>
      <c r="AB161" s="91">
        <f t="shared" si="55"/>
        <v>0</v>
      </c>
      <c r="AC161" s="92">
        <f t="shared" si="48"/>
        <v>0</v>
      </c>
      <c r="AD161" s="91"/>
    </row>
    <row r="162" spans="1:30" ht="69" customHeight="1" x14ac:dyDescent="0.45">
      <c r="A162" s="89">
        <v>1</v>
      </c>
      <c r="B162" s="322"/>
      <c r="C162" s="79"/>
      <c r="D162" s="79"/>
      <c r="E162" s="272"/>
      <c r="F162" s="272"/>
      <c r="G162" s="272"/>
      <c r="H162" s="272"/>
      <c r="I162" s="272"/>
      <c r="J162" s="272"/>
      <c r="K162" s="272"/>
      <c r="L162" s="272"/>
      <c r="M162" s="285"/>
      <c r="N162" s="285"/>
      <c r="O162" s="144" t="s">
        <v>28</v>
      </c>
      <c r="P162" s="322"/>
      <c r="Q162" s="322"/>
      <c r="R162" s="322"/>
      <c r="S162" s="322"/>
      <c r="T162" s="322"/>
      <c r="U162" s="322"/>
      <c r="V162" s="322"/>
      <c r="W162" s="217">
        <f t="shared" si="57"/>
        <v>0</v>
      </c>
      <c r="X162" s="146">
        <f>SUMIFS('Đơn giá'!C:C,'Đơn giá'!B:B,XUẤT!O162)</f>
        <v>85000</v>
      </c>
      <c r="Y162" s="147">
        <f>X162*Q162</f>
        <v>0</v>
      </c>
      <c r="Z162" s="277"/>
      <c r="AA162" s="316"/>
      <c r="AB162" s="91">
        <f t="shared" si="55"/>
        <v>0</v>
      </c>
      <c r="AC162" s="92">
        <f t="shared" si="48"/>
        <v>0</v>
      </c>
      <c r="AD162" s="91"/>
    </row>
    <row r="163" spans="1:30" ht="102" customHeight="1" x14ac:dyDescent="0.45">
      <c r="A163" s="89">
        <v>2</v>
      </c>
      <c r="B163" s="322"/>
      <c r="C163" s="79"/>
      <c r="D163" s="79"/>
      <c r="E163" s="272"/>
      <c r="F163" s="272"/>
      <c r="G163" s="272"/>
      <c r="H163" s="272"/>
      <c r="I163" s="272"/>
      <c r="J163" s="272"/>
      <c r="K163" s="272"/>
      <c r="L163" s="272"/>
      <c r="M163" s="285"/>
      <c r="N163" s="285"/>
      <c r="O163" s="91" t="s">
        <v>25</v>
      </c>
      <c r="P163" s="322"/>
      <c r="Q163" s="322"/>
      <c r="R163" s="322"/>
      <c r="S163" s="322"/>
      <c r="T163" s="322"/>
      <c r="U163" s="322"/>
      <c r="V163" s="322"/>
      <c r="W163" s="217">
        <f t="shared" si="57"/>
        <v>0</v>
      </c>
      <c r="X163" s="146">
        <f>SUMIFS('Đơn giá'!C:C,'Đơn giá'!B:B,XUẤT!O163)</f>
        <v>98000</v>
      </c>
      <c r="Y163" s="147">
        <f t="shared" si="65"/>
        <v>0</v>
      </c>
      <c r="Z163" s="277"/>
      <c r="AA163" s="316"/>
      <c r="AB163" s="91">
        <f t="shared" si="55"/>
        <v>0</v>
      </c>
      <c r="AC163" s="92">
        <f t="shared" si="48"/>
        <v>0</v>
      </c>
      <c r="AD163" s="91"/>
    </row>
    <row r="164" spans="1:30" ht="67.2" customHeight="1" x14ac:dyDescent="0.45">
      <c r="A164" s="89">
        <v>3</v>
      </c>
      <c r="B164" s="322"/>
      <c r="C164" s="79"/>
      <c r="D164" s="79"/>
      <c r="E164" s="272"/>
      <c r="F164" s="272"/>
      <c r="G164" s="272"/>
      <c r="H164" s="272"/>
      <c r="I164" s="272"/>
      <c r="J164" s="272"/>
      <c r="K164" s="272"/>
      <c r="L164" s="272"/>
      <c r="M164" s="285"/>
      <c r="N164" s="285"/>
      <c r="O164" s="91" t="s">
        <v>25</v>
      </c>
      <c r="P164" s="322"/>
      <c r="Q164" s="322"/>
      <c r="R164" s="322"/>
      <c r="S164" s="322"/>
      <c r="T164" s="322"/>
      <c r="U164" s="322"/>
      <c r="V164" s="322"/>
      <c r="W164" s="217">
        <f t="shared" si="57"/>
        <v>0</v>
      </c>
      <c r="X164" s="146">
        <f>SUMIFS('Đơn giá'!C:C,'Đơn giá'!B:B,XUẤT!O164)</f>
        <v>98000</v>
      </c>
      <c r="Y164" s="147">
        <f t="shared" si="65"/>
        <v>0</v>
      </c>
      <c r="Z164" s="277"/>
      <c r="AA164" s="316"/>
      <c r="AB164" s="91">
        <f t="shared" si="55"/>
        <v>0</v>
      </c>
      <c r="AC164" s="92">
        <f t="shared" si="48"/>
        <v>0</v>
      </c>
      <c r="AD164" s="91"/>
    </row>
    <row r="165" spans="1:30" ht="102" customHeight="1" x14ac:dyDescent="0.45">
      <c r="A165" s="89">
        <v>4</v>
      </c>
      <c r="B165" s="322"/>
      <c r="C165" s="79"/>
      <c r="D165" s="79"/>
      <c r="E165" s="272"/>
      <c r="F165" s="272"/>
      <c r="G165" s="272"/>
      <c r="H165" s="272"/>
      <c r="I165" s="272"/>
      <c r="J165" s="272"/>
      <c r="K165" s="272"/>
      <c r="L165" s="272"/>
      <c r="M165" s="285"/>
      <c r="N165" s="285"/>
      <c r="O165" s="91" t="s">
        <v>36</v>
      </c>
      <c r="P165" s="322"/>
      <c r="Q165" s="322"/>
      <c r="R165" s="322"/>
      <c r="S165" s="322"/>
      <c r="T165" s="322"/>
      <c r="U165" s="322"/>
      <c r="V165" s="322"/>
      <c r="W165" s="217">
        <f t="shared" si="57"/>
        <v>0</v>
      </c>
      <c r="X165" s="146">
        <f>SUMIFS('Đơn giá'!C:C,'Đơn giá'!B:B,XUẤT!O165)</f>
        <v>52000</v>
      </c>
      <c r="Y165" s="147">
        <f>X165*T165</f>
        <v>0</v>
      </c>
      <c r="Z165" s="277"/>
      <c r="AA165" s="316"/>
      <c r="AB165" s="91">
        <f t="shared" si="55"/>
        <v>0</v>
      </c>
      <c r="AC165" s="92">
        <f t="shared" si="48"/>
        <v>0</v>
      </c>
      <c r="AD165" s="91"/>
    </row>
    <row r="166" spans="1:30" ht="129" customHeight="1" x14ac:dyDescent="0.45">
      <c r="A166" s="89">
        <v>5</v>
      </c>
      <c r="B166" s="322"/>
      <c r="C166" s="79"/>
      <c r="D166" s="79"/>
      <c r="E166" s="272"/>
      <c r="F166" s="272"/>
      <c r="G166" s="272"/>
      <c r="H166" s="272"/>
      <c r="I166" s="272"/>
      <c r="J166" s="272"/>
      <c r="K166" s="272"/>
      <c r="L166" s="272"/>
      <c r="M166" s="285"/>
      <c r="N166" s="285"/>
      <c r="O166" s="91" t="s">
        <v>38</v>
      </c>
      <c r="P166" s="322"/>
      <c r="Q166" s="322"/>
      <c r="R166" s="322"/>
      <c r="S166" s="322"/>
      <c r="T166" s="322"/>
      <c r="U166" s="322"/>
      <c r="V166" s="322"/>
      <c r="W166" s="217">
        <f t="shared" si="57"/>
        <v>0</v>
      </c>
      <c r="X166" s="146">
        <f>SUMIFS('Đơn giá'!C:C,'Đơn giá'!B:B,XUẤT!O166)</f>
        <v>48000</v>
      </c>
      <c r="Y166" s="147">
        <f>X166*U166</f>
        <v>0</v>
      </c>
      <c r="Z166" s="277"/>
      <c r="AA166" s="316"/>
      <c r="AB166" s="91">
        <f t="shared" si="55"/>
        <v>0</v>
      </c>
      <c r="AC166" s="92">
        <f t="shared" si="48"/>
        <v>0</v>
      </c>
      <c r="AD166" s="91"/>
    </row>
    <row r="167" spans="1:30" ht="46.2" customHeight="1" x14ac:dyDescent="0.45">
      <c r="A167" s="369">
        <v>6</v>
      </c>
      <c r="B167" s="322"/>
      <c r="C167" s="79"/>
      <c r="D167" s="79"/>
      <c r="E167" s="272"/>
      <c r="F167" s="272"/>
      <c r="G167" s="272"/>
      <c r="H167" s="272"/>
      <c r="I167" s="272"/>
      <c r="J167" s="272"/>
      <c r="K167" s="272"/>
      <c r="L167" s="272"/>
      <c r="M167" s="285"/>
      <c r="N167" s="285"/>
      <c r="O167" s="91" t="s">
        <v>25</v>
      </c>
      <c r="P167" s="322"/>
      <c r="Q167" s="322"/>
      <c r="R167" s="322"/>
      <c r="S167" s="322"/>
      <c r="T167" s="322"/>
      <c r="U167" s="322"/>
      <c r="V167" s="322"/>
      <c r="W167" s="217">
        <f t="shared" si="57"/>
        <v>0</v>
      </c>
      <c r="X167" s="146">
        <f>SUMIFS('Đơn giá'!C:C,'Đơn giá'!B:B,XUẤT!O167)</f>
        <v>98000</v>
      </c>
      <c r="Y167" s="147">
        <f t="shared" ref="Y167:Y172" si="66">X167*P167</f>
        <v>0</v>
      </c>
      <c r="Z167" s="277"/>
      <c r="AA167" s="316"/>
      <c r="AB167" s="91">
        <f>W167-V167</f>
        <v>0</v>
      </c>
      <c r="AC167" s="92">
        <f t="shared" si="48"/>
        <v>0</v>
      </c>
      <c r="AD167" s="91"/>
    </row>
    <row r="168" spans="1:30" ht="46.2" customHeight="1" x14ac:dyDescent="0.45">
      <c r="A168" s="369"/>
      <c r="B168" s="322"/>
      <c r="C168" s="79"/>
      <c r="D168" s="79"/>
      <c r="E168" s="272"/>
      <c r="F168" s="272"/>
      <c r="G168" s="272"/>
      <c r="H168" s="272"/>
      <c r="I168" s="272"/>
      <c r="J168" s="272"/>
      <c r="K168" s="272"/>
      <c r="L168" s="272"/>
      <c r="M168" s="285"/>
      <c r="N168" s="285"/>
      <c r="O168" s="91" t="s">
        <v>25</v>
      </c>
      <c r="P168" s="322"/>
      <c r="Q168" s="322"/>
      <c r="R168" s="322"/>
      <c r="S168" s="322"/>
      <c r="T168" s="322"/>
      <c r="U168" s="322"/>
      <c r="V168" s="322"/>
      <c r="W168" s="217">
        <f t="shared" si="57"/>
        <v>0</v>
      </c>
      <c r="X168" s="146">
        <f>SUMIFS('Đơn giá'!C:C,'Đơn giá'!B:B,XUẤT!O168)</f>
        <v>98000</v>
      </c>
      <c r="Y168" s="147">
        <f t="shared" si="66"/>
        <v>0</v>
      </c>
      <c r="Z168" s="277"/>
      <c r="AA168" s="316"/>
      <c r="AB168" s="91">
        <f t="shared" ref="AB168:AB169" si="67">W168-V168</f>
        <v>0</v>
      </c>
      <c r="AC168" s="92">
        <f t="shared" si="48"/>
        <v>0</v>
      </c>
      <c r="AD168" s="91"/>
    </row>
    <row r="169" spans="1:30" ht="62.4" customHeight="1" x14ac:dyDescent="0.45">
      <c r="A169" s="89">
        <v>1</v>
      </c>
      <c r="B169" s="322"/>
      <c r="C169" s="79"/>
      <c r="D169" s="79"/>
      <c r="E169" s="272"/>
      <c r="F169" s="272"/>
      <c r="G169" s="272"/>
      <c r="H169" s="272"/>
      <c r="I169" s="272"/>
      <c r="J169" s="272"/>
      <c r="K169" s="272"/>
      <c r="L169" s="272"/>
      <c r="M169" s="285"/>
      <c r="N169" s="285"/>
      <c r="O169" s="91" t="s">
        <v>25</v>
      </c>
      <c r="P169" s="322"/>
      <c r="Q169" s="322"/>
      <c r="R169" s="322"/>
      <c r="S169" s="322"/>
      <c r="T169" s="322"/>
      <c r="U169" s="322"/>
      <c r="V169" s="322"/>
      <c r="W169" s="217">
        <f t="shared" si="57"/>
        <v>0</v>
      </c>
      <c r="X169" s="146">
        <v>98000</v>
      </c>
      <c r="Y169" s="147">
        <f t="shared" si="66"/>
        <v>0</v>
      </c>
      <c r="Z169" s="277"/>
      <c r="AA169" s="316"/>
      <c r="AB169" s="91">
        <f t="shared" si="67"/>
        <v>0</v>
      </c>
      <c r="AC169" s="92">
        <f t="shared" si="48"/>
        <v>0</v>
      </c>
      <c r="AD169" s="91"/>
    </row>
    <row r="170" spans="1:30" ht="62.4" customHeight="1" x14ac:dyDescent="0.45">
      <c r="A170" s="89">
        <v>1</v>
      </c>
      <c r="B170" s="322"/>
      <c r="C170" s="79"/>
      <c r="D170" s="79"/>
      <c r="E170" s="272"/>
      <c r="F170" s="272"/>
      <c r="G170" s="272"/>
      <c r="H170" s="272"/>
      <c r="I170" s="272"/>
      <c r="J170" s="272"/>
      <c r="K170" s="272"/>
      <c r="L170" s="272"/>
      <c r="M170" s="285"/>
      <c r="N170" s="285"/>
      <c r="O170" s="91" t="s">
        <v>25</v>
      </c>
      <c r="P170" s="322"/>
      <c r="Q170" s="322"/>
      <c r="R170" s="322"/>
      <c r="S170" s="322"/>
      <c r="T170" s="322"/>
      <c r="U170" s="322"/>
      <c r="V170" s="322"/>
      <c r="W170" s="217">
        <f t="shared" ref="W170" si="68">SUM(P170:V170)</f>
        <v>0</v>
      </c>
      <c r="X170" s="146">
        <v>98000</v>
      </c>
      <c r="Y170" s="147">
        <f t="shared" si="66"/>
        <v>0</v>
      </c>
      <c r="Z170" s="277"/>
      <c r="AA170" s="316"/>
      <c r="AB170" s="91">
        <f t="shared" ref="AB170" si="69">W170-V170</f>
        <v>0</v>
      </c>
      <c r="AC170" s="92">
        <f t="shared" ref="AC170" si="70">AB170*5000</f>
        <v>0</v>
      </c>
      <c r="AD170" s="91"/>
    </row>
    <row r="171" spans="1:30" ht="62.4" customHeight="1" x14ac:dyDescent="0.45">
      <c r="A171" s="89">
        <v>1</v>
      </c>
      <c r="B171" s="322"/>
      <c r="C171" s="79"/>
      <c r="D171" s="79"/>
      <c r="E171" s="272"/>
      <c r="F171" s="272"/>
      <c r="G171" s="272"/>
      <c r="H171" s="272"/>
      <c r="I171" s="272"/>
      <c r="J171" s="272"/>
      <c r="K171" s="272"/>
      <c r="L171" s="272"/>
      <c r="M171" s="285"/>
      <c r="N171" s="285"/>
      <c r="O171" s="91" t="s">
        <v>25</v>
      </c>
      <c r="P171" s="322"/>
      <c r="Q171" s="322"/>
      <c r="R171" s="322"/>
      <c r="S171" s="322"/>
      <c r="T171" s="322"/>
      <c r="U171" s="322"/>
      <c r="V171" s="322"/>
      <c r="W171" s="217">
        <f t="shared" ref="W171" si="71">SUM(P171:V171)</f>
        <v>0</v>
      </c>
      <c r="X171" s="146">
        <v>98000</v>
      </c>
      <c r="Y171" s="147">
        <f t="shared" si="66"/>
        <v>0</v>
      </c>
      <c r="Z171" s="277"/>
      <c r="AA171" s="316"/>
      <c r="AB171" s="91">
        <f t="shared" ref="AB171" si="72">W171-V171</f>
        <v>0</v>
      </c>
      <c r="AC171" s="92">
        <f t="shared" ref="AC171" si="73">AB171*5000</f>
        <v>0</v>
      </c>
      <c r="AD171" s="91"/>
    </row>
    <row r="172" spans="1:30" ht="62.4" customHeight="1" x14ac:dyDescent="0.45">
      <c r="A172" s="89">
        <v>1</v>
      </c>
      <c r="B172" s="322"/>
      <c r="C172" s="79"/>
      <c r="D172" s="79"/>
      <c r="E172" s="272"/>
      <c r="F172" s="272"/>
      <c r="G172" s="272"/>
      <c r="H172" s="272"/>
      <c r="I172" s="272"/>
      <c r="J172" s="272"/>
      <c r="K172" s="272"/>
      <c r="L172" s="272"/>
      <c r="M172" s="285"/>
      <c r="N172" s="285"/>
      <c r="O172" s="91" t="s">
        <v>25</v>
      </c>
      <c r="P172" s="322"/>
      <c r="Q172" s="322"/>
      <c r="R172" s="322"/>
      <c r="S172" s="322"/>
      <c r="T172" s="322"/>
      <c r="U172" s="322"/>
      <c r="V172" s="322"/>
      <c r="W172" s="217">
        <f t="shared" ref="W172" si="74">SUM(P172:V172)</f>
        <v>0</v>
      </c>
      <c r="X172" s="146">
        <v>98000</v>
      </c>
      <c r="Y172" s="147">
        <f t="shared" si="66"/>
        <v>0</v>
      </c>
      <c r="Z172" s="277"/>
      <c r="AA172" s="316"/>
      <c r="AB172" s="91">
        <f t="shared" ref="AB172" si="75">W172-V172</f>
        <v>0</v>
      </c>
      <c r="AC172" s="92">
        <f t="shared" ref="AC172" si="76">AB172*5000</f>
        <v>0</v>
      </c>
      <c r="AD172" s="91"/>
    </row>
    <row r="173" spans="1:30" ht="109.2" customHeight="1" x14ac:dyDescent="0.45">
      <c r="A173" s="102">
        <v>2</v>
      </c>
      <c r="B173" s="322"/>
      <c r="C173" s="79"/>
      <c r="D173" s="79"/>
      <c r="E173" s="272"/>
      <c r="F173" s="272"/>
      <c r="G173" s="272"/>
      <c r="H173" s="272"/>
      <c r="I173" s="272"/>
      <c r="J173" s="272"/>
      <c r="K173" s="272"/>
      <c r="L173" s="272"/>
      <c r="M173" s="285"/>
      <c r="N173" s="285"/>
      <c r="O173" s="91" t="s">
        <v>25</v>
      </c>
      <c r="P173" s="322"/>
      <c r="Q173" s="322"/>
      <c r="R173" s="322"/>
      <c r="S173" s="322"/>
      <c r="T173" s="322"/>
      <c r="U173" s="322"/>
      <c r="V173" s="322"/>
      <c r="W173" s="217">
        <f t="shared" ref="W173:W188" si="77">SUM(P173:V173)</f>
        <v>0</v>
      </c>
      <c r="X173" s="146">
        <f>SUMIFS('Đơn giá'!C:C,'Đơn giá'!B:B,XUẤT!O173)</f>
        <v>98000</v>
      </c>
      <c r="Y173" s="147">
        <f t="shared" ref="Y173:Y176" si="78">X173*P173</f>
        <v>0</v>
      </c>
      <c r="Z173" s="277"/>
      <c r="AA173" s="316"/>
      <c r="AB173" s="91">
        <f t="shared" si="55"/>
        <v>0</v>
      </c>
      <c r="AC173" s="92">
        <f t="shared" si="48"/>
        <v>0</v>
      </c>
      <c r="AD173" s="91"/>
    </row>
    <row r="174" spans="1:30" ht="109.2" customHeight="1" x14ac:dyDescent="0.45">
      <c r="A174" s="102">
        <v>3</v>
      </c>
      <c r="B174" s="322"/>
      <c r="C174" s="79"/>
      <c r="D174" s="79"/>
      <c r="E174" s="272"/>
      <c r="F174" s="272"/>
      <c r="G174" s="272"/>
      <c r="H174" s="272"/>
      <c r="I174" s="272"/>
      <c r="J174" s="272"/>
      <c r="K174" s="272"/>
      <c r="L174" s="272"/>
      <c r="M174" s="285"/>
      <c r="N174" s="285"/>
      <c r="O174" s="91" t="s">
        <v>25</v>
      </c>
      <c r="P174" s="322"/>
      <c r="Q174" s="322"/>
      <c r="R174" s="322"/>
      <c r="S174" s="322"/>
      <c r="T174" s="322"/>
      <c r="U174" s="322"/>
      <c r="V174" s="322"/>
      <c r="W174" s="217">
        <f t="shared" si="77"/>
        <v>0</v>
      </c>
      <c r="X174" s="146">
        <f>SUMIFS('Đơn giá'!C:C,'Đơn giá'!B:B,XUẤT!O174)</f>
        <v>98000</v>
      </c>
      <c r="Y174" s="147">
        <f t="shared" si="78"/>
        <v>0</v>
      </c>
      <c r="Z174" s="277"/>
      <c r="AA174" s="316"/>
      <c r="AB174" s="91">
        <f t="shared" si="55"/>
        <v>0</v>
      </c>
      <c r="AC174" s="92">
        <f t="shared" si="48"/>
        <v>0</v>
      </c>
      <c r="AD174" s="91"/>
    </row>
    <row r="175" spans="1:30" ht="73.8" customHeight="1" x14ac:dyDescent="0.45">
      <c r="A175" s="102">
        <v>5</v>
      </c>
      <c r="B175" s="322"/>
      <c r="C175" s="79"/>
      <c r="D175" s="79"/>
      <c r="E175" s="272"/>
      <c r="F175" s="272"/>
      <c r="G175" s="272"/>
      <c r="H175" s="272"/>
      <c r="I175" s="272"/>
      <c r="J175" s="272"/>
      <c r="K175" s="272"/>
      <c r="L175" s="272"/>
      <c r="M175" s="285"/>
      <c r="N175" s="285"/>
      <c r="O175" s="91" t="s">
        <v>25</v>
      </c>
      <c r="P175" s="322"/>
      <c r="Q175" s="322"/>
      <c r="R175" s="322"/>
      <c r="S175" s="322"/>
      <c r="T175" s="322"/>
      <c r="U175" s="322"/>
      <c r="V175" s="322"/>
      <c r="W175" s="217">
        <f t="shared" si="77"/>
        <v>0</v>
      </c>
      <c r="X175" s="146">
        <f>SUMIFS('Đơn giá'!C:C,'Đơn giá'!B:B,XUẤT!O175)</f>
        <v>98000</v>
      </c>
      <c r="Y175" s="147">
        <f t="shared" si="78"/>
        <v>0</v>
      </c>
      <c r="Z175" s="277"/>
      <c r="AA175" s="316"/>
      <c r="AB175" s="91">
        <f t="shared" si="55"/>
        <v>0</v>
      </c>
      <c r="AC175" s="92">
        <f t="shared" si="48"/>
        <v>0</v>
      </c>
      <c r="AD175" s="91"/>
    </row>
    <row r="176" spans="1:30" ht="109.2" customHeight="1" x14ac:dyDescent="0.45">
      <c r="A176" s="102">
        <v>1</v>
      </c>
      <c r="B176" s="322"/>
      <c r="C176" s="79"/>
      <c r="D176" s="79"/>
      <c r="E176" s="272"/>
      <c r="F176" s="272"/>
      <c r="G176" s="272"/>
      <c r="H176" s="272"/>
      <c r="I176" s="272"/>
      <c r="J176" s="272"/>
      <c r="K176" s="272"/>
      <c r="L176" s="272"/>
      <c r="M176" s="285"/>
      <c r="N176" s="285"/>
      <c r="O176" s="91" t="s">
        <v>25</v>
      </c>
      <c r="P176" s="322"/>
      <c r="Q176" s="322"/>
      <c r="R176" s="322"/>
      <c r="S176" s="322"/>
      <c r="T176" s="322"/>
      <c r="U176" s="322"/>
      <c r="V176" s="322"/>
      <c r="W176" s="217">
        <f t="shared" si="77"/>
        <v>0</v>
      </c>
      <c r="X176" s="146">
        <f>SUMIFS('Đơn giá'!C:C,'Đơn giá'!B:B,XUẤT!O176)</f>
        <v>98000</v>
      </c>
      <c r="Y176" s="147">
        <f t="shared" si="78"/>
        <v>0</v>
      </c>
      <c r="Z176" s="277"/>
      <c r="AA176" s="316"/>
      <c r="AB176" s="91">
        <f t="shared" si="55"/>
        <v>0</v>
      </c>
      <c r="AC176" s="92">
        <f t="shared" si="48"/>
        <v>0</v>
      </c>
      <c r="AD176" s="91"/>
    </row>
    <row r="177" spans="1:30" ht="151.19999999999999" customHeight="1" x14ac:dyDescent="0.45">
      <c r="A177" s="89">
        <v>2</v>
      </c>
      <c r="B177" s="322"/>
      <c r="C177" s="79"/>
      <c r="D177" s="79"/>
      <c r="E177" s="272"/>
      <c r="F177" s="272"/>
      <c r="G177" s="272"/>
      <c r="H177" s="272"/>
      <c r="I177" s="272"/>
      <c r="J177" s="272"/>
      <c r="K177" s="272"/>
      <c r="L177" s="272"/>
      <c r="M177" s="285"/>
      <c r="N177" s="285"/>
      <c r="O177" s="91"/>
      <c r="P177" s="322"/>
      <c r="Q177" s="322"/>
      <c r="R177" s="322"/>
      <c r="S177" s="322"/>
      <c r="T177" s="322"/>
      <c r="U177" s="322"/>
      <c r="V177" s="322"/>
      <c r="W177" s="217">
        <f t="shared" ref="W177:W184" si="79">SUM(P177:V177)</f>
        <v>0</v>
      </c>
      <c r="X177" s="146">
        <f>SUMIFS('Đơn giá'!C:C,'Đơn giá'!B:B,XUẤT!O177)</f>
        <v>0</v>
      </c>
      <c r="Y177" s="147">
        <f t="shared" ref="Y177:Y178" si="80">X177*P177</f>
        <v>0</v>
      </c>
      <c r="Z177" s="277"/>
      <c r="AA177" s="316"/>
      <c r="AB177" s="89"/>
      <c r="AC177" s="92">
        <f t="shared" ref="AC177:AC189" si="81">AB177*5000</f>
        <v>0</v>
      </c>
      <c r="AD177" s="91"/>
    </row>
    <row r="178" spans="1:30" s="148" customFormat="1" ht="23.4" x14ac:dyDescent="0.45">
      <c r="A178" s="143">
        <v>3</v>
      </c>
      <c r="B178" s="322"/>
      <c r="C178" s="79"/>
      <c r="D178" s="79"/>
      <c r="E178" s="272"/>
      <c r="F178" s="272"/>
      <c r="G178" s="272"/>
      <c r="H178" s="272"/>
      <c r="I178" s="272"/>
      <c r="J178" s="272"/>
      <c r="K178" s="272"/>
      <c r="L178" s="272"/>
      <c r="M178" s="285"/>
      <c r="N178" s="285"/>
      <c r="O178" s="145" t="s">
        <v>25</v>
      </c>
      <c r="P178" s="322"/>
      <c r="Q178" s="322"/>
      <c r="R178" s="322"/>
      <c r="S178" s="322"/>
      <c r="T178" s="322"/>
      <c r="U178" s="322"/>
      <c r="V178" s="322"/>
      <c r="W178" s="217">
        <f t="shared" si="79"/>
        <v>0</v>
      </c>
      <c r="X178" s="146">
        <f>SUMIFS('Đơn giá'!C:C,'Đơn giá'!B:B,XUẤT!O178)</f>
        <v>98000</v>
      </c>
      <c r="Y178" s="147">
        <f t="shared" si="80"/>
        <v>0</v>
      </c>
      <c r="Z178" s="277"/>
      <c r="AA178" s="316"/>
      <c r="AB178"/>
      <c r="AC178" s="146">
        <f>AB178*5000</f>
        <v>0</v>
      </c>
      <c r="AD178" s="145"/>
    </row>
    <row r="179" spans="1:30" s="148" customFormat="1" ht="58.8" customHeight="1" x14ac:dyDescent="0.45">
      <c r="A179" s="143">
        <v>4</v>
      </c>
      <c r="B179" s="322"/>
      <c r="C179" s="79"/>
      <c r="D179" s="79"/>
      <c r="E179" s="272"/>
      <c r="F179" s="272"/>
      <c r="G179" s="272"/>
      <c r="H179" s="272"/>
      <c r="I179" s="272"/>
      <c r="J179" s="272"/>
      <c r="K179" s="272"/>
      <c r="L179" s="272"/>
      <c r="M179" s="285"/>
      <c r="N179" s="285"/>
      <c r="O179" s="145" t="s">
        <v>36</v>
      </c>
      <c r="P179" s="322"/>
      <c r="Q179" s="322"/>
      <c r="R179" s="322"/>
      <c r="S179" s="322"/>
      <c r="T179" s="322"/>
      <c r="U179" s="322"/>
      <c r="V179" s="322"/>
      <c r="W179" s="217">
        <f t="shared" si="79"/>
        <v>0</v>
      </c>
      <c r="X179" s="146">
        <f>SUMIFS('Đơn giá'!C:C,'Đơn giá'!B:B,XUẤT!O179)</f>
        <v>52000</v>
      </c>
      <c r="Y179" s="147">
        <f>X179*T179</f>
        <v>0</v>
      </c>
      <c r="Z179" s="277"/>
      <c r="AA179" s="316"/>
      <c r="AB179"/>
      <c r="AC179" s="92">
        <f t="shared" si="81"/>
        <v>0</v>
      </c>
      <c r="AD179" s="145"/>
    </row>
    <row r="180" spans="1:30" ht="23.4" x14ac:dyDescent="0.45">
      <c r="A180" s="89">
        <v>5</v>
      </c>
      <c r="B180" s="322"/>
      <c r="C180" s="79"/>
      <c r="D180" s="79"/>
      <c r="E180" s="272"/>
      <c r="F180" s="272"/>
      <c r="G180" s="272"/>
      <c r="H180" s="272"/>
      <c r="I180" s="272"/>
      <c r="J180" s="272"/>
      <c r="K180" s="272"/>
      <c r="L180" s="272"/>
      <c r="M180" s="285"/>
      <c r="N180" s="285"/>
      <c r="O180" s="91" t="s">
        <v>25</v>
      </c>
      <c r="P180" s="322"/>
      <c r="Q180" s="322"/>
      <c r="R180" s="322"/>
      <c r="S180" s="322"/>
      <c r="T180" s="322"/>
      <c r="U180" s="322"/>
      <c r="V180" s="322"/>
      <c r="W180" s="217">
        <f t="shared" si="79"/>
        <v>0</v>
      </c>
      <c r="X180" s="146">
        <f>SUMIFS('Đơn giá'!C:C,'Đơn giá'!B:B,XUẤT!O180)</f>
        <v>98000</v>
      </c>
      <c r="Y180" s="147">
        <f t="shared" ref="Y180" si="82">X180*P180</f>
        <v>0</v>
      </c>
      <c r="Z180" s="277"/>
      <c r="AA180" s="316"/>
      <c r="AB180"/>
      <c r="AC180" s="92">
        <f t="shared" si="81"/>
        <v>0</v>
      </c>
      <c r="AD180" s="91"/>
    </row>
    <row r="181" spans="1:30" ht="148.80000000000001" customHeight="1" x14ac:dyDescent="0.45">
      <c r="A181" s="89">
        <v>6</v>
      </c>
      <c r="B181" s="322"/>
      <c r="C181" s="79"/>
      <c r="D181" s="79"/>
      <c r="E181" s="272"/>
      <c r="F181" s="272"/>
      <c r="G181" s="272"/>
      <c r="H181" s="272"/>
      <c r="I181" s="272"/>
      <c r="J181" s="272"/>
      <c r="K181" s="272"/>
      <c r="L181" s="272"/>
      <c r="M181" s="285"/>
      <c r="N181" s="285"/>
      <c r="O181" s="91" t="s">
        <v>38</v>
      </c>
      <c r="P181" s="322"/>
      <c r="Q181" s="322"/>
      <c r="R181" s="322"/>
      <c r="S181" s="322"/>
      <c r="T181" s="322"/>
      <c r="U181" s="322"/>
      <c r="V181" s="322"/>
      <c r="W181" s="217">
        <f t="shared" si="79"/>
        <v>0</v>
      </c>
      <c r="X181" s="146">
        <f>SUMIFS('Đơn giá'!C:C,'Đơn giá'!B:B,XUẤT!O181)</f>
        <v>48000</v>
      </c>
      <c r="Y181" s="147">
        <f>X181*U181</f>
        <v>0</v>
      </c>
      <c r="Z181" s="277"/>
      <c r="AA181" s="316"/>
      <c r="AB181" s="91">
        <f t="shared" ref="AB181" si="83">W181-V181</f>
        <v>0</v>
      </c>
      <c r="AC181" s="92">
        <f t="shared" si="81"/>
        <v>0</v>
      </c>
      <c r="AD181" s="91"/>
    </row>
    <row r="182" spans="1:30" s="148" customFormat="1" ht="88.8" customHeight="1" x14ac:dyDescent="0.45">
      <c r="A182" s="143">
        <v>8</v>
      </c>
      <c r="B182" s="322"/>
      <c r="C182" s="79"/>
      <c r="D182" s="79"/>
      <c r="E182" s="272"/>
      <c r="F182" s="272"/>
      <c r="G182" s="272"/>
      <c r="H182" s="272"/>
      <c r="I182" s="272"/>
      <c r="J182" s="272"/>
      <c r="K182" s="272"/>
      <c r="L182" s="272"/>
      <c r="M182" s="285"/>
      <c r="N182" s="285"/>
      <c r="O182" s="145" t="s">
        <v>36</v>
      </c>
      <c r="P182" s="322"/>
      <c r="Q182" s="322"/>
      <c r="R182" s="322"/>
      <c r="S182" s="322"/>
      <c r="T182" s="322"/>
      <c r="U182" s="322"/>
      <c r="V182" s="322"/>
      <c r="W182" s="217">
        <f t="shared" si="79"/>
        <v>0</v>
      </c>
      <c r="X182" s="146">
        <f>SUMIFS('Đơn giá'!C:C,'Đơn giá'!B:B,XUẤT!O182)</f>
        <v>52000</v>
      </c>
      <c r="Y182" s="147">
        <f t="shared" ref="Y182" si="84">X182*U182</f>
        <v>0</v>
      </c>
      <c r="Z182" s="277"/>
      <c r="AA182" s="316"/>
      <c r="AB182" s="143"/>
      <c r="AC182" s="146">
        <f t="shared" si="81"/>
        <v>0</v>
      </c>
      <c r="AD182" s="145"/>
    </row>
    <row r="183" spans="1:30" s="148" customFormat="1" ht="148.80000000000001" customHeight="1" x14ac:dyDescent="0.45">
      <c r="A183" s="143">
        <v>9</v>
      </c>
      <c r="B183" s="322"/>
      <c r="C183" s="79"/>
      <c r="D183" s="79"/>
      <c r="E183" s="272"/>
      <c r="F183" s="272"/>
      <c r="G183" s="272"/>
      <c r="H183" s="272"/>
      <c r="I183" s="272"/>
      <c r="J183" s="272"/>
      <c r="K183" s="272"/>
      <c r="L183" s="272"/>
      <c r="M183" s="285"/>
      <c r="N183" s="285"/>
      <c r="O183" s="145" t="s">
        <v>36</v>
      </c>
      <c r="P183" s="322"/>
      <c r="Q183" s="322"/>
      <c r="R183" s="322"/>
      <c r="S183" s="322"/>
      <c r="T183" s="322"/>
      <c r="U183" s="322"/>
      <c r="V183" s="322"/>
      <c r="W183" s="217">
        <f t="shared" si="79"/>
        <v>0</v>
      </c>
      <c r="X183" s="146">
        <f>SUMIFS('Đơn giá'!C:C,'Đơn giá'!B:B,XUẤT!O183)</f>
        <v>52000</v>
      </c>
      <c r="Y183" s="147">
        <f>X183*T183</f>
        <v>0</v>
      </c>
      <c r="Z183" s="277"/>
      <c r="AA183" s="316"/>
      <c r="AB183"/>
      <c r="AC183" s="146">
        <f t="shared" si="81"/>
        <v>0</v>
      </c>
      <c r="AD183" s="145"/>
    </row>
    <row r="184" spans="1:30" s="148" customFormat="1" ht="72.599999999999994" customHeight="1" x14ac:dyDescent="0.45">
      <c r="A184" s="143">
        <v>10</v>
      </c>
      <c r="B184" s="322"/>
      <c r="C184" s="79"/>
      <c r="D184" s="79"/>
      <c r="E184" s="272"/>
      <c r="F184" s="272"/>
      <c r="G184" s="272"/>
      <c r="H184" s="272"/>
      <c r="I184" s="272"/>
      <c r="J184" s="272"/>
      <c r="K184" s="272"/>
      <c r="L184" s="272"/>
      <c r="M184" s="285"/>
      <c r="N184" s="285"/>
      <c r="O184" s="145" t="s">
        <v>36</v>
      </c>
      <c r="P184" s="322"/>
      <c r="Q184" s="322"/>
      <c r="R184" s="322"/>
      <c r="S184" s="322"/>
      <c r="T184" s="322"/>
      <c r="U184" s="322"/>
      <c r="V184" s="322"/>
      <c r="W184" s="217">
        <f t="shared" si="79"/>
        <v>0</v>
      </c>
      <c r="X184" s="146">
        <f>SUMIFS('Đơn giá'!C:C,'Đơn giá'!B:B,XUẤT!O184)</f>
        <v>52000</v>
      </c>
      <c r="Y184" s="147">
        <f>X184*T184</f>
        <v>0</v>
      </c>
      <c r="Z184" s="277"/>
      <c r="AA184" s="316"/>
      <c r="AB184"/>
      <c r="AC184" s="146">
        <f t="shared" si="81"/>
        <v>0</v>
      </c>
      <c r="AD184" s="145"/>
    </row>
    <row r="185" spans="1:30" ht="109.2" customHeight="1" x14ac:dyDescent="0.45">
      <c r="A185" s="102">
        <v>11</v>
      </c>
      <c r="B185" s="322"/>
      <c r="C185" s="79"/>
      <c r="D185" s="79"/>
      <c r="E185" s="272"/>
      <c r="F185" s="272"/>
      <c r="G185" s="272"/>
      <c r="H185" s="272"/>
      <c r="I185" s="272"/>
      <c r="J185" s="272"/>
      <c r="K185" s="272"/>
      <c r="L185" s="272"/>
      <c r="M185" s="285"/>
      <c r="N185" s="285"/>
      <c r="O185" s="91"/>
      <c r="P185" s="322"/>
      <c r="Q185" s="322"/>
      <c r="R185" s="322"/>
      <c r="S185" s="322"/>
      <c r="T185" s="322"/>
      <c r="U185" s="322"/>
      <c r="V185" s="322"/>
      <c r="W185" s="217">
        <f t="shared" si="77"/>
        <v>0</v>
      </c>
      <c r="X185" s="146">
        <f>SUMIFS('Đơn giá'!C:C,'Đơn giá'!B:B,XUẤT!O185)</f>
        <v>0</v>
      </c>
      <c r="Y185" s="147">
        <f t="shared" ref="Y185" si="85">X185*T185</f>
        <v>0</v>
      </c>
      <c r="Z185" s="277"/>
      <c r="AA185" s="316"/>
      <c r="AB185" s="91">
        <f t="shared" si="55"/>
        <v>0</v>
      </c>
      <c r="AC185" s="92">
        <f t="shared" si="81"/>
        <v>0</v>
      </c>
      <c r="AD185" s="91"/>
    </row>
    <row r="186" spans="1:30" ht="85.8" customHeight="1" x14ac:dyDescent="0.45">
      <c r="A186" s="102">
        <v>13</v>
      </c>
      <c r="B186" s="322"/>
      <c r="C186" s="79"/>
      <c r="D186" s="79"/>
      <c r="E186" s="272"/>
      <c r="F186" s="272"/>
      <c r="G186" s="272"/>
      <c r="H186" s="272"/>
      <c r="I186" s="272"/>
      <c r="J186" s="272"/>
      <c r="K186" s="272"/>
      <c r="L186" s="272"/>
      <c r="M186" s="285"/>
      <c r="N186" s="285"/>
      <c r="O186" s="91" t="s">
        <v>25</v>
      </c>
      <c r="P186" s="322"/>
      <c r="Q186" s="322"/>
      <c r="R186" s="322"/>
      <c r="S186" s="322"/>
      <c r="T186" s="322"/>
      <c r="U186" s="322"/>
      <c r="V186" s="322"/>
      <c r="W186" s="217">
        <f t="shared" si="77"/>
        <v>0</v>
      </c>
      <c r="X186" s="146">
        <f>SUMIFS('Đơn giá'!C:C,'Đơn giá'!B:B,XUẤT!O186)</f>
        <v>98000</v>
      </c>
      <c r="Y186" s="147">
        <f>X186*P186</f>
        <v>0</v>
      </c>
      <c r="Z186" s="277"/>
      <c r="AA186" s="316"/>
      <c r="AB186" s="91">
        <f t="shared" si="55"/>
        <v>0</v>
      </c>
      <c r="AC186" s="92">
        <f t="shared" si="81"/>
        <v>0</v>
      </c>
      <c r="AD186" s="91"/>
    </row>
    <row r="187" spans="1:30" ht="102.6" customHeight="1" x14ac:dyDescent="0.45">
      <c r="A187" s="102">
        <v>13</v>
      </c>
      <c r="B187" s="322"/>
      <c r="C187" s="79"/>
      <c r="D187" s="79"/>
      <c r="E187" s="272"/>
      <c r="F187" s="272"/>
      <c r="G187" s="272"/>
      <c r="H187" s="272"/>
      <c r="I187" s="272"/>
      <c r="J187" s="272"/>
      <c r="K187" s="272"/>
      <c r="L187" s="272"/>
      <c r="M187" s="285"/>
      <c r="N187" s="285"/>
      <c r="O187" s="91" t="s">
        <v>25</v>
      </c>
      <c r="P187" s="322"/>
      <c r="Q187" s="322"/>
      <c r="R187" s="322"/>
      <c r="S187" s="322"/>
      <c r="T187" s="322"/>
      <c r="U187" s="322"/>
      <c r="V187" s="322"/>
      <c r="W187" s="217">
        <f t="shared" si="77"/>
        <v>0</v>
      </c>
      <c r="X187" s="146">
        <f>SUMIFS('Đơn giá'!C:C,'Đơn giá'!B:B,XUẤT!O187)</f>
        <v>98000</v>
      </c>
      <c r="Y187" s="147">
        <f>X187*P187</f>
        <v>0</v>
      </c>
      <c r="Z187" s="277"/>
      <c r="AA187" s="316"/>
      <c r="AB187" s="91">
        <f t="shared" si="55"/>
        <v>0</v>
      </c>
      <c r="AC187" s="92">
        <f t="shared" si="81"/>
        <v>0</v>
      </c>
      <c r="AD187" s="91"/>
    </row>
    <row r="188" spans="1:30" s="148" customFormat="1" ht="61.8" customHeight="1" x14ac:dyDescent="0.45">
      <c r="A188" s="149">
        <v>14</v>
      </c>
      <c r="B188" s="322"/>
      <c r="C188" s="79"/>
      <c r="D188" s="79"/>
      <c r="E188" s="272"/>
      <c r="F188" s="272"/>
      <c r="G188" s="272"/>
      <c r="H188" s="272"/>
      <c r="I188" s="272"/>
      <c r="J188" s="272"/>
      <c r="K188" s="272"/>
      <c r="L188" s="272"/>
      <c r="M188" s="285"/>
      <c r="N188" s="285"/>
      <c r="O188" s="145" t="s">
        <v>28</v>
      </c>
      <c r="P188" s="322"/>
      <c r="Q188" s="322"/>
      <c r="R188" s="322"/>
      <c r="S188" s="322"/>
      <c r="T188" s="322"/>
      <c r="U188" s="322"/>
      <c r="V188" s="322"/>
      <c r="W188" s="217">
        <f t="shared" si="77"/>
        <v>0</v>
      </c>
      <c r="X188" s="146">
        <f>SUMIFS('Đơn giá'!C:C,'Đơn giá'!B:B,XUẤT!O188)</f>
        <v>85000</v>
      </c>
      <c r="Y188" s="147">
        <f>X188*Q188</f>
        <v>0</v>
      </c>
      <c r="Z188" s="277"/>
      <c r="AA188" s="316"/>
      <c r="AB188" s="145">
        <f t="shared" si="55"/>
        <v>0</v>
      </c>
      <c r="AC188" s="146">
        <f t="shared" si="81"/>
        <v>0</v>
      </c>
      <c r="AD188" s="145"/>
    </row>
    <row r="189" spans="1:30" s="148" customFormat="1" ht="58.8" customHeight="1" x14ac:dyDescent="0.45">
      <c r="A189" s="149">
        <v>15</v>
      </c>
      <c r="B189" s="322"/>
      <c r="C189" s="79"/>
      <c r="D189" s="79"/>
      <c r="E189" s="272"/>
      <c r="F189" s="272"/>
      <c r="G189" s="272"/>
      <c r="H189" s="272"/>
      <c r="I189" s="272"/>
      <c r="J189" s="272"/>
      <c r="K189" s="272"/>
      <c r="L189" s="272"/>
      <c r="M189" s="285"/>
      <c r="N189" s="285"/>
      <c r="O189" s="145" t="s">
        <v>28</v>
      </c>
      <c r="P189" s="322"/>
      <c r="Q189" s="322"/>
      <c r="R189" s="322"/>
      <c r="S189" s="322"/>
      <c r="T189" s="322"/>
      <c r="U189" s="322"/>
      <c r="V189" s="322"/>
      <c r="W189" s="217">
        <f t="shared" ref="W189" si="86">SUM(P189:V189)</f>
        <v>0</v>
      </c>
      <c r="X189" s="146">
        <f>SUMIFS('Đơn giá'!C:C,'Đơn giá'!B:B,XUẤT!O189)</f>
        <v>85000</v>
      </c>
      <c r="Y189" s="147">
        <f t="shared" ref="Y189" si="87">X189*Q189</f>
        <v>0</v>
      </c>
      <c r="Z189" s="277"/>
      <c r="AA189" s="316"/>
      <c r="AB189" s="145">
        <f t="shared" si="55"/>
        <v>0</v>
      </c>
      <c r="AC189" s="146">
        <f t="shared" si="81"/>
        <v>0</v>
      </c>
      <c r="AD189" s="145"/>
    </row>
    <row r="190" spans="1:30" ht="138" customHeight="1" x14ac:dyDescent="0.45">
      <c r="A190" s="102">
        <v>1</v>
      </c>
      <c r="B190" s="322"/>
      <c r="C190" s="79"/>
      <c r="D190" s="79"/>
      <c r="E190" s="272"/>
      <c r="F190" s="272"/>
      <c r="G190" s="272"/>
      <c r="H190" s="272"/>
      <c r="I190" s="272"/>
      <c r="J190" s="272"/>
      <c r="K190" s="272"/>
      <c r="L190" s="272"/>
      <c r="M190" s="285"/>
      <c r="N190" s="285"/>
      <c r="O190" s="91" t="s">
        <v>36</v>
      </c>
      <c r="P190" s="322"/>
      <c r="Q190" s="322"/>
      <c r="R190" s="322"/>
      <c r="S190" s="322"/>
      <c r="T190" s="322"/>
      <c r="U190" s="322"/>
      <c r="V190" s="322"/>
      <c r="W190" s="217">
        <f t="shared" ref="W190:W193" si="88">SUM(P190:V190)</f>
        <v>0</v>
      </c>
      <c r="X190" s="146">
        <f>SUMIFS('Đơn giá'!C:C,'Đơn giá'!B:B,XUẤT!O190)</f>
        <v>52000</v>
      </c>
      <c r="Y190" s="147">
        <f>X190*T190</f>
        <v>0</v>
      </c>
      <c r="Z190" s="277"/>
      <c r="AA190" s="316"/>
      <c r="AB190" s="145">
        <f t="shared" ref="AB190" si="89">W190-V190</f>
        <v>0</v>
      </c>
      <c r="AC190" s="146">
        <f t="shared" ref="AC190" si="90">AB190*5000</f>
        <v>0</v>
      </c>
      <c r="AD190" s="91"/>
    </row>
    <row r="191" spans="1:30" ht="76.8" customHeight="1" x14ac:dyDescent="0.45">
      <c r="A191" s="102">
        <v>2</v>
      </c>
      <c r="B191" s="322"/>
      <c r="C191" s="79"/>
      <c r="D191" s="79"/>
      <c r="E191" s="272"/>
      <c r="F191" s="272"/>
      <c r="G191" s="272"/>
      <c r="H191" s="272"/>
      <c r="I191" s="272"/>
      <c r="J191" s="272"/>
      <c r="K191" s="272"/>
      <c r="L191" s="272"/>
      <c r="M191" s="285"/>
      <c r="N191" s="285"/>
      <c r="O191" s="91" t="s">
        <v>25</v>
      </c>
      <c r="P191" s="322"/>
      <c r="Q191" s="322"/>
      <c r="R191" s="322"/>
      <c r="S191" s="322"/>
      <c r="T191" s="322"/>
      <c r="U191" s="322"/>
      <c r="V191" s="322"/>
      <c r="W191" s="217">
        <f t="shared" si="88"/>
        <v>0</v>
      </c>
      <c r="X191" s="146">
        <f>SUMIFS('Đơn giá'!C:C,'Đơn giá'!B:B,XUẤT!O191)</f>
        <v>98000</v>
      </c>
      <c r="Y191" s="147">
        <f>X191*P191</f>
        <v>0</v>
      </c>
      <c r="Z191" s="277"/>
      <c r="AA191" s="316"/>
      <c r="AB191" s="145">
        <f t="shared" ref="AB191:AB192" si="91">W191-V191</f>
        <v>0</v>
      </c>
      <c r="AC191" s="146">
        <f t="shared" ref="AC191:AC192" si="92">AB191*5000</f>
        <v>0</v>
      </c>
      <c r="AD191" s="91"/>
    </row>
    <row r="192" spans="1:30" ht="102.6" customHeight="1" x14ac:dyDescent="0.45">
      <c r="A192" s="102">
        <v>3</v>
      </c>
      <c r="B192" s="322"/>
      <c r="C192" s="79"/>
      <c r="D192" s="79"/>
      <c r="E192" s="272"/>
      <c r="F192" s="272"/>
      <c r="G192" s="272"/>
      <c r="H192" s="272"/>
      <c r="I192" s="272"/>
      <c r="J192" s="272"/>
      <c r="K192" s="272"/>
      <c r="L192" s="272"/>
      <c r="M192" s="285"/>
      <c r="N192" s="285"/>
      <c r="O192" s="91" t="s">
        <v>38</v>
      </c>
      <c r="P192" s="322"/>
      <c r="Q192" s="322"/>
      <c r="R192" s="322"/>
      <c r="S192" s="322"/>
      <c r="T192" s="322"/>
      <c r="U192" s="322"/>
      <c r="V192" s="322"/>
      <c r="W192" s="217">
        <f t="shared" si="88"/>
        <v>0</v>
      </c>
      <c r="X192" s="146">
        <f>SUMIFS('Đơn giá'!C:C,'Đơn giá'!B:B,XUẤT!O192)</f>
        <v>48000</v>
      </c>
      <c r="Y192" s="147">
        <f t="shared" ref="Y192" si="93">X192*T192</f>
        <v>0</v>
      </c>
      <c r="Z192" s="277"/>
      <c r="AA192" s="316"/>
      <c r="AB192" s="145">
        <f t="shared" si="91"/>
        <v>0</v>
      </c>
      <c r="AC192" s="146">
        <f t="shared" si="92"/>
        <v>0</v>
      </c>
      <c r="AD192" s="91"/>
    </row>
    <row r="193" spans="1:30" ht="138" customHeight="1" x14ac:dyDescent="0.45">
      <c r="A193" s="102">
        <v>4</v>
      </c>
      <c r="B193" s="322"/>
      <c r="C193" s="79"/>
      <c r="D193" s="79"/>
      <c r="E193" s="272"/>
      <c r="F193" s="272"/>
      <c r="G193" s="272"/>
      <c r="H193" s="272"/>
      <c r="I193" s="272"/>
      <c r="J193" s="272"/>
      <c r="K193" s="272"/>
      <c r="L193" s="272"/>
      <c r="M193" s="285"/>
      <c r="N193" s="285"/>
      <c r="O193" s="91" t="s">
        <v>38</v>
      </c>
      <c r="P193" s="322"/>
      <c r="Q193" s="322"/>
      <c r="R193" s="322"/>
      <c r="S193" s="322"/>
      <c r="T193" s="322"/>
      <c r="U193" s="322"/>
      <c r="V193" s="322"/>
      <c r="W193" s="217">
        <f t="shared" si="88"/>
        <v>0</v>
      </c>
      <c r="X193" s="146">
        <f>SUMIFS('Đơn giá'!C:C,'Đơn giá'!B:B,XUẤT!O193)</f>
        <v>48000</v>
      </c>
      <c r="Y193" s="147">
        <f>X193*U193</f>
        <v>0</v>
      </c>
      <c r="Z193" s="277"/>
      <c r="AA193" s="316"/>
      <c r="AB193" s="91">
        <f t="shared" ref="AB193" si="94">W193-V193</f>
        <v>0</v>
      </c>
      <c r="AC193" s="92">
        <f t="shared" ref="AC193" si="95">AB193*5000</f>
        <v>0</v>
      </c>
      <c r="AD193" s="91"/>
    </row>
    <row r="194" spans="1:30" ht="138" customHeight="1" x14ac:dyDescent="0.45">
      <c r="A194" s="102">
        <v>6</v>
      </c>
      <c r="B194" s="322"/>
      <c r="C194" s="79"/>
      <c r="D194" s="79"/>
      <c r="E194" s="272"/>
      <c r="F194" s="272"/>
      <c r="G194" s="272"/>
      <c r="H194" s="272"/>
      <c r="I194" s="272"/>
      <c r="J194" s="272"/>
      <c r="K194" s="272"/>
      <c r="L194" s="272"/>
      <c r="M194" s="285"/>
      <c r="N194" s="285"/>
      <c r="O194" s="91" t="s">
        <v>36</v>
      </c>
      <c r="P194" s="322"/>
      <c r="Q194" s="322"/>
      <c r="R194" s="322"/>
      <c r="S194" s="322"/>
      <c r="T194" s="322"/>
      <c r="U194" s="322"/>
      <c r="V194" s="322"/>
      <c r="W194" s="217">
        <f t="shared" ref="W194:W196" si="96">SUM(P194:V194)</f>
        <v>0</v>
      </c>
      <c r="X194" s="146">
        <f>SUMIFS('Đơn giá'!C:C,'Đơn giá'!B:B,XUẤT!O194)</f>
        <v>52000</v>
      </c>
      <c r="Y194" s="147">
        <f>X194*T194</f>
        <v>0</v>
      </c>
      <c r="Z194" s="277"/>
      <c r="AA194" s="316"/>
      <c r="AB194" s="91">
        <f t="shared" ref="AB194:AB201" si="97">W194-V194</f>
        <v>0</v>
      </c>
      <c r="AC194" s="92">
        <f t="shared" ref="AC194:AC201" si="98">AB194*5000</f>
        <v>0</v>
      </c>
      <c r="AD194" s="91"/>
    </row>
    <row r="195" spans="1:30" ht="72.599999999999994" customHeight="1" x14ac:dyDescent="0.45">
      <c r="A195" s="102">
        <v>7</v>
      </c>
      <c r="B195" s="322"/>
      <c r="C195" s="79"/>
      <c r="D195" s="79"/>
      <c r="E195" s="272"/>
      <c r="F195" s="272"/>
      <c r="G195" s="272"/>
      <c r="H195" s="272"/>
      <c r="I195" s="272"/>
      <c r="J195" s="272"/>
      <c r="K195" s="272"/>
      <c r="L195" s="272"/>
      <c r="M195" s="285"/>
      <c r="N195" s="285"/>
      <c r="O195" s="91" t="s">
        <v>25</v>
      </c>
      <c r="P195" s="322"/>
      <c r="Q195" s="322"/>
      <c r="R195" s="322"/>
      <c r="S195" s="322"/>
      <c r="T195" s="322"/>
      <c r="U195" s="322"/>
      <c r="V195" s="322"/>
      <c r="W195" s="217">
        <f t="shared" si="96"/>
        <v>0</v>
      </c>
      <c r="X195" s="146">
        <f>SUMIFS('Đơn giá'!C:C,'Đơn giá'!B:B,XUẤT!O195)</f>
        <v>98000</v>
      </c>
      <c r="Y195" s="147">
        <f t="shared" ref="Y195:Y196" si="99">X195*P195</f>
        <v>0</v>
      </c>
      <c r="Z195" s="277"/>
      <c r="AA195" s="316"/>
      <c r="AB195" s="91">
        <f t="shared" si="97"/>
        <v>0</v>
      </c>
      <c r="AC195" s="92">
        <f t="shared" si="98"/>
        <v>0</v>
      </c>
      <c r="AD195" s="91"/>
    </row>
    <row r="196" spans="1:30" ht="72.599999999999994" customHeight="1" x14ac:dyDescent="0.45">
      <c r="A196" s="102">
        <v>8</v>
      </c>
      <c r="B196" s="322"/>
      <c r="C196" s="79"/>
      <c r="D196" s="79"/>
      <c r="E196" s="272"/>
      <c r="F196" s="272"/>
      <c r="G196" s="272"/>
      <c r="H196" s="272"/>
      <c r="I196" s="272"/>
      <c r="J196" s="272"/>
      <c r="K196" s="272"/>
      <c r="L196" s="272"/>
      <c r="M196" s="285"/>
      <c r="N196" s="285"/>
      <c r="O196" s="91" t="s">
        <v>25</v>
      </c>
      <c r="P196" s="322"/>
      <c r="Q196" s="322"/>
      <c r="R196" s="322"/>
      <c r="S196" s="322"/>
      <c r="T196" s="322"/>
      <c r="U196" s="322"/>
      <c r="V196" s="322"/>
      <c r="W196" s="217">
        <f t="shared" si="96"/>
        <v>0</v>
      </c>
      <c r="X196" s="146">
        <f>SUMIFS('Đơn giá'!C:C,'Đơn giá'!B:B,XUẤT!O196)</f>
        <v>98000</v>
      </c>
      <c r="Y196" s="147">
        <f t="shared" si="99"/>
        <v>0</v>
      </c>
      <c r="Z196" s="277"/>
      <c r="AA196" s="316"/>
      <c r="AB196" s="91">
        <f t="shared" si="97"/>
        <v>0</v>
      </c>
      <c r="AC196" s="92">
        <f t="shared" si="98"/>
        <v>0</v>
      </c>
      <c r="AD196" s="91"/>
    </row>
    <row r="197" spans="1:30" ht="148.80000000000001" customHeight="1" x14ac:dyDescent="0.45">
      <c r="A197" s="102">
        <v>9</v>
      </c>
      <c r="B197" s="322"/>
      <c r="C197" s="79"/>
      <c r="D197" s="79"/>
      <c r="E197" s="272"/>
      <c r="F197" s="272"/>
      <c r="G197" s="272"/>
      <c r="H197" s="272"/>
      <c r="I197" s="272"/>
      <c r="J197" s="272"/>
      <c r="K197" s="272"/>
      <c r="L197" s="272"/>
      <c r="M197" s="285"/>
      <c r="N197" s="285"/>
      <c r="O197" s="91" t="s">
        <v>36</v>
      </c>
      <c r="P197" s="322"/>
      <c r="Q197" s="322"/>
      <c r="R197" s="322"/>
      <c r="S197" s="322"/>
      <c r="T197" s="322"/>
      <c r="U197" s="322"/>
      <c r="V197" s="322"/>
      <c r="W197" s="217">
        <f t="shared" ref="W197:W202" si="100">SUM(P197:V197)</f>
        <v>0</v>
      </c>
      <c r="X197" s="146">
        <f>SUMIFS('Đơn giá'!C:C,'Đơn giá'!B:B,XUẤT!O197)</f>
        <v>52000</v>
      </c>
      <c r="Y197" s="147">
        <f>X197*T197</f>
        <v>0</v>
      </c>
      <c r="Z197" s="277"/>
      <c r="AA197" s="316"/>
      <c r="AB197" s="91">
        <f t="shared" si="97"/>
        <v>0</v>
      </c>
      <c r="AC197" s="92">
        <f t="shared" si="98"/>
        <v>0</v>
      </c>
      <c r="AD197" s="91"/>
    </row>
    <row r="198" spans="1:30" ht="110.4" customHeight="1" x14ac:dyDescent="0.45">
      <c r="A198" s="102">
        <v>10</v>
      </c>
      <c r="B198" s="322"/>
      <c r="C198" s="79"/>
      <c r="D198" s="79"/>
      <c r="E198" s="272"/>
      <c r="F198" s="272"/>
      <c r="G198" s="272"/>
      <c r="H198" s="272"/>
      <c r="I198" s="272"/>
      <c r="J198" s="272"/>
      <c r="K198" s="272"/>
      <c r="L198" s="272"/>
      <c r="M198" s="285"/>
      <c r="N198" s="285"/>
      <c r="O198" s="91" t="s">
        <v>36</v>
      </c>
      <c r="P198" s="322"/>
      <c r="Q198" s="322"/>
      <c r="R198" s="322"/>
      <c r="S198" s="322"/>
      <c r="T198" s="322"/>
      <c r="U198" s="322"/>
      <c r="V198" s="322"/>
      <c r="W198" s="217">
        <f t="shared" si="100"/>
        <v>0</v>
      </c>
      <c r="X198" s="146">
        <f>SUMIFS('Đơn giá'!C:C,'Đơn giá'!B:B,XUẤT!O198)</f>
        <v>52000</v>
      </c>
      <c r="Y198" s="147">
        <f>X198*T198</f>
        <v>0</v>
      </c>
      <c r="Z198" s="277"/>
      <c r="AA198" s="316"/>
      <c r="AB198" s="91">
        <f t="shared" si="97"/>
        <v>0</v>
      </c>
      <c r="AC198" s="92">
        <f t="shared" si="98"/>
        <v>0</v>
      </c>
      <c r="AD198" s="79"/>
    </row>
    <row r="199" spans="1:30" ht="75" customHeight="1" x14ac:dyDescent="0.45">
      <c r="A199" s="102">
        <v>11</v>
      </c>
      <c r="B199" s="322"/>
      <c r="C199" s="79"/>
      <c r="D199" s="79"/>
      <c r="E199" s="272"/>
      <c r="F199" s="272"/>
      <c r="G199" s="272"/>
      <c r="H199" s="272"/>
      <c r="I199" s="272"/>
      <c r="J199" s="272"/>
      <c r="K199" s="272"/>
      <c r="L199" s="272"/>
      <c r="M199" s="285"/>
      <c r="N199" s="285"/>
      <c r="O199" s="91" t="s">
        <v>38</v>
      </c>
      <c r="P199" s="322"/>
      <c r="Q199" s="322"/>
      <c r="R199" s="322"/>
      <c r="S199" s="322"/>
      <c r="T199" s="322"/>
      <c r="U199" s="322"/>
      <c r="V199" s="322"/>
      <c r="W199" s="217">
        <f t="shared" ref="W199:W200" si="101">SUM(P199:V199)</f>
        <v>0</v>
      </c>
      <c r="X199" s="146">
        <f>SUMIFS('Đơn giá'!C:C,'Đơn giá'!B:B,XUẤT!O199)</f>
        <v>48000</v>
      </c>
      <c r="Y199" s="147">
        <f>X199*U199</f>
        <v>0</v>
      </c>
      <c r="Z199" s="277"/>
      <c r="AA199" s="316"/>
      <c r="AB199" s="91">
        <f t="shared" si="97"/>
        <v>0</v>
      </c>
      <c r="AC199" s="92">
        <f t="shared" si="98"/>
        <v>0</v>
      </c>
      <c r="AD199" s="79"/>
    </row>
    <row r="200" spans="1:30" s="148" customFormat="1" ht="110.4" customHeight="1" x14ac:dyDescent="0.45">
      <c r="A200" s="149">
        <v>13</v>
      </c>
      <c r="B200" s="322"/>
      <c r="C200" s="79"/>
      <c r="D200" s="79"/>
      <c r="E200" s="272"/>
      <c r="F200" s="272"/>
      <c r="G200" s="272"/>
      <c r="H200" s="272"/>
      <c r="I200" s="272"/>
      <c r="J200" s="272"/>
      <c r="K200" s="272"/>
      <c r="L200" s="272"/>
      <c r="M200" s="285"/>
      <c r="N200" s="285"/>
      <c r="O200" s="145" t="s">
        <v>36</v>
      </c>
      <c r="P200" s="322"/>
      <c r="Q200" s="322"/>
      <c r="R200" s="322"/>
      <c r="S200" s="322"/>
      <c r="T200" s="322"/>
      <c r="U200" s="322"/>
      <c r="V200" s="322"/>
      <c r="W200" s="217">
        <f t="shared" si="101"/>
        <v>0</v>
      </c>
      <c r="X200" s="146">
        <f>SUMIFS('Đơn giá'!C:C,'Đơn giá'!B:B,XUẤT!O200)</f>
        <v>52000</v>
      </c>
      <c r="Y200" s="147">
        <f>X200*T200</f>
        <v>0</v>
      </c>
      <c r="Z200" s="277"/>
      <c r="AA200" s="316"/>
      <c r="AB200" s="91">
        <f t="shared" si="97"/>
        <v>0</v>
      </c>
      <c r="AC200" s="92">
        <f t="shared" si="98"/>
        <v>0</v>
      </c>
      <c r="AD200" s="117"/>
    </row>
    <row r="201" spans="1:30" s="148" customFormat="1" ht="72.599999999999994" customHeight="1" x14ac:dyDescent="0.45">
      <c r="A201" s="149">
        <v>14</v>
      </c>
      <c r="B201" s="322"/>
      <c r="C201" s="79"/>
      <c r="D201" s="79"/>
      <c r="E201" s="272"/>
      <c r="F201" s="272"/>
      <c r="G201" s="272"/>
      <c r="H201" s="272"/>
      <c r="I201" s="272"/>
      <c r="J201" s="272"/>
      <c r="K201" s="272"/>
      <c r="L201" s="272"/>
      <c r="M201" s="285"/>
      <c r="N201" s="285"/>
      <c r="O201" s="145" t="s">
        <v>25</v>
      </c>
      <c r="P201" s="322"/>
      <c r="Q201" s="322"/>
      <c r="R201" s="322"/>
      <c r="S201" s="322"/>
      <c r="T201" s="322"/>
      <c r="U201" s="322"/>
      <c r="V201" s="322"/>
      <c r="W201" s="217">
        <f t="shared" si="100"/>
        <v>0</v>
      </c>
      <c r="X201" s="146">
        <f>SUMIFS('Đơn giá'!C:C,'Đơn giá'!B:B,XUẤT!O201)</f>
        <v>98000</v>
      </c>
      <c r="Y201" s="147">
        <f>X201*P201</f>
        <v>0</v>
      </c>
      <c r="Z201" s="277"/>
      <c r="AA201" s="316"/>
      <c r="AB201" s="145">
        <f t="shared" si="97"/>
        <v>0</v>
      </c>
      <c r="AC201" s="146">
        <f t="shared" si="98"/>
        <v>0</v>
      </c>
      <c r="AD201" s="117"/>
    </row>
    <row r="202" spans="1:30" s="148" customFormat="1" ht="72.599999999999994" customHeight="1" x14ac:dyDescent="0.45">
      <c r="A202" s="149"/>
      <c r="B202" s="322"/>
      <c r="C202" s="79"/>
      <c r="D202" s="79"/>
      <c r="E202" s="272"/>
      <c r="F202" s="272"/>
      <c r="G202" s="272"/>
      <c r="H202" s="272"/>
      <c r="I202" s="272"/>
      <c r="J202" s="272"/>
      <c r="K202" s="272"/>
      <c r="L202" s="272"/>
      <c r="M202" s="285"/>
      <c r="N202" s="285"/>
      <c r="O202" s="145" t="s">
        <v>25</v>
      </c>
      <c r="P202" s="322"/>
      <c r="Q202" s="322"/>
      <c r="R202" s="322"/>
      <c r="S202" s="322"/>
      <c r="T202" s="322"/>
      <c r="U202" s="322"/>
      <c r="V202" s="322"/>
      <c r="W202" s="217">
        <f t="shared" si="100"/>
        <v>0</v>
      </c>
      <c r="X202" s="146">
        <f>SUMIFS('Đơn giá'!C:C,'Đơn giá'!B:B,XUẤT!O202)</f>
        <v>98000</v>
      </c>
      <c r="Y202" s="147">
        <f t="shared" ref="Y202" si="102">X202*P202</f>
        <v>0</v>
      </c>
      <c r="Z202" s="277"/>
      <c r="AA202" s="316"/>
      <c r="AB202" s="145">
        <f t="shared" ref="AB202" si="103">W202-V202</f>
        <v>0</v>
      </c>
      <c r="AC202" s="146">
        <f t="shared" ref="AC202" si="104">AB202*5000</f>
        <v>0</v>
      </c>
      <c r="AD202" s="117"/>
    </row>
    <row r="203" spans="1:30" s="148" customFormat="1" ht="72.599999999999994" customHeight="1" x14ac:dyDescent="0.45">
      <c r="A203" s="149"/>
      <c r="B203" s="322"/>
      <c r="C203" s="79"/>
      <c r="D203" s="79"/>
      <c r="E203" s="272"/>
      <c r="F203" s="272"/>
      <c r="G203" s="272"/>
      <c r="H203" s="272"/>
      <c r="I203" s="272"/>
      <c r="J203" s="272"/>
      <c r="K203" s="272"/>
      <c r="L203" s="272"/>
      <c r="M203" s="285"/>
      <c r="N203" s="285"/>
      <c r="O203" s="145" t="s">
        <v>25</v>
      </c>
      <c r="P203" s="322"/>
      <c r="Q203" s="322"/>
      <c r="R203" s="322"/>
      <c r="S203" s="322"/>
      <c r="T203" s="322"/>
      <c r="U203" s="322"/>
      <c r="V203" s="322"/>
      <c r="W203" s="217">
        <f t="shared" ref="W203:W213" si="105">SUM(P203:V203)</f>
        <v>0</v>
      </c>
      <c r="X203" s="146">
        <f>SUMIFS('Đơn giá'!C:C,'Đơn giá'!B:B,XUẤT!O203)</f>
        <v>98000</v>
      </c>
      <c r="Y203" s="147">
        <f t="shared" ref="Y203:Y204" si="106">X203*P203</f>
        <v>0</v>
      </c>
      <c r="Z203" s="277"/>
      <c r="AA203" s="316"/>
      <c r="AB203" s="145">
        <f t="shared" ref="AB203" si="107">W203-V203</f>
        <v>0</v>
      </c>
      <c r="AC203" s="146">
        <f t="shared" ref="AC203" si="108">AB203*5000</f>
        <v>0</v>
      </c>
      <c r="AD203" s="117"/>
    </row>
    <row r="204" spans="1:30" s="148" customFormat="1" ht="72.599999999999994" customHeight="1" x14ac:dyDescent="0.45">
      <c r="A204" s="149">
        <v>1</v>
      </c>
      <c r="B204" s="322"/>
      <c r="C204" s="79"/>
      <c r="D204" s="79"/>
      <c r="E204" s="272"/>
      <c r="F204" s="272"/>
      <c r="G204" s="272"/>
      <c r="H204" s="272"/>
      <c r="I204" s="272"/>
      <c r="J204" s="272"/>
      <c r="K204" s="272"/>
      <c r="L204" s="272"/>
      <c r="M204" s="285"/>
      <c r="N204" s="285"/>
      <c r="O204" s="145" t="s">
        <v>25</v>
      </c>
      <c r="P204" s="322"/>
      <c r="Q204" s="322"/>
      <c r="R204" s="322"/>
      <c r="S204" s="322"/>
      <c r="T204" s="322"/>
      <c r="U204" s="322"/>
      <c r="V204" s="322"/>
      <c r="W204" s="217">
        <f t="shared" si="105"/>
        <v>0</v>
      </c>
      <c r="X204" s="146">
        <f>SUMIFS('Đơn giá'!C:C,'Đơn giá'!B:B,XUẤT!O204)</f>
        <v>98000</v>
      </c>
      <c r="Y204" s="147">
        <f t="shared" si="106"/>
        <v>0</v>
      </c>
      <c r="Z204" s="277"/>
      <c r="AA204" s="316"/>
      <c r="AB204" s="145">
        <f t="shared" ref="AB204:AB205" si="109">W204-V204</f>
        <v>0</v>
      </c>
      <c r="AC204" s="146">
        <f t="shared" ref="AC204:AC206" si="110">AB204*5000</f>
        <v>0</v>
      </c>
      <c r="AD204" s="117"/>
    </row>
    <row r="205" spans="1:30" s="148" customFormat="1" ht="94.2" customHeight="1" x14ac:dyDescent="0.45">
      <c r="A205" s="149">
        <v>2</v>
      </c>
      <c r="B205" s="322"/>
      <c r="C205" s="79"/>
      <c r="D205" s="79"/>
      <c r="E205" s="272"/>
      <c r="F205" s="272"/>
      <c r="G205" s="272"/>
      <c r="H205" s="272"/>
      <c r="I205" s="272"/>
      <c r="J205" s="272"/>
      <c r="K205" s="272"/>
      <c r="L205" s="272"/>
      <c r="M205" s="285"/>
      <c r="N205" s="285"/>
      <c r="O205" s="145" t="s">
        <v>28</v>
      </c>
      <c r="P205" s="322"/>
      <c r="Q205" s="322"/>
      <c r="R205" s="322"/>
      <c r="S205" s="322"/>
      <c r="T205" s="322"/>
      <c r="U205" s="322"/>
      <c r="V205" s="322"/>
      <c r="W205" s="217"/>
      <c r="X205" s="146">
        <f>SUMIFS('Đơn giá'!C:C,'Đơn giá'!B:B,XUẤT!O205)</f>
        <v>85000</v>
      </c>
      <c r="Y205" s="147">
        <f>X205*Q205</f>
        <v>0</v>
      </c>
      <c r="Z205" s="277"/>
      <c r="AA205" s="316"/>
      <c r="AB205" s="145">
        <f t="shared" si="109"/>
        <v>0</v>
      </c>
      <c r="AC205" s="146">
        <f t="shared" si="110"/>
        <v>0</v>
      </c>
      <c r="AD205" s="117"/>
    </row>
    <row r="206" spans="1:30" s="148" customFormat="1" ht="110.4" customHeight="1" x14ac:dyDescent="0.45">
      <c r="A206" s="149">
        <v>3</v>
      </c>
      <c r="B206" s="322"/>
      <c r="C206" s="79"/>
      <c r="D206" s="79"/>
      <c r="E206" s="272"/>
      <c r="F206" s="272"/>
      <c r="G206" s="272"/>
      <c r="H206" s="272"/>
      <c r="I206" s="272"/>
      <c r="J206" s="272"/>
      <c r="K206" s="272"/>
      <c r="L206" s="272"/>
      <c r="M206" s="285"/>
      <c r="N206" s="285"/>
      <c r="O206" s="145" t="s">
        <v>25</v>
      </c>
      <c r="P206" s="322"/>
      <c r="Q206" s="322"/>
      <c r="R206" s="322"/>
      <c r="S206" s="322"/>
      <c r="T206" s="322"/>
      <c r="U206" s="322"/>
      <c r="V206" s="322"/>
      <c r="W206" s="217">
        <f t="shared" si="105"/>
        <v>0</v>
      </c>
      <c r="X206" s="146">
        <f>SUMIFS('Đơn giá'!C:C,'Đơn giá'!B:B,XUẤT!O206)</f>
        <v>98000</v>
      </c>
      <c r="Y206" s="147">
        <f t="shared" ref="Y206" si="111">X206*P206</f>
        <v>0</v>
      </c>
      <c r="Z206" s="277"/>
      <c r="AA206" s="316"/>
      <c r="AB206" s="145">
        <f>W206-V206</f>
        <v>0</v>
      </c>
      <c r="AC206" s="146">
        <f t="shared" si="110"/>
        <v>0</v>
      </c>
      <c r="AD206" s="117"/>
    </row>
    <row r="207" spans="1:30" s="148" customFormat="1" ht="110.4" customHeight="1" x14ac:dyDescent="0.45">
      <c r="A207" s="149">
        <v>4</v>
      </c>
      <c r="B207" s="322"/>
      <c r="C207" s="79"/>
      <c r="D207" s="79"/>
      <c r="E207" s="272"/>
      <c r="F207" s="272"/>
      <c r="G207" s="272"/>
      <c r="H207" s="272"/>
      <c r="I207" s="272"/>
      <c r="J207" s="272"/>
      <c r="K207" s="272"/>
      <c r="L207" s="272"/>
      <c r="M207" s="285"/>
      <c r="N207" s="285"/>
      <c r="O207" s="145" t="s">
        <v>25</v>
      </c>
      <c r="P207" s="322"/>
      <c r="Q207" s="322"/>
      <c r="R207" s="322"/>
      <c r="S207" s="322"/>
      <c r="T207" s="322"/>
      <c r="U207" s="322"/>
      <c r="V207" s="322"/>
      <c r="W207" s="217">
        <f t="shared" si="105"/>
        <v>0</v>
      </c>
      <c r="X207" s="146">
        <f>SUMIFS('Đơn giá'!C:C,'Đơn giá'!B:B,XUẤT!O207)</f>
        <v>98000</v>
      </c>
      <c r="Y207" s="147">
        <f t="shared" ref="Y207:Y208" si="112">X207*P207</f>
        <v>0</v>
      </c>
      <c r="Z207" s="277"/>
      <c r="AA207" s="316"/>
      <c r="AB207" s="145">
        <f>W207-V207</f>
        <v>0</v>
      </c>
      <c r="AC207" s="146">
        <f t="shared" ref="AC207" si="113">AB207*5000</f>
        <v>0</v>
      </c>
      <c r="AD207" s="117"/>
    </row>
    <row r="208" spans="1:30" s="148" customFormat="1" ht="110.4" customHeight="1" x14ac:dyDescent="0.45">
      <c r="A208" s="149">
        <v>5</v>
      </c>
      <c r="B208" s="322"/>
      <c r="C208" s="79"/>
      <c r="D208" s="79"/>
      <c r="E208" s="272"/>
      <c r="F208" s="272"/>
      <c r="G208" s="272"/>
      <c r="H208" s="272"/>
      <c r="I208" s="272"/>
      <c r="J208" s="272"/>
      <c r="K208" s="272"/>
      <c r="L208" s="272"/>
      <c r="M208" s="285"/>
      <c r="N208" s="285"/>
      <c r="O208" s="145" t="s">
        <v>25</v>
      </c>
      <c r="P208" s="322"/>
      <c r="Q208" s="322"/>
      <c r="R208" s="322"/>
      <c r="S208" s="322"/>
      <c r="T208" s="322"/>
      <c r="U208" s="322"/>
      <c r="V208" s="322"/>
      <c r="W208" s="217">
        <f t="shared" si="105"/>
        <v>0</v>
      </c>
      <c r="X208" s="146">
        <f>SUMIFS('Đơn giá'!C:C,'Đơn giá'!B:B,XUẤT!O208)</f>
        <v>98000</v>
      </c>
      <c r="Y208" s="147">
        <f t="shared" si="112"/>
        <v>0</v>
      </c>
      <c r="Z208" s="277"/>
      <c r="AA208" s="316"/>
      <c r="AB208" s="145">
        <f>W208-V208</f>
        <v>0</v>
      </c>
      <c r="AC208" s="146">
        <f t="shared" ref="AC208" si="114">AB208*5000</f>
        <v>0</v>
      </c>
      <c r="AD208" s="117"/>
    </row>
    <row r="209" spans="1:30" s="148" customFormat="1" ht="63" customHeight="1" x14ac:dyDescent="0.45">
      <c r="A209" s="149">
        <v>6</v>
      </c>
      <c r="B209" s="322"/>
      <c r="C209" s="79"/>
      <c r="D209" s="79"/>
      <c r="E209" s="272"/>
      <c r="F209" s="272"/>
      <c r="G209" s="272"/>
      <c r="H209" s="272"/>
      <c r="I209" s="272"/>
      <c r="J209" s="272"/>
      <c r="K209" s="272"/>
      <c r="L209" s="272"/>
      <c r="M209" s="285"/>
      <c r="N209" s="285"/>
      <c r="O209" s="145" t="s">
        <v>28</v>
      </c>
      <c r="P209" s="322"/>
      <c r="Q209" s="322"/>
      <c r="R209" s="322"/>
      <c r="S209" s="322"/>
      <c r="T209" s="322"/>
      <c r="U209" s="322"/>
      <c r="V209" s="322"/>
      <c r="W209" s="217">
        <f t="shared" ref="W209:W210" si="115">SUM(P209:V209)</f>
        <v>0</v>
      </c>
      <c r="X209" s="146">
        <f>SUMIFS('Đơn giá'!C:C,'Đơn giá'!B:B,XUẤT!O209)</f>
        <v>85000</v>
      </c>
      <c r="Y209" s="147">
        <f>X209*Q209</f>
        <v>0</v>
      </c>
      <c r="Z209" s="277"/>
      <c r="AA209" s="316"/>
      <c r="AB209" s="145">
        <f t="shared" ref="AB209:AB213" si="116">W209-V209</f>
        <v>0</v>
      </c>
      <c r="AC209" s="146">
        <f t="shared" ref="AC209:AC213" si="117">AB209*5000</f>
        <v>0</v>
      </c>
      <c r="AD209" s="117"/>
    </row>
    <row r="210" spans="1:30" s="148" customFormat="1" ht="262.2" customHeight="1" x14ac:dyDescent="0.45">
      <c r="A210" s="368">
        <v>7</v>
      </c>
      <c r="B210" s="322"/>
      <c r="C210" s="79"/>
      <c r="D210" s="79"/>
      <c r="E210" s="272"/>
      <c r="F210" s="272"/>
      <c r="G210" s="272"/>
      <c r="H210" s="272"/>
      <c r="I210" s="272"/>
      <c r="J210" s="272"/>
      <c r="K210" s="272"/>
      <c r="L210" s="272"/>
      <c r="M210" s="285"/>
      <c r="N210" s="285"/>
      <c r="O210" s="145" t="s">
        <v>25</v>
      </c>
      <c r="P210" s="322"/>
      <c r="Q210" s="322"/>
      <c r="R210" s="322"/>
      <c r="S210" s="322"/>
      <c r="T210" s="322"/>
      <c r="U210" s="322"/>
      <c r="V210" s="322"/>
      <c r="W210" s="217">
        <f t="shared" si="115"/>
        <v>0</v>
      </c>
      <c r="X210" s="146">
        <f>SUMIFS('Đơn giá'!C:C,'Đơn giá'!B:B,XUẤT!O210)</f>
        <v>98000</v>
      </c>
      <c r="Y210" s="147">
        <f t="shared" ref="Y210" si="118">X210*P210</f>
        <v>0</v>
      </c>
      <c r="Z210" s="277"/>
      <c r="AA210" s="316"/>
      <c r="AB210" s="145">
        <f t="shared" si="116"/>
        <v>0</v>
      </c>
      <c r="AC210" s="146">
        <f t="shared" si="117"/>
        <v>0</v>
      </c>
      <c r="AD210" s="117"/>
    </row>
    <row r="211" spans="1:30" s="148" customFormat="1" ht="36.6" customHeight="1" x14ac:dyDescent="0.45">
      <c r="A211" s="368"/>
      <c r="B211" s="322"/>
      <c r="C211" s="79"/>
      <c r="D211" s="79"/>
      <c r="E211" s="272"/>
      <c r="F211" s="272"/>
      <c r="G211" s="272"/>
      <c r="H211" s="272"/>
      <c r="I211" s="272"/>
      <c r="J211" s="272"/>
      <c r="K211" s="272"/>
      <c r="L211" s="272"/>
      <c r="M211" s="285"/>
      <c r="N211" s="285"/>
      <c r="O211" s="145" t="s">
        <v>36</v>
      </c>
      <c r="P211" s="322"/>
      <c r="Q211" s="322"/>
      <c r="R211" s="322"/>
      <c r="S211" s="322"/>
      <c r="T211" s="322"/>
      <c r="U211" s="322"/>
      <c r="V211" s="322"/>
      <c r="W211" s="217">
        <f t="shared" si="105"/>
        <v>0</v>
      </c>
      <c r="X211" s="146">
        <f>SUMIFS('Đơn giá'!C:C,'Đơn giá'!B:B,XUẤT!O211)</f>
        <v>52000</v>
      </c>
      <c r="Y211" s="147">
        <f>X211*T211</f>
        <v>0</v>
      </c>
      <c r="Z211" s="277"/>
      <c r="AA211" s="316"/>
      <c r="AB211" s="145">
        <f t="shared" si="116"/>
        <v>0</v>
      </c>
      <c r="AC211" s="146">
        <f t="shared" si="117"/>
        <v>0</v>
      </c>
      <c r="AD211" s="117"/>
    </row>
    <row r="212" spans="1:30" s="148" customFormat="1" ht="111.6" customHeight="1" x14ac:dyDescent="0.45">
      <c r="A212" s="149">
        <v>8</v>
      </c>
      <c r="B212" s="322"/>
      <c r="C212" s="79"/>
      <c r="D212" s="79"/>
      <c r="E212" s="272"/>
      <c r="F212" s="272"/>
      <c r="G212" s="272"/>
      <c r="H212" s="272"/>
      <c r="I212" s="272"/>
      <c r="J212" s="272"/>
      <c r="K212" s="272"/>
      <c r="L212" s="272"/>
      <c r="M212" s="285"/>
      <c r="N212" s="285"/>
      <c r="O212" s="145" t="s">
        <v>36</v>
      </c>
      <c r="P212" s="322"/>
      <c r="Q212" s="322"/>
      <c r="R212" s="322"/>
      <c r="S212" s="322"/>
      <c r="T212" s="322"/>
      <c r="U212" s="322"/>
      <c r="V212" s="322"/>
      <c r="W212" s="217">
        <f t="shared" si="105"/>
        <v>0</v>
      </c>
      <c r="X212" s="146">
        <f>SUMIFS('Đơn giá'!C:C,'Đơn giá'!B:B,XUẤT!O212)</f>
        <v>52000</v>
      </c>
      <c r="Y212" s="147">
        <f>X212*T212</f>
        <v>0</v>
      </c>
      <c r="Z212" s="277"/>
      <c r="AA212" s="316"/>
      <c r="AB212" s="91">
        <f t="shared" si="116"/>
        <v>0</v>
      </c>
      <c r="AC212" s="92">
        <f t="shared" si="117"/>
        <v>0</v>
      </c>
      <c r="AD212" s="117"/>
    </row>
    <row r="213" spans="1:30" s="148" customFormat="1" ht="210.6" customHeight="1" x14ac:dyDescent="0.45">
      <c r="A213" s="149">
        <v>9</v>
      </c>
      <c r="B213" s="322"/>
      <c r="C213" s="79"/>
      <c r="D213" s="79"/>
      <c r="E213" s="272"/>
      <c r="F213" s="272"/>
      <c r="G213" s="272"/>
      <c r="H213" s="272"/>
      <c r="I213" s="272"/>
      <c r="J213" s="272"/>
      <c r="K213" s="272"/>
      <c r="L213" s="272"/>
      <c r="M213" s="285"/>
      <c r="N213" s="285"/>
      <c r="O213" s="145" t="s">
        <v>36</v>
      </c>
      <c r="P213" s="322"/>
      <c r="Q213" s="322"/>
      <c r="R213" s="322"/>
      <c r="S213" s="322"/>
      <c r="T213" s="322"/>
      <c r="U213" s="322"/>
      <c r="V213" s="322"/>
      <c r="W213" s="217">
        <f t="shared" si="105"/>
        <v>0</v>
      </c>
      <c r="X213" s="146">
        <f>SUMIFS('Đơn giá'!C:C,'Đơn giá'!B:B,XUẤT!O213)</f>
        <v>52000</v>
      </c>
      <c r="Y213" s="147">
        <f t="shared" ref="Y213" si="119">X213*T213</f>
        <v>0</v>
      </c>
      <c r="Z213" s="277"/>
      <c r="AA213" s="316"/>
      <c r="AB213" s="91">
        <f t="shared" si="116"/>
        <v>0</v>
      </c>
      <c r="AC213" s="92">
        <f t="shared" si="117"/>
        <v>0</v>
      </c>
      <c r="AD213" s="117"/>
    </row>
    <row r="214" spans="1:30" s="148" customFormat="1" ht="48.6" customHeight="1" x14ac:dyDescent="0.45">
      <c r="A214" s="149"/>
      <c r="B214" s="322"/>
      <c r="C214" s="79"/>
      <c r="D214" s="79"/>
      <c r="E214" s="272"/>
      <c r="F214" s="272"/>
      <c r="G214" s="272"/>
      <c r="H214" s="272"/>
      <c r="I214" s="272"/>
      <c r="J214" s="272"/>
      <c r="K214" s="272"/>
      <c r="L214" s="272"/>
      <c r="M214" s="285"/>
      <c r="N214" s="285"/>
      <c r="O214" s="145" t="s">
        <v>25</v>
      </c>
      <c r="P214" s="322"/>
      <c r="Q214" s="322"/>
      <c r="R214" s="322"/>
      <c r="S214" s="322"/>
      <c r="T214" s="322"/>
      <c r="U214" s="322"/>
      <c r="V214" s="322"/>
      <c r="W214" s="217">
        <f t="shared" ref="W214" si="120">SUM(P214:V214)</f>
        <v>0</v>
      </c>
      <c r="X214" s="146">
        <f>SUMIFS('Đơn giá'!C:C,'Đơn giá'!B:B,XUẤT!O214)</f>
        <v>98000</v>
      </c>
      <c r="Y214" s="147">
        <f t="shared" ref="Y214" si="121">X214*T214</f>
        <v>0</v>
      </c>
      <c r="Z214" s="277"/>
      <c r="AA214" s="316"/>
      <c r="AB214" s="145">
        <f t="shared" ref="AB214" si="122">W214-V214</f>
        <v>0</v>
      </c>
      <c r="AC214" s="146">
        <f t="shared" ref="AC214" si="123">AB214*5000</f>
        <v>0</v>
      </c>
      <c r="AD214" s="117"/>
    </row>
    <row r="215" spans="1:30" s="148" customFormat="1" ht="59.4" customHeight="1" x14ac:dyDescent="0.45">
      <c r="A215" s="149">
        <v>10</v>
      </c>
      <c r="B215" s="322"/>
      <c r="C215" s="79"/>
      <c r="D215" s="79"/>
      <c r="E215" s="272"/>
      <c r="F215" s="272"/>
      <c r="G215" s="272"/>
      <c r="H215" s="272"/>
      <c r="I215" s="272"/>
      <c r="J215" s="272"/>
      <c r="K215" s="272"/>
      <c r="L215" s="272"/>
      <c r="M215" s="285"/>
      <c r="N215" s="285"/>
      <c r="O215" s="145" t="s">
        <v>25</v>
      </c>
      <c r="P215" s="322"/>
      <c r="Q215" s="322"/>
      <c r="R215" s="322"/>
      <c r="S215" s="322"/>
      <c r="T215" s="322"/>
      <c r="U215" s="322"/>
      <c r="V215" s="322"/>
      <c r="W215" s="217">
        <f t="shared" ref="W215:W220" si="124">SUM(P215:V215)</f>
        <v>0</v>
      </c>
      <c r="X215" s="146">
        <f>SUMIFS('Đơn giá'!C:C,'Đơn giá'!B:B,XUẤT!O215)</f>
        <v>98000</v>
      </c>
      <c r="Y215" s="147">
        <f>X215*P215</f>
        <v>0</v>
      </c>
      <c r="Z215" s="277"/>
      <c r="AA215" s="316"/>
      <c r="AB215" s="145">
        <f t="shared" ref="AB215:AB216" si="125">W215-V215</f>
        <v>0</v>
      </c>
      <c r="AC215" s="146">
        <f t="shared" ref="AC215:AC216" si="126">AB215*5000</f>
        <v>0</v>
      </c>
      <c r="AD215" s="117"/>
    </row>
    <row r="216" spans="1:30" s="148" customFormat="1" ht="65.400000000000006" customHeight="1" x14ac:dyDescent="0.45">
      <c r="A216" s="149"/>
      <c r="B216" s="322"/>
      <c r="C216" s="79"/>
      <c r="D216" s="79"/>
      <c r="E216" s="272"/>
      <c r="F216" s="272"/>
      <c r="G216" s="272"/>
      <c r="H216" s="272"/>
      <c r="I216" s="272"/>
      <c r="J216" s="272"/>
      <c r="K216" s="272"/>
      <c r="L216" s="272"/>
      <c r="M216" s="285"/>
      <c r="N216" s="285"/>
      <c r="O216" s="145" t="s">
        <v>25</v>
      </c>
      <c r="P216" s="322"/>
      <c r="Q216" s="322"/>
      <c r="R216" s="322"/>
      <c r="S216" s="322"/>
      <c r="T216" s="322"/>
      <c r="U216" s="322"/>
      <c r="V216" s="322"/>
      <c r="W216" s="217">
        <f t="shared" si="124"/>
        <v>0</v>
      </c>
      <c r="X216" s="146">
        <f>SUMIFS('Đơn giá'!C:C,'Đơn giá'!B:B,XUẤT!O216)</f>
        <v>98000</v>
      </c>
      <c r="Y216" s="147">
        <f>X216*P216</f>
        <v>0</v>
      </c>
      <c r="Z216" s="277"/>
      <c r="AA216" s="316"/>
      <c r="AB216" s="145">
        <f t="shared" si="125"/>
        <v>0</v>
      </c>
      <c r="AC216" s="146">
        <f t="shared" si="126"/>
        <v>0</v>
      </c>
      <c r="AD216" s="117"/>
    </row>
    <row r="217" spans="1:30" s="148" customFormat="1" ht="36.6" customHeight="1" x14ac:dyDescent="0.45">
      <c r="A217" s="149"/>
      <c r="B217" s="322"/>
      <c r="C217" s="79"/>
      <c r="D217" s="79"/>
      <c r="E217" s="272"/>
      <c r="F217" s="272"/>
      <c r="G217" s="272"/>
      <c r="H217" s="272"/>
      <c r="I217" s="272"/>
      <c r="J217" s="272"/>
      <c r="K217" s="272"/>
      <c r="L217" s="272"/>
      <c r="M217" s="285"/>
      <c r="N217" s="285"/>
      <c r="O217" s="145" t="s">
        <v>25</v>
      </c>
      <c r="P217" s="322"/>
      <c r="Q217" s="322"/>
      <c r="R217" s="322"/>
      <c r="S217" s="322"/>
      <c r="T217" s="322"/>
      <c r="U217" s="322"/>
      <c r="V217" s="322"/>
      <c r="W217" s="217">
        <f t="shared" si="124"/>
        <v>0</v>
      </c>
      <c r="X217" s="146">
        <f>SUMIFS('Đơn giá'!C:C,'Đơn giá'!B:B,XUẤT!O217)</f>
        <v>98000</v>
      </c>
      <c r="Y217" s="147">
        <f t="shared" ref="Y217:Y218" si="127">X217*P217</f>
        <v>0</v>
      </c>
      <c r="Z217" s="277"/>
      <c r="AA217" s="316"/>
      <c r="AB217" s="145">
        <f t="shared" ref="AB217:AB223" si="128">W217-V217</f>
        <v>0</v>
      </c>
      <c r="AC217" s="146">
        <f t="shared" ref="AC217:AC223" si="129">AB217*5000</f>
        <v>0</v>
      </c>
      <c r="AD217" s="117"/>
    </row>
    <row r="218" spans="1:30" s="148" customFormat="1" ht="36.6" customHeight="1" x14ac:dyDescent="0.45">
      <c r="A218" s="149"/>
      <c r="B218" s="322"/>
      <c r="C218" s="79"/>
      <c r="D218" s="79"/>
      <c r="E218" s="272"/>
      <c r="F218" s="272"/>
      <c r="G218" s="272"/>
      <c r="H218" s="272"/>
      <c r="I218" s="272"/>
      <c r="J218" s="272"/>
      <c r="K218" s="272"/>
      <c r="L218" s="272"/>
      <c r="M218" s="285"/>
      <c r="N218" s="285"/>
      <c r="O218" s="145" t="s">
        <v>25</v>
      </c>
      <c r="P218" s="322"/>
      <c r="Q218" s="322"/>
      <c r="R218" s="322"/>
      <c r="S218" s="322"/>
      <c r="T218" s="322"/>
      <c r="U218" s="322"/>
      <c r="V218" s="322"/>
      <c r="W218" s="217">
        <f t="shared" si="124"/>
        <v>0</v>
      </c>
      <c r="X218" s="146">
        <f>SUMIFS('Đơn giá'!C:C,'Đơn giá'!B:B,XUẤT!O218)</f>
        <v>98000</v>
      </c>
      <c r="Y218" s="147">
        <f t="shared" si="127"/>
        <v>0</v>
      </c>
      <c r="Z218" s="277"/>
      <c r="AA218" s="316"/>
      <c r="AB218" s="145">
        <f t="shared" si="128"/>
        <v>0</v>
      </c>
      <c r="AC218" s="146">
        <f t="shared" si="129"/>
        <v>0</v>
      </c>
      <c r="AD218" s="117"/>
    </row>
    <row r="219" spans="1:30" s="148" customFormat="1" ht="36.6" customHeight="1" x14ac:dyDescent="0.45">
      <c r="A219" s="149"/>
      <c r="B219" s="322"/>
      <c r="C219" s="79"/>
      <c r="D219" s="79"/>
      <c r="E219" s="272"/>
      <c r="F219" s="272"/>
      <c r="G219" s="272"/>
      <c r="H219" s="272"/>
      <c r="I219" s="272"/>
      <c r="J219" s="272"/>
      <c r="K219" s="272"/>
      <c r="L219" s="272"/>
      <c r="M219" s="285"/>
      <c r="N219" s="285"/>
      <c r="O219" s="145" t="s">
        <v>36</v>
      </c>
      <c r="P219" s="322"/>
      <c r="Q219" s="322"/>
      <c r="R219" s="322"/>
      <c r="S219" s="322"/>
      <c r="T219" s="322"/>
      <c r="U219" s="322"/>
      <c r="V219" s="322"/>
      <c r="W219" s="217">
        <f t="shared" si="124"/>
        <v>0</v>
      </c>
      <c r="X219" s="146">
        <f>SUMIFS('Đơn giá'!C:C,'Đơn giá'!B:B,XUẤT!O219)</f>
        <v>52000</v>
      </c>
      <c r="Y219" s="147">
        <f>X219*T219</f>
        <v>0</v>
      </c>
      <c r="Z219" s="277"/>
      <c r="AA219" s="316"/>
      <c r="AB219" s="91">
        <f t="shared" si="128"/>
        <v>0</v>
      </c>
      <c r="AC219" s="92">
        <f t="shared" si="129"/>
        <v>0</v>
      </c>
      <c r="AD219" s="117"/>
    </row>
    <row r="220" spans="1:30" s="148" customFormat="1" ht="36.6" customHeight="1" x14ac:dyDescent="0.45">
      <c r="A220" s="149"/>
      <c r="B220" s="322"/>
      <c r="C220" s="79"/>
      <c r="D220" s="79"/>
      <c r="E220" s="272"/>
      <c r="F220" s="272"/>
      <c r="G220" s="272"/>
      <c r="H220" s="272"/>
      <c r="I220" s="272"/>
      <c r="J220" s="272"/>
      <c r="K220" s="272"/>
      <c r="L220" s="272"/>
      <c r="M220" s="285"/>
      <c r="N220" s="285"/>
      <c r="O220" s="145" t="s">
        <v>36</v>
      </c>
      <c r="P220" s="322"/>
      <c r="Q220" s="322"/>
      <c r="R220" s="322"/>
      <c r="S220" s="322"/>
      <c r="T220" s="322"/>
      <c r="U220" s="322"/>
      <c r="V220" s="322"/>
      <c r="W220" s="217">
        <f t="shared" si="124"/>
        <v>0</v>
      </c>
      <c r="X220" s="146">
        <f>SUMIFS('Đơn giá'!C:C,'Đơn giá'!B:B,XUẤT!O220)</f>
        <v>52000</v>
      </c>
      <c r="Y220" s="147">
        <f>X220*T220</f>
        <v>0</v>
      </c>
      <c r="Z220" s="277"/>
      <c r="AA220" s="316"/>
      <c r="AB220" s="91">
        <f t="shared" si="128"/>
        <v>0</v>
      </c>
      <c r="AC220" s="92">
        <f t="shared" si="129"/>
        <v>0</v>
      </c>
      <c r="AD220" s="117"/>
    </row>
    <row r="221" spans="1:30" s="148" customFormat="1" ht="36.6" customHeight="1" x14ac:dyDescent="0.45">
      <c r="A221" s="149"/>
      <c r="B221" s="322"/>
      <c r="C221" s="79"/>
      <c r="D221" s="79"/>
      <c r="E221" s="272"/>
      <c r="F221" s="272"/>
      <c r="G221" s="272"/>
      <c r="H221" s="272"/>
      <c r="I221" s="272"/>
      <c r="J221" s="272"/>
      <c r="K221" s="272"/>
      <c r="L221" s="272"/>
      <c r="M221" s="285"/>
      <c r="N221" s="285"/>
      <c r="O221" s="145" t="s">
        <v>25</v>
      </c>
      <c r="P221" s="322"/>
      <c r="Q221" s="322"/>
      <c r="R221" s="322"/>
      <c r="S221" s="322"/>
      <c r="T221" s="322"/>
      <c r="U221" s="322"/>
      <c r="V221" s="322"/>
      <c r="W221" s="217">
        <f t="shared" ref="W221:W222" si="130">SUM(P221:V221)</f>
        <v>0</v>
      </c>
      <c r="X221" s="146">
        <f>SUMIFS('Đơn giá'!C:C,'Đơn giá'!B:B,XUẤT!O221)</f>
        <v>98000</v>
      </c>
      <c r="Y221" s="147">
        <f>X221*P221</f>
        <v>0</v>
      </c>
      <c r="Z221" s="277"/>
      <c r="AA221" s="316"/>
      <c r="AB221" s="145">
        <f t="shared" ref="AB221:AB222" si="131">W221-V221</f>
        <v>0</v>
      </c>
      <c r="AC221" s="146">
        <f t="shared" ref="AC221:AC222" si="132">AB221*5000</f>
        <v>0</v>
      </c>
      <c r="AD221" s="117"/>
    </row>
    <row r="222" spans="1:30" s="148" customFormat="1" ht="36.6" customHeight="1" x14ac:dyDescent="0.45">
      <c r="A222" s="149"/>
      <c r="B222" s="322"/>
      <c r="C222" s="79"/>
      <c r="D222" s="79"/>
      <c r="E222" s="272"/>
      <c r="F222" s="272"/>
      <c r="G222" s="272"/>
      <c r="H222" s="272"/>
      <c r="I222" s="272"/>
      <c r="J222" s="272"/>
      <c r="K222" s="272"/>
      <c r="L222" s="272"/>
      <c r="M222" s="285"/>
      <c r="N222" s="285"/>
      <c r="O222" s="145" t="s">
        <v>36</v>
      </c>
      <c r="P222" s="322"/>
      <c r="Q222" s="322"/>
      <c r="R222" s="322"/>
      <c r="S222" s="322"/>
      <c r="T222" s="322"/>
      <c r="U222" s="322"/>
      <c r="V222" s="322"/>
      <c r="W222" s="217">
        <f t="shared" si="130"/>
        <v>0</v>
      </c>
      <c r="X222" s="146">
        <f>SUMIFS('Đơn giá'!C:C,'Đơn giá'!B:B,XUẤT!O222)</f>
        <v>52000</v>
      </c>
      <c r="Y222" s="147">
        <f>X222*T222</f>
        <v>0</v>
      </c>
      <c r="Z222" s="277"/>
      <c r="AA222" s="316"/>
      <c r="AB222" s="91">
        <f t="shared" si="131"/>
        <v>0</v>
      </c>
      <c r="AC222" s="92">
        <f t="shared" si="132"/>
        <v>0</v>
      </c>
      <c r="AD222" s="117"/>
    </row>
    <row r="223" spans="1:30" s="148" customFormat="1" ht="193.8" customHeight="1" x14ac:dyDescent="0.45">
      <c r="A223" s="149">
        <v>1</v>
      </c>
      <c r="B223" s="322"/>
      <c r="C223" s="79"/>
      <c r="D223" s="79"/>
      <c r="E223" s="272"/>
      <c r="F223" s="272"/>
      <c r="G223" s="272"/>
      <c r="H223" s="272"/>
      <c r="I223" s="272"/>
      <c r="J223" s="272"/>
      <c r="K223" s="272"/>
      <c r="L223" s="272"/>
      <c r="M223" s="285"/>
      <c r="N223" s="285"/>
      <c r="O223" s="145" t="s">
        <v>25</v>
      </c>
      <c r="P223" s="322"/>
      <c r="Q223" s="322"/>
      <c r="R223" s="322"/>
      <c r="S223" s="322"/>
      <c r="T223" s="322"/>
      <c r="U223" s="322"/>
      <c r="V223" s="322"/>
      <c r="W223" s="217">
        <f t="shared" ref="W223" si="133">SUM(P223:V223)</f>
        <v>0</v>
      </c>
      <c r="X223" s="146">
        <f>SUMIFS('Đơn giá'!C:C,'Đơn giá'!B:B,XUẤT!O223)</f>
        <v>98000</v>
      </c>
      <c r="Y223" s="147">
        <f>X223*P223</f>
        <v>0</v>
      </c>
      <c r="Z223" s="277"/>
      <c r="AA223" s="316"/>
      <c r="AB223" s="145">
        <f t="shared" si="128"/>
        <v>0</v>
      </c>
      <c r="AC223" s="146">
        <f t="shared" si="129"/>
        <v>0</v>
      </c>
      <c r="AD223" s="117"/>
    </row>
    <row r="224" spans="1:30" ht="108.6" customHeight="1" x14ac:dyDescent="0.45">
      <c r="A224" s="369">
        <v>2</v>
      </c>
      <c r="B224" s="322"/>
      <c r="C224" s="79"/>
      <c r="D224" s="79"/>
      <c r="E224" s="272"/>
      <c r="F224" s="272"/>
      <c r="G224" s="272"/>
      <c r="H224" s="272"/>
      <c r="I224" s="272"/>
      <c r="J224" s="272"/>
      <c r="K224" s="272"/>
      <c r="L224" s="272"/>
      <c r="M224" s="285"/>
      <c r="N224" s="285"/>
      <c r="O224" s="145" t="s">
        <v>25</v>
      </c>
      <c r="P224" s="322"/>
      <c r="Q224" s="322"/>
      <c r="R224" s="322"/>
      <c r="S224" s="322"/>
      <c r="T224" s="322"/>
      <c r="U224" s="322"/>
      <c r="V224" s="322"/>
      <c r="W224" s="217">
        <f t="shared" ref="W224:W226" si="134">SUM(P224:V224)</f>
        <v>0</v>
      </c>
      <c r="X224" s="146">
        <f>SUMIFS('Đơn giá'!C:C,'Đơn giá'!B:B,XUẤT!O224)</f>
        <v>98000</v>
      </c>
      <c r="Y224" s="147">
        <f>X224*P224</f>
        <v>0</v>
      </c>
      <c r="Z224" s="277"/>
      <c r="AA224" s="316"/>
      <c r="AB224" s="145">
        <f t="shared" ref="AB224:AB226" si="135">W224-V224</f>
        <v>0</v>
      </c>
      <c r="AC224" s="146">
        <f t="shared" ref="AC224:AC226" si="136">AB224*5000</f>
        <v>0</v>
      </c>
      <c r="AD224" s="91"/>
    </row>
    <row r="225" spans="1:30" ht="32.4" customHeight="1" x14ac:dyDescent="0.45">
      <c r="A225" s="369"/>
      <c r="B225" s="322"/>
      <c r="C225" s="79"/>
      <c r="D225" s="79"/>
      <c r="E225" s="272"/>
      <c r="F225" s="272"/>
      <c r="G225" s="272"/>
      <c r="H225" s="272"/>
      <c r="I225" s="272"/>
      <c r="J225" s="272"/>
      <c r="K225" s="272"/>
      <c r="L225" s="272"/>
      <c r="M225" s="285"/>
      <c r="N225" s="285"/>
      <c r="O225" s="145" t="s">
        <v>36</v>
      </c>
      <c r="P225" s="322"/>
      <c r="Q225" s="322"/>
      <c r="R225" s="322"/>
      <c r="S225" s="322"/>
      <c r="T225" s="322"/>
      <c r="U225" s="322"/>
      <c r="V225" s="322"/>
      <c r="W225" s="217">
        <f t="shared" si="134"/>
        <v>0</v>
      </c>
      <c r="X225" s="146">
        <f>SUMIFS('Đơn giá'!C:C,'Đơn giá'!B:B,XUẤT!O225)</f>
        <v>52000</v>
      </c>
      <c r="Y225" s="147">
        <f t="shared" ref="Y225" si="137">X225*T225</f>
        <v>0</v>
      </c>
      <c r="Z225" s="277"/>
      <c r="AA225" s="316"/>
      <c r="AB225" s="91">
        <f t="shared" si="135"/>
        <v>0</v>
      </c>
      <c r="AC225" s="92">
        <f t="shared" si="136"/>
        <v>0</v>
      </c>
      <c r="AD225" s="91"/>
    </row>
    <row r="226" spans="1:30" ht="69" customHeight="1" x14ac:dyDescent="0.45">
      <c r="A226" s="89">
        <v>3</v>
      </c>
      <c r="B226" s="322"/>
      <c r="C226" s="79"/>
      <c r="D226" s="79"/>
      <c r="E226" s="272"/>
      <c r="F226" s="272"/>
      <c r="G226" s="272"/>
      <c r="H226" s="272"/>
      <c r="I226" s="272"/>
      <c r="J226" s="272"/>
      <c r="K226" s="272"/>
      <c r="L226" s="272"/>
      <c r="M226" s="285"/>
      <c r="N226" s="285"/>
      <c r="O226" s="145" t="s">
        <v>36</v>
      </c>
      <c r="P226" s="322"/>
      <c r="Q226" s="322"/>
      <c r="R226" s="322"/>
      <c r="S226" s="322"/>
      <c r="T226" s="322"/>
      <c r="U226" s="322"/>
      <c r="V226" s="322"/>
      <c r="W226" s="217">
        <f t="shared" si="134"/>
        <v>0</v>
      </c>
      <c r="X226" s="146">
        <f>SUMIFS('Đơn giá'!C:C,'Đơn giá'!B:B,XUẤT!O226)</f>
        <v>52000</v>
      </c>
      <c r="Y226" s="147">
        <f>X226*T226</f>
        <v>0</v>
      </c>
      <c r="Z226" s="277"/>
      <c r="AA226" s="316"/>
      <c r="AB226" s="145">
        <f t="shared" si="135"/>
        <v>0</v>
      </c>
      <c r="AC226" s="146">
        <f t="shared" si="136"/>
        <v>0</v>
      </c>
      <c r="AD226" s="91"/>
    </row>
    <row r="227" spans="1:30" ht="85.2" customHeight="1" x14ac:dyDescent="0.45">
      <c r="A227" s="89">
        <v>4</v>
      </c>
      <c r="B227" s="322"/>
      <c r="C227" s="79"/>
      <c r="D227" s="79"/>
      <c r="E227" s="272"/>
      <c r="F227" s="272"/>
      <c r="G227" s="272"/>
      <c r="H227" s="272"/>
      <c r="I227" s="272"/>
      <c r="J227" s="272"/>
      <c r="K227" s="272"/>
      <c r="L227" s="272"/>
      <c r="M227" s="285"/>
      <c r="N227" s="285"/>
      <c r="O227" s="145" t="s">
        <v>25</v>
      </c>
      <c r="P227" s="322"/>
      <c r="Q227" s="322"/>
      <c r="R227" s="322"/>
      <c r="S227" s="322"/>
      <c r="T227" s="322"/>
      <c r="U227" s="322"/>
      <c r="V227" s="322"/>
      <c r="W227" s="217">
        <f t="shared" ref="W227:W242" si="138">SUM(P227:V227)</f>
        <v>0</v>
      </c>
      <c r="X227" s="146">
        <f>SUMIFS('Đơn giá'!C:C,'Đơn giá'!B:B,XUẤT!O227)</f>
        <v>98000</v>
      </c>
      <c r="Y227" s="147">
        <f>X227*P227</f>
        <v>0</v>
      </c>
      <c r="Z227" s="277"/>
      <c r="AA227" s="316"/>
      <c r="AB227" s="145">
        <f t="shared" ref="AB227" si="139">W227-V227</f>
        <v>0</v>
      </c>
      <c r="AC227" s="146">
        <f t="shared" ref="AC227" si="140">AB227*5000</f>
        <v>0</v>
      </c>
      <c r="AD227" s="91"/>
    </row>
    <row r="228" spans="1:30" ht="106.2" customHeight="1" x14ac:dyDescent="0.45">
      <c r="A228" s="89">
        <v>5</v>
      </c>
      <c r="B228" s="322"/>
      <c r="C228" s="79"/>
      <c r="D228" s="79"/>
      <c r="E228" s="272"/>
      <c r="F228" s="272"/>
      <c r="G228" s="272"/>
      <c r="H228" s="272"/>
      <c r="I228" s="272"/>
      <c r="J228" s="272"/>
      <c r="K228" s="272"/>
      <c r="L228" s="272"/>
      <c r="M228" s="285"/>
      <c r="N228" s="285"/>
      <c r="O228" s="145" t="s">
        <v>36</v>
      </c>
      <c r="P228" s="322"/>
      <c r="Q228" s="322"/>
      <c r="R228" s="322"/>
      <c r="S228" s="322"/>
      <c r="T228" s="322"/>
      <c r="U228" s="322"/>
      <c r="V228" s="322"/>
      <c r="W228" s="217">
        <f t="shared" si="138"/>
        <v>0</v>
      </c>
      <c r="X228" s="146">
        <f>SUMIFS('Đơn giá'!C:C,'Đơn giá'!B:B,XUẤT!O228)</f>
        <v>52000</v>
      </c>
      <c r="Y228" s="147">
        <f>X228*T228</f>
        <v>0</v>
      </c>
      <c r="Z228" s="277"/>
      <c r="AA228" s="316"/>
      <c r="AB228" s="145">
        <f t="shared" ref="AB228" si="141">W228-V228</f>
        <v>0</v>
      </c>
      <c r="AC228" s="146">
        <f t="shared" ref="AC228" si="142">AB228*5000</f>
        <v>0</v>
      </c>
      <c r="AD228" s="91"/>
    </row>
    <row r="229" spans="1:30" ht="177" customHeight="1" x14ac:dyDescent="0.45">
      <c r="A229" s="89">
        <v>6</v>
      </c>
      <c r="B229" s="322"/>
      <c r="C229" s="79"/>
      <c r="D229" s="79"/>
      <c r="E229" s="272"/>
      <c r="F229" s="272"/>
      <c r="G229" s="272"/>
      <c r="H229" s="272"/>
      <c r="I229" s="272"/>
      <c r="J229" s="272"/>
      <c r="K229" s="272"/>
      <c r="L229" s="272"/>
      <c r="M229" s="285"/>
      <c r="N229" s="285"/>
      <c r="O229" s="145" t="s">
        <v>36</v>
      </c>
      <c r="P229" s="322"/>
      <c r="Q229" s="322"/>
      <c r="R229" s="322"/>
      <c r="S229" s="322"/>
      <c r="T229" s="322"/>
      <c r="U229" s="322"/>
      <c r="V229" s="322"/>
      <c r="W229" s="217">
        <f t="shared" si="138"/>
        <v>0</v>
      </c>
      <c r="X229" s="146">
        <f>SUMIFS('Đơn giá'!C:C,'Đơn giá'!B:B,XUẤT!O229)</f>
        <v>52000</v>
      </c>
      <c r="Y229" s="147">
        <f t="shared" ref="Y229" si="143">X229*T229</f>
        <v>0</v>
      </c>
      <c r="Z229" s="277"/>
      <c r="AA229" s="316"/>
      <c r="AB229" s="145">
        <f t="shared" ref="AB229:AB231" si="144">W229-V229</f>
        <v>0</v>
      </c>
      <c r="AC229" s="146">
        <f t="shared" ref="AC229:AC231" si="145">AB229*5000</f>
        <v>0</v>
      </c>
      <c r="AD229" s="79"/>
    </row>
    <row r="230" spans="1:30" ht="30.6" customHeight="1" x14ac:dyDescent="0.45">
      <c r="A230" s="89">
        <v>7</v>
      </c>
      <c r="B230" s="322"/>
      <c r="C230" s="79"/>
      <c r="D230" s="79"/>
      <c r="E230" s="272"/>
      <c r="F230" s="272"/>
      <c r="G230" s="272"/>
      <c r="H230" s="272"/>
      <c r="I230" s="272"/>
      <c r="J230" s="272"/>
      <c r="K230" s="272"/>
      <c r="L230" s="272"/>
      <c r="M230" s="285"/>
      <c r="N230" s="285"/>
      <c r="O230" s="145" t="s">
        <v>25</v>
      </c>
      <c r="P230" s="322"/>
      <c r="Q230" s="322"/>
      <c r="R230" s="322"/>
      <c r="S230" s="322"/>
      <c r="T230" s="322"/>
      <c r="U230" s="322"/>
      <c r="V230" s="322"/>
      <c r="W230" s="217">
        <f t="shared" si="138"/>
        <v>0</v>
      </c>
      <c r="X230" s="146">
        <f>SUMIFS('Đơn giá'!C:C,'Đơn giá'!B:B,XUẤT!O230)</f>
        <v>98000</v>
      </c>
      <c r="Y230" s="147">
        <f>X230*P230</f>
        <v>0</v>
      </c>
      <c r="Z230" s="277"/>
      <c r="AA230" s="316"/>
      <c r="AB230" s="145">
        <f t="shared" si="144"/>
        <v>0</v>
      </c>
      <c r="AC230" s="146">
        <f t="shared" si="145"/>
        <v>0</v>
      </c>
      <c r="AD230" s="79"/>
    </row>
    <row r="231" spans="1:30" ht="85.2" customHeight="1" x14ac:dyDescent="0.45">
      <c r="A231" s="89">
        <v>8</v>
      </c>
      <c r="B231" s="322"/>
      <c r="C231" s="79"/>
      <c r="D231" s="79"/>
      <c r="E231" s="272"/>
      <c r="F231" s="272"/>
      <c r="G231" s="272"/>
      <c r="H231" s="272"/>
      <c r="I231" s="272"/>
      <c r="J231" s="272"/>
      <c r="K231" s="272"/>
      <c r="L231" s="272"/>
      <c r="M231" s="285"/>
      <c r="N231" s="285"/>
      <c r="O231" s="145" t="s">
        <v>25</v>
      </c>
      <c r="P231" s="322"/>
      <c r="Q231" s="322"/>
      <c r="R231" s="322"/>
      <c r="S231" s="322"/>
      <c r="T231" s="322"/>
      <c r="U231" s="322"/>
      <c r="V231" s="322"/>
      <c r="W231" s="217">
        <f t="shared" si="138"/>
        <v>0</v>
      </c>
      <c r="X231" s="146">
        <f>SUMIFS('Đơn giá'!C:C,'Đơn giá'!B:B,XUẤT!O231)</f>
        <v>98000</v>
      </c>
      <c r="Y231" s="147">
        <f>X231*P231</f>
        <v>0</v>
      </c>
      <c r="Z231" s="277"/>
      <c r="AA231" s="316"/>
      <c r="AB231" s="145">
        <f t="shared" si="144"/>
        <v>0</v>
      </c>
      <c r="AC231" s="146">
        <f t="shared" si="145"/>
        <v>0</v>
      </c>
      <c r="AD231" s="79"/>
    </row>
    <row r="232" spans="1:30" ht="85.2" customHeight="1" x14ac:dyDescent="0.45">
      <c r="A232" s="89">
        <v>9</v>
      </c>
      <c r="B232" s="322"/>
      <c r="C232" s="79"/>
      <c r="D232" s="79"/>
      <c r="E232" s="272"/>
      <c r="F232" s="272"/>
      <c r="G232" s="272"/>
      <c r="H232" s="272"/>
      <c r="I232" s="272"/>
      <c r="J232" s="272"/>
      <c r="K232" s="272"/>
      <c r="L232" s="272"/>
      <c r="M232" s="285"/>
      <c r="N232" s="285"/>
      <c r="O232" s="145" t="s">
        <v>25</v>
      </c>
      <c r="P232" s="322"/>
      <c r="Q232" s="322"/>
      <c r="R232" s="322"/>
      <c r="S232" s="322"/>
      <c r="T232" s="322"/>
      <c r="U232" s="322"/>
      <c r="V232" s="322"/>
      <c r="W232" s="217">
        <f t="shared" si="138"/>
        <v>0</v>
      </c>
      <c r="X232" s="146">
        <f>SUMIFS('Đơn giá'!C:C,'Đơn giá'!B:B,XUẤT!O232)</f>
        <v>98000</v>
      </c>
      <c r="Y232" s="147">
        <f t="shared" ref="Y232:Y235" si="146">X232*P232</f>
        <v>0</v>
      </c>
      <c r="Z232" s="277"/>
      <c r="AA232" s="316"/>
      <c r="AB232" s="145">
        <f t="shared" ref="AB232:AB238" si="147">W232-V232</f>
        <v>0</v>
      </c>
      <c r="AC232" s="146">
        <f t="shared" ref="AC232:AC238" si="148">AB232*5000</f>
        <v>0</v>
      </c>
      <c r="AD232" s="91"/>
    </row>
    <row r="233" spans="1:30" ht="85.2" customHeight="1" x14ac:dyDescent="0.45">
      <c r="A233" s="89">
        <v>10</v>
      </c>
      <c r="B233" s="322"/>
      <c r="C233" s="79"/>
      <c r="D233" s="79"/>
      <c r="E233" s="272"/>
      <c r="F233" s="272"/>
      <c r="G233" s="272"/>
      <c r="H233" s="272"/>
      <c r="I233" s="272"/>
      <c r="J233" s="272"/>
      <c r="K233" s="272"/>
      <c r="L233" s="272"/>
      <c r="M233" s="285"/>
      <c r="N233" s="285"/>
      <c r="O233" s="145" t="s">
        <v>25</v>
      </c>
      <c r="P233" s="322"/>
      <c r="Q233" s="322"/>
      <c r="R233" s="322"/>
      <c r="S233" s="322"/>
      <c r="T233" s="322"/>
      <c r="U233" s="322"/>
      <c r="V233" s="322"/>
      <c r="W233" s="217">
        <f t="shared" si="138"/>
        <v>0</v>
      </c>
      <c r="X233" s="146">
        <f>SUMIFS('Đơn giá'!C:C,'Đơn giá'!B:B,XUẤT!O233)</f>
        <v>98000</v>
      </c>
      <c r="Y233" s="147">
        <f t="shared" si="146"/>
        <v>0</v>
      </c>
      <c r="Z233" s="277"/>
      <c r="AA233" s="316"/>
      <c r="AB233" s="145">
        <f t="shared" si="147"/>
        <v>0</v>
      </c>
      <c r="AC233" s="146">
        <f t="shared" si="148"/>
        <v>0</v>
      </c>
      <c r="AD233" s="91"/>
    </row>
    <row r="234" spans="1:30" ht="85.2" customHeight="1" x14ac:dyDescent="0.45">
      <c r="A234" s="89">
        <v>11</v>
      </c>
      <c r="B234" s="322"/>
      <c r="C234" s="79"/>
      <c r="D234" s="79"/>
      <c r="E234" s="272"/>
      <c r="F234" s="272"/>
      <c r="G234" s="272"/>
      <c r="H234" s="272"/>
      <c r="I234" s="272"/>
      <c r="J234" s="272"/>
      <c r="K234" s="272"/>
      <c r="L234" s="272"/>
      <c r="M234" s="285"/>
      <c r="N234" s="285"/>
      <c r="O234" s="145" t="s">
        <v>25</v>
      </c>
      <c r="P234" s="322"/>
      <c r="Q234" s="322"/>
      <c r="R234" s="322"/>
      <c r="S234" s="322"/>
      <c r="T234" s="322"/>
      <c r="U234" s="322"/>
      <c r="V234" s="322"/>
      <c r="W234" s="217">
        <f t="shared" si="138"/>
        <v>0</v>
      </c>
      <c r="X234" s="146">
        <f>SUMIFS('Đơn giá'!C:C,'Đơn giá'!B:B,XUẤT!O234)</f>
        <v>98000</v>
      </c>
      <c r="Y234" s="147">
        <f t="shared" si="146"/>
        <v>0</v>
      </c>
      <c r="Z234" s="277"/>
      <c r="AA234" s="316"/>
      <c r="AB234" s="145">
        <f t="shared" si="147"/>
        <v>0</v>
      </c>
      <c r="AC234" s="146">
        <f t="shared" si="148"/>
        <v>0</v>
      </c>
      <c r="AD234" s="91"/>
    </row>
    <row r="235" spans="1:30" ht="85.2" customHeight="1" x14ac:dyDescent="0.45">
      <c r="A235" s="89"/>
      <c r="B235" s="322"/>
      <c r="C235" s="79"/>
      <c r="D235" s="79"/>
      <c r="E235" s="272"/>
      <c r="F235" s="272"/>
      <c r="G235" s="272"/>
      <c r="H235" s="272"/>
      <c r="I235" s="272"/>
      <c r="J235" s="272"/>
      <c r="K235" s="272"/>
      <c r="L235" s="272"/>
      <c r="M235" s="285"/>
      <c r="N235" s="285"/>
      <c r="O235" s="145" t="s">
        <v>25</v>
      </c>
      <c r="P235" s="322"/>
      <c r="Q235" s="322"/>
      <c r="R235" s="322"/>
      <c r="S235" s="322"/>
      <c r="T235" s="322"/>
      <c r="U235" s="322"/>
      <c r="V235" s="322"/>
      <c r="W235" s="217">
        <f t="shared" si="138"/>
        <v>0</v>
      </c>
      <c r="X235" s="146">
        <f>SUMIFS('Đơn giá'!C:C,'Đơn giá'!B:B,XUẤT!O235)</f>
        <v>98000</v>
      </c>
      <c r="Y235" s="147">
        <f t="shared" si="146"/>
        <v>0</v>
      </c>
      <c r="Z235" s="277"/>
      <c r="AA235" s="316"/>
      <c r="AB235" s="145">
        <f t="shared" si="147"/>
        <v>0</v>
      </c>
      <c r="AC235" s="146">
        <f t="shared" si="148"/>
        <v>0</v>
      </c>
      <c r="AD235" s="91"/>
    </row>
    <row r="236" spans="1:30" ht="116.4" customHeight="1" x14ac:dyDescent="0.45">
      <c r="A236" s="369">
        <v>1</v>
      </c>
      <c r="B236" s="322"/>
      <c r="C236" s="79"/>
      <c r="D236" s="79"/>
      <c r="E236" s="272"/>
      <c r="F236" s="272"/>
      <c r="G236" s="272"/>
      <c r="H236" s="272"/>
      <c r="I236" s="272"/>
      <c r="J236" s="272"/>
      <c r="K236" s="272"/>
      <c r="L236" s="272"/>
      <c r="M236" s="285"/>
      <c r="N236" s="285"/>
      <c r="O236" s="145" t="s">
        <v>38</v>
      </c>
      <c r="P236" s="322"/>
      <c r="Q236" s="322"/>
      <c r="R236" s="322"/>
      <c r="S236" s="322"/>
      <c r="T236" s="322"/>
      <c r="U236" s="322"/>
      <c r="V236" s="322"/>
      <c r="W236" s="217">
        <f t="shared" si="138"/>
        <v>0</v>
      </c>
      <c r="X236" s="146">
        <f>SUMIFS('Đơn giá'!C:C,'Đơn giá'!B:B,XUẤT!O236)</f>
        <v>48000</v>
      </c>
      <c r="Y236" s="147">
        <f>X236*U236</f>
        <v>0</v>
      </c>
      <c r="Z236" s="277"/>
      <c r="AA236" s="316"/>
      <c r="AB236" s="145">
        <f t="shared" si="147"/>
        <v>0</v>
      </c>
      <c r="AC236" s="146">
        <f t="shared" si="148"/>
        <v>0</v>
      </c>
      <c r="AD236" s="91"/>
    </row>
    <row r="237" spans="1:30" ht="32.4" customHeight="1" x14ac:dyDescent="0.45">
      <c r="A237" s="369"/>
      <c r="B237" s="322"/>
      <c r="C237" s="79"/>
      <c r="D237" s="79"/>
      <c r="E237" s="272"/>
      <c r="F237" s="272"/>
      <c r="G237" s="272"/>
      <c r="H237" s="272"/>
      <c r="I237" s="272"/>
      <c r="J237" s="272"/>
      <c r="K237" s="272"/>
      <c r="L237" s="272"/>
      <c r="M237" s="285"/>
      <c r="N237" s="285"/>
      <c r="O237" s="145" t="s">
        <v>28</v>
      </c>
      <c r="P237" s="322"/>
      <c r="Q237" s="322"/>
      <c r="R237" s="322"/>
      <c r="S237" s="322"/>
      <c r="T237" s="322"/>
      <c r="U237" s="322"/>
      <c r="V237" s="322"/>
      <c r="W237" s="217">
        <f t="shared" si="138"/>
        <v>0</v>
      </c>
      <c r="X237" s="146">
        <f>SUMIFS('Đơn giá'!C:C,'Đơn giá'!B:B,XUẤT!O237)</f>
        <v>85000</v>
      </c>
      <c r="Y237" s="147">
        <f>X237*Q237</f>
        <v>0</v>
      </c>
      <c r="Z237" s="277"/>
      <c r="AA237" s="316"/>
      <c r="AB237" s="145">
        <f t="shared" si="147"/>
        <v>0</v>
      </c>
      <c r="AC237" s="146">
        <f t="shared" si="148"/>
        <v>0</v>
      </c>
      <c r="AD237" s="91"/>
    </row>
    <row r="238" spans="1:30" ht="85.2" customHeight="1" x14ac:dyDescent="0.45">
      <c r="A238" s="89">
        <v>2</v>
      </c>
      <c r="B238" s="322"/>
      <c r="C238" s="79"/>
      <c r="D238" s="79"/>
      <c r="E238" s="272"/>
      <c r="F238" s="272"/>
      <c r="G238" s="272"/>
      <c r="H238" s="272"/>
      <c r="I238" s="272"/>
      <c r="J238" s="272"/>
      <c r="K238" s="272"/>
      <c r="L238" s="272"/>
      <c r="M238" s="285"/>
      <c r="N238" s="285"/>
      <c r="O238" s="145" t="s">
        <v>25</v>
      </c>
      <c r="P238" s="322"/>
      <c r="Q238" s="322"/>
      <c r="R238" s="322"/>
      <c r="S238" s="322"/>
      <c r="T238" s="322"/>
      <c r="U238" s="322"/>
      <c r="V238" s="322"/>
      <c r="W238" s="217">
        <f t="shared" si="138"/>
        <v>0</v>
      </c>
      <c r="X238" s="146">
        <f>SUMIFS('Đơn giá'!C:C,'Đơn giá'!B:B,XUẤT!O238)</f>
        <v>98000</v>
      </c>
      <c r="Y238" s="147">
        <f>X238*P238</f>
        <v>0</v>
      </c>
      <c r="Z238" s="277"/>
      <c r="AA238" s="316"/>
      <c r="AB238" s="145">
        <f t="shared" si="147"/>
        <v>0</v>
      </c>
      <c r="AC238" s="146">
        <f t="shared" si="148"/>
        <v>0</v>
      </c>
      <c r="AD238" s="91"/>
    </row>
    <row r="239" spans="1:30" s="148" customFormat="1" ht="85.2" customHeight="1" x14ac:dyDescent="0.45">
      <c r="A239" s="358">
        <v>3</v>
      </c>
      <c r="B239" s="322"/>
      <c r="C239" s="79"/>
      <c r="D239" s="79"/>
      <c r="E239" s="272"/>
      <c r="F239" s="272"/>
      <c r="G239" s="272"/>
      <c r="H239" s="272"/>
      <c r="I239" s="272"/>
      <c r="J239" s="272"/>
      <c r="K239" s="272"/>
      <c r="L239" s="272"/>
      <c r="M239" s="285"/>
      <c r="N239" s="285"/>
      <c r="O239" s="145" t="s">
        <v>25</v>
      </c>
      <c r="P239" s="322"/>
      <c r="Q239" s="322"/>
      <c r="R239" s="322"/>
      <c r="S239" s="322"/>
      <c r="T239" s="322"/>
      <c r="U239" s="322"/>
      <c r="V239" s="322"/>
      <c r="W239" s="217">
        <f t="shared" si="138"/>
        <v>0</v>
      </c>
      <c r="X239" s="146">
        <f>SUMIFS('Đơn giá'!C:C,'Đơn giá'!B:B,XUẤT!O239)</f>
        <v>98000</v>
      </c>
      <c r="Y239" s="147">
        <f>X239*P239</f>
        <v>0</v>
      </c>
      <c r="Z239" s="277"/>
      <c r="AA239" s="316"/>
      <c r="AB239" s="145">
        <f t="shared" ref="AB239:AB242" si="149">W239-V239</f>
        <v>0</v>
      </c>
      <c r="AC239" s="146">
        <f t="shared" ref="AC239:AC242" si="150">AB239*5000</f>
        <v>0</v>
      </c>
      <c r="AD239" s="145"/>
    </row>
    <row r="240" spans="1:30" s="148" customFormat="1" ht="39" customHeight="1" x14ac:dyDescent="0.45">
      <c r="A240" s="358"/>
      <c r="B240" s="322"/>
      <c r="C240" s="79"/>
      <c r="D240" s="79"/>
      <c r="E240" s="272"/>
      <c r="F240" s="272"/>
      <c r="G240" s="272"/>
      <c r="H240" s="272"/>
      <c r="I240" s="272"/>
      <c r="J240" s="272"/>
      <c r="K240" s="272"/>
      <c r="L240" s="272"/>
      <c r="M240" s="285"/>
      <c r="N240" s="285"/>
      <c r="O240" s="145" t="s">
        <v>28</v>
      </c>
      <c r="P240" s="322"/>
      <c r="Q240" s="322"/>
      <c r="R240" s="322"/>
      <c r="S240" s="322"/>
      <c r="T240" s="322"/>
      <c r="U240" s="322"/>
      <c r="V240" s="322"/>
      <c r="W240" s="217">
        <f t="shared" si="138"/>
        <v>0</v>
      </c>
      <c r="X240" s="146">
        <f>SUMIFS('Đơn giá'!C:C,'Đơn giá'!B:B,XUẤT!O240)</f>
        <v>85000</v>
      </c>
      <c r="Y240" s="147">
        <f t="shared" ref="Y240:Y243" si="151">X240*Q240</f>
        <v>0</v>
      </c>
      <c r="Z240" s="277"/>
      <c r="AA240" s="316"/>
      <c r="AB240" s="145">
        <f t="shared" si="149"/>
        <v>0</v>
      </c>
      <c r="AC240" s="146">
        <f t="shared" si="150"/>
        <v>0</v>
      </c>
      <c r="AD240" s="145"/>
    </row>
    <row r="241" spans="1:30" s="148" customFormat="1" ht="85.2" customHeight="1" x14ac:dyDescent="0.45">
      <c r="A241" s="143">
        <v>4</v>
      </c>
      <c r="B241" s="322"/>
      <c r="C241" s="79"/>
      <c r="D241" s="79"/>
      <c r="E241" s="272"/>
      <c r="F241" s="272"/>
      <c r="G241" s="272"/>
      <c r="H241" s="272"/>
      <c r="I241" s="272"/>
      <c r="J241" s="272"/>
      <c r="K241" s="272"/>
      <c r="L241" s="272"/>
      <c r="M241" s="285"/>
      <c r="N241" s="285"/>
      <c r="O241" s="145" t="s">
        <v>38</v>
      </c>
      <c r="P241" s="322"/>
      <c r="Q241" s="322"/>
      <c r="R241" s="322"/>
      <c r="S241" s="322"/>
      <c r="T241" s="322"/>
      <c r="U241" s="322"/>
      <c r="V241" s="322"/>
      <c r="W241" s="217">
        <f t="shared" si="138"/>
        <v>0</v>
      </c>
      <c r="X241" s="146">
        <f>SUMIFS('Đơn giá'!C:C,'Đơn giá'!B:B,XUẤT!O241)</f>
        <v>48000</v>
      </c>
      <c r="Y241" s="147">
        <f>X241*U241</f>
        <v>0</v>
      </c>
      <c r="Z241" s="277"/>
      <c r="AA241" s="316"/>
      <c r="AB241" s="145">
        <f t="shared" si="149"/>
        <v>0</v>
      </c>
      <c r="AC241" s="146">
        <f t="shared" si="150"/>
        <v>0</v>
      </c>
      <c r="AD241" s="145"/>
    </row>
    <row r="242" spans="1:30" ht="85.2" customHeight="1" x14ac:dyDescent="0.45">
      <c r="A242" s="89">
        <v>5</v>
      </c>
      <c r="B242" s="322"/>
      <c r="C242" s="79"/>
      <c r="D242" s="79"/>
      <c r="E242" s="272"/>
      <c r="F242" s="272"/>
      <c r="G242" s="272"/>
      <c r="H242" s="272"/>
      <c r="I242" s="272"/>
      <c r="J242" s="272"/>
      <c r="K242" s="272"/>
      <c r="L242" s="272"/>
      <c r="M242" s="285"/>
      <c r="N242" s="285"/>
      <c r="O242" s="145" t="s">
        <v>25</v>
      </c>
      <c r="P242" s="322"/>
      <c r="Q242" s="322"/>
      <c r="R242" s="322"/>
      <c r="S242" s="322"/>
      <c r="T242" s="322"/>
      <c r="U242" s="322"/>
      <c r="V242" s="322"/>
      <c r="W242" s="217">
        <f t="shared" si="138"/>
        <v>0</v>
      </c>
      <c r="X242" s="146">
        <f>SUMIFS('Đơn giá'!C:C,'Đơn giá'!B:B,XUẤT!O242)</f>
        <v>98000</v>
      </c>
      <c r="Y242" s="147">
        <f>X242*P242</f>
        <v>0</v>
      </c>
      <c r="Z242" s="277"/>
      <c r="AA242" s="316"/>
      <c r="AB242" s="145">
        <f t="shared" si="149"/>
        <v>0</v>
      </c>
      <c r="AC242" s="146">
        <f t="shared" si="150"/>
        <v>0</v>
      </c>
      <c r="AD242" s="91"/>
    </row>
    <row r="243" spans="1:30" s="148" customFormat="1" ht="85.2" customHeight="1" x14ac:dyDescent="0.45">
      <c r="A243" s="143">
        <v>6</v>
      </c>
      <c r="B243" s="322"/>
      <c r="C243" s="79"/>
      <c r="D243" s="79"/>
      <c r="E243" s="272"/>
      <c r="F243" s="272"/>
      <c r="G243" s="272"/>
      <c r="H243" s="272"/>
      <c r="I243" s="272"/>
      <c r="J243" s="272"/>
      <c r="K243" s="272"/>
      <c r="L243" s="272"/>
      <c r="M243" s="285"/>
      <c r="N243" s="285"/>
      <c r="O243" s="145" t="s">
        <v>28</v>
      </c>
      <c r="P243" s="322"/>
      <c r="Q243" s="322"/>
      <c r="R243" s="322"/>
      <c r="S243" s="322"/>
      <c r="T243" s="322"/>
      <c r="U243" s="322"/>
      <c r="V243" s="322"/>
      <c r="W243" s="217">
        <f t="shared" ref="W243:W283" si="152">SUM(P243:V243)</f>
        <v>0</v>
      </c>
      <c r="X243" s="146">
        <f>SUMIFS('Đơn giá'!C:C,'Đơn giá'!B:B,XUẤT!O243)</f>
        <v>85000</v>
      </c>
      <c r="Y243" s="147">
        <f t="shared" si="151"/>
        <v>0</v>
      </c>
      <c r="Z243" s="277"/>
      <c r="AA243" s="316"/>
      <c r="AB243" s="145">
        <f t="shared" ref="AB243:AB244" si="153">W243-V243</f>
        <v>0</v>
      </c>
      <c r="AC243" s="146">
        <f t="shared" ref="AC243:AC244" si="154">AB243*5000</f>
        <v>0</v>
      </c>
      <c r="AD243" s="145"/>
    </row>
    <row r="244" spans="1:30" s="148" customFormat="1" ht="85.2" customHeight="1" x14ac:dyDescent="0.45">
      <c r="A244" s="143">
        <v>7</v>
      </c>
      <c r="B244" s="322"/>
      <c r="C244" s="79"/>
      <c r="D244" s="79"/>
      <c r="E244" s="272"/>
      <c r="F244" s="272"/>
      <c r="G244" s="272"/>
      <c r="H244" s="272"/>
      <c r="I244" s="272"/>
      <c r="J244" s="272"/>
      <c r="K244" s="272"/>
      <c r="L244" s="272"/>
      <c r="M244" s="285"/>
      <c r="N244" s="285"/>
      <c r="O244" s="145" t="s">
        <v>25</v>
      </c>
      <c r="P244" s="322"/>
      <c r="Q244" s="322"/>
      <c r="R244" s="322"/>
      <c r="S244" s="322"/>
      <c r="T244" s="322"/>
      <c r="U244" s="322"/>
      <c r="V244" s="322"/>
      <c r="W244" s="217">
        <f t="shared" si="152"/>
        <v>0</v>
      </c>
      <c r="X244" s="146">
        <f>SUMIFS('Đơn giá'!C:C,'Đơn giá'!B:B,XUẤT!O244)</f>
        <v>98000</v>
      </c>
      <c r="Y244" s="147">
        <f>X244*P244</f>
        <v>0</v>
      </c>
      <c r="Z244" s="277"/>
      <c r="AA244" s="316"/>
      <c r="AB244" s="145">
        <f t="shared" si="153"/>
        <v>0</v>
      </c>
      <c r="AC244" s="146">
        <f t="shared" si="154"/>
        <v>0</v>
      </c>
      <c r="AD244" s="145"/>
    </row>
    <row r="245" spans="1:30" ht="85.2" customHeight="1" x14ac:dyDescent="0.45">
      <c r="A245" s="89">
        <v>1</v>
      </c>
      <c r="B245" s="322"/>
      <c r="C245" s="79"/>
      <c r="D245" s="79"/>
      <c r="E245" s="272"/>
      <c r="F245" s="272"/>
      <c r="G245" s="272"/>
      <c r="H245" s="272"/>
      <c r="I245" s="272"/>
      <c r="J245" s="272"/>
      <c r="K245" s="272"/>
      <c r="L245" s="272"/>
      <c r="M245" s="285"/>
      <c r="N245" s="285"/>
      <c r="O245" s="145" t="s">
        <v>28</v>
      </c>
      <c r="P245" s="322"/>
      <c r="Q245" s="322"/>
      <c r="R245" s="322"/>
      <c r="S245" s="322"/>
      <c r="T245" s="322"/>
      <c r="U245" s="322"/>
      <c r="V245" s="322"/>
      <c r="W245" s="217">
        <f t="shared" si="152"/>
        <v>0</v>
      </c>
      <c r="X245" s="146">
        <f>SUMIFS('Đơn giá'!C:C,'Đơn giá'!B:B,XUẤT!O245)</f>
        <v>85000</v>
      </c>
      <c r="Y245" s="147">
        <f>X245*Q245</f>
        <v>0</v>
      </c>
      <c r="Z245" s="277"/>
      <c r="AA245" s="316"/>
      <c r="AB245" s="145">
        <f t="shared" ref="AB245" si="155">W245-V245</f>
        <v>0</v>
      </c>
      <c r="AC245" s="146">
        <f t="shared" ref="AC245" si="156">AB245*5000</f>
        <v>0</v>
      </c>
      <c r="AD245" s="91"/>
    </row>
    <row r="246" spans="1:30" ht="85.2" customHeight="1" x14ac:dyDescent="0.45">
      <c r="A246" s="89">
        <v>2</v>
      </c>
      <c r="B246" s="322"/>
      <c r="C246" s="79"/>
      <c r="D246" s="79"/>
      <c r="E246" s="272"/>
      <c r="F246" s="272"/>
      <c r="G246" s="272"/>
      <c r="H246" s="272"/>
      <c r="I246" s="272"/>
      <c r="J246" s="272"/>
      <c r="K246" s="272"/>
      <c r="L246" s="272"/>
      <c r="M246" s="285"/>
      <c r="N246" s="285"/>
      <c r="O246" s="145" t="s">
        <v>25</v>
      </c>
      <c r="P246" s="322"/>
      <c r="Q246" s="322"/>
      <c r="R246" s="322"/>
      <c r="S246" s="322"/>
      <c r="T246" s="322"/>
      <c r="U246" s="322"/>
      <c r="V246" s="322"/>
      <c r="W246" s="217">
        <f t="shared" si="152"/>
        <v>0</v>
      </c>
      <c r="X246" s="146">
        <f>SUMIFS('Đơn giá'!C:C,'Đơn giá'!B:B,XUẤT!O246)</f>
        <v>98000</v>
      </c>
      <c r="Y246" s="147">
        <f t="shared" ref="Y246:Y249" si="157">X246*P246</f>
        <v>0</v>
      </c>
      <c r="Z246" s="277"/>
      <c r="AA246" s="316"/>
      <c r="AB246" s="145">
        <f t="shared" ref="AB246:AB256" si="158">W246-V246</f>
        <v>0</v>
      </c>
      <c r="AC246" s="146">
        <f t="shared" ref="AC246" si="159">AB246*5000</f>
        <v>0</v>
      </c>
      <c r="AD246" s="91"/>
    </row>
    <row r="247" spans="1:30" ht="85.2" customHeight="1" x14ac:dyDescent="0.45">
      <c r="A247" s="89">
        <v>3</v>
      </c>
      <c r="B247" s="322"/>
      <c r="C247" s="79"/>
      <c r="D247" s="79"/>
      <c r="E247" s="272"/>
      <c r="F247" s="272"/>
      <c r="G247" s="272"/>
      <c r="H247" s="272"/>
      <c r="I247" s="272"/>
      <c r="J247" s="272"/>
      <c r="K247" s="272"/>
      <c r="L247" s="272"/>
      <c r="M247" s="285"/>
      <c r="N247" s="285"/>
      <c r="O247" s="91"/>
      <c r="P247" s="322"/>
      <c r="Q247" s="322"/>
      <c r="R247" s="322"/>
      <c r="S247" s="322"/>
      <c r="T247" s="322"/>
      <c r="U247" s="322"/>
      <c r="V247" s="322"/>
      <c r="W247" s="217">
        <f t="shared" si="152"/>
        <v>0</v>
      </c>
      <c r="X247" s="146">
        <f>SUMIFS('Đơn giá'!C:C,'Đơn giá'!B:B,XUẤT!O247)</f>
        <v>0</v>
      </c>
      <c r="Y247" s="147">
        <f t="shared" si="157"/>
        <v>0</v>
      </c>
      <c r="Z247" s="277"/>
      <c r="AA247" s="316"/>
      <c r="AB247" s="145">
        <f t="shared" ref="AB247:AB252" si="160">W247-V247</f>
        <v>0</v>
      </c>
      <c r="AC247" s="146">
        <f t="shared" ref="AC247:AC256" si="161">AB247*5000</f>
        <v>0</v>
      </c>
      <c r="AD247" s="91"/>
    </row>
    <row r="248" spans="1:30" ht="85.2" customHeight="1" x14ac:dyDescent="0.45">
      <c r="A248" s="89">
        <v>2</v>
      </c>
      <c r="B248" s="322"/>
      <c r="C248" s="79"/>
      <c r="D248" s="79"/>
      <c r="E248" s="272"/>
      <c r="F248" s="272"/>
      <c r="G248" s="272"/>
      <c r="H248" s="272"/>
      <c r="I248" s="272"/>
      <c r="J248" s="272"/>
      <c r="K248" s="272"/>
      <c r="L248" s="272"/>
      <c r="M248" s="285"/>
      <c r="N248" s="285"/>
      <c r="O248" s="145" t="s">
        <v>25</v>
      </c>
      <c r="P248" s="322"/>
      <c r="Q248" s="322"/>
      <c r="R248" s="322"/>
      <c r="S248" s="322"/>
      <c r="T248" s="322"/>
      <c r="U248" s="322"/>
      <c r="V248" s="322"/>
      <c r="W248" s="217">
        <f t="shared" si="152"/>
        <v>0</v>
      </c>
      <c r="X248" s="146">
        <f>SUMIFS('Đơn giá'!C:C,'Đơn giá'!B:B,XUẤT!O248)</f>
        <v>98000</v>
      </c>
      <c r="Y248" s="147">
        <f t="shared" si="157"/>
        <v>0</v>
      </c>
      <c r="Z248" s="277"/>
      <c r="AA248" s="316"/>
      <c r="AB248" s="147">
        <f>W248-V248</f>
        <v>0</v>
      </c>
      <c r="AC248" s="146">
        <f t="shared" si="161"/>
        <v>0</v>
      </c>
      <c r="AD248" s="79"/>
    </row>
    <row r="249" spans="1:30" ht="40.200000000000003" customHeight="1" x14ac:dyDescent="0.45">
      <c r="A249" s="89"/>
      <c r="B249" s="322"/>
      <c r="C249" s="79"/>
      <c r="D249" s="79"/>
      <c r="E249" s="272"/>
      <c r="F249" s="272"/>
      <c r="G249" s="272"/>
      <c r="H249" s="272"/>
      <c r="I249" s="272"/>
      <c r="J249" s="272"/>
      <c r="K249" s="272"/>
      <c r="L249" s="272"/>
      <c r="M249" s="285"/>
      <c r="N249" s="285"/>
      <c r="O249" s="145" t="s">
        <v>25</v>
      </c>
      <c r="P249" s="322"/>
      <c r="Q249" s="322"/>
      <c r="R249" s="322"/>
      <c r="S249" s="322"/>
      <c r="T249" s="322"/>
      <c r="U249" s="322"/>
      <c r="V249" s="322"/>
      <c r="W249" s="217">
        <f t="shared" si="152"/>
        <v>0</v>
      </c>
      <c r="X249" s="146">
        <f>SUMIFS('Đơn giá'!C:C,'Đơn giá'!B:B,XUẤT!O249)</f>
        <v>98000</v>
      </c>
      <c r="Y249" s="147">
        <f t="shared" si="157"/>
        <v>0</v>
      </c>
      <c r="Z249" s="277"/>
      <c r="AA249" s="316"/>
      <c r="AB249" s="147">
        <f>W249-V249</f>
        <v>0</v>
      </c>
      <c r="AC249" s="146">
        <f t="shared" ref="AC249" si="162">AB249*5000</f>
        <v>0</v>
      </c>
      <c r="AD249" s="79"/>
    </row>
    <row r="250" spans="1:30" ht="85.2" customHeight="1" x14ac:dyDescent="0.45">
      <c r="A250" s="89">
        <v>2</v>
      </c>
      <c r="B250" s="322"/>
      <c r="C250" s="79"/>
      <c r="D250" s="79"/>
      <c r="E250" s="272"/>
      <c r="F250" s="272"/>
      <c r="G250" s="272"/>
      <c r="H250" s="272"/>
      <c r="I250" s="272"/>
      <c r="J250" s="272"/>
      <c r="K250" s="272"/>
      <c r="L250" s="272"/>
      <c r="M250" s="285"/>
      <c r="N250" s="285"/>
      <c r="O250" s="145" t="s">
        <v>36</v>
      </c>
      <c r="P250" s="322"/>
      <c r="Q250" s="322"/>
      <c r="R250" s="322"/>
      <c r="S250" s="322"/>
      <c r="T250" s="322"/>
      <c r="U250" s="322"/>
      <c r="V250" s="322"/>
      <c r="W250" s="217">
        <f t="shared" si="152"/>
        <v>0</v>
      </c>
      <c r="X250" s="146">
        <f>SUMIFS('Đơn giá'!C:C,'Đơn giá'!B:B,XUẤT!O250)</f>
        <v>52000</v>
      </c>
      <c r="Y250" s="147">
        <f>X250*T250</f>
        <v>0</v>
      </c>
      <c r="Z250" s="277"/>
      <c r="AA250" s="316"/>
      <c r="AB250" s="145">
        <f t="shared" si="160"/>
        <v>0</v>
      </c>
      <c r="AC250" s="146">
        <f t="shared" si="161"/>
        <v>0</v>
      </c>
      <c r="AD250" s="79"/>
    </row>
    <row r="251" spans="1:30" ht="85.2" customHeight="1" x14ac:dyDescent="0.45">
      <c r="A251" s="89">
        <v>1</v>
      </c>
      <c r="B251" s="322"/>
      <c r="C251" s="79"/>
      <c r="D251" s="79"/>
      <c r="E251" s="272"/>
      <c r="F251" s="272"/>
      <c r="G251" s="272"/>
      <c r="H251" s="272"/>
      <c r="I251" s="272"/>
      <c r="J251" s="272"/>
      <c r="K251" s="272"/>
      <c r="L251" s="272"/>
      <c r="M251" s="285"/>
      <c r="N251" s="285"/>
      <c r="O251" s="145" t="s">
        <v>38</v>
      </c>
      <c r="P251" s="322"/>
      <c r="Q251" s="322"/>
      <c r="R251" s="322"/>
      <c r="S251" s="322"/>
      <c r="T251" s="322"/>
      <c r="U251" s="322"/>
      <c r="V251" s="322"/>
      <c r="W251" s="217">
        <f t="shared" si="152"/>
        <v>0</v>
      </c>
      <c r="X251" s="146">
        <f>SUMIFS('Đơn giá'!C:C,'Đơn giá'!B:B,XUẤT!O251)</f>
        <v>48000</v>
      </c>
      <c r="Y251" s="147">
        <f>X251*U251</f>
        <v>0</v>
      </c>
      <c r="Z251" s="277"/>
      <c r="AA251" s="316"/>
      <c r="AB251" s="145">
        <f t="shared" ref="AB251" si="163">W251-V251</f>
        <v>0</v>
      </c>
      <c r="AC251" s="146">
        <f t="shared" ref="AC251" si="164">AB251*5000</f>
        <v>0</v>
      </c>
      <c r="AD251" s="79"/>
    </row>
    <row r="252" spans="1:30" ht="85.2" customHeight="1" x14ac:dyDescent="0.45">
      <c r="A252" s="89">
        <v>2</v>
      </c>
      <c r="B252" s="322"/>
      <c r="C252" s="79"/>
      <c r="D252" s="79"/>
      <c r="E252" s="272"/>
      <c r="F252" s="272"/>
      <c r="G252" s="272"/>
      <c r="H252" s="272"/>
      <c r="I252" s="272"/>
      <c r="J252" s="272"/>
      <c r="K252" s="272"/>
      <c r="L252" s="272"/>
      <c r="M252" s="285"/>
      <c r="N252" s="285"/>
      <c r="O252" s="145" t="s">
        <v>36</v>
      </c>
      <c r="P252" s="322"/>
      <c r="Q252" s="322"/>
      <c r="R252" s="322"/>
      <c r="S252" s="322"/>
      <c r="T252" s="322"/>
      <c r="U252" s="322"/>
      <c r="V252" s="322"/>
      <c r="W252" s="217">
        <f t="shared" si="152"/>
        <v>0</v>
      </c>
      <c r="X252" s="146">
        <f>SUMIFS('Đơn giá'!C:C,'Đơn giá'!B:B,XUẤT!O252)</f>
        <v>52000</v>
      </c>
      <c r="Y252" s="147">
        <f>X252*T252</f>
        <v>0</v>
      </c>
      <c r="Z252" s="277"/>
      <c r="AA252" s="316"/>
      <c r="AB252" s="145">
        <f t="shared" si="160"/>
        <v>0</v>
      </c>
      <c r="AC252" s="146">
        <f t="shared" si="161"/>
        <v>0</v>
      </c>
      <c r="AD252" s="79"/>
    </row>
    <row r="253" spans="1:30" ht="85.2" customHeight="1" x14ac:dyDescent="0.45">
      <c r="A253" s="89">
        <v>3</v>
      </c>
      <c r="B253" s="322"/>
      <c r="C253" s="79"/>
      <c r="D253" s="79"/>
      <c r="E253" s="272"/>
      <c r="F253" s="272"/>
      <c r="G253" s="272"/>
      <c r="H253" s="272"/>
      <c r="I253" s="272"/>
      <c r="J253" s="272"/>
      <c r="K253" s="272"/>
      <c r="L253" s="272"/>
      <c r="M253" s="285"/>
      <c r="N253" s="285"/>
      <c r="O253" s="145" t="s">
        <v>38</v>
      </c>
      <c r="P253" s="322"/>
      <c r="Q253" s="322"/>
      <c r="R253" s="322"/>
      <c r="S253" s="322"/>
      <c r="T253" s="322"/>
      <c r="U253" s="322"/>
      <c r="V253" s="322"/>
      <c r="W253" s="217">
        <f t="shared" si="152"/>
        <v>0</v>
      </c>
      <c r="X253" s="146">
        <f>SUMIFS('Đơn giá'!C:C,'Đơn giá'!B:B,XUẤT!O253)</f>
        <v>48000</v>
      </c>
      <c r="Y253" s="147">
        <f>X253*U253</f>
        <v>0</v>
      </c>
      <c r="Z253" s="277"/>
      <c r="AA253" s="316"/>
      <c r="AB253" s="145">
        <f t="shared" si="158"/>
        <v>0</v>
      </c>
      <c r="AC253" s="146">
        <f t="shared" si="161"/>
        <v>0</v>
      </c>
      <c r="AD253" s="79"/>
    </row>
    <row r="254" spans="1:30" ht="81" customHeight="1" x14ac:dyDescent="0.45">
      <c r="A254" s="89">
        <v>4</v>
      </c>
      <c r="B254" s="322"/>
      <c r="C254" s="79"/>
      <c r="D254" s="79"/>
      <c r="E254" s="272"/>
      <c r="F254" s="272"/>
      <c r="G254" s="272"/>
      <c r="H254" s="272"/>
      <c r="I254" s="272"/>
      <c r="J254" s="272"/>
      <c r="K254" s="272"/>
      <c r="L254" s="272"/>
      <c r="M254" s="285"/>
      <c r="N254" s="285"/>
      <c r="O254" s="145" t="s">
        <v>28</v>
      </c>
      <c r="P254" s="322"/>
      <c r="Q254" s="322"/>
      <c r="R254" s="322"/>
      <c r="S254" s="322"/>
      <c r="T254" s="322"/>
      <c r="U254" s="322"/>
      <c r="V254" s="322"/>
      <c r="W254" s="217">
        <f t="shared" si="152"/>
        <v>0</v>
      </c>
      <c r="X254" s="146">
        <f>SUMIFS('Đơn giá'!C:C,'Đơn giá'!B:B,XUẤT!O254)</f>
        <v>85000</v>
      </c>
      <c r="Y254" s="147">
        <f>X254*Q254</f>
        <v>0</v>
      </c>
      <c r="Z254" s="277"/>
      <c r="AA254" s="316"/>
      <c r="AB254" s="145">
        <f>W254-V254</f>
        <v>0</v>
      </c>
      <c r="AC254" s="146">
        <f t="shared" si="161"/>
        <v>0</v>
      </c>
      <c r="AD254" s="79"/>
    </row>
    <row r="255" spans="1:30" ht="61.8" customHeight="1" x14ac:dyDescent="0.45">
      <c r="A255" s="89">
        <v>5</v>
      </c>
      <c r="B255" s="322"/>
      <c r="C255" s="79"/>
      <c r="D255" s="79"/>
      <c r="E255" s="272"/>
      <c r="F255" s="272"/>
      <c r="G255" s="272"/>
      <c r="H255" s="272"/>
      <c r="I255" s="272"/>
      <c r="J255" s="272"/>
      <c r="K255" s="272"/>
      <c r="L255" s="272"/>
      <c r="M255" s="285"/>
      <c r="N255" s="285"/>
      <c r="O255" s="145" t="s">
        <v>38</v>
      </c>
      <c r="P255" s="322"/>
      <c r="Q255" s="322"/>
      <c r="R255" s="322"/>
      <c r="S255" s="322"/>
      <c r="T255" s="322"/>
      <c r="U255" s="322"/>
      <c r="V255" s="322"/>
      <c r="W255" s="217">
        <f t="shared" si="152"/>
        <v>0</v>
      </c>
      <c r="X255" s="146">
        <f>SUMIFS('Đơn giá'!C:C,'Đơn giá'!B:B,XUẤT!O255)</f>
        <v>48000</v>
      </c>
      <c r="Y255" s="147">
        <f>X255*U255</f>
        <v>0</v>
      </c>
      <c r="Z255" s="277"/>
      <c r="AA255" s="316"/>
      <c r="AB255" s="145">
        <f t="shared" si="158"/>
        <v>0</v>
      </c>
      <c r="AC255" s="146">
        <f t="shared" si="161"/>
        <v>0</v>
      </c>
      <c r="AD255" s="79"/>
    </row>
    <row r="256" spans="1:30" ht="85.2" customHeight="1" x14ac:dyDescent="0.45">
      <c r="A256" s="89">
        <v>6</v>
      </c>
      <c r="B256" s="322"/>
      <c r="C256" s="79"/>
      <c r="D256" s="79"/>
      <c r="E256" s="272"/>
      <c r="F256" s="272"/>
      <c r="G256" s="272"/>
      <c r="H256" s="272"/>
      <c r="I256" s="272"/>
      <c r="J256" s="272"/>
      <c r="K256" s="272"/>
      <c r="L256" s="272"/>
      <c r="M256" s="285"/>
      <c r="N256" s="285"/>
      <c r="O256" s="145" t="s">
        <v>25</v>
      </c>
      <c r="P256" s="322"/>
      <c r="Q256" s="322"/>
      <c r="R256" s="322"/>
      <c r="S256" s="322"/>
      <c r="T256" s="322"/>
      <c r="U256" s="322"/>
      <c r="V256" s="322"/>
      <c r="W256" s="217">
        <f t="shared" si="152"/>
        <v>0</v>
      </c>
      <c r="X256" s="146">
        <f>SUMIFS('Đơn giá'!C:C,'Đơn giá'!B:B,XUẤT!O256)</f>
        <v>98000</v>
      </c>
      <c r="Y256" s="147">
        <f>X256*P256</f>
        <v>0</v>
      </c>
      <c r="Z256" s="277"/>
      <c r="AA256" s="316"/>
      <c r="AB256" s="145">
        <f t="shared" si="158"/>
        <v>0</v>
      </c>
      <c r="AC256" s="146">
        <f t="shared" si="161"/>
        <v>0</v>
      </c>
      <c r="AD256" s="79"/>
    </row>
    <row r="257" spans="1:30" ht="36" customHeight="1" x14ac:dyDescent="0.45">
      <c r="A257" s="89"/>
      <c r="B257" s="322"/>
      <c r="C257" s="79"/>
      <c r="D257" s="79"/>
      <c r="E257" s="272"/>
      <c r="F257" s="272"/>
      <c r="G257" s="272"/>
      <c r="H257" s="272"/>
      <c r="I257" s="272"/>
      <c r="J257" s="272"/>
      <c r="K257" s="272"/>
      <c r="L257" s="272"/>
      <c r="M257" s="285"/>
      <c r="N257" s="285"/>
      <c r="O257" s="145" t="s">
        <v>28</v>
      </c>
      <c r="P257" s="322"/>
      <c r="Q257" s="322"/>
      <c r="R257" s="322"/>
      <c r="S257" s="322"/>
      <c r="T257" s="322"/>
      <c r="U257" s="322"/>
      <c r="V257" s="322"/>
      <c r="W257" s="217">
        <f t="shared" si="152"/>
        <v>0</v>
      </c>
      <c r="X257" s="146">
        <f>SUMIFS('Đơn giá'!C:C,'Đơn giá'!B:B,XUẤT!O257)</f>
        <v>85000</v>
      </c>
      <c r="Y257" s="147">
        <f>X257*Q257</f>
        <v>0</v>
      </c>
      <c r="Z257" s="277"/>
      <c r="AA257" s="316"/>
      <c r="AB257" s="145">
        <f t="shared" ref="AB257:AB258" si="165">W257-V257</f>
        <v>0</v>
      </c>
      <c r="AC257" s="146">
        <f t="shared" ref="AC257:AC258" si="166">AB257*5000</f>
        <v>0</v>
      </c>
      <c r="AD257" s="79"/>
    </row>
    <row r="258" spans="1:30" ht="85.2" customHeight="1" x14ac:dyDescent="0.45">
      <c r="A258" s="89">
        <v>7</v>
      </c>
      <c r="B258" s="322"/>
      <c r="C258" s="79"/>
      <c r="D258" s="79"/>
      <c r="E258" s="272"/>
      <c r="F258" s="272"/>
      <c r="G258" s="272"/>
      <c r="H258" s="272"/>
      <c r="I258" s="272"/>
      <c r="J258" s="272"/>
      <c r="K258" s="272"/>
      <c r="L258" s="272"/>
      <c r="M258" s="285"/>
      <c r="N258" s="285"/>
      <c r="O258" s="145" t="s">
        <v>25</v>
      </c>
      <c r="P258" s="322"/>
      <c r="Q258" s="322"/>
      <c r="R258" s="322"/>
      <c r="S258" s="322"/>
      <c r="T258" s="322"/>
      <c r="U258" s="322"/>
      <c r="V258" s="322"/>
      <c r="W258" s="217">
        <f t="shared" si="152"/>
        <v>0</v>
      </c>
      <c r="X258" s="146">
        <f>SUMIFS('Đơn giá'!C:C,'Đơn giá'!B:B,XUẤT!O258)</f>
        <v>98000</v>
      </c>
      <c r="Y258" s="147">
        <f>X258*P258</f>
        <v>0</v>
      </c>
      <c r="Z258" s="277"/>
      <c r="AA258" s="316"/>
      <c r="AB258" s="145">
        <f t="shared" si="165"/>
        <v>0</v>
      </c>
      <c r="AC258" s="146">
        <f t="shared" si="166"/>
        <v>0</v>
      </c>
      <c r="AD258" s="79"/>
    </row>
    <row r="259" spans="1:30" ht="85.2" customHeight="1" x14ac:dyDescent="0.45">
      <c r="A259" s="89">
        <v>8</v>
      </c>
      <c r="B259" s="322"/>
      <c r="C259" s="79"/>
      <c r="D259" s="79"/>
      <c r="E259" s="272"/>
      <c r="F259" s="272"/>
      <c r="G259" s="272"/>
      <c r="H259" s="272"/>
      <c r="I259" s="272"/>
      <c r="J259" s="272"/>
      <c r="K259" s="272"/>
      <c r="L259" s="272"/>
      <c r="M259" s="285"/>
      <c r="N259" s="285"/>
      <c r="O259" s="145" t="s">
        <v>36</v>
      </c>
      <c r="P259" s="322"/>
      <c r="Q259" s="322"/>
      <c r="R259" s="322"/>
      <c r="S259" s="322"/>
      <c r="T259" s="322"/>
      <c r="U259" s="322"/>
      <c r="V259" s="322"/>
      <c r="W259" s="217">
        <f t="shared" si="152"/>
        <v>0</v>
      </c>
      <c r="X259" s="146">
        <f>SUMIFS('Đơn giá'!C:C,'Đơn giá'!B:B,XUẤT!O259)</f>
        <v>52000</v>
      </c>
      <c r="Y259" s="147">
        <f>X259*T259</f>
        <v>0</v>
      </c>
      <c r="Z259" s="277"/>
      <c r="AA259" s="316"/>
      <c r="AB259" s="145">
        <f t="shared" ref="AB259:AB268" si="167">W259-V259</f>
        <v>0</v>
      </c>
      <c r="AC259" s="146">
        <f t="shared" ref="AC259:AC279" si="168">AB259*5000</f>
        <v>0</v>
      </c>
      <c r="AD259" s="79"/>
    </row>
    <row r="260" spans="1:30" ht="51" customHeight="1" x14ac:dyDescent="0.45">
      <c r="A260" s="89">
        <v>9</v>
      </c>
      <c r="B260" s="322"/>
      <c r="C260" s="79"/>
      <c r="D260" s="79"/>
      <c r="E260" s="272"/>
      <c r="F260" s="272"/>
      <c r="G260" s="272"/>
      <c r="H260" s="272"/>
      <c r="I260" s="272"/>
      <c r="J260" s="272"/>
      <c r="K260" s="272"/>
      <c r="L260" s="272"/>
      <c r="M260" s="285"/>
      <c r="N260" s="285"/>
      <c r="O260" s="145" t="s">
        <v>28</v>
      </c>
      <c r="P260" s="322"/>
      <c r="Q260" s="322"/>
      <c r="R260" s="322"/>
      <c r="S260" s="322"/>
      <c r="T260" s="322"/>
      <c r="U260" s="322"/>
      <c r="V260" s="322"/>
      <c r="W260" s="217">
        <f t="shared" si="152"/>
        <v>0</v>
      </c>
      <c r="X260" s="146">
        <f>SUMIFS('Đơn giá'!C:C,'Đơn giá'!B:B,XUẤT!O260)</f>
        <v>85000</v>
      </c>
      <c r="Y260" s="147">
        <f>X260*Q260</f>
        <v>0</v>
      </c>
      <c r="Z260" s="277"/>
      <c r="AA260" s="316"/>
      <c r="AB260" s="145">
        <f t="shared" si="167"/>
        <v>0</v>
      </c>
      <c r="AC260" s="146">
        <f t="shared" si="168"/>
        <v>0</v>
      </c>
      <c r="AD260" s="79"/>
    </row>
    <row r="261" spans="1:30" ht="58.2" customHeight="1" x14ac:dyDescent="0.45">
      <c r="A261" s="89">
        <v>10</v>
      </c>
      <c r="B261" s="322"/>
      <c r="C261" s="79"/>
      <c r="D261" s="79"/>
      <c r="E261" s="272"/>
      <c r="F261" s="272"/>
      <c r="G261" s="272"/>
      <c r="H261" s="272"/>
      <c r="I261" s="272"/>
      <c r="J261" s="272"/>
      <c r="K261" s="272"/>
      <c r="L261" s="272"/>
      <c r="M261" s="285"/>
      <c r="N261" s="285"/>
      <c r="O261" s="145" t="s">
        <v>36</v>
      </c>
      <c r="P261" s="322"/>
      <c r="Q261" s="322"/>
      <c r="R261" s="322"/>
      <c r="S261" s="322"/>
      <c r="T261" s="322"/>
      <c r="U261" s="322"/>
      <c r="V261" s="322"/>
      <c r="W261" s="217">
        <f t="shared" si="152"/>
        <v>0</v>
      </c>
      <c r="X261" s="146">
        <f>SUMIFS('Đơn giá'!C:C,'Đơn giá'!B:B,XUẤT!O261)</f>
        <v>52000</v>
      </c>
      <c r="Y261" s="147">
        <f>X261*T261</f>
        <v>0</v>
      </c>
      <c r="Z261" s="277"/>
      <c r="AA261" s="316"/>
      <c r="AB261" s="145">
        <f t="shared" si="167"/>
        <v>0</v>
      </c>
      <c r="AC261" s="146">
        <f t="shared" si="168"/>
        <v>0</v>
      </c>
      <c r="AD261" s="79"/>
    </row>
    <row r="262" spans="1:30" ht="85.2" customHeight="1" x14ac:dyDescent="0.45">
      <c r="A262" s="89">
        <v>11</v>
      </c>
      <c r="B262" s="322"/>
      <c r="C262" s="79"/>
      <c r="D262" s="79"/>
      <c r="E262" s="272"/>
      <c r="F262" s="272"/>
      <c r="G262" s="272"/>
      <c r="H262" s="272"/>
      <c r="I262" s="272"/>
      <c r="J262" s="272"/>
      <c r="K262" s="272"/>
      <c r="L262" s="272"/>
      <c r="M262" s="285"/>
      <c r="N262" s="285"/>
      <c r="O262" s="145" t="s">
        <v>25</v>
      </c>
      <c r="P262" s="322"/>
      <c r="Q262" s="322"/>
      <c r="R262" s="322"/>
      <c r="S262" s="322"/>
      <c r="T262" s="322"/>
      <c r="U262" s="322"/>
      <c r="V262" s="322"/>
      <c r="W262" s="217">
        <f t="shared" si="152"/>
        <v>0</v>
      </c>
      <c r="X262" s="146">
        <f>SUMIFS('Đơn giá'!C:C,'Đơn giá'!B:B,XUẤT!O262)</f>
        <v>98000</v>
      </c>
      <c r="Y262" s="147">
        <f>X262*P262</f>
        <v>0</v>
      </c>
      <c r="Z262" s="277"/>
      <c r="AA262" s="316"/>
      <c r="AB262" s="145">
        <f t="shared" si="167"/>
        <v>0</v>
      </c>
      <c r="AC262" s="146">
        <f t="shared" si="168"/>
        <v>0</v>
      </c>
      <c r="AD262" s="91"/>
    </row>
    <row r="263" spans="1:30" ht="85.2" customHeight="1" x14ac:dyDescent="0.45">
      <c r="A263" s="89">
        <v>12</v>
      </c>
      <c r="B263" s="322"/>
      <c r="C263" s="79"/>
      <c r="D263" s="79"/>
      <c r="E263" s="272"/>
      <c r="F263" s="272"/>
      <c r="G263" s="272"/>
      <c r="H263" s="272"/>
      <c r="I263" s="272"/>
      <c r="J263" s="272"/>
      <c r="K263" s="272"/>
      <c r="L263" s="272"/>
      <c r="M263" s="285"/>
      <c r="N263" s="285"/>
      <c r="O263" s="145" t="s">
        <v>38</v>
      </c>
      <c r="P263" s="322"/>
      <c r="Q263" s="322"/>
      <c r="R263" s="322"/>
      <c r="S263" s="322"/>
      <c r="T263" s="322"/>
      <c r="U263" s="322"/>
      <c r="V263" s="322"/>
      <c r="W263" s="217">
        <f t="shared" si="152"/>
        <v>0</v>
      </c>
      <c r="X263" s="146">
        <f>SUMIFS('Đơn giá'!C:C,'Đơn giá'!B:B,XUẤT!O263)</f>
        <v>48000</v>
      </c>
      <c r="Y263" s="147">
        <f t="shared" ref="Y263:Y268" si="169">X263*P263</f>
        <v>0</v>
      </c>
      <c r="Z263" s="277"/>
      <c r="AA263" s="316"/>
      <c r="AB263" s="145">
        <f t="shared" si="167"/>
        <v>0</v>
      </c>
      <c r="AC263" s="146">
        <f t="shared" si="168"/>
        <v>0</v>
      </c>
      <c r="AD263" s="91"/>
    </row>
    <row r="264" spans="1:30" ht="85.2" customHeight="1" x14ac:dyDescent="0.45">
      <c r="A264" s="89">
        <v>13</v>
      </c>
      <c r="B264" s="322"/>
      <c r="C264" s="79"/>
      <c r="D264" s="79"/>
      <c r="E264" s="272"/>
      <c r="F264" s="272"/>
      <c r="G264" s="272"/>
      <c r="H264" s="272"/>
      <c r="I264" s="272"/>
      <c r="J264" s="272"/>
      <c r="K264" s="272"/>
      <c r="L264" s="272"/>
      <c r="M264" s="285"/>
      <c r="N264" s="285"/>
      <c r="O264" s="91"/>
      <c r="P264" s="322"/>
      <c r="Q264" s="322"/>
      <c r="R264" s="322"/>
      <c r="S264" s="322"/>
      <c r="T264" s="322"/>
      <c r="U264" s="322"/>
      <c r="V264" s="322"/>
      <c r="W264" s="217">
        <f t="shared" si="152"/>
        <v>0</v>
      </c>
      <c r="X264" s="146">
        <f>SUMIFS('Đơn giá'!C:C,'Đơn giá'!B:B,XUẤT!O264)</f>
        <v>0</v>
      </c>
      <c r="Y264" s="147">
        <f t="shared" si="169"/>
        <v>0</v>
      </c>
      <c r="Z264" s="277"/>
      <c r="AA264" s="316"/>
      <c r="AB264" s="145">
        <f t="shared" si="167"/>
        <v>0</v>
      </c>
      <c r="AC264" s="146">
        <f t="shared" si="168"/>
        <v>0</v>
      </c>
      <c r="AD264" s="91"/>
    </row>
    <row r="265" spans="1:30" ht="64.8" customHeight="1" x14ac:dyDescent="0.45">
      <c r="A265" s="89">
        <v>14</v>
      </c>
      <c r="B265" s="322"/>
      <c r="C265" s="79"/>
      <c r="D265" s="79"/>
      <c r="E265" s="272"/>
      <c r="F265" s="272"/>
      <c r="G265" s="272"/>
      <c r="H265" s="272"/>
      <c r="I265" s="272"/>
      <c r="J265" s="272"/>
      <c r="K265" s="272"/>
      <c r="L265" s="272"/>
      <c r="M265" s="285"/>
      <c r="N265" s="285"/>
      <c r="O265" s="145" t="s">
        <v>38</v>
      </c>
      <c r="P265" s="322"/>
      <c r="Q265" s="322"/>
      <c r="R265" s="322"/>
      <c r="S265" s="322"/>
      <c r="T265" s="322"/>
      <c r="U265" s="322"/>
      <c r="V265" s="322"/>
      <c r="W265" s="217">
        <f t="shared" si="152"/>
        <v>0</v>
      </c>
      <c r="X265" s="146">
        <f>SUMIFS('Đơn giá'!C:C,'Đơn giá'!B:B,XUẤT!O265)</f>
        <v>48000</v>
      </c>
      <c r="Y265" s="147">
        <f>U265*X265</f>
        <v>0</v>
      </c>
      <c r="Z265" s="277"/>
      <c r="AA265" s="316"/>
      <c r="AB265" s="145">
        <f t="shared" si="167"/>
        <v>0</v>
      </c>
      <c r="AC265" s="146">
        <f t="shared" si="168"/>
        <v>0</v>
      </c>
      <c r="AD265" s="91"/>
    </row>
    <row r="266" spans="1:30" ht="85.2" customHeight="1" x14ac:dyDescent="0.45">
      <c r="A266" s="89"/>
      <c r="B266" s="322"/>
      <c r="C266" s="79"/>
      <c r="D266" s="79"/>
      <c r="E266" s="272"/>
      <c r="F266" s="272"/>
      <c r="G266" s="272"/>
      <c r="H266" s="272"/>
      <c r="I266" s="272"/>
      <c r="J266" s="272"/>
      <c r="K266" s="272"/>
      <c r="L266" s="272"/>
      <c r="M266" s="285"/>
      <c r="N266" s="285"/>
      <c r="O266" s="145" t="s">
        <v>28</v>
      </c>
      <c r="P266" s="322"/>
      <c r="Q266" s="322"/>
      <c r="R266" s="322"/>
      <c r="S266" s="322"/>
      <c r="T266" s="322"/>
      <c r="U266" s="322"/>
      <c r="V266" s="322"/>
      <c r="W266" s="217">
        <f t="shared" si="152"/>
        <v>0</v>
      </c>
      <c r="X266" s="146">
        <f>SUMIFS('Đơn giá'!C:C,'Đơn giá'!B:B,XUẤT!O266)</f>
        <v>85000</v>
      </c>
      <c r="Y266" s="147">
        <f>X266*Q266</f>
        <v>0</v>
      </c>
      <c r="Z266" s="277"/>
      <c r="AA266" s="316"/>
      <c r="AB266" s="145">
        <f t="shared" si="167"/>
        <v>0</v>
      </c>
      <c r="AC266" s="146">
        <f t="shared" si="168"/>
        <v>0</v>
      </c>
      <c r="AD266" s="91"/>
    </row>
    <row r="267" spans="1:30" ht="85.2" customHeight="1" x14ac:dyDescent="0.45">
      <c r="A267" s="89">
        <v>13</v>
      </c>
      <c r="B267" s="322"/>
      <c r="C267" s="79"/>
      <c r="D267" s="79"/>
      <c r="E267" s="272"/>
      <c r="F267" s="272"/>
      <c r="G267" s="272"/>
      <c r="H267" s="272"/>
      <c r="I267" s="272"/>
      <c r="J267" s="272"/>
      <c r="K267" s="272"/>
      <c r="L267" s="272"/>
      <c r="M267" s="285"/>
      <c r="N267" s="285"/>
      <c r="O267" s="145" t="s">
        <v>25</v>
      </c>
      <c r="P267" s="322"/>
      <c r="Q267" s="322"/>
      <c r="R267" s="322"/>
      <c r="S267" s="322"/>
      <c r="T267" s="322"/>
      <c r="U267" s="322"/>
      <c r="V267" s="322"/>
      <c r="W267" s="217">
        <f t="shared" si="152"/>
        <v>0</v>
      </c>
      <c r="X267" s="146">
        <f>SUMIFS('Đơn giá'!C:C,'Đơn giá'!B:B,XUẤT!O267)</f>
        <v>98000</v>
      </c>
      <c r="Y267" s="147">
        <f t="shared" si="169"/>
        <v>0</v>
      </c>
      <c r="Z267" s="277"/>
      <c r="AA267" s="316"/>
      <c r="AB267" s="145">
        <f t="shared" si="167"/>
        <v>0</v>
      </c>
      <c r="AC267" s="146">
        <f t="shared" si="168"/>
        <v>0</v>
      </c>
      <c r="AD267" s="91"/>
    </row>
    <row r="268" spans="1:30" ht="85.2" customHeight="1" x14ac:dyDescent="0.45">
      <c r="A268" s="89">
        <v>14</v>
      </c>
      <c r="B268" s="322"/>
      <c r="C268" s="79"/>
      <c r="D268" s="79"/>
      <c r="E268" s="272"/>
      <c r="F268" s="272"/>
      <c r="G268" s="272"/>
      <c r="H268" s="272"/>
      <c r="I268" s="272"/>
      <c r="J268" s="272"/>
      <c r="K268" s="272"/>
      <c r="L268" s="272"/>
      <c r="M268" s="285"/>
      <c r="N268" s="285"/>
      <c r="O268" s="145" t="s">
        <v>25</v>
      </c>
      <c r="P268" s="322"/>
      <c r="Q268" s="322"/>
      <c r="R268" s="322"/>
      <c r="S268" s="322"/>
      <c r="T268" s="322"/>
      <c r="U268" s="322"/>
      <c r="V268" s="322"/>
      <c r="W268" s="217">
        <f t="shared" si="152"/>
        <v>0</v>
      </c>
      <c r="X268" s="146">
        <f>SUMIFS('Đơn giá'!C:C,'Đơn giá'!B:B,XUẤT!O268)</f>
        <v>98000</v>
      </c>
      <c r="Y268" s="147">
        <f t="shared" si="169"/>
        <v>0</v>
      </c>
      <c r="Z268" s="277"/>
      <c r="AA268" s="316"/>
      <c r="AB268" s="145">
        <f t="shared" si="167"/>
        <v>0</v>
      </c>
      <c r="AC268" s="146">
        <f t="shared" si="168"/>
        <v>0</v>
      </c>
      <c r="AD268" s="91"/>
    </row>
    <row r="269" spans="1:30" ht="85.2" customHeight="1" x14ac:dyDescent="0.45">
      <c r="A269" s="89">
        <v>1</v>
      </c>
      <c r="B269" s="322"/>
      <c r="C269" s="79"/>
      <c r="D269" s="149" t="s">
        <v>453</v>
      </c>
      <c r="E269" s="272"/>
      <c r="F269" s="272"/>
      <c r="G269" s="272"/>
      <c r="H269" s="272"/>
      <c r="I269" s="272"/>
      <c r="J269" s="272"/>
      <c r="K269" s="269"/>
      <c r="L269" s="269" t="s">
        <v>410</v>
      </c>
      <c r="M269" s="285"/>
      <c r="N269" s="285"/>
      <c r="O269" s="145" t="s">
        <v>38</v>
      </c>
      <c r="P269" s="322"/>
      <c r="Q269" s="322"/>
      <c r="R269" s="322"/>
      <c r="S269" s="322"/>
      <c r="T269" s="322"/>
      <c r="U269" s="322"/>
      <c r="V269" s="322"/>
      <c r="W269" s="217">
        <f t="shared" si="152"/>
        <v>0</v>
      </c>
      <c r="X269" s="146">
        <f>SUMIFS('Đơn giá'!C:C,'Đơn giá'!B:B,XUẤT!O269)</f>
        <v>48000</v>
      </c>
      <c r="Y269" s="147">
        <f>X269*U269</f>
        <v>0</v>
      </c>
      <c r="Z269" s="277"/>
      <c r="AA269" s="316"/>
      <c r="AB269" s="79"/>
      <c r="AC269" s="146">
        <f t="shared" si="168"/>
        <v>0</v>
      </c>
      <c r="AD269" s="91"/>
    </row>
    <row r="270" spans="1:30" ht="85.2" customHeight="1" x14ac:dyDescent="0.45">
      <c r="A270" s="89">
        <v>2</v>
      </c>
      <c r="B270" s="322"/>
      <c r="C270" s="79"/>
      <c r="D270" s="149" t="s">
        <v>453</v>
      </c>
      <c r="E270" s="272"/>
      <c r="F270" s="272"/>
      <c r="G270" s="272"/>
      <c r="H270" s="272"/>
      <c r="I270" s="272"/>
      <c r="J270" s="272"/>
      <c r="K270" s="269"/>
      <c r="L270" s="269" t="s">
        <v>410</v>
      </c>
      <c r="M270" s="285"/>
      <c r="N270" s="285"/>
      <c r="O270" s="145" t="s">
        <v>28</v>
      </c>
      <c r="P270" s="322"/>
      <c r="Q270" s="322"/>
      <c r="R270" s="322"/>
      <c r="S270" s="322"/>
      <c r="T270" s="322"/>
      <c r="U270" s="322"/>
      <c r="V270" s="322"/>
      <c r="W270" s="217">
        <f t="shared" si="152"/>
        <v>0</v>
      </c>
      <c r="X270" s="146">
        <f>SUMIFS('Đơn giá'!C:C,'Đơn giá'!B:B,XUẤT!O270)</f>
        <v>85000</v>
      </c>
      <c r="Y270" s="147">
        <f>X270*Q270</f>
        <v>0</v>
      </c>
      <c r="Z270" s="277"/>
      <c r="AA270" s="316"/>
      <c r="AB270" s="79"/>
      <c r="AC270" s="146">
        <f t="shared" si="168"/>
        <v>0</v>
      </c>
      <c r="AD270" s="91"/>
    </row>
    <row r="271" spans="1:30" ht="85.2" customHeight="1" x14ac:dyDescent="0.45">
      <c r="A271" s="89">
        <v>3</v>
      </c>
      <c r="B271" s="322"/>
      <c r="C271" s="79"/>
      <c r="D271" s="149" t="s">
        <v>453</v>
      </c>
      <c r="E271" s="272"/>
      <c r="F271" s="272"/>
      <c r="G271" s="272"/>
      <c r="H271" s="272"/>
      <c r="I271" s="272"/>
      <c r="J271" s="272"/>
      <c r="K271" s="269"/>
      <c r="L271" s="269" t="s">
        <v>410</v>
      </c>
      <c r="M271" s="285"/>
      <c r="N271" s="285"/>
      <c r="O271" s="145" t="s">
        <v>25</v>
      </c>
      <c r="P271" s="322"/>
      <c r="Q271" s="322"/>
      <c r="R271" s="322"/>
      <c r="S271" s="322"/>
      <c r="T271" s="322"/>
      <c r="U271" s="322"/>
      <c r="V271" s="322"/>
      <c r="W271" s="217">
        <f t="shared" si="152"/>
        <v>0</v>
      </c>
      <c r="X271" s="146">
        <f>SUMIFS('Đơn giá'!C:C,'Đơn giá'!B:B,XUẤT!O271)</f>
        <v>98000</v>
      </c>
      <c r="Y271" s="147">
        <f t="shared" ref="Y271:Y273" si="170">X271*P271</f>
        <v>0</v>
      </c>
      <c r="Z271" s="277"/>
      <c r="AA271" s="316"/>
      <c r="AB271" s="79"/>
      <c r="AC271" s="146">
        <f t="shared" si="168"/>
        <v>0</v>
      </c>
      <c r="AD271" s="91"/>
    </row>
    <row r="272" spans="1:30" ht="85.2" customHeight="1" x14ac:dyDescent="0.45">
      <c r="A272" s="89">
        <v>4</v>
      </c>
      <c r="B272" s="322"/>
      <c r="C272" s="79"/>
      <c r="D272" s="149" t="s">
        <v>453</v>
      </c>
      <c r="E272" s="272"/>
      <c r="F272" s="272"/>
      <c r="G272" s="272"/>
      <c r="H272" s="272"/>
      <c r="I272" s="272"/>
      <c r="J272" s="272"/>
      <c r="K272" s="269"/>
      <c r="L272" s="269" t="s">
        <v>410</v>
      </c>
      <c r="M272" s="285"/>
      <c r="N272" s="285"/>
      <c r="O272" s="145" t="s">
        <v>28</v>
      </c>
      <c r="P272" s="322"/>
      <c r="Q272" s="322"/>
      <c r="R272" s="322"/>
      <c r="S272" s="322"/>
      <c r="T272" s="322"/>
      <c r="U272" s="322"/>
      <c r="V272" s="322"/>
      <c r="W272" s="217">
        <f t="shared" si="152"/>
        <v>0</v>
      </c>
      <c r="X272" s="146">
        <f>SUMIFS('Đơn giá'!C:C,'Đơn giá'!B:B,XUẤT!O272)</f>
        <v>85000</v>
      </c>
      <c r="Y272" s="147">
        <f>X272*Q272</f>
        <v>0</v>
      </c>
      <c r="Z272" s="277"/>
      <c r="AA272" s="316"/>
      <c r="AB272" s="79"/>
      <c r="AC272" s="146">
        <f t="shared" si="168"/>
        <v>0</v>
      </c>
      <c r="AD272" s="91"/>
    </row>
    <row r="273" spans="1:30" ht="85.2" customHeight="1" x14ac:dyDescent="0.45">
      <c r="A273" s="89">
        <v>5</v>
      </c>
      <c r="B273" s="322"/>
      <c r="C273" s="79"/>
      <c r="D273" s="149" t="s">
        <v>453</v>
      </c>
      <c r="E273" s="272"/>
      <c r="F273" s="272"/>
      <c r="G273" s="272"/>
      <c r="H273" s="272"/>
      <c r="I273" s="272"/>
      <c r="J273" s="272"/>
      <c r="K273" s="269"/>
      <c r="L273" s="269" t="s">
        <v>410</v>
      </c>
      <c r="M273" s="285"/>
      <c r="N273" s="285"/>
      <c r="O273" s="145" t="s">
        <v>25</v>
      </c>
      <c r="P273" s="322"/>
      <c r="Q273" s="322"/>
      <c r="R273" s="322"/>
      <c r="S273" s="322"/>
      <c r="T273" s="322"/>
      <c r="U273" s="322"/>
      <c r="V273" s="322"/>
      <c r="W273" s="217">
        <f t="shared" si="152"/>
        <v>0</v>
      </c>
      <c r="X273" s="146">
        <f>SUMIFS('Đơn giá'!C:C,'Đơn giá'!B:B,XUẤT!O273)</f>
        <v>98000</v>
      </c>
      <c r="Y273" s="147">
        <f t="shared" si="170"/>
        <v>0</v>
      </c>
      <c r="Z273" s="277"/>
      <c r="AA273" s="316"/>
      <c r="AB273" s="79"/>
      <c r="AC273" s="146">
        <f t="shared" si="168"/>
        <v>0</v>
      </c>
      <c r="AD273" s="91"/>
    </row>
    <row r="274" spans="1:30" ht="85.2" customHeight="1" x14ac:dyDescent="0.45">
      <c r="A274" s="89">
        <v>1</v>
      </c>
      <c r="B274" s="322"/>
      <c r="C274" s="79"/>
      <c r="D274" s="149" t="s">
        <v>453</v>
      </c>
      <c r="E274" s="272"/>
      <c r="F274" s="272"/>
      <c r="G274" s="272"/>
      <c r="H274" s="272"/>
      <c r="I274" s="272"/>
      <c r="J274" s="272"/>
      <c r="K274" s="269"/>
      <c r="L274" s="269"/>
      <c r="M274" s="285"/>
      <c r="N274" s="285"/>
      <c r="O274" s="145" t="s">
        <v>28</v>
      </c>
      <c r="P274" s="322"/>
      <c r="Q274" s="322"/>
      <c r="R274" s="322"/>
      <c r="S274" s="322"/>
      <c r="T274" s="322"/>
      <c r="U274" s="322"/>
      <c r="V274" s="322"/>
      <c r="W274" s="217">
        <f t="shared" si="152"/>
        <v>0</v>
      </c>
      <c r="X274" s="146">
        <f>SUMIFS('Đơn giá'!C:C,'Đơn giá'!B:B,XUẤT!O274)</f>
        <v>85000</v>
      </c>
      <c r="Y274" s="147">
        <f>X274*Q274</f>
        <v>0</v>
      </c>
      <c r="Z274" s="277"/>
      <c r="AA274" s="316"/>
      <c r="AB274" s="79"/>
      <c r="AC274" s="146">
        <f t="shared" si="168"/>
        <v>0</v>
      </c>
      <c r="AD274" s="91"/>
    </row>
    <row r="275" spans="1:30" ht="85.2" customHeight="1" x14ac:dyDescent="0.45">
      <c r="A275" s="89">
        <v>2</v>
      </c>
      <c r="B275" s="322"/>
      <c r="C275" s="79"/>
      <c r="D275" s="149" t="s">
        <v>453</v>
      </c>
      <c r="E275" s="272"/>
      <c r="F275" s="272"/>
      <c r="G275" s="272"/>
      <c r="H275" s="272"/>
      <c r="I275" s="272"/>
      <c r="J275" s="272"/>
      <c r="K275" s="269"/>
      <c r="L275" s="269"/>
      <c r="M275" s="285"/>
      <c r="N275" s="285"/>
      <c r="O275" s="145" t="s">
        <v>38</v>
      </c>
      <c r="P275" s="322"/>
      <c r="Q275" s="322"/>
      <c r="R275" s="322"/>
      <c r="S275" s="322"/>
      <c r="T275" s="322"/>
      <c r="U275" s="322"/>
      <c r="V275" s="322"/>
      <c r="W275" s="217">
        <f t="shared" si="152"/>
        <v>0</v>
      </c>
      <c r="X275" s="146">
        <f>SUMIFS('Đơn giá'!C:C,'Đơn giá'!B:B,XUẤT!O275)</f>
        <v>48000</v>
      </c>
      <c r="Y275" s="147">
        <f>X275*U275</f>
        <v>0</v>
      </c>
      <c r="Z275" s="277"/>
      <c r="AA275" s="316"/>
      <c r="AB275" s="79"/>
      <c r="AC275" s="146">
        <f t="shared" si="168"/>
        <v>0</v>
      </c>
      <c r="AD275" s="91"/>
    </row>
    <row r="276" spans="1:30" ht="85.2" customHeight="1" x14ac:dyDescent="0.45">
      <c r="A276" s="89">
        <v>3</v>
      </c>
      <c r="B276" s="322"/>
      <c r="C276" s="79"/>
      <c r="D276" s="149" t="s">
        <v>453</v>
      </c>
      <c r="E276" s="272"/>
      <c r="F276" s="272"/>
      <c r="G276" s="272"/>
      <c r="H276" s="272"/>
      <c r="I276" s="272"/>
      <c r="J276" s="272"/>
      <c r="K276" s="269"/>
      <c r="L276" s="269"/>
      <c r="M276" s="285"/>
      <c r="N276" s="285"/>
      <c r="O276" s="145" t="s">
        <v>25</v>
      </c>
      <c r="P276" s="322"/>
      <c r="Q276" s="322"/>
      <c r="R276" s="322"/>
      <c r="S276" s="322"/>
      <c r="T276" s="322"/>
      <c r="U276" s="322"/>
      <c r="V276" s="322"/>
      <c r="W276" s="217">
        <f t="shared" si="152"/>
        <v>0</v>
      </c>
      <c r="X276" s="146">
        <f>SUMIFS('Đơn giá'!C:C,'Đơn giá'!B:B,XUẤT!O276)</f>
        <v>98000</v>
      </c>
      <c r="Y276" s="147">
        <f t="shared" ref="Y276:Y277" si="171">X276*P276</f>
        <v>0</v>
      </c>
      <c r="Z276" s="277"/>
      <c r="AA276" s="316"/>
      <c r="AB276" s="79"/>
      <c r="AC276" s="146">
        <f t="shared" si="168"/>
        <v>0</v>
      </c>
      <c r="AD276" s="91"/>
    </row>
    <row r="277" spans="1:30" ht="85.2" customHeight="1" x14ac:dyDescent="0.45">
      <c r="A277" s="89">
        <v>4</v>
      </c>
      <c r="B277" s="322"/>
      <c r="C277" s="79"/>
      <c r="D277" s="102"/>
      <c r="E277" s="272"/>
      <c r="F277" s="272"/>
      <c r="G277" s="272"/>
      <c r="H277" s="272"/>
      <c r="I277" s="272"/>
      <c r="J277" s="272"/>
      <c r="K277" s="269"/>
      <c r="L277" s="269"/>
      <c r="M277" s="285"/>
      <c r="N277" s="285"/>
      <c r="O277" s="145" t="s">
        <v>25</v>
      </c>
      <c r="P277" s="322"/>
      <c r="Q277" s="322"/>
      <c r="R277" s="322"/>
      <c r="S277" s="322"/>
      <c r="T277" s="322"/>
      <c r="U277" s="322"/>
      <c r="V277" s="322"/>
      <c r="W277" s="217">
        <f t="shared" si="152"/>
        <v>0</v>
      </c>
      <c r="X277" s="146">
        <f>SUMIFS('Đơn giá'!C:C,'Đơn giá'!B:B,XUẤT!O277)</f>
        <v>98000</v>
      </c>
      <c r="Y277" s="147">
        <f t="shared" si="171"/>
        <v>0</v>
      </c>
      <c r="Z277" s="277"/>
      <c r="AA277" s="316"/>
      <c r="AB277" s="79"/>
      <c r="AC277" s="146">
        <f t="shared" si="168"/>
        <v>0</v>
      </c>
      <c r="AD277" s="91"/>
    </row>
    <row r="278" spans="1:30" ht="85.2" customHeight="1" x14ac:dyDescent="0.45">
      <c r="A278" s="89">
        <v>5</v>
      </c>
      <c r="B278" s="322"/>
      <c r="C278" s="79"/>
      <c r="D278" s="149" t="s">
        <v>453</v>
      </c>
      <c r="E278" s="272"/>
      <c r="F278" s="272"/>
      <c r="G278" s="272"/>
      <c r="H278" s="272"/>
      <c r="I278" s="272"/>
      <c r="J278" s="272"/>
      <c r="K278" s="269"/>
      <c r="L278" s="269"/>
      <c r="M278" s="285"/>
      <c r="N278" s="285"/>
      <c r="O278" s="145" t="s">
        <v>38</v>
      </c>
      <c r="P278" s="322"/>
      <c r="Q278" s="322"/>
      <c r="R278" s="322"/>
      <c r="S278" s="322"/>
      <c r="T278" s="322"/>
      <c r="U278" s="322"/>
      <c r="V278" s="322"/>
      <c r="W278" s="217">
        <f t="shared" si="152"/>
        <v>0</v>
      </c>
      <c r="X278" s="146">
        <f>SUMIFS('Đơn giá'!C:C,'Đơn giá'!B:B,XUẤT!O278)</f>
        <v>48000</v>
      </c>
      <c r="Y278" s="147">
        <f>X278*U278</f>
        <v>0</v>
      </c>
      <c r="Z278" s="277"/>
      <c r="AA278" s="316"/>
      <c r="AB278" s="79"/>
      <c r="AC278" s="146">
        <f t="shared" si="168"/>
        <v>0</v>
      </c>
      <c r="AD278" s="91"/>
    </row>
    <row r="279" spans="1:30" ht="51" customHeight="1" x14ac:dyDescent="0.45">
      <c r="A279" s="89">
        <v>6</v>
      </c>
      <c r="B279" s="322"/>
      <c r="C279" s="79"/>
      <c r="D279" s="149" t="s">
        <v>453</v>
      </c>
      <c r="E279" s="272"/>
      <c r="F279" s="272"/>
      <c r="G279" s="272"/>
      <c r="H279" s="272"/>
      <c r="I279" s="272"/>
      <c r="J279" s="272"/>
      <c r="K279" s="269"/>
      <c r="L279" s="269"/>
      <c r="M279" s="285"/>
      <c r="N279" s="285"/>
      <c r="O279" s="145" t="s">
        <v>28</v>
      </c>
      <c r="P279" s="322"/>
      <c r="Q279" s="322"/>
      <c r="R279" s="322"/>
      <c r="S279" s="322"/>
      <c r="T279" s="322"/>
      <c r="U279" s="322"/>
      <c r="V279" s="322"/>
      <c r="W279" s="217">
        <f t="shared" si="152"/>
        <v>0</v>
      </c>
      <c r="X279" s="146">
        <f>SUMIFS('Đơn giá'!C:C,'Đơn giá'!B:B,XUẤT!O279)</f>
        <v>85000</v>
      </c>
      <c r="Y279" s="147">
        <f>Q279*X279</f>
        <v>0</v>
      </c>
      <c r="Z279" s="277"/>
      <c r="AA279" s="316"/>
      <c r="AB279" s="79"/>
      <c r="AC279" s="146">
        <f t="shared" si="168"/>
        <v>0</v>
      </c>
      <c r="AD279" s="91"/>
    </row>
    <row r="280" spans="1:30" ht="61.8" customHeight="1" x14ac:dyDescent="0.45">
      <c r="A280" s="89">
        <v>7</v>
      </c>
      <c r="B280" s="322"/>
      <c r="C280" s="79"/>
      <c r="D280" s="149" t="s">
        <v>453</v>
      </c>
      <c r="E280" s="272"/>
      <c r="F280" s="272"/>
      <c r="G280" s="272"/>
      <c r="H280" s="272"/>
      <c r="I280" s="272"/>
      <c r="J280" s="272"/>
      <c r="K280" s="269"/>
      <c r="L280" s="269"/>
      <c r="M280" s="285"/>
      <c r="N280" s="285"/>
      <c r="O280" s="145" t="s">
        <v>25</v>
      </c>
      <c r="P280" s="322"/>
      <c r="Q280" s="322"/>
      <c r="R280" s="322"/>
      <c r="S280" s="322"/>
      <c r="T280" s="322"/>
      <c r="U280" s="322"/>
      <c r="V280" s="322"/>
      <c r="W280" s="217">
        <f t="shared" si="152"/>
        <v>0</v>
      </c>
      <c r="X280" s="146">
        <f>SUMIFS('Đơn giá'!C:C,'Đơn giá'!B:B,XUẤT!O280)</f>
        <v>98000</v>
      </c>
      <c r="Y280" s="147">
        <f>P280*X280</f>
        <v>0</v>
      </c>
      <c r="Z280" s="277"/>
      <c r="AA280" s="316"/>
      <c r="AB280" s="79"/>
      <c r="AC280" s="146">
        <f t="shared" ref="AC280:AC281" si="172">AB280*5000</f>
        <v>0</v>
      </c>
      <c r="AD280" s="91"/>
    </row>
    <row r="281" spans="1:30" ht="61.8" customHeight="1" x14ac:dyDescent="0.45">
      <c r="A281" s="89"/>
      <c r="B281" s="322"/>
      <c r="C281" s="79"/>
      <c r="D281" s="149" t="s">
        <v>453</v>
      </c>
      <c r="E281" s="272"/>
      <c r="F281" s="272"/>
      <c r="G281" s="272"/>
      <c r="H281" s="272"/>
      <c r="I281" s="272"/>
      <c r="J281" s="272"/>
      <c r="K281" s="269"/>
      <c r="L281" s="269"/>
      <c r="M281" s="285"/>
      <c r="N281" s="285"/>
      <c r="O281" s="145" t="s">
        <v>36</v>
      </c>
      <c r="P281" s="322"/>
      <c r="Q281" s="322"/>
      <c r="R281" s="322"/>
      <c r="S281" s="322"/>
      <c r="T281" s="322"/>
      <c r="U281" s="322"/>
      <c r="V281" s="322"/>
      <c r="W281" s="217">
        <f t="shared" si="152"/>
        <v>0</v>
      </c>
      <c r="X281" s="146">
        <f>SUMIFS('Đơn giá'!C:C,'Đơn giá'!B:B,XUẤT!O281)</f>
        <v>52000</v>
      </c>
      <c r="Y281" s="147">
        <f>T281*X281</f>
        <v>0</v>
      </c>
      <c r="Z281" s="277"/>
      <c r="AA281" s="316"/>
      <c r="AB281" s="79"/>
      <c r="AC281" s="146">
        <f t="shared" si="172"/>
        <v>0</v>
      </c>
      <c r="AD281" s="91"/>
    </row>
    <row r="282" spans="1:30" ht="61.8" customHeight="1" x14ac:dyDescent="0.45">
      <c r="A282" s="89"/>
      <c r="B282" s="322"/>
      <c r="C282" s="79"/>
      <c r="D282" s="149" t="s">
        <v>453</v>
      </c>
      <c r="E282" s="272"/>
      <c r="F282" s="272"/>
      <c r="G282" s="272"/>
      <c r="H282" s="272"/>
      <c r="I282" s="272"/>
      <c r="J282" s="272"/>
      <c r="K282" s="269"/>
      <c r="L282" s="269"/>
      <c r="M282" s="285"/>
      <c r="N282" s="285"/>
      <c r="O282" s="145" t="s">
        <v>28</v>
      </c>
      <c r="P282" s="322"/>
      <c r="Q282" s="322"/>
      <c r="R282" s="322"/>
      <c r="S282" s="322"/>
      <c r="T282" s="322"/>
      <c r="U282" s="322"/>
      <c r="V282" s="322"/>
      <c r="W282" s="217">
        <f t="shared" si="152"/>
        <v>0</v>
      </c>
      <c r="X282" s="146">
        <f>SUMIFS('Đơn giá'!C:C,'Đơn giá'!B:B,XUẤT!O282)</f>
        <v>85000</v>
      </c>
      <c r="Y282" s="147">
        <f>Q282*X282</f>
        <v>0</v>
      </c>
      <c r="Z282" s="277"/>
      <c r="AA282" s="316"/>
      <c r="AB282" s="79"/>
      <c r="AC282" s="146">
        <f t="shared" ref="AC282:AC283" si="173">AB282*5000</f>
        <v>0</v>
      </c>
      <c r="AD282" s="91"/>
    </row>
    <row r="283" spans="1:30" ht="61.8" customHeight="1" x14ac:dyDescent="0.45">
      <c r="A283" s="89">
        <v>8</v>
      </c>
      <c r="B283" s="322"/>
      <c r="C283" s="79"/>
      <c r="D283" s="149" t="s">
        <v>453</v>
      </c>
      <c r="E283" s="272"/>
      <c r="F283" s="272"/>
      <c r="G283" s="272"/>
      <c r="H283" s="272"/>
      <c r="I283" s="272"/>
      <c r="J283" s="272"/>
      <c r="K283" s="269"/>
      <c r="L283" s="269"/>
      <c r="M283" s="285"/>
      <c r="N283" s="285"/>
      <c r="O283" s="145" t="s">
        <v>36</v>
      </c>
      <c r="P283" s="322"/>
      <c r="Q283" s="322"/>
      <c r="R283" s="322"/>
      <c r="S283" s="322"/>
      <c r="T283" s="322"/>
      <c r="U283" s="322"/>
      <c r="V283" s="322"/>
      <c r="W283" s="217">
        <f t="shared" si="152"/>
        <v>0</v>
      </c>
      <c r="X283" s="146">
        <f>SUMIFS('Đơn giá'!C:C,'Đơn giá'!B:B,XUẤT!O283)</f>
        <v>52000</v>
      </c>
      <c r="Y283" s="147">
        <f>T283*X283</f>
        <v>0</v>
      </c>
      <c r="Z283" s="277"/>
      <c r="AA283" s="316"/>
      <c r="AB283" s="79"/>
      <c r="AC283" s="146">
        <f t="shared" si="173"/>
        <v>0</v>
      </c>
      <c r="AD283" s="91"/>
    </row>
    <row r="284" spans="1:30" ht="78" customHeight="1" x14ac:dyDescent="0.45">
      <c r="A284" s="89">
        <v>8</v>
      </c>
      <c r="B284" s="322"/>
      <c r="C284" s="79"/>
      <c r="D284" s="102"/>
      <c r="E284" s="283"/>
      <c r="F284" s="283"/>
      <c r="G284" s="283"/>
      <c r="H284" s="283"/>
      <c r="I284" s="283"/>
      <c r="J284" s="269"/>
      <c r="K284" s="269"/>
      <c r="L284" s="269"/>
      <c r="M284" s="283"/>
      <c r="N284" s="283"/>
      <c r="O284" s="91"/>
      <c r="P284" s="331"/>
      <c r="Q284" s="331"/>
      <c r="R284" s="331"/>
      <c r="S284" s="331"/>
      <c r="T284" s="331"/>
      <c r="U284" s="331"/>
      <c r="V284" s="331"/>
      <c r="W284" s="217"/>
      <c r="X284" s="145"/>
      <c r="Y284" s="145"/>
      <c r="Z284" s="277"/>
      <c r="AA284" s="269"/>
      <c r="AB284" s="89"/>
      <c r="AC284" s="91"/>
      <c r="AD284" s="91"/>
    </row>
    <row r="285" spans="1:30" ht="23.4" x14ac:dyDescent="0.45">
      <c r="A285" s="89"/>
      <c r="B285" s="307"/>
      <c r="C285" s="231"/>
      <c r="D285" s="102"/>
      <c r="E285" s="283"/>
      <c r="F285" s="283"/>
      <c r="G285" s="283"/>
      <c r="H285" s="283"/>
      <c r="I285" s="283"/>
      <c r="J285" s="269"/>
      <c r="K285" s="269"/>
      <c r="L285" s="269"/>
      <c r="M285" s="283"/>
      <c r="N285" s="283"/>
      <c r="O285" s="91"/>
      <c r="P285" s="331"/>
      <c r="Q285" s="331"/>
      <c r="R285" s="331"/>
      <c r="S285" s="331"/>
      <c r="T285" s="331"/>
      <c r="U285" s="331"/>
      <c r="V285" s="331"/>
      <c r="W285" s="217"/>
      <c r="X285" s="145"/>
      <c r="Y285" s="145"/>
      <c r="Z285" s="277"/>
      <c r="AA285" s="269"/>
      <c r="AB285" s="89"/>
      <c r="AC285" s="91"/>
      <c r="AD285" s="91"/>
    </row>
    <row r="286" spans="1:30" x14ac:dyDescent="0.4">
      <c r="A286" s="89"/>
      <c r="B286" s="307"/>
      <c r="C286" s="231"/>
      <c r="D286" s="102"/>
      <c r="E286" s="283"/>
      <c r="F286" s="283"/>
      <c r="G286" s="283"/>
      <c r="H286" s="283"/>
      <c r="I286" s="283"/>
      <c r="J286" s="269"/>
      <c r="K286" s="269"/>
      <c r="L286" s="269"/>
      <c r="M286" s="283"/>
      <c r="N286" s="283"/>
      <c r="O286" s="91"/>
      <c r="P286" s="331"/>
      <c r="Q286" s="331"/>
      <c r="R286" s="331"/>
      <c r="S286" s="331"/>
      <c r="T286" s="331"/>
      <c r="U286" s="331"/>
      <c r="V286" s="331"/>
      <c r="W286" s="217"/>
      <c r="X286" s="145"/>
      <c r="Y286" s="145"/>
      <c r="Z286" s="294"/>
      <c r="AA286" s="269"/>
      <c r="AB286" s="89"/>
      <c r="AC286" s="91"/>
      <c r="AD286" s="91"/>
    </row>
    <row r="287" spans="1:30" x14ac:dyDescent="0.4">
      <c r="A287" s="89"/>
      <c r="B287" s="307"/>
      <c r="C287" s="231"/>
      <c r="D287" s="102"/>
      <c r="E287" s="283"/>
      <c r="F287" s="283"/>
      <c r="G287" s="283"/>
      <c r="H287" s="283"/>
      <c r="I287" s="283"/>
      <c r="J287" s="269"/>
      <c r="K287" s="269"/>
      <c r="L287" s="269"/>
      <c r="M287" s="283"/>
      <c r="N287" s="283"/>
      <c r="O287" s="91"/>
      <c r="P287" s="331"/>
      <c r="Q287" s="331"/>
      <c r="R287" s="331"/>
      <c r="S287" s="331"/>
      <c r="T287" s="331"/>
      <c r="U287" s="331"/>
      <c r="V287" s="331"/>
      <c r="W287" s="217"/>
      <c r="X287" s="145"/>
      <c r="Y287" s="145"/>
      <c r="Z287" s="294"/>
      <c r="AA287" s="269"/>
      <c r="AB287" s="89"/>
      <c r="AC287" s="91"/>
      <c r="AD287" s="91"/>
    </row>
    <row r="288" spans="1:30" x14ac:dyDescent="0.4">
      <c r="A288" s="89"/>
      <c r="B288" s="307"/>
      <c r="C288" s="231"/>
      <c r="D288" s="102"/>
      <c r="E288" s="283"/>
      <c r="F288" s="283"/>
      <c r="G288" s="283"/>
      <c r="H288" s="283"/>
      <c r="I288" s="283"/>
      <c r="J288" s="269"/>
      <c r="K288" s="269"/>
      <c r="L288" s="269"/>
      <c r="M288" s="283"/>
      <c r="N288" s="283"/>
      <c r="O288" s="91"/>
      <c r="P288" s="331"/>
      <c r="Q288" s="331"/>
      <c r="R288" s="331"/>
      <c r="S288" s="331"/>
      <c r="T288" s="331"/>
      <c r="U288" s="331"/>
      <c r="V288" s="331"/>
      <c r="W288" s="217"/>
      <c r="X288" s="145"/>
      <c r="Y288" s="145"/>
      <c r="Z288" s="294"/>
      <c r="AA288" s="269"/>
      <c r="AB288" s="89"/>
      <c r="AC288" s="91"/>
      <c r="AD288" s="91"/>
    </row>
    <row r="289" spans="1:30" x14ac:dyDescent="0.4">
      <c r="A289" s="89"/>
      <c r="B289" s="307"/>
      <c r="C289" s="231"/>
      <c r="D289" s="102"/>
      <c r="E289" s="283"/>
      <c r="F289" s="283"/>
      <c r="G289" s="283"/>
      <c r="H289" s="283"/>
      <c r="I289" s="283"/>
      <c r="J289" s="269"/>
      <c r="K289" s="269"/>
      <c r="L289" s="269"/>
      <c r="M289" s="283"/>
      <c r="N289" s="283"/>
      <c r="O289" s="91"/>
      <c r="P289" s="331"/>
      <c r="Q289" s="331"/>
      <c r="R289" s="331"/>
      <c r="S289" s="331"/>
      <c r="T289" s="331"/>
      <c r="U289" s="331"/>
      <c r="V289" s="331"/>
      <c r="W289" s="217"/>
      <c r="X289" s="145"/>
      <c r="Y289" s="145"/>
      <c r="Z289" s="294"/>
      <c r="AA289" s="269"/>
      <c r="AB289" s="89"/>
      <c r="AC289" s="91"/>
      <c r="AD289" s="91"/>
    </row>
    <row r="290" spans="1:30" x14ac:dyDescent="0.4">
      <c r="A290" s="89"/>
      <c r="B290" s="307"/>
      <c r="C290" s="231"/>
      <c r="D290" s="102"/>
      <c r="E290" s="283"/>
      <c r="F290" s="283"/>
      <c r="G290" s="283"/>
      <c r="H290" s="283"/>
      <c r="I290" s="283"/>
      <c r="J290" s="269"/>
      <c r="K290" s="269"/>
      <c r="L290" s="269"/>
      <c r="M290" s="283"/>
      <c r="N290" s="283"/>
      <c r="O290" s="91"/>
      <c r="P290" s="331"/>
      <c r="Q290" s="331"/>
      <c r="R290" s="331"/>
      <c r="S290" s="331"/>
      <c r="T290" s="331"/>
      <c r="U290" s="331"/>
      <c r="V290" s="331"/>
      <c r="W290" s="217"/>
      <c r="X290" s="145"/>
      <c r="Y290" s="145"/>
      <c r="Z290" s="294"/>
      <c r="AA290" s="269"/>
      <c r="AB290" s="89"/>
      <c r="AC290" s="91"/>
      <c r="AD290" s="91"/>
    </row>
    <row r="291" spans="1:30" x14ac:dyDescent="0.4">
      <c r="A291" s="89"/>
      <c r="B291" s="307"/>
      <c r="C291" s="231"/>
      <c r="D291" s="102"/>
      <c r="E291" s="283"/>
      <c r="F291" s="283"/>
      <c r="G291" s="283"/>
      <c r="H291" s="283"/>
      <c r="I291" s="283"/>
      <c r="J291" s="269"/>
      <c r="K291" s="269"/>
      <c r="L291" s="269"/>
      <c r="M291" s="283"/>
      <c r="N291" s="283"/>
      <c r="O291" s="91"/>
      <c r="P291" s="331"/>
      <c r="Q291" s="331"/>
      <c r="R291" s="331"/>
      <c r="S291" s="331"/>
      <c r="T291" s="331"/>
      <c r="U291" s="331"/>
      <c r="V291" s="331"/>
      <c r="W291" s="217"/>
      <c r="X291" s="145"/>
      <c r="Y291" s="145"/>
      <c r="Z291" s="294"/>
      <c r="AA291" s="269"/>
      <c r="AB291" s="89"/>
      <c r="AC291" s="91"/>
      <c r="AD291" s="91"/>
    </row>
    <row r="292" spans="1:30" x14ac:dyDescent="0.4">
      <c r="A292" s="89"/>
      <c r="B292" s="307"/>
      <c r="C292" s="231"/>
      <c r="D292" s="102"/>
      <c r="E292" s="283"/>
      <c r="F292" s="283"/>
      <c r="G292" s="283"/>
      <c r="H292" s="283"/>
      <c r="I292" s="283"/>
      <c r="J292" s="269"/>
      <c r="K292" s="269"/>
      <c r="L292" s="269"/>
      <c r="M292" s="283"/>
      <c r="N292" s="283"/>
      <c r="O292" s="91"/>
      <c r="P292" s="331"/>
      <c r="Q292" s="331"/>
      <c r="R292" s="331"/>
      <c r="S292" s="331"/>
      <c r="T292" s="331"/>
      <c r="U292" s="331"/>
      <c r="V292" s="331"/>
      <c r="W292" s="217"/>
      <c r="X292" s="145"/>
      <c r="Y292" s="145"/>
      <c r="Z292" s="294"/>
      <c r="AA292" s="269"/>
      <c r="AB292" s="89"/>
      <c r="AC292" s="91"/>
      <c r="AD292" s="91"/>
    </row>
    <row r="293" spans="1:30" x14ac:dyDescent="0.4">
      <c r="A293" s="89"/>
      <c r="B293" s="307"/>
      <c r="C293" s="231"/>
      <c r="D293" s="102"/>
      <c r="E293" s="283"/>
      <c r="F293" s="283"/>
      <c r="G293" s="283"/>
      <c r="H293" s="283"/>
      <c r="I293" s="283"/>
      <c r="J293" s="269"/>
      <c r="K293" s="269"/>
      <c r="L293" s="269"/>
      <c r="M293" s="283"/>
      <c r="N293" s="283"/>
      <c r="O293" s="91"/>
      <c r="P293" s="331"/>
      <c r="Q293" s="331"/>
      <c r="R293" s="331"/>
      <c r="S293" s="331"/>
      <c r="T293" s="331"/>
      <c r="U293" s="331"/>
      <c r="V293" s="331"/>
      <c r="W293" s="217"/>
      <c r="X293" s="145"/>
      <c r="Y293" s="145"/>
      <c r="Z293" s="294"/>
      <c r="AA293" s="269"/>
      <c r="AB293" s="89"/>
      <c r="AC293" s="91"/>
      <c r="AD293" s="91"/>
    </row>
    <row r="294" spans="1:30" x14ac:dyDescent="0.4">
      <c r="A294" s="89"/>
      <c r="B294" s="307"/>
      <c r="C294" s="231"/>
      <c r="D294" s="102"/>
      <c r="E294" s="283"/>
      <c r="F294" s="283"/>
      <c r="G294" s="283"/>
      <c r="H294" s="283"/>
      <c r="I294" s="283"/>
      <c r="J294" s="269"/>
      <c r="K294" s="269"/>
      <c r="L294" s="269"/>
      <c r="M294" s="283"/>
      <c r="N294" s="283"/>
      <c r="O294" s="91"/>
      <c r="P294" s="331"/>
      <c r="Q294" s="331"/>
      <c r="R294" s="331"/>
      <c r="S294" s="331"/>
      <c r="T294" s="331"/>
      <c r="U294" s="331"/>
      <c r="V294" s="331"/>
      <c r="W294" s="217"/>
      <c r="X294" s="145"/>
      <c r="Y294" s="145"/>
      <c r="Z294" s="294"/>
      <c r="AA294" s="269"/>
      <c r="AB294" s="89"/>
      <c r="AC294" s="91"/>
      <c r="AD294" s="91"/>
    </row>
    <row r="295" spans="1:30" x14ac:dyDescent="0.4">
      <c r="A295" s="89"/>
      <c r="B295" s="307"/>
      <c r="C295" s="231"/>
      <c r="D295" s="102"/>
      <c r="E295" s="283"/>
      <c r="F295" s="283"/>
      <c r="G295" s="283"/>
      <c r="H295" s="283"/>
      <c r="I295" s="283"/>
      <c r="J295" s="269"/>
      <c r="K295" s="269"/>
      <c r="L295" s="269"/>
      <c r="M295" s="283"/>
      <c r="N295" s="283"/>
      <c r="O295" s="91"/>
      <c r="P295" s="331"/>
      <c r="Q295" s="331"/>
      <c r="R295" s="331"/>
      <c r="S295" s="331"/>
      <c r="T295" s="331"/>
      <c r="U295" s="331"/>
      <c r="V295" s="331"/>
      <c r="W295" s="217"/>
      <c r="X295" s="145"/>
      <c r="Y295" s="145"/>
      <c r="Z295" s="294"/>
      <c r="AA295" s="269"/>
      <c r="AB295" s="89"/>
      <c r="AC295" s="91"/>
      <c r="AD295" s="91"/>
    </row>
  </sheetData>
  <autoFilter ref="A4:AF284" xr:uid="{00000000-0001-0000-0000-000000000000}"/>
  <mergeCells count="22">
    <mergeCell ref="A111:A112"/>
    <mergeCell ref="A239:A240"/>
    <mergeCell ref="A210:A211"/>
    <mergeCell ref="A167:A168"/>
    <mergeCell ref="A224:A225"/>
    <mergeCell ref="A236:A237"/>
    <mergeCell ref="P3:W3"/>
    <mergeCell ref="L3:L4"/>
    <mergeCell ref="A131:A133"/>
    <mergeCell ref="A107:A108"/>
    <mergeCell ref="J3:J4"/>
    <mergeCell ref="K3:K4"/>
    <mergeCell ref="A3:A4"/>
    <mergeCell ref="B3:B4"/>
    <mergeCell ref="C3:C4"/>
    <mergeCell ref="D3:D4"/>
    <mergeCell ref="E3:E4"/>
    <mergeCell ref="F3:I3"/>
    <mergeCell ref="A75:A76"/>
    <mergeCell ref="A101:A102"/>
    <mergeCell ref="A109:A110"/>
    <mergeCell ref="C29:C30"/>
  </mergeCells>
  <phoneticPr fontId="31" type="noConversion"/>
  <conditionalFormatting sqref="J18:J19">
    <cfRule type="duplicateValues" dxfId="66" priority="35"/>
  </conditionalFormatting>
  <conditionalFormatting sqref="J20">
    <cfRule type="duplicateValues" dxfId="65" priority="37"/>
  </conditionalFormatting>
  <conditionalFormatting sqref="J64">
    <cfRule type="duplicateValues" dxfId="64" priority="10"/>
  </conditionalFormatting>
  <conditionalFormatting sqref="N6">
    <cfRule type="duplicateValues" dxfId="63" priority="40"/>
  </conditionalFormatting>
  <conditionalFormatting sqref="N13">
    <cfRule type="duplicateValues" dxfId="62" priority="38"/>
  </conditionalFormatting>
  <conditionalFormatting sqref="N15">
    <cfRule type="duplicateValues" dxfId="61" priority="39"/>
  </conditionalFormatting>
  <conditionalFormatting sqref="N16">
    <cfRule type="duplicateValues" dxfId="60" priority="19"/>
  </conditionalFormatting>
  <conditionalFormatting sqref="N18">
    <cfRule type="duplicateValues" dxfId="59" priority="34"/>
  </conditionalFormatting>
  <conditionalFormatting sqref="N19">
    <cfRule type="duplicateValues" dxfId="58" priority="32"/>
  </conditionalFormatting>
  <conditionalFormatting sqref="N20">
    <cfRule type="duplicateValues" dxfId="57" priority="36"/>
  </conditionalFormatting>
  <conditionalFormatting sqref="N23">
    <cfRule type="duplicateValues" dxfId="56" priority="28"/>
  </conditionalFormatting>
  <conditionalFormatting sqref="N24">
    <cfRule type="duplicateValues" dxfId="55" priority="27"/>
  </conditionalFormatting>
  <conditionalFormatting sqref="N25">
    <cfRule type="duplicateValues" dxfId="54" priority="25"/>
  </conditionalFormatting>
  <conditionalFormatting sqref="N26">
    <cfRule type="duplicateValues" dxfId="53" priority="24"/>
  </conditionalFormatting>
  <conditionalFormatting sqref="N27">
    <cfRule type="duplicateValues" dxfId="52" priority="26"/>
  </conditionalFormatting>
  <conditionalFormatting sqref="N28:N30">
    <cfRule type="duplicateValues" dxfId="51" priority="23"/>
  </conditionalFormatting>
  <conditionalFormatting sqref="N33:N34">
    <cfRule type="duplicateValues" dxfId="50" priority="22"/>
  </conditionalFormatting>
  <conditionalFormatting sqref="N50:N51">
    <cfRule type="duplicateValues" dxfId="49" priority="18"/>
  </conditionalFormatting>
  <conditionalFormatting sqref="N52">
    <cfRule type="duplicateValues" dxfId="48" priority="12"/>
  </conditionalFormatting>
  <conditionalFormatting sqref="N53">
    <cfRule type="duplicateValues" dxfId="47" priority="13"/>
  </conditionalFormatting>
  <conditionalFormatting sqref="N57">
    <cfRule type="duplicateValues" dxfId="46" priority="15"/>
  </conditionalFormatting>
  <conditionalFormatting sqref="N64">
    <cfRule type="duplicateValues" dxfId="45" priority="9"/>
  </conditionalFormatting>
  <conditionalFormatting sqref="AA18">
    <cfRule type="duplicateValues" dxfId="44" priority="31"/>
  </conditionalFormatting>
  <conditionalFormatting sqref="AA20">
    <cfRule type="duplicateValues" dxfId="43" priority="30"/>
  </conditionalFormatting>
  <conditionalFormatting sqref="AA27">
    <cfRule type="duplicateValues" dxfId="42" priority="20"/>
  </conditionalFormatting>
  <conditionalFormatting sqref="AA34">
    <cfRule type="duplicateValues" dxfId="41" priority="21"/>
  </conditionalFormatting>
  <conditionalFormatting sqref="AA49">
    <cfRule type="duplicateValues" dxfId="40" priority="11"/>
  </conditionalFormatting>
  <conditionalFormatting sqref="AA50">
    <cfRule type="duplicateValues" dxfId="39" priority="17"/>
  </conditionalFormatting>
  <conditionalFormatting sqref="AA51">
    <cfRule type="duplicateValues" dxfId="38" priority="16"/>
  </conditionalFormatting>
  <conditionalFormatting sqref="AA56">
    <cfRule type="duplicateValues" dxfId="37" priority="14"/>
  </conditionalFormatting>
  <conditionalFormatting sqref="AA64">
    <cfRule type="duplicateValues" dxfId="36" priority="8"/>
  </conditionalFormatting>
  <conditionalFormatting sqref="AD94">
    <cfRule type="duplicateValues" dxfId="35" priority="327"/>
  </conditionalFormatting>
  <conditionalFormatting sqref="N69">
    <cfRule type="duplicateValues" dxfId="7" priority="7"/>
  </conditionalFormatting>
  <conditionalFormatting sqref="J65">
    <cfRule type="duplicateValues" dxfId="6" priority="6"/>
  </conditionalFormatting>
  <conditionalFormatting sqref="N65">
    <cfRule type="duplicateValues" dxfId="5" priority="5"/>
  </conditionalFormatting>
  <conditionalFormatting sqref="AA65">
    <cfRule type="duplicateValues" dxfId="4" priority="4"/>
  </conditionalFormatting>
  <conditionalFormatting sqref="J66">
    <cfRule type="duplicateValues" dxfId="3" priority="3"/>
  </conditionalFormatting>
  <conditionalFormatting sqref="N66">
    <cfRule type="duplicateValues" dxfId="2" priority="2"/>
  </conditionalFormatting>
  <conditionalFormatting sqref="AA66">
    <cfRule type="duplicateValues" dxfId="1" priority="1"/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4BF4A5-AD76-4A62-AD76-3FF57B79CC26}">
          <x14:formula1>
            <xm:f>'Đơn giá'!$B$4:$B$9</xm:f>
          </x14:formula1>
          <xm:sqref>O146:O176 O178:O246 O265:O283 O248:O263 O6:O144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T200"/>
  <sheetViews>
    <sheetView zoomScale="70" zoomScaleNormal="70" workbookViewId="0">
      <pane ySplit="6" topLeftCell="A13" activePane="bottomLeft" state="frozen"/>
      <selection pane="bottomLeft" activeCell="B13" sqref="B13"/>
    </sheetView>
  </sheetViews>
  <sheetFormatPr defaultColWidth="9.109375" defaultRowHeight="18" x14ac:dyDescent="0.3"/>
  <cols>
    <col min="1" max="1" width="7.6640625" style="14" customWidth="1"/>
    <col min="2" max="2" width="31.44140625" style="14" customWidth="1"/>
    <col min="3" max="3" width="26" style="17" customWidth="1"/>
    <col min="4" max="4" width="20.6640625" style="17" customWidth="1"/>
    <col min="5" max="15" width="15" style="14" customWidth="1"/>
    <col min="16" max="16" width="17.109375" style="14" customWidth="1"/>
    <col min="17" max="17" width="12.33203125" style="18" bestFit="1" customWidth="1"/>
    <col min="18" max="18" width="9.109375" style="18"/>
    <col min="19" max="19" width="43" style="14" customWidth="1"/>
    <col min="20" max="20" width="16.33203125" style="14" customWidth="1"/>
    <col min="21" max="16384" width="9.109375" style="14"/>
  </cols>
  <sheetData>
    <row r="1" spans="1:20" ht="18.75" customHeight="1" x14ac:dyDescent="0.3">
      <c r="A1" s="370" t="s">
        <v>51</v>
      </c>
      <c r="B1" s="370" t="s">
        <v>52</v>
      </c>
      <c r="C1" s="370" t="s">
        <v>53</v>
      </c>
      <c r="D1" s="370" t="s">
        <v>54</v>
      </c>
      <c r="E1" s="142" t="s">
        <v>12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19"/>
    </row>
    <row r="2" spans="1:20" x14ac:dyDescent="0.3">
      <c r="A2" s="370"/>
      <c r="B2" s="370"/>
      <c r="C2" s="370"/>
      <c r="D2" s="370"/>
      <c r="E2" s="20" t="s">
        <v>25</v>
      </c>
      <c r="F2" s="20"/>
      <c r="G2" s="20" t="s">
        <v>28</v>
      </c>
      <c r="H2" s="20"/>
      <c r="I2" s="20" t="s">
        <v>32</v>
      </c>
      <c r="J2" s="20"/>
      <c r="K2" s="20" t="s">
        <v>35</v>
      </c>
      <c r="L2" s="20"/>
      <c r="M2" s="20" t="s">
        <v>36</v>
      </c>
      <c r="N2" s="20"/>
      <c r="O2" s="20" t="s">
        <v>38</v>
      </c>
      <c r="P2" s="20"/>
      <c r="Q2" s="21"/>
    </row>
    <row r="3" spans="1:20" x14ac:dyDescent="0.3">
      <c r="A3" s="370"/>
      <c r="B3" s="370"/>
      <c r="C3" s="370"/>
      <c r="D3" s="370"/>
      <c r="E3" s="1" t="s">
        <v>7</v>
      </c>
      <c r="F3" s="1" t="s">
        <v>55</v>
      </c>
      <c r="G3" s="1" t="s">
        <v>7</v>
      </c>
      <c r="H3" s="1" t="s">
        <v>55</v>
      </c>
      <c r="I3" s="1" t="s">
        <v>7</v>
      </c>
      <c r="J3" s="1" t="s">
        <v>55</v>
      </c>
      <c r="K3" s="1" t="s">
        <v>7</v>
      </c>
      <c r="L3" s="1" t="s">
        <v>55</v>
      </c>
      <c r="M3" s="1" t="s">
        <v>7</v>
      </c>
      <c r="N3" s="1" t="s">
        <v>55</v>
      </c>
      <c r="O3" s="1" t="s">
        <v>7</v>
      </c>
      <c r="P3" s="1" t="s">
        <v>55</v>
      </c>
      <c r="Q3" s="155" t="s">
        <v>30</v>
      </c>
    </row>
    <row r="4" spans="1:20" s="27" customFormat="1" ht="17.399999999999999" x14ac:dyDescent="0.3">
      <c r="A4" s="156"/>
      <c r="B4" s="156" t="s">
        <v>22</v>
      </c>
      <c r="C4" s="157"/>
      <c r="D4" s="157"/>
      <c r="E4" s="158">
        <f>SUM(E7:E200)</f>
        <v>173</v>
      </c>
      <c r="F4" s="158">
        <f t="shared" ref="F4:P4" si="0">SUM(F7:F200)</f>
        <v>16954000</v>
      </c>
      <c r="G4" s="158">
        <f t="shared" si="0"/>
        <v>32</v>
      </c>
      <c r="H4" s="158">
        <f t="shared" si="0"/>
        <v>2720000</v>
      </c>
      <c r="I4" s="158">
        <f t="shared" si="0"/>
        <v>0</v>
      </c>
      <c r="J4" s="158">
        <f t="shared" si="0"/>
        <v>0</v>
      </c>
      <c r="K4" s="158">
        <f t="shared" si="0"/>
        <v>0</v>
      </c>
      <c r="L4" s="158">
        <f t="shared" si="0"/>
        <v>0</v>
      </c>
      <c r="M4" s="158">
        <f t="shared" si="0"/>
        <v>7</v>
      </c>
      <c r="N4" s="158">
        <f t="shared" si="0"/>
        <v>364000</v>
      </c>
      <c r="O4" s="158">
        <f t="shared" si="0"/>
        <v>84</v>
      </c>
      <c r="P4" s="158">
        <f t="shared" si="0"/>
        <v>4032000</v>
      </c>
      <c r="Q4" s="25"/>
      <c r="R4" s="25"/>
    </row>
    <row r="5" spans="1:20" s="27" customFormat="1" ht="17.399999999999999" x14ac:dyDescent="0.3">
      <c r="A5" s="156"/>
      <c r="B5" s="156" t="s">
        <v>412</v>
      </c>
      <c r="C5" s="157"/>
      <c r="D5" s="157"/>
      <c r="E5" s="158">
        <f>SUMIFS(XUẤT!P:P,XUẤT!$M:$M,CBCNV!$Q$3)-E4</f>
        <v>10</v>
      </c>
      <c r="F5" s="158"/>
      <c r="G5" s="158">
        <f>SUMIFS(XUẤT!Q:Q,XUẤT!M:M,CBCNV!$Q$3)-CBCNV!G4</f>
        <v>0</v>
      </c>
      <c r="H5" s="158"/>
      <c r="I5" s="158">
        <f>SUMIFS(XUẤT!R:R,XUẤT!$M:$M,CBCNV!$Q$3)-CBCNV!I4</f>
        <v>0</v>
      </c>
      <c r="J5" s="158"/>
      <c r="K5" s="158">
        <f>SUMIFS(XUẤT!S:S,XUẤT!M:M,CBCNV!$Q$3)-CBCNV!K4</f>
        <v>0</v>
      </c>
      <c r="L5" s="158"/>
      <c r="M5" s="158">
        <f>SUMIFS(XUẤT!T:T,XUẤT!M:M,CBCNV!$Q$3)-CBCNV!M4</f>
        <v>0</v>
      </c>
      <c r="N5" s="158"/>
      <c r="O5" s="158">
        <f>SUMIFS(XUẤT!U:U,XUẤT!M:M,CBCNV!$Q$3)-CBCNV!O4</f>
        <v>5</v>
      </c>
      <c r="P5" s="158"/>
      <c r="Q5" s="25"/>
      <c r="R5" s="25"/>
    </row>
    <row r="6" spans="1:20" s="27" customFormat="1" ht="17.399999999999999" x14ac:dyDescent="0.3">
      <c r="A6" s="22"/>
      <c r="B6" s="22"/>
      <c r="C6" s="23"/>
      <c r="D6" s="23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5"/>
      <c r="R6" s="26"/>
    </row>
    <row r="7" spans="1:20" s="132" customFormat="1" x14ac:dyDescent="0.3">
      <c r="A7" s="128">
        <v>1</v>
      </c>
      <c r="B7" s="28" t="s">
        <v>56</v>
      </c>
      <c r="C7" s="129" t="s">
        <v>57</v>
      </c>
      <c r="D7" s="129" t="s">
        <v>58</v>
      </c>
      <c r="E7" s="130">
        <f>SUMIFS(XUẤT!P:P,XUẤT!N:N,CBCNV!B7,XUẤT!O:O,CBCNV!$E$2)</f>
        <v>0</v>
      </c>
      <c r="F7" s="131">
        <f t="shared" ref="F7:F38" si="1">E7*$T$10</f>
        <v>0</v>
      </c>
      <c r="G7" s="130">
        <f>SUMIFS(XUẤT!Q:Q,XUẤT!N:N,CBCNV!B7,XUẤT!O:O,CBCNV!$G$2)</f>
        <v>0</v>
      </c>
      <c r="H7" s="130">
        <f t="shared" ref="H7:H38" si="2">G7*$T$8</f>
        <v>0</v>
      </c>
      <c r="I7" s="130">
        <f>SUMIFS(XUẤT!R:R,XUẤT!N:N,CBCNV!B7,XUẤT!O:O,CBCNV!$I$2)</f>
        <v>0</v>
      </c>
      <c r="J7" s="131">
        <f t="shared" ref="J7:J38" si="3">I7*$T$9</f>
        <v>0</v>
      </c>
      <c r="K7" s="130">
        <f>SUMIFS(XUẤT!S:S,XUẤT!N:N,CBCNV!B7,XUẤT!O:O,CBCNV!$K$2)</f>
        <v>0</v>
      </c>
      <c r="L7" s="131">
        <f t="shared" ref="L7:L38" si="4">K7*$T$11</f>
        <v>0</v>
      </c>
      <c r="M7" s="130">
        <f>SUMIFS(XUẤT!T:T,XUẤT!N:N,CBCNV!B7,XUẤT!O:O,CBCNV!$M$2)</f>
        <v>0</v>
      </c>
      <c r="N7" s="131">
        <f t="shared" ref="N7:N38" si="5">M7*$T$12</f>
        <v>0</v>
      </c>
      <c r="O7" s="130">
        <f>SUMIFS(XUẤT!U:U,XUẤT!N:N,CBCNV!B7,XUẤT!O:O,CBCNV!$O$2)</f>
        <v>0</v>
      </c>
      <c r="P7" s="131">
        <f t="shared" ref="P7:P38" si="6">O7*$T$13</f>
        <v>0</v>
      </c>
      <c r="Q7" s="29"/>
      <c r="R7" s="30" t="s">
        <v>3</v>
      </c>
      <c r="S7" s="4" t="s">
        <v>19</v>
      </c>
      <c r="T7" s="4" t="s">
        <v>20</v>
      </c>
    </row>
    <row r="8" spans="1:20" s="136" customFormat="1" x14ac:dyDescent="0.3">
      <c r="A8" s="133">
        <v>2</v>
      </c>
      <c r="B8" s="10" t="s">
        <v>59</v>
      </c>
      <c r="C8" s="133" t="s">
        <v>60</v>
      </c>
      <c r="D8" s="133" t="s">
        <v>58</v>
      </c>
      <c r="E8" s="130">
        <f>SUMIFS(XUẤT!P:P,XUẤT!N:N,CBCNV!B8,XUẤT!O:O,CBCNV!$E$2)</f>
        <v>0</v>
      </c>
      <c r="F8" s="135">
        <f t="shared" si="1"/>
        <v>0</v>
      </c>
      <c r="G8" s="130">
        <f>SUMIFS(XUẤT!Q:Q,XUẤT!N:N,CBCNV!B8,XUẤT!O:O,CBCNV!$G$2)</f>
        <v>0</v>
      </c>
      <c r="H8" s="134">
        <f t="shared" si="2"/>
        <v>0</v>
      </c>
      <c r="I8" s="130">
        <f>SUMIFS(XUẤT!R:R,XUẤT!N:N,CBCNV!B8,XUẤT!O:O,CBCNV!$I$2)</f>
        <v>0</v>
      </c>
      <c r="J8" s="135">
        <f t="shared" si="3"/>
        <v>0</v>
      </c>
      <c r="K8" s="130">
        <f>SUMIFS(XUẤT!S:S,XUẤT!N:N,CBCNV!B8,XUẤT!O:O,CBCNV!$K$2)</f>
        <v>0</v>
      </c>
      <c r="L8" s="135">
        <f t="shared" si="4"/>
        <v>0</v>
      </c>
      <c r="M8" s="130">
        <f>SUMIFS(XUẤT!T:T,XUẤT!N:N,CBCNV!B8,XUẤT!O:O,CBCNV!$M$2)</f>
        <v>0</v>
      </c>
      <c r="N8" s="135">
        <f t="shared" si="5"/>
        <v>0</v>
      </c>
      <c r="O8" s="130">
        <f>SUMIFS(XUẤT!U:U,XUẤT!N:N,CBCNV!B8,XUẤT!O:O,CBCNV!$O$2)</f>
        <v>0</v>
      </c>
      <c r="P8" s="135">
        <f t="shared" si="6"/>
        <v>0</v>
      </c>
      <c r="Q8" s="29"/>
      <c r="R8" s="31">
        <v>1</v>
      </c>
      <c r="S8" s="5" t="s">
        <v>28</v>
      </c>
      <c r="T8" s="6">
        <v>85000</v>
      </c>
    </row>
    <row r="9" spans="1:20" s="136" customFormat="1" x14ac:dyDescent="0.3">
      <c r="A9" s="133">
        <v>3</v>
      </c>
      <c r="B9" s="10" t="s">
        <v>61</v>
      </c>
      <c r="C9" s="133" t="s">
        <v>62</v>
      </c>
      <c r="D9" s="133" t="s">
        <v>58</v>
      </c>
      <c r="E9" s="130">
        <f>SUMIFS(XUẤT!P:P,XUẤT!N:N,CBCNV!B9,XUẤT!O:O,CBCNV!$E$2)</f>
        <v>0</v>
      </c>
      <c r="F9" s="135">
        <f t="shared" si="1"/>
        <v>0</v>
      </c>
      <c r="G9" s="130">
        <f>SUMIFS(XUẤT!Q:Q,XUẤT!N:N,CBCNV!B9,XUẤT!O:O,CBCNV!$G$2)</f>
        <v>0</v>
      </c>
      <c r="H9" s="134">
        <f t="shared" si="2"/>
        <v>0</v>
      </c>
      <c r="I9" s="130">
        <f>SUMIFS(XUẤT!R:R,XUẤT!N:N,CBCNV!B9,XUẤT!O:O,CBCNV!$I$2)</f>
        <v>0</v>
      </c>
      <c r="J9" s="135">
        <f t="shared" si="3"/>
        <v>0</v>
      </c>
      <c r="K9" s="130">
        <f>SUMIFS(XUẤT!S:S,XUẤT!N:N,CBCNV!B9,XUẤT!O:O,CBCNV!$K$2)</f>
        <v>0</v>
      </c>
      <c r="L9" s="135">
        <f t="shared" si="4"/>
        <v>0</v>
      </c>
      <c r="M9" s="130">
        <f>SUMIFS(XUẤT!T:T,XUẤT!N:N,CBCNV!B9,XUẤT!O:O,CBCNV!$M$2)</f>
        <v>0</v>
      </c>
      <c r="N9" s="135">
        <f t="shared" si="5"/>
        <v>0</v>
      </c>
      <c r="O9" s="130">
        <f>SUMIFS(XUẤT!U:U,XUẤT!N:N,CBCNV!B9,XUẤT!O:O,CBCNV!$O$2)</f>
        <v>0</v>
      </c>
      <c r="P9" s="135">
        <f t="shared" si="6"/>
        <v>0</v>
      </c>
      <c r="Q9" s="29"/>
      <c r="R9" s="31">
        <v>2</v>
      </c>
      <c r="S9" s="5" t="s">
        <v>32</v>
      </c>
      <c r="T9" s="6">
        <v>93000</v>
      </c>
    </row>
    <row r="10" spans="1:20" s="136" customFormat="1" x14ac:dyDescent="0.3">
      <c r="A10" s="133">
        <v>4</v>
      </c>
      <c r="B10" s="10" t="s">
        <v>63</v>
      </c>
      <c r="C10" s="133" t="s">
        <v>62</v>
      </c>
      <c r="D10" s="133" t="s">
        <v>58</v>
      </c>
      <c r="E10" s="130">
        <f>SUMIFS(XUẤT!P:P,XUẤT!N:N,CBCNV!B10,XUẤT!O:O,CBCNV!$E$2)</f>
        <v>0</v>
      </c>
      <c r="F10" s="135">
        <f t="shared" si="1"/>
        <v>0</v>
      </c>
      <c r="G10" s="130">
        <f>SUMIFS(XUẤT!Q:Q,XUẤT!N:N,CBCNV!B10,XUẤT!O:O,CBCNV!$G$2)</f>
        <v>0</v>
      </c>
      <c r="H10" s="134">
        <f t="shared" si="2"/>
        <v>0</v>
      </c>
      <c r="I10" s="130">
        <f>SUMIFS(XUẤT!R:R,XUẤT!N:N,CBCNV!B10,XUẤT!O:O,CBCNV!$I$2)</f>
        <v>0</v>
      </c>
      <c r="J10" s="135">
        <f t="shared" si="3"/>
        <v>0</v>
      </c>
      <c r="K10" s="130">
        <f>SUMIFS(XUẤT!S:S,XUẤT!N:N,CBCNV!B10,XUẤT!O:O,CBCNV!$K$2)</f>
        <v>0</v>
      </c>
      <c r="L10" s="135">
        <f t="shared" si="4"/>
        <v>0</v>
      </c>
      <c r="M10" s="130">
        <f>SUMIFS(XUẤT!T:T,XUẤT!N:N,CBCNV!B10,XUẤT!O:O,CBCNV!$M$2)</f>
        <v>0</v>
      </c>
      <c r="N10" s="135">
        <f t="shared" si="5"/>
        <v>0</v>
      </c>
      <c r="O10" s="130">
        <f>SUMIFS(XUẤT!U:U,XUẤT!N:N,CBCNV!B10,XUẤT!O:O,CBCNV!$O$2)</f>
        <v>0</v>
      </c>
      <c r="P10" s="135">
        <f t="shared" si="6"/>
        <v>0</v>
      </c>
      <c r="Q10" s="29"/>
      <c r="R10" s="31">
        <v>3</v>
      </c>
      <c r="S10" s="5" t="s">
        <v>25</v>
      </c>
      <c r="T10" s="6">
        <v>98000</v>
      </c>
    </row>
    <row r="11" spans="1:20" s="136" customFormat="1" x14ac:dyDescent="0.3">
      <c r="A11" s="133">
        <v>5</v>
      </c>
      <c r="B11" s="10" t="s">
        <v>64</v>
      </c>
      <c r="C11" s="133" t="s">
        <v>65</v>
      </c>
      <c r="D11" s="133" t="s">
        <v>58</v>
      </c>
      <c r="E11" s="130">
        <f>SUMIFS(XUẤT!P:P,XUẤT!N:N,CBCNV!B11,XUẤT!O:O,CBCNV!$E$2)</f>
        <v>0</v>
      </c>
      <c r="F11" s="135">
        <f t="shared" si="1"/>
        <v>0</v>
      </c>
      <c r="G11" s="130">
        <f>SUMIFS(XUẤT!Q:Q,XUẤT!N:N,CBCNV!B11,XUẤT!O:O,CBCNV!$G$2)</f>
        <v>5</v>
      </c>
      <c r="H11" s="134">
        <f t="shared" si="2"/>
        <v>425000</v>
      </c>
      <c r="I11" s="130">
        <f>SUMIFS(XUẤT!R:R,XUẤT!N:N,CBCNV!B11,XUẤT!O:O,CBCNV!$I$2)</f>
        <v>0</v>
      </c>
      <c r="J11" s="135">
        <f t="shared" si="3"/>
        <v>0</v>
      </c>
      <c r="K11" s="130">
        <f>SUMIFS(XUẤT!S:S,XUẤT!N:N,CBCNV!B11,XUẤT!O:O,CBCNV!$K$2)</f>
        <v>0</v>
      </c>
      <c r="L11" s="135">
        <f t="shared" si="4"/>
        <v>0</v>
      </c>
      <c r="M11" s="130">
        <f>SUMIFS(XUẤT!T:T,XUẤT!N:N,CBCNV!B11,XUẤT!O:O,CBCNV!$M$2)</f>
        <v>0</v>
      </c>
      <c r="N11" s="135">
        <f t="shared" si="5"/>
        <v>0</v>
      </c>
      <c r="O11" s="130">
        <f>SUMIFS(XUẤT!U:U,XUẤT!N:N,CBCNV!B11,XUẤT!O:O,CBCNV!$O$2)</f>
        <v>0</v>
      </c>
      <c r="P11" s="135">
        <f t="shared" si="6"/>
        <v>0</v>
      </c>
      <c r="Q11" s="29"/>
      <c r="R11" s="31">
        <v>4</v>
      </c>
      <c r="S11" s="5" t="s">
        <v>35</v>
      </c>
      <c r="T11" s="6">
        <v>106000</v>
      </c>
    </row>
    <row r="12" spans="1:20" s="136" customFormat="1" x14ac:dyDescent="0.3">
      <c r="A12" s="133">
        <v>6</v>
      </c>
      <c r="B12" s="10" t="s">
        <v>66</v>
      </c>
      <c r="C12" s="133" t="s">
        <v>67</v>
      </c>
      <c r="D12" s="133" t="s">
        <v>58</v>
      </c>
      <c r="E12" s="130">
        <f>SUMIFS(XUẤT!P:P,XUẤT!N:N,CBCNV!B12,XUẤT!O:O,CBCNV!$E$2)</f>
        <v>0</v>
      </c>
      <c r="F12" s="135">
        <f t="shared" si="1"/>
        <v>0</v>
      </c>
      <c r="G12" s="130">
        <f>SUMIFS(XUẤT!Q:Q,XUẤT!N:N,CBCNV!B12,XUẤT!O:O,CBCNV!$G$2)</f>
        <v>0</v>
      </c>
      <c r="H12" s="134">
        <f t="shared" si="2"/>
        <v>0</v>
      </c>
      <c r="I12" s="130">
        <f>SUMIFS(XUẤT!R:R,XUẤT!N:N,CBCNV!B12,XUẤT!O:O,CBCNV!$I$2)</f>
        <v>0</v>
      </c>
      <c r="J12" s="135">
        <f t="shared" si="3"/>
        <v>0</v>
      </c>
      <c r="K12" s="130">
        <f>SUMIFS(XUẤT!S:S,XUẤT!N:N,CBCNV!B12,XUẤT!O:O,CBCNV!$K$2)</f>
        <v>0</v>
      </c>
      <c r="L12" s="135">
        <f t="shared" si="4"/>
        <v>0</v>
      </c>
      <c r="M12" s="130">
        <f>SUMIFS(XUẤT!T:T,XUẤT!N:N,CBCNV!B12,XUẤT!O:O,CBCNV!$M$2)</f>
        <v>0</v>
      </c>
      <c r="N12" s="135">
        <f t="shared" si="5"/>
        <v>0</v>
      </c>
      <c r="O12" s="130">
        <f>SUMIFS(XUẤT!U:U,XUẤT!N:N,CBCNV!B12,XUẤT!O:O,CBCNV!$O$2)</f>
        <v>0</v>
      </c>
      <c r="P12" s="135">
        <f t="shared" si="6"/>
        <v>0</v>
      </c>
      <c r="Q12" s="29"/>
      <c r="R12" s="31">
        <v>5</v>
      </c>
      <c r="S12" s="5" t="s">
        <v>36</v>
      </c>
      <c r="T12" s="6">
        <v>52000</v>
      </c>
    </row>
    <row r="13" spans="1:20" s="136" customFormat="1" x14ac:dyDescent="0.3">
      <c r="A13" s="133">
        <v>7</v>
      </c>
      <c r="B13" s="10" t="s">
        <v>68</v>
      </c>
      <c r="C13" s="133" t="s">
        <v>67</v>
      </c>
      <c r="D13" s="133" t="s">
        <v>58</v>
      </c>
      <c r="E13" s="130">
        <f>SUMIFS(XUẤT!P:P,XUẤT!N:N,CBCNV!B13,XUẤT!O:O,CBCNV!$E$2)</f>
        <v>0</v>
      </c>
      <c r="F13" s="135">
        <f t="shared" si="1"/>
        <v>0</v>
      </c>
      <c r="G13" s="130">
        <f>SUMIFS(XUẤT!Q:Q,XUẤT!N:N,CBCNV!B13,XUẤT!O:O,CBCNV!$G$2)</f>
        <v>0</v>
      </c>
      <c r="H13" s="134">
        <f t="shared" si="2"/>
        <v>0</v>
      </c>
      <c r="I13" s="130">
        <f>SUMIFS(XUẤT!R:R,XUẤT!N:N,CBCNV!B13,XUẤT!O:O,CBCNV!$I$2)</f>
        <v>0</v>
      </c>
      <c r="J13" s="135">
        <f t="shared" si="3"/>
        <v>0</v>
      </c>
      <c r="K13" s="130">
        <f>SUMIFS(XUẤT!S:S,XUẤT!N:N,CBCNV!B13,XUẤT!O:O,CBCNV!$K$2)</f>
        <v>0</v>
      </c>
      <c r="L13" s="135">
        <f t="shared" si="4"/>
        <v>0</v>
      </c>
      <c r="M13" s="130">
        <f>SUMIFS(XUẤT!T:T,XUẤT!N:N,CBCNV!B13,XUẤT!O:O,CBCNV!$M$2)</f>
        <v>0</v>
      </c>
      <c r="N13" s="135">
        <f t="shared" si="5"/>
        <v>0</v>
      </c>
      <c r="O13" s="130">
        <f>SUMIFS(XUẤT!U:U,XUẤT!N:N,CBCNV!B13,XUẤT!O:O,CBCNV!$O$2)</f>
        <v>0</v>
      </c>
      <c r="P13" s="135">
        <f t="shared" si="6"/>
        <v>0</v>
      </c>
      <c r="Q13" s="29"/>
      <c r="R13" s="31">
        <v>6</v>
      </c>
      <c r="S13" s="5" t="s">
        <v>38</v>
      </c>
      <c r="T13" s="6">
        <v>48000</v>
      </c>
    </row>
    <row r="14" spans="1:20" s="136" customFormat="1" x14ac:dyDescent="0.3">
      <c r="A14" s="133">
        <v>8</v>
      </c>
      <c r="B14" s="10" t="s">
        <v>69</v>
      </c>
      <c r="C14" s="133" t="s">
        <v>67</v>
      </c>
      <c r="D14" s="133" t="s">
        <v>58</v>
      </c>
      <c r="E14" s="130">
        <f>SUMIFS(XUẤT!P:P,XUẤT!N:N,CBCNV!B14,XUẤT!O:O,CBCNV!$E$2)</f>
        <v>0</v>
      </c>
      <c r="F14" s="135">
        <f t="shared" si="1"/>
        <v>0</v>
      </c>
      <c r="G14" s="130">
        <f>SUMIFS(XUẤT!Q:Q,XUẤT!N:N,CBCNV!B14,XUẤT!O:O,CBCNV!$G$2)</f>
        <v>3</v>
      </c>
      <c r="H14" s="134">
        <f t="shared" si="2"/>
        <v>255000</v>
      </c>
      <c r="I14" s="130">
        <f>SUMIFS(XUẤT!R:R,XUẤT!N:N,CBCNV!B14,XUẤT!O:O,CBCNV!$I$2)</f>
        <v>0</v>
      </c>
      <c r="J14" s="135">
        <f t="shared" si="3"/>
        <v>0</v>
      </c>
      <c r="K14" s="130">
        <f>SUMIFS(XUẤT!S:S,XUẤT!N:N,CBCNV!B14,XUẤT!O:O,CBCNV!$K$2)</f>
        <v>0</v>
      </c>
      <c r="L14" s="135">
        <f t="shared" si="4"/>
        <v>0</v>
      </c>
      <c r="M14" s="130">
        <f>SUMIFS(XUẤT!T:T,XUẤT!N:N,CBCNV!B14,XUẤT!O:O,CBCNV!$M$2)</f>
        <v>0</v>
      </c>
      <c r="N14" s="135">
        <f t="shared" si="5"/>
        <v>0</v>
      </c>
      <c r="O14" s="130">
        <f>SUMIFS(XUẤT!U:U,XUẤT!N:N,CBCNV!B14,XUẤT!O:O,CBCNV!$O$2)</f>
        <v>0</v>
      </c>
      <c r="P14" s="135">
        <f t="shared" si="6"/>
        <v>0</v>
      </c>
      <c r="Q14" s="32"/>
      <c r="R14" s="18"/>
    </row>
    <row r="15" spans="1:20" s="136" customFormat="1" x14ac:dyDescent="0.3">
      <c r="A15" s="133">
        <v>9</v>
      </c>
      <c r="B15" s="10" t="s">
        <v>70</v>
      </c>
      <c r="C15" s="133" t="s">
        <v>67</v>
      </c>
      <c r="D15" s="133" t="s">
        <v>58</v>
      </c>
      <c r="E15" s="130">
        <f>SUMIFS(XUẤT!P:P,XUẤT!N:N,CBCNV!B15,XUẤT!O:O,CBCNV!$E$2)</f>
        <v>0</v>
      </c>
      <c r="F15" s="135">
        <f t="shared" si="1"/>
        <v>0</v>
      </c>
      <c r="G15" s="130">
        <f>SUMIFS(XUẤT!Q:Q,XUẤT!N:N,CBCNV!B15,XUẤT!O:O,CBCNV!$G$2)</f>
        <v>0</v>
      </c>
      <c r="H15" s="134">
        <f t="shared" si="2"/>
        <v>0</v>
      </c>
      <c r="I15" s="130">
        <f>SUMIFS(XUẤT!R:R,XUẤT!N:N,CBCNV!B15,XUẤT!O:O,CBCNV!$I$2)</f>
        <v>0</v>
      </c>
      <c r="J15" s="135">
        <f t="shared" si="3"/>
        <v>0</v>
      </c>
      <c r="K15" s="130">
        <f>SUMIFS(XUẤT!S:S,XUẤT!N:N,CBCNV!B15,XUẤT!O:O,CBCNV!$K$2)</f>
        <v>0</v>
      </c>
      <c r="L15" s="135">
        <f t="shared" si="4"/>
        <v>0</v>
      </c>
      <c r="M15" s="130">
        <f>SUMIFS(XUẤT!T:T,XUẤT!N:N,CBCNV!B15,XUẤT!O:O,CBCNV!$M$2)</f>
        <v>0</v>
      </c>
      <c r="N15" s="135">
        <f t="shared" si="5"/>
        <v>0</v>
      </c>
      <c r="O15" s="130">
        <f>SUMIFS(XUẤT!U:U,XUẤT!N:N,CBCNV!B15,XUẤT!O:O,CBCNV!$O$2)</f>
        <v>0</v>
      </c>
      <c r="P15" s="135">
        <f t="shared" si="6"/>
        <v>0</v>
      </c>
      <c r="Q15" s="32"/>
      <c r="R15" s="18"/>
    </row>
    <row r="16" spans="1:20" s="136" customFormat="1" x14ac:dyDescent="0.3">
      <c r="A16" s="133">
        <v>10</v>
      </c>
      <c r="B16" s="10" t="s">
        <v>71</v>
      </c>
      <c r="C16" s="133" t="s">
        <v>67</v>
      </c>
      <c r="D16" s="133" t="s">
        <v>58</v>
      </c>
      <c r="E16" s="130">
        <f>SUMIFS(XUẤT!P:P,XUẤT!N:N,CBCNV!B16,XUẤT!O:O,CBCNV!$E$2)</f>
        <v>3</v>
      </c>
      <c r="F16" s="135">
        <f t="shared" si="1"/>
        <v>294000</v>
      </c>
      <c r="G16" s="130">
        <f>SUMIFS(XUẤT!Q:Q,XUẤT!N:N,CBCNV!B16,XUẤT!O:O,CBCNV!$G$2)</f>
        <v>12</v>
      </c>
      <c r="H16" s="134">
        <f t="shared" si="2"/>
        <v>1020000</v>
      </c>
      <c r="I16" s="130">
        <f>SUMIFS(XUẤT!R:R,XUẤT!N:N,CBCNV!B16,XUẤT!O:O,CBCNV!$I$2)</f>
        <v>0</v>
      </c>
      <c r="J16" s="135">
        <f t="shared" si="3"/>
        <v>0</v>
      </c>
      <c r="K16" s="130">
        <f>SUMIFS(XUẤT!S:S,XUẤT!N:N,CBCNV!B16,XUẤT!O:O,CBCNV!$K$2)</f>
        <v>0</v>
      </c>
      <c r="L16" s="135">
        <f t="shared" si="4"/>
        <v>0</v>
      </c>
      <c r="M16" s="130">
        <f>SUMIFS(XUẤT!T:T,XUẤT!N:N,CBCNV!B16,XUẤT!O:O,CBCNV!$M$2)</f>
        <v>0</v>
      </c>
      <c r="N16" s="135">
        <f t="shared" si="5"/>
        <v>0</v>
      </c>
      <c r="O16" s="130">
        <f>SUMIFS(XUẤT!U:U,XUẤT!N:N,CBCNV!B16,XUẤT!O:O,CBCNV!$O$2)</f>
        <v>16</v>
      </c>
      <c r="P16" s="135">
        <f t="shared" si="6"/>
        <v>768000</v>
      </c>
      <c r="Q16" s="32"/>
      <c r="R16" s="18"/>
    </row>
    <row r="17" spans="1:20" s="136" customFormat="1" x14ac:dyDescent="0.3">
      <c r="A17" s="133">
        <v>11</v>
      </c>
      <c r="B17" s="10" t="s">
        <v>72</v>
      </c>
      <c r="C17" s="133" t="s">
        <v>67</v>
      </c>
      <c r="D17" s="133" t="s">
        <v>58</v>
      </c>
      <c r="E17" s="130">
        <f>SUMIFS(XUẤT!P:P,XUẤT!N:N,CBCNV!B17,XUẤT!O:O,CBCNV!$E$2)</f>
        <v>0</v>
      </c>
      <c r="F17" s="135">
        <f t="shared" si="1"/>
        <v>0</v>
      </c>
      <c r="G17" s="130">
        <f>SUMIFS(XUẤT!Q:Q,XUẤT!N:N,CBCNV!B17,XUẤT!O:O,CBCNV!$G$2)</f>
        <v>0</v>
      </c>
      <c r="H17" s="134">
        <f t="shared" si="2"/>
        <v>0</v>
      </c>
      <c r="I17" s="130">
        <f>SUMIFS(XUẤT!R:R,XUẤT!N:N,CBCNV!B17,XUẤT!O:O,CBCNV!$I$2)</f>
        <v>0</v>
      </c>
      <c r="J17" s="135">
        <f t="shared" si="3"/>
        <v>0</v>
      </c>
      <c r="K17" s="130">
        <f>SUMIFS(XUẤT!S:S,XUẤT!N:N,CBCNV!B17,XUẤT!O:O,CBCNV!$K$2)</f>
        <v>0</v>
      </c>
      <c r="L17" s="135">
        <f t="shared" si="4"/>
        <v>0</v>
      </c>
      <c r="M17" s="130">
        <f>SUMIFS(XUẤT!T:T,XUẤT!N:N,CBCNV!B17,XUẤT!O:O,CBCNV!$M$2)</f>
        <v>0</v>
      </c>
      <c r="N17" s="135">
        <f t="shared" si="5"/>
        <v>0</v>
      </c>
      <c r="O17" s="130">
        <f>SUMIFS(XUẤT!U:U,XUẤT!N:N,CBCNV!B17,XUẤT!O:O,CBCNV!$O$2)</f>
        <v>0</v>
      </c>
      <c r="P17" s="135">
        <f t="shared" si="6"/>
        <v>0</v>
      </c>
      <c r="Q17" s="32"/>
      <c r="R17" s="18"/>
    </row>
    <row r="18" spans="1:20" s="136" customFormat="1" x14ac:dyDescent="0.3">
      <c r="A18" s="133">
        <v>12</v>
      </c>
      <c r="B18" s="10" t="s">
        <v>73</v>
      </c>
      <c r="C18" s="133" t="s">
        <v>67</v>
      </c>
      <c r="D18" s="133" t="s">
        <v>58</v>
      </c>
      <c r="E18" s="130">
        <f>SUMIFS(XUẤT!P:P,XUẤT!N:N,CBCNV!B18,XUẤT!O:O,CBCNV!$E$2)</f>
        <v>0</v>
      </c>
      <c r="F18" s="135">
        <f t="shared" si="1"/>
        <v>0</v>
      </c>
      <c r="G18" s="130">
        <f>SUMIFS(XUẤT!Q:Q,XUẤT!N:N,CBCNV!B18,XUẤT!O:O,CBCNV!$G$2)</f>
        <v>0</v>
      </c>
      <c r="H18" s="134">
        <f t="shared" si="2"/>
        <v>0</v>
      </c>
      <c r="I18" s="130">
        <f>SUMIFS(XUẤT!R:R,XUẤT!N:N,CBCNV!B18,XUẤT!O:O,CBCNV!$I$2)</f>
        <v>0</v>
      </c>
      <c r="J18" s="135">
        <f t="shared" si="3"/>
        <v>0</v>
      </c>
      <c r="K18" s="130">
        <f>SUMIFS(XUẤT!S:S,XUẤT!N:N,CBCNV!B18,XUẤT!O:O,CBCNV!$K$2)</f>
        <v>0</v>
      </c>
      <c r="L18" s="135">
        <f t="shared" si="4"/>
        <v>0</v>
      </c>
      <c r="M18" s="130">
        <f>SUMIFS(XUẤT!T:T,XUẤT!N:N,CBCNV!B18,XUẤT!O:O,CBCNV!$M$2)</f>
        <v>0</v>
      </c>
      <c r="N18" s="135">
        <f t="shared" si="5"/>
        <v>0</v>
      </c>
      <c r="O18" s="130">
        <f>SUMIFS(XUẤT!U:U,XUẤT!N:N,CBCNV!B18,XUẤT!O:O,CBCNV!$O$2)</f>
        <v>0</v>
      </c>
      <c r="P18" s="135">
        <f t="shared" si="6"/>
        <v>0</v>
      </c>
      <c r="Q18" s="32"/>
      <c r="R18" s="18"/>
    </row>
    <row r="19" spans="1:20" s="136" customFormat="1" x14ac:dyDescent="0.3">
      <c r="A19" s="133">
        <v>13</v>
      </c>
      <c r="B19" s="10" t="s">
        <v>74</v>
      </c>
      <c r="C19" s="133" t="s">
        <v>67</v>
      </c>
      <c r="D19" s="133" t="s">
        <v>58</v>
      </c>
      <c r="E19" s="130">
        <f>SUMIFS(XUẤT!P:P,XUẤT!N:N,CBCNV!B19,XUẤT!O:O,CBCNV!$E$2)</f>
        <v>0</v>
      </c>
      <c r="F19" s="135">
        <f t="shared" si="1"/>
        <v>0</v>
      </c>
      <c r="G19" s="130">
        <f>SUMIFS(XUẤT!Q:Q,XUẤT!N:N,CBCNV!B19,XUẤT!O:O,CBCNV!$G$2)</f>
        <v>0</v>
      </c>
      <c r="H19" s="134">
        <f t="shared" si="2"/>
        <v>0</v>
      </c>
      <c r="I19" s="130">
        <f>SUMIFS(XUẤT!R:R,XUẤT!N:N,CBCNV!B19,XUẤT!O:O,CBCNV!$I$2)</f>
        <v>0</v>
      </c>
      <c r="J19" s="135">
        <f t="shared" si="3"/>
        <v>0</v>
      </c>
      <c r="K19" s="130">
        <f>SUMIFS(XUẤT!S:S,XUẤT!N:N,CBCNV!B19,XUẤT!O:O,CBCNV!$K$2)</f>
        <v>0</v>
      </c>
      <c r="L19" s="135">
        <f t="shared" si="4"/>
        <v>0</v>
      </c>
      <c r="M19" s="130">
        <f>SUMIFS(XUẤT!T:T,XUẤT!N:N,CBCNV!B19,XUẤT!O:O,CBCNV!$M$2)</f>
        <v>0</v>
      </c>
      <c r="N19" s="135">
        <f t="shared" si="5"/>
        <v>0</v>
      </c>
      <c r="O19" s="130">
        <f>SUMIFS(XUẤT!U:U,XUẤT!N:N,CBCNV!B19,XUẤT!O:O,CBCNV!$O$2)</f>
        <v>0</v>
      </c>
      <c r="P19" s="135">
        <f t="shared" si="6"/>
        <v>0</v>
      </c>
      <c r="Q19" s="32"/>
      <c r="R19" s="18"/>
    </row>
    <row r="20" spans="1:20" s="136" customFormat="1" x14ac:dyDescent="0.3">
      <c r="A20" s="133">
        <v>14</v>
      </c>
      <c r="B20" s="10" t="s">
        <v>45</v>
      </c>
      <c r="C20" s="133" t="s">
        <v>67</v>
      </c>
      <c r="D20" s="133" t="s">
        <v>58</v>
      </c>
      <c r="E20" s="130">
        <f>SUMIFS(XUẤT!P:P,XUẤT!N:N,CBCNV!B20,XUẤT!O:O,CBCNV!$E$2)</f>
        <v>0</v>
      </c>
      <c r="F20" s="135">
        <f t="shared" si="1"/>
        <v>0</v>
      </c>
      <c r="G20" s="130">
        <f>SUMIFS(XUẤT!Q:Q,XUẤT!N:N,CBCNV!B20,XUẤT!O:O,CBCNV!$G$2)</f>
        <v>0</v>
      </c>
      <c r="H20" s="134">
        <f t="shared" si="2"/>
        <v>0</v>
      </c>
      <c r="I20" s="130">
        <f>SUMIFS(XUẤT!R:R,XUẤT!N:N,CBCNV!B20,XUẤT!O:O,CBCNV!$I$2)</f>
        <v>0</v>
      </c>
      <c r="J20" s="135">
        <f t="shared" si="3"/>
        <v>0</v>
      </c>
      <c r="K20" s="130">
        <f>SUMIFS(XUẤT!S:S,XUẤT!N:N,CBCNV!B20,XUẤT!O:O,CBCNV!$K$2)</f>
        <v>0</v>
      </c>
      <c r="L20" s="135">
        <f t="shared" si="4"/>
        <v>0</v>
      </c>
      <c r="M20" s="130">
        <f>SUMIFS(XUẤT!T:T,XUẤT!N:N,CBCNV!B20,XUẤT!O:O,CBCNV!$M$2)</f>
        <v>1</v>
      </c>
      <c r="N20" s="135">
        <f t="shared" si="5"/>
        <v>52000</v>
      </c>
      <c r="O20" s="130">
        <f>SUMIFS(XUẤT!U:U,XUẤT!N:N,CBCNV!B20,XUẤT!O:O,CBCNV!$O$2)</f>
        <v>0</v>
      </c>
      <c r="P20" s="135">
        <f t="shared" si="6"/>
        <v>0</v>
      </c>
      <c r="Q20" s="32"/>
      <c r="R20" s="18"/>
    </row>
    <row r="21" spans="1:20" s="136" customFormat="1" x14ac:dyDescent="0.3">
      <c r="A21" s="133">
        <v>15</v>
      </c>
      <c r="B21" s="10" t="s">
        <v>75</v>
      </c>
      <c r="C21" s="133" t="s">
        <v>67</v>
      </c>
      <c r="D21" s="133" t="s">
        <v>58</v>
      </c>
      <c r="E21" s="130">
        <f>SUMIFS(XUẤT!P:P,XUẤT!N:N,CBCNV!B21,XUẤT!O:O,CBCNV!$E$2)</f>
        <v>0</v>
      </c>
      <c r="F21" s="135">
        <f t="shared" si="1"/>
        <v>0</v>
      </c>
      <c r="G21" s="130">
        <f>SUMIFS(XUẤT!Q:Q,XUẤT!N:N,CBCNV!B21,XUẤT!O:O,CBCNV!$G$2)</f>
        <v>0</v>
      </c>
      <c r="H21" s="134">
        <f t="shared" si="2"/>
        <v>0</v>
      </c>
      <c r="I21" s="130">
        <f>SUMIFS(XUẤT!R:R,XUẤT!N:N,CBCNV!B21,XUẤT!O:O,CBCNV!$I$2)</f>
        <v>0</v>
      </c>
      <c r="J21" s="135">
        <f t="shared" si="3"/>
        <v>0</v>
      </c>
      <c r="K21" s="130">
        <f>SUMIFS(XUẤT!S:S,XUẤT!N:N,CBCNV!B21,XUẤT!O:O,CBCNV!$K$2)</f>
        <v>0</v>
      </c>
      <c r="L21" s="135">
        <f t="shared" si="4"/>
        <v>0</v>
      </c>
      <c r="M21" s="130">
        <f>SUMIFS(XUẤT!T:T,XUẤT!N:N,CBCNV!B21,XUẤT!O:O,CBCNV!$M$2)</f>
        <v>0</v>
      </c>
      <c r="N21" s="135">
        <f t="shared" si="5"/>
        <v>0</v>
      </c>
      <c r="O21" s="130">
        <f>SUMIFS(XUẤT!U:U,XUẤT!N:N,CBCNV!B21,XUẤT!O:O,CBCNV!$O$2)</f>
        <v>0</v>
      </c>
      <c r="P21" s="135">
        <f t="shared" si="6"/>
        <v>0</v>
      </c>
      <c r="Q21" s="32"/>
      <c r="R21" s="18"/>
    </row>
    <row r="22" spans="1:20" s="136" customFormat="1" x14ac:dyDescent="0.3">
      <c r="A22" s="133">
        <v>16</v>
      </c>
      <c r="B22" s="10" t="s">
        <v>76</v>
      </c>
      <c r="C22" s="133" t="s">
        <v>77</v>
      </c>
      <c r="D22" s="133" t="s">
        <v>58</v>
      </c>
      <c r="E22" s="130">
        <f>SUMIFS(XUẤT!P:P,XUẤT!N:N,CBCNV!B22,XUẤT!O:O,CBCNV!$E$2)</f>
        <v>0</v>
      </c>
      <c r="F22" s="135">
        <f t="shared" si="1"/>
        <v>0</v>
      </c>
      <c r="G22" s="130">
        <f>SUMIFS(XUẤT!Q:Q,XUẤT!N:N,CBCNV!B22,XUẤT!O:O,CBCNV!$G$2)</f>
        <v>0</v>
      </c>
      <c r="H22" s="134">
        <f t="shared" si="2"/>
        <v>0</v>
      </c>
      <c r="I22" s="130">
        <f>SUMIFS(XUẤT!R:R,XUẤT!N:N,CBCNV!B22,XUẤT!O:O,CBCNV!$I$2)</f>
        <v>0</v>
      </c>
      <c r="J22" s="135">
        <f t="shared" si="3"/>
        <v>0</v>
      </c>
      <c r="K22" s="130">
        <f>SUMIFS(XUẤT!S:S,XUẤT!N:N,CBCNV!B22,XUẤT!O:O,CBCNV!$K$2)</f>
        <v>0</v>
      </c>
      <c r="L22" s="135">
        <f t="shared" si="4"/>
        <v>0</v>
      </c>
      <c r="M22" s="130">
        <f>SUMIFS(XUẤT!T:T,XUẤT!N:N,CBCNV!B22,XUẤT!O:O,CBCNV!$M$2)</f>
        <v>0</v>
      </c>
      <c r="N22" s="135">
        <f t="shared" si="5"/>
        <v>0</v>
      </c>
      <c r="O22" s="130">
        <f>SUMIFS(XUẤT!U:U,XUẤT!N:N,CBCNV!B22,XUẤT!O:O,CBCNV!$O$2)</f>
        <v>0</v>
      </c>
      <c r="P22" s="135">
        <f t="shared" si="6"/>
        <v>0</v>
      </c>
      <c r="Q22" s="32"/>
      <c r="R22" s="18"/>
    </row>
    <row r="23" spans="1:20" s="136" customFormat="1" x14ac:dyDescent="0.3">
      <c r="A23" s="133">
        <v>17</v>
      </c>
      <c r="B23" s="10" t="s">
        <v>78</v>
      </c>
      <c r="C23" s="133" t="s">
        <v>79</v>
      </c>
      <c r="D23" s="133" t="s">
        <v>58</v>
      </c>
      <c r="E23" s="130">
        <f>SUMIFS(XUẤT!P:P,XUẤT!N:N,CBCNV!B23,XUẤT!O:O,CBCNV!$E$2)</f>
        <v>0</v>
      </c>
      <c r="F23" s="135">
        <f t="shared" si="1"/>
        <v>0</v>
      </c>
      <c r="G23" s="130">
        <f>SUMIFS(XUẤT!Q:Q,XUẤT!N:N,CBCNV!B23,XUẤT!O:O,CBCNV!$G$2)</f>
        <v>0</v>
      </c>
      <c r="H23" s="134">
        <f t="shared" si="2"/>
        <v>0</v>
      </c>
      <c r="I23" s="130">
        <f>SUMIFS(XUẤT!R:R,XUẤT!N:N,CBCNV!B23,XUẤT!O:O,CBCNV!$I$2)</f>
        <v>0</v>
      </c>
      <c r="J23" s="135">
        <f t="shared" si="3"/>
        <v>0</v>
      </c>
      <c r="K23" s="130">
        <f>SUMIFS(XUẤT!S:S,XUẤT!N:N,CBCNV!B23,XUẤT!O:O,CBCNV!$K$2)</f>
        <v>0</v>
      </c>
      <c r="L23" s="135">
        <f t="shared" si="4"/>
        <v>0</v>
      </c>
      <c r="M23" s="130">
        <f>SUMIFS(XUẤT!T:T,XUẤT!N:N,CBCNV!B23,XUẤT!O:O,CBCNV!$M$2)</f>
        <v>0</v>
      </c>
      <c r="N23" s="135">
        <f t="shared" si="5"/>
        <v>0</v>
      </c>
      <c r="O23" s="130">
        <f>SUMIFS(XUẤT!U:U,XUẤT!N:N,CBCNV!B23,XUẤT!O:O,CBCNV!$O$2)</f>
        <v>0</v>
      </c>
      <c r="P23" s="135">
        <f t="shared" si="6"/>
        <v>0</v>
      </c>
      <c r="Q23" s="32"/>
      <c r="R23" s="18"/>
    </row>
    <row r="24" spans="1:20" s="132" customFormat="1" x14ac:dyDescent="0.3">
      <c r="A24" s="133">
        <v>18</v>
      </c>
      <c r="B24" s="33" t="s">
        <v>80</v>
      </c>
      <c r="C24" s="133" t="s">
        <v>81</v>
      </c>
      <c r="D24" s="133" t="s">
        <v>58</v>
      </c>
      <c r="E24" s="130">
        <f>SUMIFS(XUẤT!P:P,XUẤT!N:N,CBCNV!B24,XUẤT!O:O,CBCNV!$E$2)</f>
        <v>0</v>
      </c>
      <c r="F24" s="135">
        <f t="shared" si="1"/>
        <v>0</v>
      </c>
      <c r="G24" s="130">
        <f>SUMIFS(XUẤT!Q:Q,XUẤT!N:N,CBCNV!B24,XUẤT!O:O,CBCNV!$G$2)</f>
        <v>0</v>
      </c>
      <c r="H24" s="134">
        <f t="shared" si="2"/>
        <v>0</v>
      </c>
      <c r="I24" s="130">
        <f>SUMIFS(XUẤT!R:R,XUẤT!N:N,CBCNV!B24,XUẤT!O:O,CBCNV!$I$2)</f>
        <v>0</v>
      </c>
      <c r="J24" s="135">
        <f t="shared" si="3"/>
        <v>0</v>
      </c>
      <c r="K24" s="130">
        <f>SUMIFS(XUẤT!S:S,XUẤT!N:N,CBCNV!B24,XUẤT!O:O,CBCNV!$K$2)</f>
        <v>0</v>
      </c>
      <c r="L24" s="135">
        <f t="shared" si="4"/>
        <v>0</v>
      </c>
      <c r="M24" s="130">
        <f>SUMIFS(XUẤT!T:T,XUẤT!N:N,CBCNV!B24,XUẤT!O:O,CBCNV!$M$2)</f>
        <v>0</v>
      </c>
      <c r="N24" s="135">
        <f t="shared" si="5"/>
        <v>0</v>
      </c>
      <c r="O24" s="130">
        <f>SUMIFS(XUẤT!U:U,XUẤT!N:N,CBCNV!B24,XUẤT!O:O,CBCNV!$O$2)</f>
        <v>0</v>
      </c>
      <c r="P24" s="135">
        <f t="shared" si="6"/>
        <v>0</v>
      </c>
      <c r="Q24" s="32"/>
      <c r="R24" s="18"/>
      <c r="S24" s="136"/>
      <c r="T24" s="136"/>
    </row>
    <row r="25" spans="1:20" s="136" customFormat="1" x14ac:dyDescent="0.3">
      <c r="A25" s="133">
        <v>19</v>
      </c>
      <c r="B25" s="33" t="s">
        <v>82</v>
      </c>
      <c r="C25" s="133" t="s">
        <v>81</v>
      </c>
      <c r="D25" s="133" t="s">
        <v>58</v>
      </c>
      <c r="E25" s="130">
        <f>SUMIFS(XUẤT!P:P,XUẤT!N:N,CBCNV!B25,XUẤT!O:O,CBCNV!$E$2)</f>
        <v>0</v>
      </c>
      <c r="F25" s="135">
        <f t="shared" si="1"/>
        <v>0</v>
      </c>
      <c r="G25" s="130">
        <f>SUMIFS(XUẤT!Q:Q,XUẤT!N:N,CBCNV!B25,XUẤT!O:O,CBCNV!$G$2)</f>
        <v>0</v>
      </c>
      <c r="H25" s="134">
        <f t="shared" si="2"/>
        <v>0</v>
      </c>
      <c r="I25" s="130">
        <f>SUMIFS(XUẤT!R:R,XUẤT!N:N,CBCNV!B25,XUẤT!O:O,CBCNV!$I$2)</f>
        <v>0</v>
      </c>
      <c r="J25" s="135">
        <f t="shared" si="3"/>
        <v>0</v>
      </c>
      <c r="K25" s="130">
        <f>SUMIFS(XUẤT!S:S,XUẤT!N:N,CBCNV!B25,XUẤT!O:O,CBCNV!$K$2)</f>
        <v>0</v>
      </c>
      <c r="L25" s="135">
        <f t="shared" si="4"/>
        <v>0</v>
      </c>
      <c r="M25" s="130">
        <f>SUMIFS(XUẤT!T:T,XUẤT!N:N,CBCNV!B25,XUẤT!O:O,CBCNV!$M$2)</f>
        <v>0</v>
      </c>
      <c r="N25" s="135">
        <f t="shared" si="5"/>
        <v>0</v>
      </c>
      <c r="O25" s="130">
        <f>SUMIFS(XUẤT!U:U,XUẤT!N:N,CBCNV!B25,XUẤT!O:O,CBCNV!$O$2)</f>
        <v>0</v>
      </c>
      <c r="P25" s="135">
        <f t="shared" si="6"/>
        <v>0</v>
      </c>
      <c r="Q25" s="32"/>
      <c r="R25" s="18"/>
    </row>
    <row r="26" spans="1:20" s="136" customFormat="1" x14ac:dyDescent="0.3">
      <c r="A26" s="133"/>
      <c r="B26" s="33" t="s">
        <v>454</v>
      </c>
      <c r="C26" s="133" t="s">
        <v>455</v>
      </c>
      <c r="D26" s="133" t="s">
        <v>58</v>
      </c>
      <c r="E26" s="130">
        <f>SUMIFS(XUẤT!P:P,XUẤT!N:N,CBCNV!B26,XUẤT!O:O,CBCNV!$E$2)</f>
        <v>0</v>
      </c>
      <c r="F26" s="135">
        <f t="shared" si="1"/>
        <v>0</v>
      </c>
      <c r="G26" s="130">
        <f>SUMIFS(XUẤT!Q:Q,XUẤT!N:N,CBCNV!B26,XUẤT!O:O,CBCNV!$G$2)</f>
        <v>0</v>
      </c>
      <c r="H26" s="134">
        <f t="shared" si="2"/>
        <v>0</v>
      </c>
      <c r="I26" s="130">
        <f>SUMIFS(XUẤT!R:R,XUẤT!N:N,CBCNV!B26,XUẤT!O:O,CBCNV!$I$2)</f>
        <v>0</v>
      </c>
      <c r="J26" s="135">
        <f t="shared" si="3"/>
        <v>0</v>
      </c>
      <c r="K26" s="130">
        <f>SUMIFS(XUẤT!S:S,XUẤT!N:N,CBCNV!B26,XUẤT!O:O,CBCNV!$K$2)</f>
        <v>0</v>
      </c>
      <c r="L26" s="135">
        <f t="shared" si="4"/>
        <v>0</v>
      </c>
      <c r="M26" s="130">
        <f>SUMIFS(XUẤT!T:T,XUẤT!N:N,CBCNV!B26,XUẤT!O:O,CBCNV!$M$2)</f>
        <v>0</v>
      </c>
      <c r="N26" s="135">
        <f t="shared" si="5"/>
        <v>0</v>
      </c>
      <c r="O26" s="130">
        <f>SUMIFS(XUẤT!U:U,XUẤT!N:N,CBCNV!B26,XUẤT!O:O,CBCNV!$O$2)</f>
        <v>0</v>
      </c>
      <c r="P26" s="135">
        <f t="shared" si="6"/>
        <v>0</v>
      </c>
      <c r="Q26" s="32"/>
      <c r="R26" s="18"/>
    </row>
    <row r="27" spans="1:20" s="136" customFormat="1" x14ac:dyDescent="0.3">
      <c r="A27" s="133">
        <v>20</v>
      </c>
      <c r="B27" s="34" t="s">
        <v>83</v>
      </c>
      <c r="C27" s="137" t="s">
        <v>84</v>
      </c>
      <c r="D27" s="137" t="s">
        <v>58</v>
      </c>
      <c r="E27" s="130">
        <f>SUMIFS(XUẤT!P:P,XUẤT!N:N,CBCNV!B27,XUẤT!O:O,CBCNV!$E$2)</f>
        <v>0</v>
      </c>
      <c r="F27" s="135">
        <f t="shared" si="1"/>
        <v>0</v>
      </c>
      <c r="G27" s="130">
        <f>SUMIFS(XUẤT!Q:Q,XUẤT!N:N,CBCNV!B27,XUẤT!O:O,CBCNV!$G$2)</f>
        <v>0</v>
      </c>
      <c r="H27" s="134">
        <f t="shared" si="2"/>
        <v>0</v>
      </c>
      <c r="I27" s="130">
        <f>SUMIFS(XUẤT!R:R,XUẤT!N:N,CBCNV!B27,XUẤT!O:O,CBCNV!$I$2)</f>
        <v>0</v>
      </c>
      <c r="J27" s="135">
        <f t="shared" si="3"/>
        <v>0</v>
      </c>
      <c r="K27" s="130">
        <f>SUMIFS(XUẤT!S:S,XUẤT!N:N,CBCNV!B27,XUẤT!O:O,CBCNV!$K$2)</f>
        <v>0</v>
      </c>
      <c r="L27" s="135">
        <f t="shared" si="4"/>
        <v>0</v>
      </c>
      <c r="M27" s="130">
        <f>SUMIFS(XUẤT!T:T,XUẤT!N:N,CBCNV!B27,XUẤT!O:O,CBCNV!$M$2)</f>
        <v>0</v>
      </c>
      <c r="N27" s="135">
        <f t="shared" si="5"/>
        <v>0</v>
      </c>
      <c r="O27" s="130">
        <f>SUMIFS(XUẤT!U:U,XUẤT!N:N,CBCNV!B27,XUẤT!O:O,CBCNV!$O$2)</f>
        <v>0</v>
      </c>
      <c r="P27" s="135">
        <f t="shared" si="6"/>
        <v>0</v>
      </c>
      <c r="Q27" s="32"/>
      <c r="R27" s="21"/>
      <c r="S27" s="132"/>
      <c r="T27" s="132"/>
    </row>
    <row r="28" spans="1:20" s="136" customFormat="1" x14ac:dyDescent="0.3">
      <c r="A28" s="133">
        <v>21</v>
      </c>
      <c r="B28" s="10" t="s">
        <v>40</v>
      </c>
      <c r="C28" s="133" t="s">
        <v>85</v>
      </c>
      <c r="D28" s="133" t="s">
        <v>58</v>
      </c>
      <c r="E28" s="130">
        <f>SUMIFS(XUẤT!P:P,XUẤT!N:N,CBCNV!B28,XUẤT!O:O,CBCNV!$E$2)</f>
        <v>0</v>
      </c>
      <c r="F28" s="135">
        <f t="shared" si="1"/>
        <v>0</v>
      </c>
      <c r="G28" s="130">
        <f>SUMIFS(XUẤT!Q:Q,XUẤT!N:N,CBCNV!B28,XUẤT!O:O,CBCNV!$G$2)</f>
        <v>0</v>
      </c>
      <c r="H28" s="134">
        <f t="shared" si="2"/>
        <v>0</v>
      </c>
      <c r="I28" s="130">
        <f>SUMIFS(XUẤT!R:R,XUẤT!N:N,CBCNV!B28,XUẤT!O:O,CBCNV!$I$2)</f>
        <v>0</v>
      </c>
      <c r="J28" s="135">
        <f t="shared" si="3"/>
        <v>0</v>
      </c>
      <c r="K28" s="130">
        <f>SUMIFS(XUẤT!S:S,XUẤT!N:N,CBCNV!B28,XUẤT!O:O,CBCNV!$K$2)</f>
        <v>0</v>
      </c>
      <c r="L28" s="135">
        <f t="shared" si="4"/>
        <v>0</v>
      </c>
      <c r="M28" s="130">
        <f>SUMIFS(XUẤT!T:T,XUẤT!N:N,CBCNV!B28,XUẤT!O:O,CBCNV!$M$2)</f>
        <v>0</v>
      </c>
      <c r="N28" s="135">
        <f t="shared" si="5"/>
        <v>0</v>
      </c>
      <c r="O28" s="130">
        <f>SUMIFS(XUẤT!U:U,XUẤT!N:N,CBCNV!B28,XUẤT!O:O,CBCNV!$O$2)</f>
        <v>0</v>
      </c>
      <c r="P28" s="135">
        <f t="shared" si="6"/>
        <v>0</v>
      </c>
      <c r="Q28" s="32"/>
      <c r="R28" s="18"/>
    </row>
    <row r="29" spans="1:20" s="136" customFormat="1" x14ac:dyDescent="0.3">
      <c r="A29" s="133">
        <v>22</v>
      </c>
      <c r="B29" s="10" t="s">
        <v>86</v>
      </c>
      <c r="C29" s="133" t="s">
        <v>87</v>
      </c>
      <c r="D29" s="133" t="s">
        <v>58</v>
      </c>
      <c r="E29" s="130">
        <f>SUMIFS(XUẤT!P:P,XUẤT!N:N,CBCNV!B29,XUẤT!O:O,CBCNV!$E$2)</f>
        <v>0</v>
      </c>
      <c r="F29" s="135">
        <f t="shared" si="1"/>
        <v>0</v>
      </c>
      <c r="G29" s="130">
        <f>SUMIFS(XUẤT!Q:Q,XUẤT!N:N,CBCNV!B29,XUẤT!O:O,CBCNV!$G$2)</f>
        <v>0</v>
      </c>
      <c r="H29" s="134">
        <f t="shared" si="2"/>
        <v>0</v>
      </c>
      <c r="I29" s="130">
        <f>SUMIFS(XUẤT!R:R,XUẤT!N:N,CBCNV!B29,XUẤT!O:O,CBCNV!$I$2)</f>
        <v>0</v>
      </c>
      <c r="J29" s="135">
        <f t="shared" si="3"/>
        <v>0</v>
      </c>
      <c r="K29" s="130">
        <f>SUMIFS(XUẤT!S:S,XUẤT!N:N,CBCNV!B29,XUẤT!O:O,CBCNV!$K$2)</f>
        <v>0</v>
      </c>
      <c r="L29" s="135">
        <f t="shared" si="4"/>
        <v>0</v>
      </c>
      <c r="M29" s="130">
        <f>SUMIFS(XUẤT!T:T,XUẤT!N:N,CBCNV!B29,XUẤT!O:O,CBCNV!$M$2)</f>
        <v>0</v>
      </c>
      <c r="N29" s="135">
        <f t="shared" si="5"/>
        <v>0</v>
      </c>
      <c r="O29" s="130">
        <f>SUMIFS(XUẤT!U:U,XUẤT!N:N,CBCNV!B29,XUẤT!O:O,CBCNV!$O$2)</f>
        <v>0</v>
      </c>
      <c r="P29" s="135">
        <f t="shared" si="6"/>
        <v>0</v>
      </c>
      <c r="Q29" s="32"/>
      <c r="R29" s="18"/>
    </row>
    <row r="30" spans="1:20" s="132" customFormat="1" x14ac:dyDescent="0.3">
      <c r="A30" s="133">
        <v>23</v>
      </c>
      <c r="B30" s="10" t="s">
        <v>88</v>
      </c>
      <c r="C30" s="133" t="s">
        <v>87</v>
      </c>
      <c r="D30" s="133" t="s">
        <v>58</v>
      </c>
      <c r="E30" s="130">
        <f>SUMIFS(XUẤT!P:P,XUẤT!N:N,CBCNV!B30,XUẤT!O:O,CBCNV!$E$2)</f>
        <v>0</v>
      </c>
      <c r="F30" s="135">
        <f t="shared" si="1"/>
        <v>0</v>
      </c>
      <c r="G30" s="130">
        <f>SUMIFS(XUẤT!Q:Q,XUẤT!N:N,CBCNV!B30,XUẤT!O:O,CBCNV!$G$2)</f>
        <v>0</v>
      </c>
      <c r="H30" s="134">
        <f t="shared" si="2"/>
        <v>0</v>
      </c>
      <c r="I30" s="130">
        <f>SUMIFS(XUẤT!R:R,XUẤT!N:N,CBCNV!B30,XUẤT!O:O,CBCNV!$I$2)</f>
        <v>0</v>
      </c>
      <c r="J30" s="135">
        <f t="shared" si="3"/>
        <v>0</v>
      </c>
      <c r="K30" s="130">
        <f>SUMIFS(XUẤT!S:S,XUẤT!N:N,CBCNV!B30,XUẤT!O:O,CBCNV!$K$2)</f>
        <v>0</v>
      </c>
      <c r="L30" s="135">
        <f t="shared" si="4"/>
        <v>0</v>
      </c>
      <c r="M30" s="130">
        <f>SUMIFS(XUẤT!T:T,XUẤT!N:N,CBCNV!B30,XUẤT!O:O,CBCNV!$M$2)</f>
        <v>0</v>
      </c>
      <c r="N30" s="135">
        <f t="shared" si="5"/>
        <v>0</v>
      </c>
      <c r="O30" s="130">
        <f>SUMIFS(XUẤT!U:U,XUẤT!N:N,CBCNV!B30,XUẤT!O:O,CBCNV!$O$2)</f>
        <v>0</v>
      </c>
      <c r="P30" s="135">
        <f t="shared" si="6"/>
        <v>0</v>
      </c>
      <c r="Q30" s="32"/>
      <c r="R30" s="18"/>
      <c r="S30" s="136"/>
      <c r="T30" s="136"/>
    </row>
    <row r="31" spans="1:20" s="136" customFormat="1" x14ac:dyDescent="0.3">
      <c r="A31" s="133">
        <v>24</v>
      </c>
      <c r="B31" s="10" t="s">
        <v>89</v>
      </c>
      <c r="C31" s="133" t="s">
        <v>87</v>
      </c>
      <c r="D31" s="133" t="s">
        <v>58</v>
      </c>
      <c r="E31" s="130">
        <f>SUMIFS(XUẤT!P:P,XUẤT!N:N,CBCNV!B31,XUẤT!O:O,CBCNV!$E$2)</f>
        <v>0</v>
      </c>
      <c r="F31" s="135">
        <f t="shared" si="1"/>
        <v>0</v>
      </c>
      <c r="G31" s="130">
        <f>SUMIFS(XUẤT!Q:Q,XUẤT!N:N,CBCNV!B31,XUẤT!O:O,CBCNV!$G$2)</f>
        <v>0</v>
      </c>
      <c r="H31" s="134">
        <f t="shared" si="2"/>
        <v>0</v>
      </c>
      <c r="I31" s="130">
        <f>SUMIFS(XUẤT!R:R,XUẤT!N:N,CBCNV!B31,XUẤT!O:O,CBCNV!$I$2)</f>
        <v>0</v>
      </c>
      <c r="J31" s="135">
        <f t="shared" si="3"/>
        <v>0</v>
      </c>
      <c r="K31" s="130">
        <f>SUMIFS(XUẤT!S:S,XUẤT!N:N,CBCNV!B31,XUẤT!O:O,CBCNV!$K$2)</f>
        <v>0</v>
      </c>
      <c r="L31" s="135">
        <f t="shared" si="4"/>
        <v>0</v>
      </c>
      <c r="M31" s="130">
        <f>SUMIFS(XUẤT!T:T,XUẤT!N:N,CBCNV!B31,XUẤT!O:O,CBCNV!$M$2)</f>
        <v>0</v>
      </c>
      <c r="N31" s="135">
        <f t="shared" si="5"/>
        <v>0</v>
      </c>
      <c r="O31" s="130">
        <f>SUMIFS(XUẤT!U:U,XUẤT!N:N,CBCNV!B31,XUẤT!O:O,CBCNV!$O$2)</f>
        <v>0</v>
      </c>
      <c r="P31" s="135">
        <f t="shared" si="6"/>
        <v>0</v>
      </c>
      <c r="Q31" s="32"/>
      <c r="R31" s="18"/>
    </row>
    <row r="32" spans="1:20" s="136" customFormat="1" x14ac:dyDescent="0.3">
      <c r="A32" s="133">
        <v>25</v>
      </c>
      <c r="B32" s="10" t="s">
        <v>90</v>
      </c>
      <c r="C32" s="133" t="s">
        <v>87</v>
      </c>
      <c r="D32" s="133" t="s">
        <v>58</v>
      </c>
      <c r="E32" s="130">
        <f>SUMIFS(XUẤT!P:P,XUẤT!N:N,CBCNV!B32,XUẤT!O:O,CBCNV!$E$2)</f>
        <v>0</v>
      </c>
      <c r="F32" s="135">
        <f t="shared" si="1"/>
        <v>0</v>
      </c>
      <c r="G32" s="130">
        <f>SUMIFS(XUẤT!Q:Q,XUẤT!N:N,CBCNV!B32,XUẤT!O:O,CBCNV!$G$2)</f>
        <v>0</v>
      </c>
      <c r="H32" s="134">
        <f t="shared" si="2"/>
        <v>0</v>
      </c>
      <c r="I32" s="130">
        <f>SUMIFS(XUẤT!R:R,XUẤT!N:N,CBCNV!B32,XUẤT!O:O,CBCNV!$I$2)</f>
        <v>0</v>
      </c>
      <c r="J32" s="135">
        <f t="shared" si="3"/>
        <v>0</v>
      </c>
      <c r="K32" s="130">
        <f>SUMIFS(XUẤT!S:S,XUẤT!N:N,CBCNV!B32,XUẤT!O:O,CBCNV!$K$2)</f>
        <v>0</v>
      </c>
      <c r="L32" s="135">
        <f t="shared" si="4"/>
        <v>0</v>
      </c>
      <c r="M32" s="130">
        <f>SUMIFS(XUẤT!T:T,XUẤT!N:N,CBCNV!B32,XUẤT!O:O,CBCNV!$M$2)</f>
        <v>0</v>
      </c>
      <c r="N32" s="135">
        <f t="shared" si="5"/>
        <v>0</v>
      </c>
      <c r="O32" s="130">
        <f>SUMIFS(XUẤT!U:U,XUẤT!N:N,CBCNV!B32,XUẤT!O:O,CBCNV!$O$2)</f>
        <v>0</v>
      </c>
      <c r="P32" s="135">
        <f t="shared" si="6"/>
        <v>0</v>
      </c>
      <c r="Q32" s="32"/>
      <c r="R32" s="18"/>
    </row>
    <row r="33" spans="1:20" s="136" customFormat="1" x14ac:dyDescent="0.3">
      <c r="A33" s="133">
        <v>26</v>
      </c>
      <c r="B33" s="34" t="s">
        <v>91</v>
      </c>
      <c r="C33" s="137" t="s">
        <v>92</v>
      </c>
      <c r="D33" s="137" t="s">
        <v>58</v>
      </c>
      <c r="E33" s="130">
        <f>SUMIFS(XUẤT!P:P,XUẤT!N:N,CBCNV!B33,XUẤT!O:O,CBCNV!$E$2)</f>
        <v>0</v>
      </c>
      <c r="F33" s="135">
        <f t="shared" si="1"/>
        <v>0</v>
      </c>
      <c r="G33" s="130">
        <f>SUMIFS(XUẤT!Q:Q,XUẤT!N:N,CBCNV!B33,XUẤT!O:O,CBCNV!$G$2)</f>
        <v>0</v>
      </c>
      <c r="H33" s="134">
        <f t="shared" si="2"/>
        <v>0</v>
      </c>
      <c r="I33" s="130">
        <f>SUMIFS(XUẤT!R:R,XUẤT!N:N,CBCNV!B33,XUẤT!O:O,CBCNV!$I$2)</f>
        <v>0</v>
      </c>
      <c r="J33" s="135">
        <f t="shared" si="3"/>
        <v>0</v>
      </c>
      <c r="K33" s="130">
        <f>SUMIFS(XUẤT!S:S,XUẤT!N:N,CBCNV!B33,XUẤT!O:O,CBCNV!$K$2)</f>
        <v>0</v>
      </c>
      <c r="L33" s="135">
        <f t="shared" si="4"/>
        <v>0</v>
      </c>
      <c r="M33" s="130">
        <f>SUMIFS(XUẤT!T:T,XUẤT!N:N,CBCNV!B33,XUẤT!O:O,CBCNV!$M$2)</f>
        <v>0</v>
      </c>
      <c r="N33" s="135">
        <f t="shared" si="5"/>
        <v>0</v>
      </c>
      <c r="O33" s="130">
        <f>SUMIFS(XUẤT!U:U,XUẤT!N:N,CBCNV!B33,XUẤT!O:O,CBCNV!$O$2)</f>
        <v>0</v>
      </c>
      <c r="P33" s="135">
        <f t="shared" si="6"/>
        <v>0</v>
      </c>
      <c r="Q33" s="32"/>
      <c r="R33" s="21"/>
      <c r="S33" s="132"/>
      <c r="T33" s="132"/>
    </row>
    <row r="34" spans="1:20" s="136" customFormat="1" x14ac:dyDescent="0.3">
      <c r="A34" s="133">
        <v>27</v>
      </c>
      <c r="B34" s="10" t="s">
        <v>93</v>
      </c>
      <c r="C34" s="133" t="s">
        <v>94</v>
      </c>
      <c r="D34" s="133" t="s">
        <v>58</v>
      </c>
      <c r="E34" s="130">
        <f>SUMIFS(XUẤT!P:P,XUẤT!N:N,CBCNV!B34,XUẤT!O:O,CBCNV!$E$2)</f>
        <v>0</v>
      </c>
      <c r="F34" s="135">
        <f t="shared" si="1"/>
        <v>0</v>
      </c>
      <c r="G34" s="130">
        <f>SUMIFS(XUẤT!Q:Q,XUẤT!N:N,CBCNV!B34,XUẤT!O:O,CBCNV!$G$2)</f>
        <v>0</v>
      </c>
      <c r="H34" s="134">
        <f t="shared" si="2"/>
        <v>0</v>
      </c>
      <c r="I34" s="130">
        <f>SUMIFS(XUẤT!R:R,XUẤT!N:N,CBCNV!B34,XUẤT!O:O,CBCNV!$I$2)</f>
        <v>0</v>
      </c>
      <c r="J34" s="135">
        <f t="shared" si="3"/>
        <v>0</v>
      </c>
      <c r="K34" s="130">
        <f>SUMIFS(XUẤT!S:S,XUẤT!N:N,CBCNV!B34,XUẤT!O:O,CBCNV!$K$2)</f>
        <v>0</v>
      </c>
      <c r="L34" s="135">
        <f t="shared" si="4"/>
        <v>0</v>
      </c>
      <c r="M34" s="130">
        <f>SUMIFS(XUẤT!T:T,XUẤT!N:N,CBCNV!B34,XUẤT!O:O,CBCNV!$M$2)</f>
        <v>0</v>
      </c>
      <c r="N34" s="135">
        <f t="shared" si="5"/>
        <v>0</v>
      </c>
      <c r="O34" s="130">
        <f>SUMIFS(XUẤT!U:U,XUẤT!N:N,CBCNV!B34,XUẤT!O:O,CBCNV!$O$2)</f>
        <v>0</v>
      </c>
      <c r="P34" s="135">
        <f t="shared" si="6"/>
        <v>0</v>
      </c>
      <c r="Q34" s="32"/>
      <c r="R34" s="18"/>
    </row>
    <row r="35" spans="1:20" s="136" customFormat="1" x14ac:dyDescent="0.3">
      <c r="A35" s="133">
        <v>28</v>
      </c>
      <c r="B35" s="10" t="s">
        <v>95</v>
      </c>
      <c r="C35" s="133" t="s">
        <v>96</v>
      </c>
      <c r="D35" s="133" t="s">
        <v>58</v>
      </c>
      <c r="E35" s="130">
        <f>SUMIFS(XUẤT!P:P,XUẤT!N:N,CBCNV!B35,XUẤT!O:O,CBCNV!$E$2)</f>
        <v>0</v>
      </c>
      <c r="F35" s="135">
        <f t="shared" si="1"/>
        <v>0</v>
      </c>
      <c r="G35" s="130">
        <f>SUMIFS(XUẤT!Q:Q,XUẤT!N:N,CBCNV!B35,XUẤT!O:O,CBCNV!$G$2)</f>
        <v>0</v>
      </c>
      <c r="H35" s="134">
        <f t="shared" si="2"/>
        <v>0</v>
      </c>
      <c r="I35" s="130">
        <f>SUMIFS(XUẤT!R:R,XUẤT!N:N,CBCNV!B35,XUẤT!O:O,CBCNV!$I$2)</f>
        <v>0</v>
      </c>
      <c r="J35" s="135">
        <f t="shared" si="3"/>
        <v>0</v>
      </c>
      <c r="K35" s="130">
        <f>SUMIFS(XUẤT!S:S,XUẤT!N:N,CBCNV!B35,XUẤT!O:O,CBCNV!$K$2)</f>
        <v>0</v>
      </c>
      <c r="L35" s="135">
        <f t="shared" si="4"/>
        <v>0</v>
      </c>
      <c r="M35" s="130">
        <f>SUMIFS(XUẤT!T:T,XUẤT!N:N,CBCNV!B35,XUẤT!O:O,CBCNV!$M$2)</f>
        <v>0</v>
      </c>
      <c r="N35" s="135">
        <f t="shared" si="5"/>
        <v>0</v>
      </c>
      <c r="O35" s="130">
        <f>SUMIFS(XUẤT!U:U,XUẤT!N:N,CBCNV!B35,XUẤT!O:O,CBCNV!$O$2)</f>
        <v>0</v>
      </c>
      <c r="P35" s="135">
        <f t="shared" si="6"/>
        <v>0</v>
      </c>
      <c r="Q35" s="32"/>
      <c r="R35" s="18"/>
    </row>
    <row r="36" spans="1:20" s="136" customFormat="1" x14ac:dyDescent="0.3">
      <c r="A36" s="133">
        <v>29</v>
      </c>
      <c r="B36" s="10" t="s">
        <v>97</v>
      </c>
      <c r="C36" s="133" t="s">
        <v>98</v>
      </c>
      <c r="D36" s="133" t="s">
        <v>58</v>
      </c>
      <c r="E36" s="130">
        <f>SUMIFS(XUẤT!P:P,XUẤT!N:N,CBCNV!B36,XUẤT!O:O,CBCNV!$E$2)</f>
        <v>0</v>
      </c>
      <c r="F36" s="135">
        <f t="shared" si="1"/>
        <v>0</v>
      </c>
      <c r="G36" s="130">
        <f>SUMIFS(XUẤT!Q:Q,XUẤT!N:N,CBCNV!B36,XUẤT!O:O,CBCNV!$G$2)</f>
        <v>0</v>
      </c>
      <c r="H36" s="134">
        <f t="shared" si="2"/>
        <v>0</v>
      </c>
      <c r="I36" s="130">
        <f>SUMIFS(XUẤT!R:R,XUẤT!N:N,CBCNV!B36,XUẤT!O:O,CBCNV!$I$2)</f>
        <v>0</v>
      </c>
      <c r="J36" s="135">
        <f t="shared" si="3"/>
        <v>0</v>
      </c>
      <c r="K36" s="130">
        <f>SUMIFS(XUẤT!S:S,XUẤT!N:N,CBCNV!B36,XUẤT!O:O,CBCNV!$K$2)</f>
        <v>0</v>
      </c>
      <c r="L36" s="135">
        <f t="shared" si="4"/>
        <v>0</v>
      </c>
      <c r="M36" s="130">
        <f>SUMIFS(XUẤT!T:T,XUẤT!N:N,CBCNV!B36,XUẤT!O:O,CBCNV!$M$2)</f>
        <v>0</v>
      </c>
      <c r="N36" s="135">
        <f t="shared" si="5"/>
        <v>0</v>
      </c>
      <c r="O36" s="130">
        <f>SUMIFS(XUẤT!U:U,XUẤT!N:N,CBCNV!B36,XUẤT!O:O,CBCNV!$O$2)</f>
        <v>0</v>
      </c>
      <c r="P36" s="135">
        <f t="shared" si="6"/>
        <v>0</v>
      </c>
      <c r="Q36" s="32"/>
      <c r="R36" s="18"/>
    </row>
    <row r="37" spans="1:20" s="136" customFormat="1" x14ac:dyDescent="0.3">
      <c r="A37" s="133">
        <v>30</v>
      </c>
      <c r="B37" s="10" t="s">
        <v>99</v>
      </c>
      <c r="C37" s="133" t="s">
        <v>98</v>
      </c>
      <c r="D37" s="133" t="s">
        <v>58</v>
      </c>
      <c r="E37" s="130">
        <f>SUMIFS(XUẤT!P:P,XUẤT!N:N,CBCNV!B37,XUẤT!O:O,CBCNV!$E$2)</f>
        <v>0</v>
      </c>
      <c r="F37" s="135">
        <f t="shared" si="1"/>
        <v>0</v>
      </c>
      <c r="G37" s="130">
        <f>SUMIFS(XUẤT!Q:Q,XUẤT!N:N,CBCNV!B37,XUẤT!O:O,CBCNV!$G$2)</f>
        <v>0</v>
      </c>
      <c r="H37" s="134">
        <f t="shared" si="2"/>
        <v>0</v>
      </c>
      <c r="I37" s="130">
        <f>SUMIFS(XUẤT!R:R,XUẤT!N:N,CBCNV!B37,XUẤT!O:O,CBCNV!$I$2)</f>
        <v>0</v>
      </c>
      <c r="J37" s="135">
        <f t="shared" si="3"/>
        <v>0</v>
      </c>
      <c r="K37" s="130">
        <f>SUMIFS(XUẤT!S:S,XUẤT!N:N,CBCNV!B37,XUẤT!O:O,CBCNV!$K$2)</f>
        <v>0</v>
      </c>
      <c r="L37" s="135">
        <f t="shared" si="4"/>
        <v>0</v>
      </c>
      <c r="M37" s="130">
        <f>SUMIFS(XUẤT!T:T,XUẤT!N:N,CBCNV!B37,XUẤT!O:O,CBCNV!$M$2)</f>
        <v>0</v>
      </c>
      <c r="N37" s="135">
        <f t="shared" si="5"/>
        <v>0</v>
      </c>
      <c r="O37" s="130">
        <f>SUMIFS(XUẤT!U:U,XUẤT!N:N,CBCNV!B37,XUẤT!O:O,CBCNV!$O$2)</f>
        <v>0</v>
      </c>
      <c r="P37" s="135">
        <f t="shared" si="6"/>
        <v>0</v>
      </c>
      <c r="Q37" s="32"/>
      <c r="R37" s="18"/>
    </row>
    <row r="38" spans="1:20" s="136" customFormat="1" x14ac:dyDescent="0.3">
      <c r="A38" s="133">
        <v>31</v>
      </c>
      <c r="B38" s="10" t="s">
        <v>100</v>
      </c>
      <c r="C38" s="133" t="s">
        <v>101</v>
      </c>
      <c r="D38" s="133" t="s">
        <v>58</v>
      </c>
      <c r="E38" s="130">
        <f>SUMIFS(XUẤT!P:P,XUẤT!N:N,CBCNV!B38,XUẤT!O:O,CBCNV!$E$2)</f>
        <v>0</v>
      </c>
      <c r="F38" s="135">
        <f t="shared" si="1"/>
        <v>0</v>
      </c>
      <c r="G38" s="130">
        <f>SUMIFS(XUẤT!Q:Q,XUẤT!N:N,CBCNV!B38,XUẤT!O:O,CBCNV!$G$2)</f>
        <v>0</v>
      </c>
      <c r="H38" s="134">
        <f t="shared" si="2"/>
        <v>0</v>
      </c>
      <c r="I38" s="130">
        <f>SUMIFS(XUẤT!R:R,XUẤT!N:N,CBCNV!B38,XUẤT!O:O,CBCNV!$I$2)</f>
        <v>0</v>
      </c>
      <c r="J38" s="135">
        <f t="shared" si="3"/>
        <v>0</v>
      </c>
      <c r="K38" s="130">
        <f>SUMIFS(XUẤT!S:S,XUẤT!N:N,CBCNV!B38,XUẤT!O:O,CBCNV!$K$2)</f>
        <v>0</v>
      </c>
      <c r="L38" s="135">
        <f t="shared" si="4"/>
        <v>0</v>
      </c>
      <c r="M38" s="130">
        <f>SUMIFS(XUẤT!T:T,XUẤT!N:N,CBCNV!B38,XUẤT!O:O,CBCNV!$M$2)</f>
        <v>0</v>
      </c>
      <c r="N38" s="135">
        <f t="shared" si="5"/>
        <v>0</v>
      </c>
      <c r="O38" s="130">
        <f>SUMIFS(XUẤT!U:U,XUẤT!N:N,CBCNV!B38,XUẤT!O:O,CBCNV!$O$2)</f>
        <v>0</v>
      </c>
      <c r="P38" s="135">
        <f t="shared" si="6"/>
        <v>0</v>
      </c>
      <c r="Q38" s="32"/>
      <c r="R38" s="18"/>
    </row>
    <row r="39" spans="1:20" s="136" customFormat="1" x14ac:dyDescent="0.3">
      <c r="A39" s="133">
        <v>32</v>
      </c>
      <c r="B39" s="10" t="s">
        <v>102</v>
      </c>
      <c r="C39" s="133" t="s">
        <v>103</v>
      </c>
      <c r="D39" s="133" t="s">
        <v>58</v>
      </c>
      <c r="E39" s="130">
        <f>SUMIFS(XUẤT!P:P,XUẤT!N:N,CBCNV!B39,XUẤT!O:O,CBCNV!$E$2)</f>
        <v>0</v>
      </c>
      <c r="F39" s="135">
        <f t="shared" ref="F39:F70" si="7">E39*$T$10</f>
        <v>0</v>
      </c>
      <c r="G39" s="130">
        <f>SUMIFS(XUẤT!Q:Q,XUẤT!N:N,CBCNV!B39,XUẤT!O:O,CBCNV!$G$2)</f>
        <v>0</v>
      </c>
      <c r="H39" s="134">
        <f t="shared" ref="H39:H70" si="8">G39*$T$8</f>
        <v>0</v>
      </c>
      <c r="I39" s="130">
        <f>SUMIFS(XUẤT!R:R,XUẤT!N:N,CBCNV!B39,XUẤT!O:O,CBCNV!$I$2)</f>
        <v>0</v>
      </c>
      <c r="J39" s="135">
        <f t="shared" ref="J39:J70" si="9">I39*$T$9</f>
        <v>0</v>
      </c>
      <c r="K39" s="130">
        <f>SUMIFS(XUẤT!S:S,XUẤT!N:N,CBCNV!B39,XUẤT!O:O,CBCNV!$K$2)</f>
        <v>0</v>
      </c>
      <c r="L39" s="135">
        <f t="shared" ref="L39:L70" si="10">K39*$T$11</f>
        <v>0</v>
      </c>
      <c r="M39" s="130">
        <f>SUMIFS(XUẤT!T:T,XUẤT!N:N,CBCNV!B39,XUẤT!O:O,CBCNV!$M$2)</f>
        <v>0</v>
      </c>
      <c r="N39" s="135">
        <f t="shared" ref="N39:N70" si="11">M39*$T$12</f>
        <v>0</v>
      </c>
      <c r="O39" s="130">
        <f>SUMIFS(XUẤT!U:U,XUẤT!N:N,CBCNV!B39,XUẤT!O:O,CBCNV!$O$2)</f>
        <v>0</v>
      </c>
      <c r="P39" s="135">
        <f t="shared" ref="P39:P70" si="12">O39*$T$13</f>
        <v>0</v>
      </c>
      <c r="Q39" s="32"/>
      <c r="R39" s="18"/>
    </row>
    <row r="40" spans="1:20" s="136" customFormat="1" x14ac:dyDescent="0.3">
      <c r="A40" s="133">
        <v>33</v>
      </c>
      <c r="B40" s="10" t="s">
        <v>104</v>
      </c>
      <c r="C40" s="133" t="s">
        <v>103</v>
      </c>
      <c r="D40" s="133" t="s">
        <v>58</v>
      </c>
      <c r="E40" s="130">
        <f>SUMIFS(XUẤT!P:P,XUẤT!N:N,CBCNV!B40,XUẤT!O:O,CBCNV!$E$2)</f>
        <v>0</v>
      </c>
      <c r="F40" s="135">
        <f t="shared" si="7"/>
        <v>0</v>
      </c>
      <c r="G40" s="130">
        <f>SUMIFS(XUẤT!Q:Q,XUẤT!N:N,CBCNV!B40,XUẤT!O:O,CBCNV!$G$2)</f>
        <v>0</v>
      </c>
      <c r="H40" s="134">
        <f t="shared" si="8"/>
        <v>0</v>
      </c>
      <c r="I40" s="130">
        <f>SUMIFS(XUẤT!R:R,XUẤT!N:N,CBCNV!B40,XUẤT!O:O,CBCNV!$I$2)</f>
        <v>0</v>
      </c>
      <c r="J40" s="135">
        <f t="shared" si="9"/>
        <v>0</v>
      </c>
      <c r="K40" s="130">
        <f>SUMIFS(XUẤT!S:S,XUẤT!N:N,CBCNV!B40,XUẤT!O:O,CBCNV!$K$2)</f>
        <v>0</v>
      </c>
      <c r="L40" s="135">
        <f t="shared" si="10"/>
        <v>0</v>
      </c>
      <c r="M40" s="130">
        <f>SUMIFS(XUẤT!T:T,XUẤT!N:N,CBCNV!B40,XUẤT!O:O,CBCNV!$M$2)</f>
        <v>0</v>
      </c>
      <c r="N40" s="135">
        <f t="shared" si="11"/>
        <v>0</v>
      </c>
      <c r="O40" s="130">
        <f>SUMIFS(XUẤT!U:U,XUẤT!N:N,CBCNV!B40,XUẤT!O:O,CBCNV!$O$2)</f>
        <v>0</v>
      </c>
      <c r="P40" s="135">
        <f t="shared" si="12"/>
        <v>0</v>
      </c>
      <c r="Q40" s="32"/>
      <c r="R40" s="18"/>
    </row>
    <row r="41" spans="1:20" s="136" customFormat="1" x14ac:dyDescent="0.3">
      <c r="A41" s="133">
        <v>34</v>
      </c>
      <c r="B41" s="10" t="s">
        <v>105</v>
      </c>
      <c r="C41" s="133" t="s">
        <v>103</v>
      </c>
      <c r="D41" s="133" t="s">
        <v>58</v>
      </c>
      <c r="E41" s="130">
        <f>SUMIFS(XUẤT!P:P,XUẤT!N:N,CBCNV!B41,XUẤT!O:O,CBCNV!$E$2)</f>
        <v>0</v>
      </c>
      <c r="F41" s="135">
        <f t="shared" si="7"/>
        <v>0</v>
      </c>
      <c r="G41" s="130">
        <f>SUMIFS(XUẤT!Q:Q,XUẤT!N:N,CBCNV!B41,XUẤT!O:O,CBCNV!$G$2)</f>
        <v>0</v>
      </c>
      <c r="H41" s="134">
        <f t="shared" si="8"/>
        <v>0</v>
      </c>
      <c r="I41" s="130">
        <f>SUMIFS(XUẤT!R:R,XUẤT!N:N,CBCNV!B41,XUẤT!O:O,CBCNV!$I$2)</f>
        <v>0</v>
      </c>
      <c r="J41" s="135">
        <f t="shared" si="9"/>
        <v>0</v>
      </c>
      <c r="K41" s="130">
        <f>SUMIFS(XUẤT!S:S,XUẤT!N:N,CBCNV!B41,XUẤT!O:O,CBCNV!$K$2)</f>
        <v>0</v>
      </c>
      <c r="L41" s="135">
        <f t="shared" si="10"/>
        <v>0</v>
      </c>
      <c r="M41" s="130">
        <f>SUMIFS(XUẤT!T:T,XUẤT!N:N,CBCNV!B41,XUẤT!O:O,CBCNV!$M$2)</f>
        <v>0</v>
      </c>
      <c r="N41" s="135">
        <f t="shared" si="11"/>
        <v>0</v>
      </c>
      <c r="O41" s="130">
        <f>SUMIFS(XUẤT!U:U,XUẤT!N:N,CBCNV!B41,XUẤT!O:O,CBCNV!$O$2)</f>
        <v>0</v>
      </c>
      <c r="P41" s="135">
        <f t="shared" si="12"/>
        <v>0</v>
      </c>
      <c r="Q41" s="32"/>
      <c r="R41" s="18"/>
    </row>
    <row r="42" spans="1:20" s="136" customFormat="1" x14ac:dyDescent="0.3">
      <c r="A42" s="133">
        <v>35</v>
      </c>
      <c r="B42" s="10" t="s">
        <v>106</v>
      </c>
      <c r="C42" s="133" t="s">
        <v>103</v>
      </c>
      <c r="D42" s="133" t="s">
        <v>58</v>
      </c>
      <c r="E42" s="130">
        <f>SUMIFS(XUẤT!P:P,XUẤT!N:N,CBCNV!B42,XUẤT!O:O,CBCNV!$E$2)</f>
        <v>0</v>
      </c>
      <c r="F42" s="135">
        <f t="shared" si="7"/>
        <v>0</v>
      </c>
      <c r="G42" s="130">
        <f>SUMIFS(XUẤT!Q:Q,XUẤT!N:N,CBCNV!B42,XUẤT!O:O,CBCNV!$G$2)</f>
        <v>0</v>
      </c>
      <c r="H42" s="134">
        <f t="shared" si="8"/>
        <v>0</v>
      </c>
      <c r="I42" s="130">
        <f>SUMIFS(XUẤT!R:R,XUẤT!N:N,CBCNV!B42,XUẤT!O:O,CBCNV!$I$2)</f>
        <v>0</v>
      </c>
      <c r="J42" s="135">
        <f t="shared" si="9"/>
        <v>0</v>
      </c>
      <c r="K42" s="130">
        <f>SUMIFS(XUẤT!S:S,XUẤT!N:N,CBCNV!B42,XUẤT!O:O,CBCNV!$K$2)</f>
        <v>0</v>
      </c>
      <c r="L42" s="135">
        <f t="shared" si="10"/>
        <v>0</v>
      </c>
      <c r="M42" s="130">
        <f>SUMIFS(XUẤT!T:T,XUẤT!N:N,CBCNV!B42,XUẤT!O:O,CBCNV!$M$2)</f>
        <v>2</v>
      </c>
      <c r="N42" s="135">
        <f t="shared" si="11"/>
        <v>104000</v>
      </c>
      <c r="O42" s="130">
        <f>SUMIFS(XUẤT!U:U,XUẤT!N:N,CBCNV!B42,XUẤT!O:O,CBCNV!$O$2)</f>
        <v>0</v>
      </c>
      <c r="P42" s="135">
        <f t="shared" si="12"/>
        <v>0</v>
      </c>
      <c r="Q42" s="32"/>
      <c r="R42" s="18"/>
    </row>
    <row r="43" spans="1:20" s="136" customFormat="1" x14ac:dyDescent="0.3">
      <c r="A43" s="133">
        <v>36</v>
      </c>
      <c r="B43" s="10" t="s">
        <v>107</v>
      </c>
      <c r="C43" s="133" t="s">
        <v>103</v>
      </c>
      <c r="D43" s="133" t="s">
        <v>58</v>
      </c>
      <c r="E43" s="130">
        <f>SUMIFS(XUẤT!P:P,XUẤT!N:N,CBCNV!B43,XUẤT!O:O,CBCNV!$E$2)</f>
        <v>0</v>
      </c>
      <c r="F43" s="135">
        <f t="shared" si="7"/>
        <v>0</v>
      </c>
      <c r="G43" s="130">
        <f>SUMIFS(XUẤT!Q:Q,XUẤT!N:N,CBCNV!B43,XUẤT!O:O,CBCNV!$G$2)</f>
        <v>0</v>
      </c>
      <c r="H43" s="134">
        <f t="shared" si="8"/>
        <v>0</v>
      </c>
      <c r="I43" s="130">
        <f>SUMIFS(XUẤT!R:R,XUẤT!N:N,CBCNV!B43,XUẤT!O:O,CBCNV!$I$2)</f>
        <v>0</v>
      </c>
      <c r="J43" s="135">
        <f t="shared" si="9"/>
        <v>0</v>
      </c>
      <c r="K43" s="130">
        <f>SUMIFS(XUẤT!S:S,XUẤT!N:N,CBCNV!B43,XUẤT!O:O,CBCNV!$K$2)</f>
        <v>0</v>
      </c>
      <c r="L43" s="135">
        <f t="shared" si="10"/>
        <v>0</v>
      </c>
      <c r="M43" s="130">
        <f>SUMIFS(XUẤT!T:T,XUẤT!N:N,CBCNV!B43,XUẤT!O:O,CBCNV!$M$2)</f>
        <v>0</v>
      </c>
      <c r="N43" s="135">
        <f t="shared" si="11"/>
        <v>0</v>
      </c>
      <c r="O43" s="130">
        <f>SUMIFS(XUẤT!U:U,XUẤT!N:N,CBCNV!B43,XUẤT!O:O,CBCNV!$O$2)</f>
        <v>0</v>
      </c>
      <c r="P43" s="135">
        <f t="shared" si="12"/>
        <v>0</v>
      </c>
      <c r="Q43" s="32"/>
      <c r="R43" s="18"/>
    </row>
    <row r="44" spans="1:20" s="136" customFormat="1" x14ac:dyDescent="0.3">
      <c r="A44" s="133">
        <v>37</v>
      </c>
      <c r="B44" s="10" t="s">
        <v>108</v>
      </c>
      <c r="C44" s="133" t="s">
        <v>109</v>
      </c>
      <c r="D44" s="133" t="s">
        <v>58</v>
      </c>
      <c r="E44" s="130">
        <f>SUMIFS(XUẤT!P:P,XUẤT!N:N,CBCNV!B44,XUẤT!O:O,CBCNV!$E$2)</f>
        <v>15</v>
      </c>
      <c r="F44" s="135">
        <f t="shared" si="7"/>
        <v>1470000</v>
      </c>
      <c r="G44" s="130">
        <f>SUMIFS(XUẤT!Q:Q,XUẤT!N:N,CBCNV!B44,XUẤT!O:O,CBCNV!$G$2)</f>
        <v>0</v>
      </c>
      <c r="H44" s="134">
        <f t="shared" si="8"/>
        <v>0</v>
      </c>
      <c r="I44" s="130">
        <f>SUMIFS(XUẤT!R:R,XUẤT!N:N,CBCNV!B44,XUẤT!O:O,CBCNV!$I$2)</f>
        <v>0</v>
      </c>
      <c r="J44" s="135">
        <f t="shared" si="9"/>
        <v>0</v>
      </c>
      <c r="K44" s="130">
        <f>SUMIFS(XUẤT!S:S,XUẤT!N:N,CBCNV!B44,XUẤT!O:O,CBCNV!$K$2)</f>
        <v>0</v>
      </c>
      <c r="L44" s="135">
        <f t="shared" si="10"/>
        <v>0</v>
      </c>
      <c r="M44" s="130">
        <f>SUMIFS(XUẤT!T:T,XUẤT!N:N,CBCNV!B44,XUẤT!O:O,CBCNV!$M$2)</f>
        <v>0</v>
      </c>
      <c r="N44" s="135">
        <f t="shared" si="11"/>
        <v>0</v>
      </c>
      <c r="O44" s="130">
        <f>SUMIFS(XUẤT!U:U,XUẤT!N:N,CBCNV!B44,XUẤT!O:O,CBCNV!$O$2)</f>
        <v>0</v>
      </c>
      <c r="P44" s="135">
        <f t="shared" si="12"/>
        <v>0</v>
      </c>
      <c r="Q44" s="32"/>
      <c r="R44" s="18"/>
    </row>
    <row r="45" spans="1:20" s="136" customFormat="1" x14ac:dyDescent="0.3">
      <c r="A45" s="133">
        <v>38</v>
      </c>
      <c r="B45" s="10" t="s">
        <v>110</v>
      </c>
      <c r="C45" s="133" t="s">
        <v>111</v>
      </c>
      <c r="D45" s="133" t="s">
        <v>58</v>
      </c>
      <c r="E45" s="130">
        <f>SUMIFS(XUẤT!P:P,XUẤT!N:N,CBCNV!B45,XUẤT!O:O,CBCNV!$E$2)</f>
        <v>0</v>
      </c>
      <c r="F45" s="135">
        <f t="shared" si="7"/>
        <v>0</v>
      </c>
      <c r="G45" s="130">
        <f>SUMIFS(XUẤT!Q:Q,XUẤT!N:N,CBCNV!B45,XUẤT!O:O,CBCNV!$G$2)</f>
        <v>0</v>
      </c>
      <c r="H45" s="134">
        <f t="shared" si="8"/>
        <v>0</v>
      </c>
      <c r="I45" s="130">
        <f>SUMIFS(XUẤT!R:R,XUẤT!N:N,CBCNV!B45,XUẤT!O:O,CBCNV!$I$2)</f>
        <v>0</v>
      </c>
      <c r="J45" s="135">
        <f t="shared" si="9"/>
        <v>0</v>
      </c>
      <c r="K45" s="130">
        <f>SUMIFS(XUẤT!S:S,XUẤT!N:N,CBCNV!B45,XUẤT!O:O,CBCNV!$K$2)</f>
        <v>0</v>
      </c>
      <c r="L45" s="135">
        <f t="shared" si="10"/>
        <v>0</v>
      </c>
      <c r="M45" s="130">
        <f>SUMIFS(XUẤT!T:T,XUẤT!N:N,CBCNV!B45,XUẤT!O:O,CBCNV!$M$2)</f>
        <v>0</v>
      </c>
      <c r="N45" s="135">
        <f t="shared" si="11"/>
        <v>0</v>
      </c>
      <c r="O45" s="130">
        <f>SUMIFS(XUẤT!U:U,XUẤT!N:N,CBCNV!B45,XUẤT!O:O,CBCNV!$O$2)</f>
        <v>0</v>
      </c>
      <c r="P45" s="135">
        <f t="shared" si="12"/>
        <v>0</v>
      </c>
      <c r="Q45" s="32"/>
      <c r="R45" s="18"/>
    </row>
    <row r="46" spans="1:20" s="136" customFormat="1" x14ac:dyDescent="0.3">
      <c r="A46" s="133">
        <v>39</v>
      </c>
      <c r="B46" s="10" t="s">
        <v>112</v>
      </c>
      <c r="C46" s="133" t="s">
        <v>113</v>
      </c>
      <c r="D46" s="133" t="s">
        <v>58</v>
      </c>
      <c r="E46" s="130">
        <f>SUMIFS(XUẤT!P:P,XUẤT!N:N,CBCNV!B46,XUẤT!O:O,CBCNV!$E$2)</f>
        <v>0</v>
      </c>
      <c r="F46" s="135">
        <f t="shared" si="7"/>
        <v>0</v>
      </c>
      <c r="G46" s="130">
        <f>SUMIFS(XUẤT!Q:Q,XUẤT!N:N,CBCNV!B46,XUẤT!O:O,CBCNV!$G$2)</f>
        <v>0</v>
      </c>
      <c r="H46" s="134">
        <f t="shared" si="8"/>
        <v>0</v>
      </c>
      <c r="I46" s="130">
        <f>SUMIFS(XUẤT!R:R,XUẤT!N:N,CBCNV!B46,XUẤT!O:O,CBCNV!$I$2)</f>
        <v>0</v>
      </c>
      <c r="J46" s="135">
        <f t="shared" si="9"/>
        <v>0</v>
      </c>
      <c r="K46" s="130">
        <f>SUMIFS(XUẤT!S:S,XUẤT!N:N,CBCNV!B46,XUẤT!O:O,CBCNV!$K$2)</f>
        <v>0</v>
      </c>
      <c r="L46" s="135">
        <f t="shared" si="10"/>
        <v>0</v>
      </c>
      <c r="M46" s="130">
        <f>SUMIFS(XUẤT!T:T,XUẤT!N:N,CBCNV!B46,XUẤT!O:O,CBCNV!$M$2)</f>
        <v>0</v>
      </c>
      <c r="N46" s="135">
        <f t="shared" si="11"/>
        <v>0</v>
      </c>
      <c r="O46" s="130">
        <f>SUMIFS(XUẤT!U:U,XUẤT!N:N,CBCNV!B46,XUẤT!O:O,CBCNV!$O$2)</f>
        <v>0</v>
      </c>
      <c r="P46" s="135">
        <f t="shared" si="12"/>
        <v>0</v>
      </c>
      <c r="Q46" s="32"/>
      <c r="R46" s="18"/>
    </row>
    <row r="47" spans="1:20" s="136" customFormat="1" x14ac:dyDescent="0.3">
      <c r="A47" s="133">
        <v>40</v>
      </c>
      <c r="B47" s="10" t="s">
        <v>114</v>
      </c>
      <c r="C47" s="133" t="s">
        <v>115</v>
      </c>
      <c r="D47" s="133" t="s">
        <v>58</v>
      </c>
      <c r="E47" s="130">
        <f>SUMIFS(XUẤT!P:P,XUẤT!N:N,CBCNV!B47,XUẤT!O:O,CBCNV!$E$2)</f>
        <v>0</v>
      </c>
      <c r="F47" s="135">
        <f t="shared" si="7"/>
        <v>0</v>
      </c>
      <c r="G47" s="130">
        <f>SUMIFS(XUẤT!Q:Q,XUẤT!N:N,CBCNV!B47,XUẤT!O:O,CBCNV!$G$2)</f>
        <v>0</v>
      </c>
      <c r="H47" s="134">
        <f t="shared" si="8"/>
        <v>0</v>
      </c>
      <c r="I47" s="130">
        <f>SUMIFS(XUẤT!R:R,XUẤT!N:N,CBCNV!B47,XUẤT!O:O,CBCNV!$I$2)</f>
        <v>0</v>
      </c>
      <c r="J47" s="135">
        <f t="shared" si="9"/>
        <v>0</v>
      </c>
      <c r="K47" s="130">
        <f>SUMIFS(XUẤT!S:S,XUẤT!N:N,CBCNV!B47,XUẤT!O:O,CBCNV!$K$2)</f>
        <v>0</v>
      </c>
      <c r="L47" s="135">
        <f t="shared" si="10"/>
        <v>0</v>
      </c>
      <c r="M47" s="130">
        <f>SUMIFS(XUẤT!T:T,XUẤT!N:N,CBCNV!B47,XUẤT!O:O,CBCNV!$M$2)</f>
        <v>0</v>
      </c>
      <c r="N47" s="135">
        <f t="shared" si="11"/>
        <v>0</v>
      </c>
      <c r="O47" s="130">
        <f>SUMIFS(XUẤT!U:U,XUẤT!N:N,CBCNV!B47,XUẤT!O:O,CBCNV!$O$2)</f>
        <v>0</v>
      </c>
      <c r="P47" s="135">
        <f t="shared" si="12"/>
        <v>0</v>
      </c>
      <c r="Q47" s="32"/>
      <c r="R47" s="18"/>
    </row>
    <row r="48" spans="1:20" s="136" customFormat="1" x14ac:dyDescent="0.3">
      <c r="A48" s="133">
        <v>41</v>
      </c>
      <c r="B48" s="10" t="s">
        <v>116</v>
      </c>
      <c r="C48" s="133" t="s">
        <v>115</v>
      </c>
      <c r="D48" s="133" t="s">
        <v>58</v>
      </c>
      <c r="E48" s="130">
        <f>SUMIFS(XUẤT!P:P,XUẤT!N:N,CBCNV!B48,XUẤT!O:O,CBCNV!$E$2)</f>
        <v>0</v>
      </c>
      <c r="F48" s="135">
        <f t="shared" si="7"/>
        <v>0</v>
      </c>
      <c r="G48" s="130">
        <f>SUMIFS(XUẤT!Q:Q,XUẤT!N:N,CBCNV!B48,XUẤT!O:O,CBCNV!$G$2)</f>
        <v>0</v>
      </c>
      <c r="H48" s="134">
        <f t="shared" si="8"/>
        <v>0</v>
      </c>
      <c r="I48" s="130">
        <f>SUMIFS(XUẤT!R:R,XUẤT!N:N,CBCNV!B48,XUẤT!O:O,CBCNV!$I$2)</f>
        <v>0</v>
      </c>
      <c r="J48" s="135">
        <f t="shared" si="9"/>
        <v>0</v>
      </c>
      <c r="K48" s="130">
        <f>SUMIFS(XUẤT!S:S,XUẤT!N:N,CBCNV!B48,XUẤT!O:O,CBCNV!$K$2)</f>
        <v>0</v>
      </c>
      <c r="L48" s="135">
        <f t="shared" si="10"/>
        <v>0</v>
      </c>
      <c r="M48" s="130">
        <f>SUMIFS(XUẤT!T:T,XUẤT!N:N,CBCNV!B48,XUẤT!O:O,CBCNV!$M$2)</f>
        <v>0</v>
      </c>
      <c r="N48" s="135">
        <f t="shared" si="11"/>
        <v>0</v>
      </c>
      <c r="O48" s="130">
        <f>SUMIFS(XUẤT!U:U,XUẤT!N:N,CBCNV!B48,XUẤT!O:O,CBCNV!$O$2)</f>
        <v>0</v>
      </c>
      <c r="P48" s="135">
        <f t="shared" si="12"/>
        <v>0</v>
      </c>
      <c r="Q48" s="32"/>
      <c r="R48" s="18"/>
    </row>
    <row r="49" spans="1:20" s="136" customFormat="1" x14ac:dyDescent="0.3">
      <c r="A49" s="133">
        <v>42</v>
      </c>
      <c r="B49" s="136" t="s">
        <v>598</v>
      </c>
      <c r="C49" s="133" t="s">
        <v>115</v>
      </c>
      <c r="D49" s="133" t="s">
        <v>58</v>
      </c>
      <c r="E49" s="130">
        <f>SUMIFS(XUẤT!P:P,XUẤT!N:N,XUẤT!N262,XUẤT!O:O,CBCNV!$E$2)</f>
        <v>0</v>
      </c>
      <c r="F49" s="135">
        <f t="shared" si="7"/>
        <v>0</v>
      </c>
      <c r="G49" s="130">
        <f>SUMIFS(XUẤT!Q:Q,XUẤT!N:N,XUẤT!N262,XUẤT!O:O,CBCNV!$G$2)</f>
        <v>0</v>
      </c>
      <c r="H49" s="134">
        <f t="shared" si="8"/>
        <v>0</v>
      </c>
      <c r="I49" s="130">
        <f>SUMIFS(XUẤT!R:R,XUẤT!N:N,XUẤT!N262,XUẤT!O:O,CBCNV!$I$2)</f>
        <v>0</v>
      </c>
      <c r="J49" s="135">
        <f t="shared" si="9"/>
        <v>0</v>
      </c>
      <c r="K49" s="130">
        <f>SUMIFS(XUẤT!S:S,XUẤT!N:N,XUẤT!N262,XUẤT!O:O,CBCNV!$K$2)</f>
        <v>0</v>
      </c>
      <c r="L49" s="135">
        <f t="shared" si="10"/>
        <v>0</v>
      </c>
      <c r="M49" s="130">
        <f>SUMIFS(XUẤT!T:T,XUẤT!N:N,XUẤT!N262,XUẤT!O:O,CBCNV!$M$2)</f>
        <v>0</v>
      </c>
      <c r="N49" s="135">
        <f t="shared" si="11"/>
        <v>0</v>
      </c>
      <c r="O49" s="130">
        <f>SUMIFS(XUẤT!U:U,XUẤT!N:N,XUẤT!N262,XUẤT!O:O,CBCNV!$O$2)</f>
        <v>0</v>
      </c>
      <c r="P49" s="135">
        <f t="shared" si="12"/>
        <v>0</v>
      </c>
      <c r="Q49" s="32"/>
      <c r="R49" s="18"/>
    </row>
    <row r="50" spans="1:20" s="136" customFormat="1" x14ac:dyDescent="0.3">
      <c r="A50" s="133">
        <v>43</v>
      </c>
      <c r="B50" s="10" t="s">
        <v>117</v>
      </c>
      <c r="C50" s="133" t="s">
        <v>115</v>
      </c>
      <c r="D50" s="133" t="s">
        <v>58</v>
      </c>
      <c r="E50" s="130">
        <f>SUMIFS(XUẤT!P:P,XUẤT!N:N,CBCNV!B50,XUẤT!O:O,CBCNV!$E$2)</f>
        <v>0</v>
      </c>
      <c r="F50" s="135">
        <f t="shared" si="7"/>
        <v>0</v>
      </c>
      <c r="G50" s="130">
        <f>SUMIFS(XUẤT!Q:Q,XUẤT!N:N,CBCNV!B50,XUẤT!O:O,CBCNV!$G$2)</f>
        <v>0</v>
      </c>
      <c r="H50" s="134">
        <f t="shared" si="8"/>
        <v>0</v>
      </c>
      <c r="I50" s="130">
        <f>SUMIFS(XUẤT!R:R,XUẤT!N:N,CBCNV!B50,XUẤT!O:O,CBCNV!$I$2)</f>
        <v>0</v>
      </c>
      <c r="J50" s="135">
        <f t="shared" si="9"/>
        <v>0</v>
      </c>
      <c r="K50" s="130">
        <f>SUMIFS(XUẤT!S:S,XUẤT!N:N,CBCNV!B50,XUẤT!O:O,CBCNV!$K$2)</f>
        <v>0</v>
      </c>
      <c r="L50" s="135">
        <f t="shared" si="10"/>
        <v>0</v>
      </c>
      <c r="M50" s="130">
        <f>SUMIFS(XUẤT!T:T,XUẤT!N:N,CBCNV!B50,XUẤT!O:O,CBCNV!$M$2)</f>
        <v>0</v>
      </c>
      <c r="N50" s="135">
        <f t="shared" si="11"/>
        <v>0</v>
      </c>
      <c r="O50" s="130">
        <f>SUMIFS(XUẤT!U:U,XUẤT!N:N,CBCNV!B50,XUẤT!O:O,CBCNV!$O$2)</f>
        <v>0</v>
      </c>
      <c r="P50" s="135">
        <f t="shared" si="12"/>
        <v>0</v>
      </c>
      <c r="Q50" s="32"/>
      <c r="R50" s="18"/>
    </row>
    <row r="51" spans="1:20" s="136" customFormat="1" x14ac:dyDescent="0.3">
      <c r="A51" s="133">
        <v>44</v>
      </c>
      <c r="B51" s="10" t="s">
        <v>118</v>
      </c>
      <c r="C51" s="133" t="s">
        <v>119</v>
      </c>
      <c r="D51" s="133" t="s">
        <v>58</v>
      </c>
      <c r="E51" s="130">
        <f>SUMIFS(XUẤT!P:P,XUẤT!N:N,CBCNV!B51,XUẤT!O:O,CBCNV!$E$2)</f>
        <v>0</v>
      </c>
      <c r="F51" s="135">
        <f t="shared" si="7"/>
        <v>0</v>
      </c>
      <c r="G51" s="130">
        <f>SUMIFS(XUẤT!Q:Q,XUẤT!N:N,CBCNV!B51,XUẤT!O:O,CBCNV!$G$2)</f>
        <v>0</v>
      </c>
      <c r="H51" s="134">
        <f t="shared" si="8"/>
        <v>0</v>
      </c>
      <c r="I51" s="130">
        <f>SUMIFS(XUẤT!R:R,XUẤT!N:N,CBCNV!B51,XUẤT!O:O,CBCNV!$I$2)</f>
        <v>0</v>
      </c>
      <c r="J51" s="135">
        <f t="shared" si="9"/>
        <v>0</v>
      </c>
      <c r="K51" s="130">
        <f>SUMIFS(XUẤT!S:S,XUẤT!N:N,CBCNV!B51,XUẤT!O:O,CBCNV!$K$2)</f>
        <v>0</v>
      </c>
      <c r="L51" s="135">
        <f t="shared" si="10"/>
        <v>0</v>
      </c>
      <c r="M51" s="130">
        <f>SUMIFS(XUẤT!T:T,XUẤT!N:N,CBCNV!B51,XUẤT!O:O,CBCNV!$M$2)</f>
        <v>0</v>
      </c>
      <c r="N51" s="135">
        <f t="shared" si="11"/>
        <v>0</v>
      </c>
      <c r="O51" s="130">
        <f>SUMIFS(XUẤT!U:U,XUẤT!N:N,CBCNV!B51,XUẤT!O:O,CBCNV!$O$2)</f>
        <v>0</v>
      </c>
      <c r="P51" s="135">
        <f t="shared" si="12"/>
        <v>0</v>
      </c>
      <c r="Q51" s="32"/>
      <c r="R51" s="18"/>
    </row>
    <row r="52" spans="1:20" s="136" customFormat="1" x14ac:dyDescent="0.3">
      <c r="A52" s="133">
        <v>45</v>
      </c>
      <c r="B52" s="10" t="s">
        <v>120</v>
      </c>
      <c r="C52" s="133" t="s">
        <v>115</v>
      </c>
      <c r="D52" s="133" t="s">
        <v>58</v>
      </c>
      <c r="E52" s="130">
        <f>SUMIFS(XUẤT!P:P,XUẤT!N:N,CBCNV!B52,XUẤT!O:O,CBCNV!$E$2)</f>
        <v>0</v>
      </c>
      <c r="F52" s="135">
        <f t="shared" si="7"/>
        <v>0</v>
      </c>
      <c r="G52" s="130">
        <f>SUMIFS(XUẤT!Q:Q,XUẤT!N:N,CBCNV!B52,XUẤT!O:O,CBCNV!$G$2)</f>
        <v>0</v>
      </c>
      <c r="H52" s="134">
        <f t="shared" si="8"/>
        <v>0</v>
      </c>
      <c r="I52" s="130">
        <f>SUMIFS(XUẤT!R:R,XUẤT!N:N,CBCNV!B52,XUẤT!O:O,CBCNV!$I$2)</f>
        <v>0</v>
      </c>
      <c r="J52" s="135">
        <f t="shared" si="9"/>
        <v>0</v>
      </c>
      <c r="K52" s="130">
        <f>SUMIFS(XUẤT!S:S,XUẤT!N:N,CBCNV!B52,XUẤT!O:O,CBCNV!$K$2)</f>
        <v>0</v>
      </c>
      <c r="L52" s="135">
        <f t="shared" si="10"/>
        <v>0</v>
      </c>
      <c r="M52" s="130">
        <f>SUMIFS(XUẤT!T:T,XUẤT!N:N,CBCNV!B52,XUẤT!O:O,CBCNV!$M$2)</f>
        <v>0</v>
      </c>
      <c r="N52" s="135">
        <f t="shared" si="11"/>
        <v>0</v>
      </c>
      <c r="O52" s="130">
        <f>SUMIFS(XUẤT!U:U,XUẤT!N:N,CBCNV!B52,XUẤT!O:O,CBCNV!$O$2)</f>
        <v>0</v>
      </c>
      <c r="P52" s="135">
        <f t="shared" si="12"/>
        <v>0</v>
      </c>
      <c r="Q52" s="32"/>
      <c r="R52" s="18"/>
    </row>
    <row r="53" spans="1:20" s="136" customFormat="1" x14ac:dyDescent="0.3">
      <c r="A53" s="133">
        <v>46</v>
      </c>
      <c r="B53" s="10" t="s">
        <v>121</v>
      </c>
      <c r="C53" s="133" t="s">
        <v>122</v>
      </c>
      <c r="D53" s="133" t="s">
        <v>58</v>
      </c>
      <c r="E53" s="130">
        <f>SUMIFS(XUẤT!P:P,XUẤT!N:N,CBCNV!B53,XUẤT!O:O,CBCNV!$E$2)</f>
        <v>0</v>
      </c>
      <c r="F53" s="135">
        <f t="shared" si="7"/>
        <v>0</v>
      </c>
      <c r="G53" s="130">
        <f>SUMIFS(XUẤT!Q:Q,XUẤT!N:N,CBCNV!B53,XUẤT!O:O,CBCNV!$G$2)</f>
        <v>0</v>
      </c>
      <c r="H53" s="134">
        <f t="shared" si="8"/>
        <v>0</v>
      </c>
      <c r="I53" s="130">
        <f>SUMIFS(XUẤT!R:R,XUẤT!N:N,CBCNV!B53,XUẤT!O:O,CBCNV!$I$2)</f>
        <v>0</v>
      </c>
      <c r="J53" s="135">
        <f t="shared" si="9"/>
        <v>0</v>
      </c>
      <c r="K53" s="130">
        <f>SUMIFS(XUẤT!S:S,XUẤT!N:N,CBCNV!B53,XUẤT!O:O,CBCNV!$K$2)</f>
        <v>0</v>
      </c>
      <c r="L53" s="135">
        <f t="shared" si="10"/>
        <v>0</v>
      </c>
      <c r="M53" s="130">
        <f>SUMIFS(XUẤT!T:T,XUẤT!N:N,CBCNV!B53,XUẤT!O:O,CBCNV!$M$2)</f>
        <v>0</v>
      </c>
      <c r="N53" s="135">
        <f t="shared" si="11"/>
        <v>0</v>
      </c>
      <c r="O53" s="130">
        <f>SUMIFS(XUẤT!U:U,XUẤT!N:N,CBCNV!B53,XUẤT!O:O,CBCNV!$O$2)</f>
        <v>10</v>
      </c>
      <c r="P53" s="135">
        <f t="shared" si="12"/>
        <v>480000</v>
      </c>
      <c r="Q53" s="32"/>
      <c r="R53" s="18"/>
    </row>
    <row r="54" spans="1:20" s="136" customFormat="1" x14ac:dyDescent="0.3">
      <c r="A54" s="133">
        <v>47</v>
      </c>
      <c r="B54" s="10" t="s">
        <v>123</v>
      </c>
      <c r="C54" s="133" t="s">
        <v>124</v>
      </c>
      <c r="D54" s="133" t="s">
        <v>58</v>
      </c>
      <c r="E54" s="130">
        <f>SUMIFS(XUẤT!P:P,XUẤT!N:N,CBCNV!B54,XUẤT!O:O,CBCNV!$E$2)</f>
        <v>0</v>
      </c>
      <c r="F54" s="135">
        <f t="shared" si="7"/>
        <v>0</v>
      </c>
      <c r="G54" s="130">
        <f>SUMIFS(XUẤT!Q:Q,XUẤT!N:N,CBCNV!B54,XUẤT!O:O,CBCNV!$G$2)</f>
        <v>0</v>
      </c>
      <c r="H54" s="134">
        <f t="shared" si="8"/>
        <v>0</v>
      </c>
      <c r="I54" s="130">
        <f>SUMIFS(XUẤT!R:R,XUẤT!N:N,CBCNV!B54,XUẤT!O:O,CBCNV!$I$2)</f>
        <v>0</v>
      </c>
      <c r="J54" s="135">
        <f t="shared" si="9"/>
        <v>0</v>
      </c>
      <c r="K54" s="130">
        <f>SUMIFS(XUẤT!S:S,XUẤT!N:N,CBCNV!B54,XUẤT!O:O,CBCNV!$K$2)</f>
        <v>0</v>
      </c>
      <c r="L54" s="135">
        <f t="shared" si="10"/>
        <v>0</v>
      </c>
      <c r="M54" s="130">
        <f>SUMIFS(XUẤT!T:T,XUẤT!N:N,CBCNV!B54,XUẤT!O:O,CBCNV!$M$2)</f>
        <v>0</v>
      </c>
      <c r="N54" s="135">
        <f t="shared" si="11"/>
        <v>0</v>
      </c>
      <c r="O54" s="130">
        <f>SUMIFS(XUẤT!U:U,XUẤT!N:N,CBCNV!B54,XUẤT!O:O,CBCNV!$O$2)</f>
        <v>0</v>
      </c>
      <c r="P54" s="135">
        <f t="shared" si="12"/>
        <v>0</v>
      </c>
      <c r="Q54" s="32"/>
      <c r="R54" s="18"/>
    </row>
    <row r="55" spans="1:20" s="136" customFormat="1" x14ac:dyDescent="0.3">
      <c r="A55" s="133">
        <v>48</v>
      </c>
      <c r="B55" s="10" t="s">
        <v>125</v>
      </c>
      <c r="C55" s="133" t="s">
        <v>115</v>
      </c>
      <c r="D55" s="133" t="s">
        <v>58</v>
      </c>
      <c r="E55" s="130">
        <f>SUMIFS(XUẤT!P:P,XUẤT!N:N,CBCNV!B55,XUẤT!O:O,CBCNV!$E$2)</f>
        <v>0</v>
      </c>
      <c r="F55" s="135">
        <f t="shared" si="7"/>
        <v>0</v>
      </c>
      <c r="G55" s="130">
        <f>SUMIFS(XUẤT!Q:Q,XUẤT!N:N,CBCNV!B55,XUẤT!O:O,CBCNV!$G$2)</f>
        <v>0</v>
      </c>
      <c r="H55" s="134">
        <f t="shared" si="8"/>
        <v>0</v>
      </c>
      <c r="I55" s="130">
        <f>SUMIFS(XUẤT!R:R,XUẤT!N:N,CBCNV!B55,XUẤT!O:O,CBCNV!$I$2)</f>
        <v>0</v>
      </c>
      <c r="J55" s="135">
        <f t="shared" si="9"/>
        <v>0</v>
      </c>
      <c r="K55" s="130">
        <f>SUMIFS(XUẤT!S:S,XUẤT!N:N,CBCNV!B55,XUẤT!O:O,CBCNV!$K$2)</f>
        <v>0</v>
      </c>
      <c r="L55" s="135">
        <f t="shared" si="10"/>
        <v>0</v>
      </c>
      <c r="M55" s="130">
        <f>SUMIFS(XUẤT!T:T,XUẤT!N:N,CBCNV!B55,XUẤT!O:O,CBCNV!$M$2)</f>
        <v>0</v>
      </c>
      <c r="N55" s="135">
        <f t="shared" si="11"/>
        <v>0</v>
      </c>
      <c r="O55" s="130">
        <f>SUMIFS(XUẤT!U:U,XUẤT!N:N,CBCNV!B55,XUẤT!O:O,CBCNV!$O$2)</f>
        <v>0</v>
      </c>
      <c r="P55" s="135">
        <f t="shared" si="12"/>
        <v>0</v>
      </c>
      <c r="Q55" s="32"/>
      <c r="R55" s="18"/>
    </row>
    <row r="56" spans="1:20" s="132" customFormat="1" x14ac:dyDescent="0.3">
      <c r="A56" s="133">
        <v>49</v>
      </c>
      <c r="B56" s="10" t="s">
        <v>126</v>
      </c>
      <c r="C56" s="133" t="s">
        <v>127</v>
      </c>
      <c r="D56" s="133" t="s">
        <v>58</v>
      </c>
      <c r="E56" s="130">
        <f>SUMIFS(XUẤT!P:P,XUẤT!N:N,CBCNV!B56,XUẤT!O:O,CBCNV!$E$2)</f>
        <v>0</v>
      </c>
      <c r="F56" s="135">
        <f t="shared" si="7"/>
        <v>0</v>
      </c>
      <c r="G56" s="130">
        <f>SUMIFS(XUẤT!Q:Q,XUẤT!N:N,CBCNV!B56,XUẤT!O:O,CBCNV!$G$2)</f>
        <v>0</v>
      </c>
      <c r="H56" s="134">
        <f t="shared" si="8"/>
        <v>0</v>
      </c>
      <c r="I56" s="130">
        <f>SUMIFS(XUẤT!R:R,XUẤT!N:N,CBCNV!B56,XUẤT!O:O,CBCNV!$I$2)</f>
        <v>0</v>
      </c>
      <c r="J56" s="135">
        <f t="shared" si="9"/>
        <v>0</v>
      </c>
      <c r="K56" s="130">
        <f>SUMIFS(XUẤT!S:S,XUẤT!N:N,CBCNV!B56,XUẤT!O:O,CBCNV!$K$2)</f>
        <v>0</v>
      </c>
      <c r="L56" s="135">
        <f t="shared" si="10"/>
        <v>0</v>
      </c>
      <c r="M56" s="130">
        <f>SUMIFS(XUẤT!T:T,XUẤT!N:N,CBCNV!B56,XUẤT!O:O,CBCNV!$M$2)</f>
        <v>0</v>
      </c>
      <c r="N56" s="135">
        <f t="shared" si="11"/>
        <v>0</v>
      </c>
      <c r="O56" s="130">
        <f>SUMIFS(XUẤT!U:U,XUẤT!N:N,CBCNV!B56,XUẤT!O:O,CBCNV!$O$2)</f>
        <v>0</v>
      </c>
      <c r="P56" s="135">
        <f t="shared" si="12"/>
        <v>0</v>
      </c>
      <c r="Q56" s="32"/>
      <c r="R56" s="18"/>
      <c r="S56" s="136"/>
      <c r="T56" s="136"/>
    </row>
    <row r="57" spans="1:20" s="136" customFormat="1" x14ac:dyDescent="0.3">
      <c r="A57" s="133">
        <v>50</v>
      </c>
      <c r="B57" s="10" t="s">
        <v>34</v>
      </c>
      <c r="C57" s="133" t="s">
        <v>128</v>
      </c>
      <c r="D57" s="133" t="s">
        <v>58</v>
      </c>
      <c r="E57" s="130">
        <f>SUMIFS(XUẤT!P:P,XUẤT!N:N,CBCNV!B57,XUẤT!O:O,CBCNV!$E$2)</f>
        <v>100</v>
      </c>
      <c r="F57" s="135">
        <f t="shared" si="7"/>
        <v>9800000</v>
      </c>
      <c r="G57" s="130">
        <f>SUMIFS(XUẤT!Q:Q,XUẤT!N:N,CBCNV!B57,XUẤT!O:O,CBCNV!$G$2)</f>
        <v>0</v>
      </c>
      <c r="H57" s="134">
        <f t="shared" si="8"/>
        <v>0</v>
      </c>
      <c r="I57" s="130">
        <f>SUMIFS(XUẤT!R:R,XUẤT!N:N,CBCNV!B57,XUẤT!O:O,CBCNV!$I$2)</f>
        <v>0</v>
      </c>
      <c r="J57" s="135">
        <f t="shared" si="9"/>
        <v>0</v>
      </c>
      <c r="K57" s="130">
        <f>SUMIFS(XUẤT!S:S,XUẤT!N:N,CBCNV!B57,XUẤT!O:O,CBCNV!$K$2)</f>
        <v>0</v>
      </c>
      <c r="L57" s="135">
        <f t="shared" si="10"/>
        <v>0</v>
      </c>
      <c r="M57" s="130">
        <f>SUMIFS(XUẤT!T:T,XUẤT!N:N,CBCNV!B57,XUẤT!O:O,CBCNV!$M$2)</f>
        <v>0</v>
      </c>
      <c r="N57" s="135">
        <f t="shared" si="11"/>
        <v>0</v>
      </c>
      <c r="O57" s="130">
        <f>SUMIFS(XUẤT!U:U,XUẤT!N:N,CBCNV!B57,XUẤT!O:O,CBCNV!$O$2)</f>
        <v>0</v>
      </c>
      <c r="P57" s="135">
        <f t="shared" si="12"/>
        <v>0</v>
      </c>
      <c r="Q57" s="32"/>
      <c r="R57" s="18"/>
    </row>
    <row r="58" spans="1:20" s="136" customFormat="1" x14ac:dyDescent="0.3">
      <c r="A58" s="133">
        <v>51</v>
      </c>
      <c r="B58" s="138" t="s">
        <v>129</v>
      </c>
      <c r="C58" s="133" t="s">
        <v>128</v>
      </c>
      <c r="D58" s="133" t="s">
        <v>58</v>
      </c>
      <c r="E58" s="130">
        <f>SUMIFS(XUẤT!P:P,XUẤT!N:N,CBCNV!B58,XUẤT!O:O,CBCNV!$E$2)</f>
        <v>0</v>
      </c>
      <c r="F58" s="135">
        <f t="shared" si="7"/>
        <v>0</v>
      </c>
      <c r="G58" s="130">
        <f>SUMIFS(XUẤT!Q:Q,XUẤT!N:N,CBCNV!B58,XUẤT!O:O,CBCNV!$G$2)</f>
        <v>0</v>
      </c>
      <c r="H58" s="134">
        <f t="shared" si="8"/>
        <v>0</v>
      </c>
      <c r="I58" s="130">
        <f>SUMIFS(XUẤT!R:R,XUẤT!N:N,CBCNV!B58,XUẤT!O:O,CBCNV!$I$2)</f>
        <v>0</v>
      </c>
      <c r="J58" s="135">
        <f t="shared" si="9"/>
        <v>0</v>
      </c>
      <c r="K58" s="130">
        <f>SUMIFS(XUẤT!S:S,XUẤT!N:N,CBCNV!B58,XUẤT!O:O,CBCNV!$K$2)</f>
        <v>0</v>
      </c>
      <c r="L58" s="135">
        <f t="shared" si="10"/>
        <v>0</v>
      </c>
      <c r="M58" s="130">
        <f>SUMIFS(XUẤT!T:T,XUẤT!N:N,CBCNV!B58,XUẤT!O:O,CBCNV!$M$2)</f>
        <v>0</v>
      </c>
      <c r="N58" s="135">
        <f t="shared" si="11"/>
        <v>0</v>
      </c>
      <c r="O58" s="130">
        <f>SUMIFS(XUẤT!U:U,XUẤT!N:N,CBCNV!B58,XUẤT!O:O,CBCNV!$O$2)</f>
        <v>0</v>
      </c>
      <c r="P58" s="135">
        <f t="shared" si="12"/>
        <v>0</v>
      </c>
      <c r="Q58" s="32"/>
      <c r="R58" s="18"/>
    </row>
    <row r="59" spans="1:20" s="136" customFormat="1" x14ac:dyDescent="0.3">
      <c r="A59" s="133">
        <v>52</v>
      </c>
      <c r="B59" s="34" t="s">
        <v>130</v>
      </c>
      <c r="C59" s="137" t="s">
        <v>131</v>
      </c>
      <c r="D59" s="137" t="s">
        <v>132</v>
      </c>
      <c r="E59" s="130">
        <f>SUMIFS(XUẤT!P:P,XUẤT!N:N,CBCNV!B59,XUẤT!O:O,CBCNV!$E$2)</f>
        <v>0</v>
      </c>
      <c r="F59" s="135">
        <f t="shared" si="7"/>
        <v>0</v>
      </c>
      <c r="G59" s="130">
        <f>SUMIFS(XUẤT!Q:Q,XUẤT!N:N,CBCNV!B59,XUẤT!O:O,CBCNV!$G$2)</f>
        <v>0</v>
      </c>
      <c r="H59" s="134">
        <f t="shared" si="8"/>
        <v>0</v>
      </c>
      <c r="I59" s="130">
        <f>SUMIFS(XUẤT!R:R,XUẤT!N:N,CBCNV!B59,XUẤT!O:O,CBCNV!$I$2)</f>
        <v>0</v>
      </c>
      <c r="J59" s="135">
        <f t="shared" si="9"/>
        <v>0</v>
      </c>
      <c r="K59" s="130">
        <f>SUMIFS(XUẤT!S:S,XUẤT!N:N,CBCNV!B59,XUẤT!O:O,CBCNV!$K$2)</f>
        <v>0</v>
      </c>
      <c r="L59" s="135">
        <f t="shared" si="10"/>
        <v>0</v>
      </c>
      <c r="M59" s="130">
        <f>SUMIFS(XUẤT!T:T,XUẤT!N:N,CBCNV!B59,XUẤT!O:O,CBCNV!$M$2)</f>
        <v>0</v>
      </c>
      <c r="N59" s="135">
        <f t="shared" si="11"/>
        <v>0</v>
      </c>
      <c r="O59" s="130">
        <f>SUMIFS(XUẤT!U:U,XUẤT!N:N,CBCNV!B59,XUẤT!O:O,CBCNV!$O$2)</f>
        <v>0</v>
      </c>
      <c r="P59" s="135">
        <f t="shared" si="12"/>
        <v>0</v>
      </c>
      <c r="Q59" s="32"/>
      <c r="R59" s="21"/>
      <c r="S59" s="132"/>
      <c r="T59" s="132"/>
    </row>
    <row r="60" spans="1:20" s="136" customFormat="1" x14ac:dyDescent="0.3">
      <c r="A60" s="133">
        <v>53</v>
      </c>
      <c r="B60" s="10" t="s">
        <v>133</v>
      </c>
      <c r="C60" s="133" t="s">
        <v>134</v>
      </c>
      <c r="D60" s="133" t="s">
        <v>132</v>
      </c>
      <c r="E60" s="130">
        <f>SUMIFS(XUẤT!P:P,XUẤT!N:N,CBCNV!B60,XUẤT!O:O,CBCNV!$E$2)</f>
        <v>0</v>
      </c>
      <c r="F60" s="135">
        <f t="shared" si="7"/>
        <v>0</v>
      </c>
      <c r="G60" s="130">
        <f>SUMIFS(XUẤT!Q:Q,XUẤT!N:N,CBCNV!B60,XUẤT!O:O,CBCNV!$G$2)</f>
        <v>0</v>
      </c>
      <c r="H60" s="134">
        <f t="shared" si="8"/>
        <v>0</v>
      </c>
      <c r="I60" s="130">
        <f>SUMIFS(XUẤT!R:R,XUẤT!N:N,CBCNV!B60,XUẤT!O:O,CBCNV!$I$2)</f>
        <v>0</v>
      </c>
      <c r="J60" s="135">
        <f t="shared" si="9"/>
        <v>0</v>
      </c>
      <c r="K60" s="130">
        <f>SUMIFS(XUẤT!S:S,XUẤT!N:N,CBCNV!B60,XUẤT!O:O,CBCNV!$K$2)</f>
        <v>0</v>
      </c>
      <c r="L60" s="135">
        <f t="shared" si="10"/>
        <v>0</v>
      </c>
      <c r="M60" s="130">
        <f>SUMIFS(XUẤT!T:T,XUẤT!N:N,CBCNV!B60,XUẤT!O:O,CBCNV!$M$2)</f>
        <v>0</v>
      </c>
      <c r="N60" s="135">
        <f t="shared" si="11"/>
        <v>0</v>
      </c>
      <c r="O60" s="130">
        <f>SUMIFS(XUẤT!U:U,XUẤT!N:N,CBCNV!B60,XUẤT!O:O,CBCNV!$O$2)</f>
        <v>0</v>
      </c>
      <c r="P60" s="135">
        <f t="shared" si="12"/>
        <v>0</v>
      </c>
      <c r="Q60" s="32"/>
      <c r="R60" s="18"/>
    </row>
    <row r="61" spans="1:20" s="136" customFormat="1" x14ac:dyDescent="0.3">
      <c r="A61" s="133">
        <v>54</v>
      </c>
      <c r="B61" s="10" t="s">
        <v>39</v>
      </c>
      <c r="C61" s="133" t="s">
        <v>134</v>
      </c>
      <c r="D61" s="133" t="s">
        <v>132</v>
      </c>
      <c r="E61" s="130">
        <f>SUMIFS(XUẤT!P:P,XUẤT!N:N,CBCNV!B61,XUẤT!O:O,CBCNV!$E$2)</f>
        <v>0</v>
      </c>
      <c r="F61" s="135">
        <f t="shared" si="7"/>
        <v>0</v>
      </c>
      <c r="G61" s="130">
        <f>SUMIFS(XUẤT!Q:Q,XUẤT!N:N,CBCNV!B61,XUẤT!O:O,CBCNV!$G$2)</f>
        <v>0</v>
      </c>
      <c r="H61" s="134">
        <f t="shared" si="8"/>
        <v>0</v>
      </c>
      <c r="I61" s="130">
        <f>SUMIFS(XUẤT!R:R,XUẤT!N:N,CBCNV!B61,XUẤT!O:O,CBCNV!$I$2)</f>
        <v>0</v>
      </c>
      <c r="J61" s="135">
        <f t="shared" si="9"/>
        <v>0</v>
      </c>
      <c r="K61" s="130">
        <f>SUMIFS(XUẤT!S:S,XUẤT!N:N,CBCNV!B61,XUẤT!O:O,CBCNV!$K$2)</f>
        <v>0</v>
      </c>
      <c r="L61" s="135">
        <f t="shared" si="10"/>
        <v>0</v>
      </c>
      <c r="M61" s="130">
        <f>SUMIFS(XUẤT!T:T,XUẤT!N:N,CBCNV!B61,XUẤT!O:O,CBCNV!$M$2)</f>
        <v>0</v>
      </c>
      <c r="N61" s="135">
        <f t="shared" si="11"/>
        <v>0</v>
      </c>
      <c r="O61" s="130">
        <f>SUMIFS(XUẤT!U:U,XUẤT!N:N,CBCNV!B61,XUẤT!O:O,CBCNV!$O$2)</f>
        <v>10</v>
      </c>
      <c r="P61" s="135">
        <f t="shared" si="12"/>
        <v>480000</v>
      </c>
      <c r="Q61" s="32"/>
      <c r="R61" s="18"/>
    </row>
    <row r="62" spans="1:20" s="136" customFormat="1" x14ac:dyDescent="0.3">
      <c r="A62" s="133">
        <v>55</v>
      </c>
      <c r="B62" s="10" t="s">
        <v>135</v>
      </c>
      <c r="C62" s="133" t="s">
        <v>79</v>
      </c>
      <c r="D62" s="133" t="s">
        <v>132</v>
      </c>
      <c r="E62" s="130">
        <f>SUMIFS(XUẤT!P:P,XUẤT!N:N,CBCNV!B62,XUẤT!O:O,CBCNV!$E$2)</f>
        <v>0</v>
      </c>
      <c r="F62" s="135">
        <f t="shared" si="7"/>
        <v>0</v>
      </c>
      <c r="G62" s="130">
        <f>SUMIFS(XUẤT!Q:Q,XUẤT!N:N,CBCNV!B62,XUẤT!O:O,CBCNV!$G$2)</f>
        <v>0</v>
      </c>
      <c r="H62" s="134">
        <f t="shared" si="8"/>
        <v>0</v>
      </c>
      <c r="I62" s="130">
        <f>SUMIFS(XUẤT!R:R,XUẤT!N:N,CBCNV!B62,XUẤT!O:O,CBCNV!$I$2)</f>
        <v>0</v>
      </c>
      <c r="J62" s="135">
        <f t="shared" si="9"/>
        <v>0</v>
      </c>
      <c r="K62" s="130">
        <f>SUMIFS(XUẤT!S:S,XUẤT!N:N,CBCNV!B62,XUẤT!O:O,CBCNV!$K$2)</f>
        <v>0</v>
      </c>
      <c r="L62" s="135">
        <f t="shared" si="10"/>
        <v>0</v>
      </c>
      <c r="M62" s="130">
        <f>SUMIFS(XUẤT!T:T,XUẤT!N:N,CBCNV!B62,XUẤT!O:O,CBCNV!$M$2)</f>
        <v>0</v>
      </c>
      <c r="N62" s="135">
        <f t="shared" si="11"/>
        <v>0</v>
      </c>
      <c r="O62" s="130">
        <f>SUMIFS(XUẤT!U:U,XUẤT!N:N,CBCNV!B62,XUẤT!O:O,CBCNV!$O$2)</f>
        <v>0</v>
      </c>
      <c r="P62" s="135">
        <f t="shared" si="12"/>
        <v>0</v>
      </c>
      <c r="Q62" s="32"/>
      <c r="R62" s="18"/>
    </row>
    <row r="63" spans="1:20" s="136" customFormat="1" x14ac:dyDescent="0.3">
      <c r="A63" s="133">
        <v>56</v>
      </c>
      <c r="B63" s="10" t="s">
        <v>136</v>
      </c>
      <c r="C63" s="133" t="s">
        <v>79</v>
      </c>
      <c r="D63" s="133" t="s">
        <v>132</v>
      </c>
      <c r="E63" s="130">
        <f>SUMIFS(XUẤT!P:P,XUẤT!N:N,CBCNV!B63,XUẤT!O:O,CBCNV!$E$2)</f>
        <v>0</v>
      </c>
      <c r="F63" s="135">
        <f t="shared" si="7"/>
        <v>0</v>
      </c>
      <c r="G63" s="130">
        <f>SUMIFS(XUẤT!Q:Q,XUẤT!N:N,CBCNV!B63,XUẤT!O:O,CBCNV!$G$2)</f>
        <v>0</v>
      </c>
      <c r="H63" s="134">
        <f t="shared" si="8"/>
        <v>0</v>
      </c>
      <c r="I63" s="130">
        <f>SUMIFS(XUẤT!R:R,XUẤT!N:N,CBCNV!B63,XUẤT!O:O,CBCNV!$I$2)</f>
        <v>0</v>
      </c>
      <c r="J63" s="135">
        <f t="shared" si="9"/>
        <v>0</v>
      </c>
      <c r="K63" s="130">
        <f>SUMIFS(XUẤT!S:S,XUẤT!N:N,CBCNV!B63,XUẤT!O:O,CBCNV!$K$2)</f>
        <v>0</v>
      </c>
      <c r="L63" s="135">
        <f t="shared" si="10"/>
        <v>0</v>
      </c>
      <c r="M63" s="130">
        <f>SUMIFS(XUẤT!T:T,XUẤT!N:N,CBCNV!B63,XUẤT!O:O,CBCNV!$M$2)</f>
        <v>0</v>
      </c>
      <c r="N63" s="135">
        <f t="shared" si="11"/>
        <v>0</v>
      </c>
      <c r="O63" s="130">
        <f>SUMIFS(XUẤT!U:U,XUẤT!N:N,CBCNV!B63,XUẤT!O:O,CBCNV!$O$2)</f>
        <v>0</v>
      </c>
      <c r="P63" s="135">
        <f t="shared" si="12"/>
        <v>0</v>
      </c>
      <c r="Q63" s="32"/>
      <c r="R63" s="18"/>
    </row>
    <row r="64" spans="1:20" s="136" customFormat="1" x14ac:dyDescent="0.3">
      <c r="A64" s="133">
        <v>57</v>
      </c>
      <c r="B64" s="10" t="s">
        <v>137</v>
      </c>
      <c r="C64" s="133" t="s">
        <v>79</v>
      </c>
      <c r="D64" s="133" t="s">
        <v>132</v>
      </c>
      <c r="E64" s="130">
        <f>SUMIFS(XUẤT!P:P,XUẤT!N:N,CBCNV!B64,XUẤT!O:O,CBCNV!$E$2)</f>
        <v>0</v>
      </c>
      <c r="F64" s="135">
        <f t="shared" si="7"/>
        <v>0</v>
      </c>
      <c r="G64" s="130">
        <f>SUMIFS(XUẤT!Q:Q,XUẤT!N:N,CBCNV!B64,XUẤT!O:O,CBCNV!$G$2)</f>
        <v>0</v>
      </c>
      <c r="H64" s="134">
        <f t="shared" si="8"/>
        <v>0</v>
      </c>
      <c r="I64" s="130">
        <f>SUMIFS(XUẤT!R:R,XUẤT!N:N,CBCNV!B64,XUẤT!O:O,CBCNV!$I$2)</f>
        <v>0</v>
      </c>
      <c r="J64" s="135">
        <f t="shared" si="9"/>
        <v>0</v>
      </c>
      <c r="K64" s="130">
        <f>SUMIFS(XUẤT!S:S,XUẤT!N:N,CBCNV!B64,XUẤT!O:O,CBCNV!$K$2)</f>
        <v>0</v>
      </c>
      <c r="L64" s="135">
        <f t="shared" si="10"/>
        <v>0</v>
      </c>
      <c r="M64" s="130">
        <f>SUMIFS(XUẤT!T:T,XUẤT!N:N,CBCNV!B64,XUẤT!O:O,CBCNV!$M$2)</f>
        <v>0</v>
      </c>
      <c r="N64" s="135">
        <f t="shared" si="11"/>
        <v>0</v>
      </c>
      <c r="O64" s="130">
        <f>SUMIFS(XUẤT!U:U,XUẤT!N:N,CBCNV!B64,XUẤT!O:O,CBCNV!$O$2)</f>
        <v>0</v>
      </c>
      <c r="P64" s="135">
        <f t="shared" si="12"/>
        <v>0</v>
      </c>
      <c r="Q64" s="32"/>
      <c r="R64" s="18"/>
    </row>
    <row r="65" spans="1:20" s="136" customFormat="1" x14ac:dyDescent="0.3">
      <c r="A65" s="133">
        <v>58</v>
      </c>
      <c r="B65" s="10" t="s">
        <v>138</v>
      </c>
      <c r="C65" s="133" t="s">
        <v>79</v>
      </c>
      <c r="D65" s="133" t="s">
        <v>132</v>
      </c>
      <c r="E65" s="130">
        <f>SUMIFS(XUẤT!P:P,XUẤT!N:N,CBCNV!B65,XUẤT!O:O,CBCNV!$E$2)</f>
        <v>0</v>
      </c>
      <c r="F65" s="135">
        <f t="shared" si="7"/>
        <v>0</v>
      </c>
      <c r="G65" s="130">
        <f>SUMIFS(XUẤT!Q:Q,XUẤT!N:N,CBCNV!B65,XUẤT!O:O,CBCNV!$G$2)</f>
        <v>0</v>
      </c>
      <c r="H65" s="134">
        <f t="shared" si="8"/>
        <v>0</v>
      </c>
      <c r="I65" s="130">
        <f>SUMIFS(XUẤT!R:R,XUẤT!N:N,CBCNV!B65,XUẤT!O:O,CBCNV!$I$2)</f>
        <v>0</v>
      </c>
      <c r="J65" s="135">
        <f t="shared" si="9"/>
        <v>0</v>
      </c>
      <c r="K65" s="130">
        <f>SUMIFS(XUẤT!S:S,XUẤT!N:N,CBCNV!B65,XUẤT!O:O,CBCNV!$K$2)</f>
        <v>0</v>
      </c>
      <c r="L65" s="135">
        <f t="shared" si="10"/>
        <v>0</v>
      </c>
      <c r="M65" s="130">
        <f>SUMIFS(XUẤT!T:T,XUẤT!N:N,CBCNV!B65,XUẤT!O:O,CBCNV!$M$2)</f>
        <v>0</v>
      </c>
      <c r="N65" s="135">
        <f t="shared" si="11"/>
        <v>0</v>
      </c>
      <c r="O65" s="130">
        <f>SUMIFS(XUẤT!U:U,XUẤT!N:N,CBCNV!B65,XUẤT!O:O,CBCNV!$O$2)</f>
        <v>0</v>
      </c>
      <c r="P65" s="135">
        <f t="shared" si="12"/>
        <v>0</v>
      </c>
      <c r="Q65" s="32"/>
      <c r="R65" s="18"/>
    </row>
    <row r="66" spans="1:20" s="136" customFormat="1" x14ac:dyDescent="0.3">
      <c r="A66" s="133">
        <v>59</v>
      </c>
      <c r="B66" s="10" t="s">
        <v>139</v>
      </c>
      <c r="C66" s="133" t="s">
        <v>79</v>
      </c>
      <c r="D66" s="133" t="s">
        <v>132</v>
      </c>
      <c r="E66" s="130">
        <f>SUMIFS(XUẤT!P:P,XUẤT!N:N,CBCNV!B66,XUẤT!O:O,CBCNV!$E$2)</f>
        <v>0</v>
      </c>
      <c r="F66" s="135">
        <f t="shared" si="7"/>
        <v>0</v>
      </c>
      <c r="G66" s="130">
        <f>SUMIFS(XUẤT!Q:Q,XUẤT!N:N,CBCNV!B66,XUẤT!O:O,CBCNV!$G$2)</f>
        <v>0</v>
      </c>
      <c r="H66" s="134">
        <f t="shared" si="8"/>
        <v>0</v>
      </c>
      <c r="I66" s="130">
        <f>SUMIFS(XUẤT!R:R,XUẤT!N:N,CBCNV!B66,XUẤT!O:O,CBCNV!$I$2)</f>
        <v>0</v>
      </c>
      <c r="J66" s="135">
        <f t="shared" si="9"/>
        <v>0</v>
      </c>
      <c r="K66" s="130">
        <f>SUMIFS(XUẤT!S:S,XUẤT!N:N,CBCNV!B66,XUẤT!O:O,CBCNV!$K$2)</f>
        <v>0</v>
      </c>
      <c r="L66" s="135">
        <f t="shared" si="10"/>
        <v>0</v>
      </c>
      <c r="M66" s="130">
        <f>SUMIFS(XUẤT!T:T,XUẤT!N:N,CBCNV!B66,XUẤT!O:O,CBCNV!$M$2)</f>
        <v>0</v>
      </c>
      <c r="N66" s="135">
        <f t="shared" si="11"/>
        <v>0</v>
      </c>
      <c r="O66" s="130">
        <f>SUMIFS(XUẤT!U:U,XUẤT!N:N,CBCNV!B66,XUẤT!O:O,CBCNV!$O$2)</f>
        <v>0</v>
      </c>
      <c r="P66" s="135">
        <f t="shared" si="12"/>
        <v>0</v>
      </c>
      <c r="Q66" s="32"/>
      <c r="R66" s="18"/>
    </row>
    <row r="67" spans="1:20" s="136" customFormat="1" x14ac:dyDescent="0.3">
      <c r="A67" s="133">
        <v>60</v>
      </c>
      <c r="B67" s="10" t="s">
        <v>140</v>
      </c>
      <c r="C67" s="133" t="s">
        <v>79</v>
      </c>
      <c r="D67" s="133" t="s">
        <v>132</v>
      </c>
      <c r="E67" s="130">
        <f>SUMIFS(XUẤT!P:P,XUẤT!N:N,CBCNV!B67,XUẤT!O:O,CBCNV!$E$2)</f>
        <v>0</v>
      </c>
      <c r="F67" s="135">
        <f t="shared" si="7"/>
        <v>0</v>
      </c>
      <c r="G67" s="130">
        <f>SUMIFS(XUẤT!Q:Q,XUẤT!N:N,CBCNV!B67,XUẤT!O:O,CBCNV!$G$2)</f>
        <v>0</v>
      </c>
      <c r="H67" s="134">
        <f t="shared" si="8"/>
        <v>0</v>
      </c>
      <c r="I67" s="130">
        <f>SUMIFS(XUẤT!R:R,XUẤT!N:N,CBCNV!B67,XUẤT!O:O,CBCNV!$I$2)</f>
        <v>0</v>
      </c>
      <c r="J67" s="135">
        <f t="shared" si="9"/>
        <v>0</v>
      </c>
      <c r="K67" s="130">
        <f>SUMIFS(XUẤT!S:S,XUẤT!N:N,CBCNV!B67,XUẤT!O:O,CBCNV!$K$2)</f>
        <v>0</v>
      </c>
      <c r="L67" s="135">
        <f t="shared" si="10"/>
        <v>0</v>
      </c>
      <c r="M67" s="130">
        <f>SUMIFS(XUẤT!T:T,XUẤT!N:N,CBCNV!B67,XUẤT!O:O,CBCNV!$M$2)</f>
        <v>0</v>
      </c>
      <c r="N67" s="135">
        <f t="shared" si="11"/>
        <v>0</v>
      </c>
      <c r="O67" s="130">
        <f>SUMIFS(XUẤT!U:U,XUẤT!N:N,CBCNV!B67,XUẤT!O:O,CBCNV!$O$2)</f>
        <v>0</v>
      </c>
      <c r="P67" s="135">
        <f t="shared" si="12"/>
        <v>0</v>
      </c>
      <c r="Q67" s="32"/>
      <c r="R67" s="18"/>
    </row>
    <row r="68" spans="1:20" s="136" customFormat="1" x14ac:dyDescent="0.3">
      <c r="A68" s="133">
        <v>61</v>
      </c>
      <c r="B68" s="10" t="s">
        <v>141</v>
      </c>
      <c r="C68" s="133" t="s">
        <v>142</v>
      </c>
      <c r="D68" s="133" t="s">
        <v>132</v>
      </c>
      <c r="E68" s="130">
        <f>SUMIFS(XUẤT!P:P,XUẤT!N:N,CBCNV!B68,XUẤT!O:O,CBCNV!$E$2)</f>
        <v>0</v>
      </c>
      <c r="F68" s="135">
        <f t="shared" si="7"/>
        <v>0</v>
      </c>
      <c r="G68" s="130">
        <f>SUMIFS(XUẤT!Q:Q,XUẤT!N:N,CBCNV!B68,XUẤT!O:O,CBCNV!$G$2)</f>
        <v>0</v>
      </c>
      <c r="H68" s="134">
        <f t="shared" si="8"/>
        <v>0</v>
      </c>
      <c r="I68" s="130">
        <f>SUMIFS(XUẤT!R:R,XUẤT!N:N,CBCNV!B68,XUẤT!O:O,CBCNV!$I$2)</f>
        <v>0</v>
      </c>
      <c r="J68" s="135">
        <f t="shared" si="9"/>
        <v>0</v>
      </c>
      <c r="K68" s="130">
        <f>SUMIFS(XUẤT!S:S,XUẤT!N:N,CBCNV!B68,XUẤT!O:O,CBCNV!$K$2)</f>
        <v>0</v>
      </c>
      <c r="L68" s="135">
        <f t="shared" si="10"/>
        <v>0</v>
      </c>
      <c r="M68" s="130">
        <f>SUMIFS(XUẤT!T:T,XUẤT!N:N,CBCNV!B68,XUẤT!O:O,CBCNV!$M$2)</f>
        <v>0</v>
      </c>
      <c r="N68" s="135">
        <f t="shared" si="11"/>
        <v>0</v>
      </c>
      <c r="O68" s="130">
        <f>SUMIFS(XUẤT!U:U,XUẤT!N:N,CBCNV!B68,XUẤT!O:O,CBCNV!$O$2)</f>
        <v>0</v>
      </c>
      <c r="P68" s="135">
        <f t="shared" si="12"/>
        <v>0</v>
      </c>
      <c r="Q68" s="32"/>
      <c r="R68" s="18"/>
    </row>
    <row r="69" spans="1:20" s="136" customFormat="1" x14ac:dyDescent="0.3">
      <c r="A69" s="133">
        <v>62</v>
      </c>
      <c r="B69" s="10" t="s">
        <v>143</v>
      </c>
      <c r="C69" s="133" t="s">
        <v>142</v>
      </c>
      <c r="D69" s="133" t="s">
        <v>132</v>
      </c>
      <c r="E69" s="130">
        <f>SUMIFS(XUẤT!P:P,XUẤT!N:N,CBCNV!B69,XUẤT!O:O,CBCNV!$E$2)</f>
        <v>0</v>
      </c>
      <c r="F69" s="135">
        <f t="shared" si="7"/>
        <v>0</v>
      </c>
      <c r="G69" s="130">
        <f>SUMIFS(XUẤT!Q:Q,XUẤT!N:N,CBCNV!B69,XUẤT!O:O,CBCNV!$G$2)</f>
        <v>0</v>
      </c>
      <c r="H69" s="134">
        <f t="shared" si="8"/>
        <v>0</v>
      </c>
      <c r="I69" s="130">
        <f>SUMIFS(XUẤT!R:R,XUẤT!N:N,CBCNV!B69,XUẤT!O:O,CBCNV!$I$2)</f>
        <v>0</v>
      </c>
      <c r="J69" s="135">
        <f t="shared" si="9"/>
        <v>0</v>
      </c>
      <c r="K69" s="130">
        <f>SUMIFS(XUẤT!S:S,XUẤT!N:N,CBCNV!B69,XUẤT!O:O,CBCNV!$K$2)</f>
        <v>0</v>
      </c>
      <c r="L69" s="135">
        <f t="shared" si="10"/>
        <v>0</v>
      </c>
      <c r="M69" s="130">
        <f>SUMIFS(XUẤT!T:T,XUẤT!N:N,CBCNV!B69,XUẤT!O:O,CBCNV!$M$2)</f>
        <v>0</v>
      </c>
      <c r="N69" s="135">
        <f t="shared" si="11"/>
        <v>0</v>
      </c>
      <c r="O69" s="130">
        <f>SUMIFS(XUẤT!U:U,XUẤT!N:N,CBCNV!B69,XUẤT!O:O,CBCNV!$O$2)</f>
        <v>0</v>
      </c>
      <c r="P69" s="135">
        <f t="shared" si="12"/>
        <v>0</v>
      </c>
      <c r="Q69" s="32"/>
      <c r="R69" s="18"/>
    </row>
    <row r="70" spans="1:20" s="136" customFormat="1" x14ac:dyDescent="0.3">
      <c r="A70" s="133">
        <v>63</v>
      </c>
      <c r="B70" s="10" t="s">
        <v>144</v>
      </c>
      <c r="C70" s="133" t="s">
        <v>142</v>
      </c>
      <c r="D70" s="133" t="s">
        <v>132</v>
      </c>
      <c r="E70" s="130">
        <f>SUMIFS(XUẤT!P:P,XUẤT!N:N,CBCNV!B70,XUẤT!O:O,CBCNV!$E$2)</f>
        <v>0</v>
      </c>
      <c r="F70" s="135">
        <f t="shared" si="7"/>
        <v>0</v>
      </c>
      <c r="G70" s="130">
        <f>SUMIFS(XUẤT!Q:Q,XUẤT!N:N,CBCNV!B70,XUẤT!O:O,CBCNV!$G$2)</f>
        <v>0</v>
      </c>
      <c r="H70" s="134">
        <f t="shared" si="8"/>
        <v>0</v>
      </c>
      <c r="I70" s="130">
        <f>SUMIFS(XUẤT!R:R,XUẤT!N:N,CBCNV!B70,XUẤT!O:O,CBCNV!$I$2)</f>
        <v>0</v>
      </c>
      <c r="J70" s="135">
        <f t="shared" si="9"/>
        <v>0</v>
      </c>
      <c r="K70" s="130">
        <f>SUMIFS(XUẤT!S:S,XUẤT!N:N,CBCNV!B70,XUẤT!O:O,CBCNV!$K$2)</f>
        <v>0</v>
      </c>
      <c r="L70" s="135">
        <f t="shared" si="10"/>
        <v>0</v>
      </c>
      <c r="M70" s="130">
        <f>SUMIFS(XUẤT!T:T,XUẤT!N:N,CBCNV!B70,XUẤT!O:O,CBCNV!$M$2)</f>
        <v>0</v>
      </c>
      <c r="N70" s="135">
        <f t="shared" si="11"/>
        <v>0</v>
      </c>
      <c r="O70" s="130">
        <f>SUMIFS(XUẤT!U:U,XUẤT!N:N,CBCNV!B70,XUẤT!O:O,CBCNV!$O$2)</f>
        <v>0</v>
      </c>
      <c r="P70" s="135">
        <f t="shared" si="12"/>
        <v>0</v>
      </c>
      <c r="Q70" s="32"/>
      <c r="R70" s="18"/>
    </row>
    <row r="71" spans="1:20" s="132" customFormat="1" x14ac:dyDescent="0.3">
      <c r="A71" s="133">
        <v>64</v>
      </c>
      <c r="B71" s="10" t="s">
        <v>145</v>
      </c>
      <c r="C71" s="133" t="s">
        <v>142</v>
      </c>
      <c r="D71" s="133" t="s">
        <v>132</v>
      </c>
      <c r="E71" s="130">
        <f>SUMIFS(XUẤT!P:P,XUẤT!N:N,CBCNV!B71,XUẤT!O:O,CBCNV!$E$2)</f>
        <v>0</v>
      </c>
      <c r="F71" s="135">
        <f t="shared" ref="F71:F102" si="13">E71*$T$10</f>
        <v>0</v>
      </c>
      <c r="G71" s="130">
        <f>SUMIFS(XUẤT!Q:Q,XUẤT!N:N,CBCNV!B71,XUẤT!O:O,CBCNV!$G$2)</f>
        <v>0</v>
      </c>
      <c r="H71" s="134">
        <f t="shared" ref="H71:H102" si="14">G71*$T$8</f>
        <v>0</v>
      </c>
      <c r="I71" s="130">
        <f>SUMIFS(XUẤT!R:R,XUẤT!N:N,CBCNV!B71,XUẤT!O:O,CBCNV!$I$2)</f>
        <v>0</v>
      </c>
      <c r="J71" s="135">
        <f t="shared" ref="J71:J102" si="15">I71*$T$9</f>
        <v>0</v>
      </c>
      <c r="K71" s="130">
        <f>SUMIFS(XUẤT!S:S,XUẤT!N:N,CBCNV!B71,XUẤT!O:O,CBCNV!$K$2)</f>
        <v>0</v>
      </c>
      <c r="L71" s="135">
        <f t="shared" ref="L71:L102" si="16">K71*$T$11</f>
        <v>0</v>
      </c>
      <c r="M71" s="130">
        <f>SUMIFS(XUẤT!T:T,XUẤT!N:N,CBCNV!B71,XUẤT!O:O,CBCNV!$M$2)</f>
        <v>0</v>
      </c>
      <c r="N71" s="135">
        <f t="shared" ref="N71:N102" si="17">M71*$T$12</f>
        <v>0</v>
      </c>
      <c r="O71" s="130">
        <f>SUMIFS(XUẤT!U:U,XUẤT!N:N,CBCNV!B71,XUẤT!O:O,CBCNV!$O$2)</f>
        <v>0</v>
      </c>
      <c r="P71" s="135">
        <f t="shared" ref="P71:P102" si="18">O71*$T$13</f>
        <v>0</v>
      </c>
      <c r="Q71" s="32"/>
      <c r="R71" s="18"/>
      <c r="S71" s="136"/>
      <c r="T71" s="136"/>
    </row>
    <row r="72" spans="1:20" s="136" customFormat="1" x14ac:dyDescent="0.3">
      <c r="A72" s="133">
        <v>65</v>
      </c>
      <c r="B72" s="10" t="s">
        <v>146</v>
      </c>
      <c r="C72" s="133" t="s">
        <v>142</v>
      </c>
      <c r="D72" s="133" t="s">
        <v>132</v>
      </c>
      <c r="E72" s="130">
        <f>SUMIFS(XUẤT!P:P,XUẤT!N:N,CBCNV!B72,XUẤT!O:O,CBCNV!$E$2)</f>
        <v>20</v>
      </c>
      <c r="F72" s="135">
        <f t="shared" si="13"/>
        <v>1960000</v>
      </c>
      <c r="G72" s="130">
        <f>SUMIFS(XUẤT!Q:Q,XUẤT!N:N,CBCNV!B72,XUẤT!O:O,CBCNV!$G$2)</f>
        <v>0</v>
      </c>
      <c r="H72" s="134">
        <f t="shared" si="14"/>
        <v>0</v>
      </c>
      <c r="I72" s="130">
        <f>SUMIFS(XUẤT!R:R,XUẤT!N:N,CBCNV!B72,XUẤT!O:O,CBCNV!$I$2)</f>
        <v>0</v>
      </c>
      <c r="J72" s="135">
        <f t="shared" si="15"/>
        <v>0</v>
      </c>
      <c r="K72" s="130">
        <f>SUMIFS(XUẤT!S:S,XUẤT!N:N,CBCNV!B72,XUẤT!O:O,CBCNV!$K$2)</f>
        <v>0</v>
      </c>
      <c r="L72" s="135">
        <f t="shared" si="16"/>
        <v>0</v>
      </c>
      <c r="M72" s="130">
        <f>SUMIFS(XUẤT!T:T,XUẤT!N:N,CBCNV!B72,XUẤT!O:O,CBCNV!$M$2)</f>
        <v>0</v>
      </c>
      <c r="N72" s="135">
        <f t="shared" si="17"/>
        <v>0</v>
      </c>
      <c r="O72" s="130">
        <f>SUMIFS(XUẤT!U:U,XUẤT!N:N,CBCNV!B72,XUẤT!O:O,CBCNV!$O$2)</f>
        <v>0</v>
      </c>
      <c r="P72" s="135">
        <f t="shared" si="18"/>
        <v>0</v>
      </c>
      <c r="Q72" s="32"/>
      <c r="R72" s="18"/>
    </row>
    <row r="73" spans="1:20" s="136" customFormat="1" x14ac:dyDescent="0.3">
      <c r="A73" s="133">
        <v>66</v>
      </c>
      <c r="B73" s="138" t="s">
        <v>147</v>
      </c>
      <c r="C73" s="133" t="s">
        <v>148</v>
      </c>
      <c r="D73" s="133" t="s">
        <v>132</v>
      </c>
      <c r="E73" s="130">
        <f>SUMIFS(XUẤT!P:P,XUẤT!N:N,CBCNV!B73,XUẤT!O:O,CBCNV!$E$2)</f>
        <v>0</v>
      </c>
      <c r="F73" s="135">
        <f t="shared" si="13"/>
        <v>0</v>
      </c>
      <c r="G73" s="130">
        <f>SUMIFS(XUẤT!Q:Q,XUẤT!N:N,CBCNV!B73,XUẤT!O:O,CBCNV!$G$2)</f>
        <v>0</v>
      </c>
      <c r="H73" s="134">
        <f t="shared" si="14"/>
        <v>0</v>
      </c>
      <c r="I73" s="130">
        <f>SUMIFS(XUẤT!R:R,XUẤT!N:N,CBCNV!B73,XUẤT!O:O,CBCNV!$I$2)</f>
        <v>0</v>
      </c>
      <c r="J73" s="135">
        <f t="shared" si="15"/>
        <v>0</v>
      </c>
      <c r="K73" s="130">
        <f>SUMIFS(XUẤT!S:S,XUẤT!N:N,CBCNV!B73,XUẤT!O:O,CBCNV!$K$2)</f>
        <v>0</v>
      </c>
      <c r="L73" s="135">
        <f t="shared" si="16"/>
        <v>0</v>
      </c>
      <c r="M73" s="130">
        <f>SUMIFS(XUẤT!T:T,XUẤT!N:N,CBCNV!B73,XUẤT!O:O,CBCNV!$M$2)</f>
        <v>0</v>
      </c>
      <c r="N73" s="135">
        <f t="shared" si="17"/>
        <v>0</v>
      </c>
      <c r="O73" s="130">
        <f>SUMIFS(XUẤT!U:U,XUẤT!N:N,CBCNV!B73,XUẤT!O:O,CBCNV!$O$2)</f>
        <v>0</v>
      </c>
      <c r="P73" s="135">
        <f t="shared" si="18"/>
        <v>0</v>
      </c>
      <c r="Q73" s="32"/>
      <c r="R73" s="18"/>
    </row>
    <row r="74" spans="1:20" s="136" customFormat="1" x14ac:dyDescent="0.3">
      <c r="A74" s="133">
        <v>67</v>
      </c>
      <c r="B74" s="34" t="s">
        <v>149</v>
      </c>
      <c r="C74" s="137" t="s">
        <v>150</v>
      </c>
      <c r="D74" s="137" t="s">
        <v>151</v>
      </c>
      <c r="E74" s="130">
        <f>SUMIFS(XUẤT!P:P,XUẤT!N:N,CBCNV!B74,XUẤT!O:O,CBCNV!$E$2)</f>
        <v>0</v>
      </c>
      <c r="F74" s="135">
        <f t="shared" si="13"/>
        <v>0</v>
      </c>
      <c r="G74" s="130">
        <f>SUMIFS(XUẤT!Q:Q,XUẤT!N:N,CBCNV!B74,XUẤT!O:O,CBCNV!$G$2)</f>
        <v>0</v>
      </c>
      <c r="H74" s="134">
        <f t="shared" si="14"/>
        <v>0</v>
      </c>
      <c r="I74" s="130">
        <f>SUMIFS(XUẤT!R:R,XUẤT!N:N,CBCNV!B74,XUẤT!O:O,CBCNV!$I$2)</f>
        <v>0</v>
      </c>
      <c r="J74" s="135">
        <f t="shared" si="15"/>
        <v>0</v>
      </c>
      <c r="K74" s="130">
        <f>SUMIFS(XUẤT!S:S,XUẤT!N:N,CBCNV!B74,XUẤT!O:O,CBCNV!$K$2)</f>
        <v>0</v>
      </c>
      <c r="L74" s="135">
        <f t="shared" si="16"/>
        <v>0</v>
      </c>
      <c r="M74" s="130">
        <f>SUMIFS(XUẤT!T:T,XUẤT!N:N,CBCNV!B74,XUẤT!O:O,CBCNV!$M$2)</f>
        <v>0</v>
      </c>
      <c r="N74" s="135">
        <f t="shared" si="17"/>
        <v>0</v>
      </c>
      <c r="O74" s="130">
        <f>SUMIFS(XUẤT!U:U,XUẤT!N:N,CBCNV!B74,XUẤT!O:O,CBCNV!$O$2)</f>
        <v>0</v>
      </c>
      <c r="P74" s="135">
        <f t="shared" si="18"/>
        <v>0</v>
      </c>
      <c r="Q74" s="32"/>
      <c r="R74" s="21"/>
      <c r="S74" s="132"/>
      <c r="T74" s="132"/>
    </row>
    <row r="75" spans="1:20" s="136" customFormat="1" x14ac:dyDescent="0.3">
      <c r="A75" s="133">
        <v>68</v>
      </c>
      <c r="B75" s="10" t="s">
        <v>152</v>
      </c>
      <c r="C75" s="133" t="s">
        <v>153</v>
      </c>
      <c r="D75" s="133" t="s">
        <v>151</v>
      </c>
      <c r="E75" s="130">
        <f>SUMIFS(XUẤT!P:P,XUẤT!N:N,CBCNV!B75,XUẤT!O:O,CBCNV!$E$2)</f>
        <v>0</v>
      </c>
      <c r="F75" s="135">
        <f t="shared" si="13"/>
        <v>0</v>
      </c>
      <c r="G75" s="130">
        <f>SUMIFS(XUẤT!Q:Q,XUẤT!N:N,CBCNV!B75,XUẤT!O:O,CBCNV!$G$2)</f>
        <v>0</v>
      </c>
      <c r="H75" s="134">
        <f t="shared" si="14"/>
        <v>0</v>
      </c>
      <c r="I75" s="130">
        <f>SUMIFS(XUẤT!R:R,XUẤT!N:N,CBCNV!B75,XUẤT!O:O,CBCNV!$I$2)</f>
        <v>0</v>
      </c>
      <c r="J75" s="135">
        <f t="shared" si="15"/>
        <v>0</v>
      </c>
      <c r="K75" s="130">
        <f>SUMIFS(XUẤT!S:S,XUẤT!N:N,CBCNV!B75,XUẤT!O:O,CBCNV!$K$2)</f>
        <v>0</v>
      </c>
      <c r="L75" s="135">
        <f t="shared" si="16"/>
        <v>0</v>
      </c>
      <c r="M75" s="130">
        <f>SUMIFS(XUẤT!T:T,XUẤT!N:N,CBCNV!B75,XUẤT!O:O,CBCNV!$M$2)</f>
        <v>0</v>
      </c>
      <c r="N75" s="135">
        <f t="shared" si="17"/>
        <v>0</v>
      </c>
      <c r="O75" s="130">
        <f>SUMIFS(XUẤT!U:U,XUẤT!N:N,CBCNV!B75,XUẤT!O:O,CBCNV!$O$2)</f>
        <v>0</v>
      </c>
      <c r="P75" s="135">
        <f t="shared" si="18"/>
        <v>0</v>
      </c>
      <c r="Q75" s="32"/>
      <c r="R75" s="18"/>
    </row>
    <row r="76" spans="1:20" s="136" customFormat="1" x14ac:dyDescent="0.3">
      <c r="A76" s="133">
        <v>69</v>
      </c>
      <c r="B76" s="10" t="s">
        <v>154</v>
      </c>
      <c r="C76" s="133" t="s">
        <v>153</v>
      </c>
      <c r="D76" s="133" t="s">
        <v>151</v>
      </c>
      <c r="E76" s="130">
        <f>SUMIFS(XUẤT!P:P,XUẤT!N:N,CBCNV!B76,XUẤT!O:O,CBCNV!$E$2)</f>
        <v>0</v>
      </c>
      <c r="F76" s="135">
        <f t="shared" si="13"/>
        <v>0</v>
      </c>
      <c r="G76" s="130">
        <f>SUMIFS(XUẤT!Q:Q,XUẤT!N:N,CBCNV!B76,XUẤT!O:O,CBCNV!$G$2)</f>
        <v>0</v>
      </c>
      <c r="H76" s="134">
        <f t="shared" si="14"/>
        <v>0</v>
      </c>
      <c r="I76" s="130">
        <f>SUMIFS(XUẤT!R:R,XUẤT!N:N,CBCNV!B76,XUẤT!O:O,CBCNV!$I$2)</f>
        <v>0</v>
      </c>
      <c r="J76" s="135">
        <f t="shared" si="15"/>
        <v>0</v>
      </c>
      <c r="K76" s="130">
        <f>SUMIFS(XUẤT!S:S,XUẤT!N:N,CBCNV!B76,XUẤT!O:O,CBCNV!$K$2)</f>
        <v>0</v>
      </c>
      <c r="L76" s="135">
        <f t="shared" si="16"/>
        <v>0</v>
      </c>
      <c r="M76" s="130">
        <f>SUMIFS(XUẤT!T:T,XUẤT!N:N,CBCNV!B76,XUẤT!O:O,CBCNV!$M$2)</f>
        <v>0</v>
      </c>
      <c r="N76" s="135">
        <f t="shared" si="17"/>
        <v>0</v>
      </c>
      <c r="O76" s="130">
        <f>SUMIFS(XUẤT!U:U,XUẤT!N:N,CBCNV!B76,XUẤT!O:O,CBCNV!$O$2)</f>
        <v>0</v>
      </c>
      <c r="P76" s="135">
        <f t="shared" si="18"/>
        <v>0</v>
      </c>
      <c r="Q76" s="32"/>
      <c r="R76" s="18"/>
    </row>
    <row r="77" spans="1:20" s="136" customFormat="1" x14ac:dyDescent="0.3">
      <c r="A77" s="133">
        <v>70</v>
      </c>
      <c r="B77" s="10" t="s">
        <v>155</v>
      </c>
      <c r="C77" s="133" t="s">
        <v>79</v>
      </c>
      <c r="D77" s="133" t="s">
        <v>151</v>
      </c>
      <c r="E77" s="130">
        <f>SUMIFS(XUẤT!P:P,XUẤT!N:N,CBCNV!B77,XUẤT!O:O,CBCNV!$E$2)</f>
        <v>0</v>
      </c>
      <c r="F77" s="135">
        <f t="shared" si="13"/>
        <v>0</v>
      </c>
      <c r="G77" s="130">
        <f>SUMIFS(XUẤT!Q:Q,XUẤT!N:N,CBCNV!B77,XUẤT!O:O,CBCNV!$G$2)</f>
        <v>0</v>
      </c>
      <c r="H77" s="134">
        <f t="shared" si="14"/>
        <v>0</v>
      </c>
      <c r="I77" s="130">
        <f>SUMIFS(XUẤT!R:R,XUẤT!N:N,CBCNV!B77,XUẤT!O:O,CBCNV!$I$2)</f>
        <v>0</v>
      </c>
      <c r="J77" s="135">
        <f t="shared" si="15"/>
        <v>0</v>
      </c>
      <c r="K77" s="130">
        <f>SUMIFS(XUẤT!S:S,XUẤT!N:N,CBCNV!B77,XUẤT!O:O,CBCNV!$K$2)</f>
        <v>0</v>
      </c>
      <c r="L77" s="135">
        <f t="shared" si="16"/>
        <v>0</v>
      </c>
      <c r="M77" s="130">
        <f>SUMIFS(XUẤT!T:T,XUẤT!N:N,CBCNV!B77,XUẤT!O:O,CBCNV!$M$2)</f>
        <v>0</v>
      </c>
      <c r="N77" s="135">
        <f t="shared" si="17"/>
        <v>0</v>
      </c>
      <c r="O77" s="130">
        <f>SUMIFS(XUẤT!U:U,XUẤT!N:N,CBCNV!B77,XUẤT!O:O,CBCNV!$O$2)</f>
        <v>0</v>
      </c>
      <c r="P77" s="135">
        <f t="shared" si="18"/>
        <v>0</v>
      </c>
      <c r="Q77" s="32"/>
      <c r="R77" s="18"/>
    </row>
    <row r="78" spans="1:20" s="136" customFormat="1" x14ac:dyDescent="0.3">
      <c r="A78" s="133">
        <v>71</v>
      </c>
      <c r="B78" s="10" t="s">
        <v>156</v>
      </c>
      <c r="C78" s="133" t="s">
        <v>79</v>
      </c>
      <c r="D78" s="133" t="s">
        <v>151</v>
      </c>
      <c r="E78" s="130">
        <f>SUMIFS(XUẤT!P:P,XUẤT!N:N,CBCNV!B78,XUẤT!O:O,CBCNV!$E$2)</f>
        <v>0</v>
      </c>
      <c r="F78" s="135">
        <f t="shared" si="13"/>
        <v>0</v>
      </c>
      <c r="G78" s="130">
        <f>SUMIFS(XUẤT!Q:Q,XUẤT!N:N,CBCNV!B78,XUẤT!O:O,CBCNV!$G$2)</f>
        <v>0</v>
      </c>
      <c r="H78" s="134">
        <f t="shared" si="14"/>
        <v>0</v>
      </c>
      <c r="I78" s="130">
        <f>SUMIFS(XUẤT!R:R,XUẤT!N:N,CBCNV!B78,XUẤT!O:O,CBCNV!$I$2)</f>
        <v>0</v>
      </c>
      <c r="J78" s="135">
        <f t="shared" si="15"/>
        <v>0</v>
      </c>
      <c r="K78" s="130">
        <f>SUMIFS(XUẤT!S:S,XUẤT!N:N,CBCNV!B78,XUẤT!O:O,CBCNV!$K$2)</f>
        <v>0</v>
      </c>
      <c r="L78" s="135">
        <f t="shared" si="16"/>
        <v>0</v>
      </c>
      <c r="M78" s="130">
        <f>SUMIFS(XUẤT!T:T,XUẤT!N:N,CBCNV!B78,XUẤT!O:O,CBCNV!$M$2)</f>
        <v>0</v>
      </c>
      <c r="N78" s="135">
        <f t="shared" si="17"/>
        <v>0</v>
      </c>
      <c r="O78" s="130">
        <f>SUMIFS(XUẤT!U:U,XUẤT!N:N,CBCNV!B78,XUẤT!O:O,CBCNV!$O$2)</f>
        <v>0</v>
      </c>
      <c r="P78" s="135">
        <f t="shared" si="18"/>
        <v>0</v>
      </c>
      <c r="Q78" s="32"/>
      <c r="R78" s="18"/>
    </row>
    <row r="79" spans="1:20" s="136" customFormat="1" x14ac:dyDescent="0.3">
      <c r="A79" s="133">
        <v>72</v>
      </c>
      <c r="B79" s="10" t="s">
        <v>157</v>
      </c>
      <c r="C79" s="133" t="s">
        <v>79</v>
      </c>
      <c r="D79" s="133" t="s">
        <v>151</v>
      </c>
      <c r="E79" s="130">
        <f>SUMIFS(XUẤT!P:P,XUẤT!N:N,CBCNV!B79,XUẤT!O:O,CBCNV!$E$2)</f>
        <v>0</v>
      </c>
      <c r="F79" s="135">
        <f t="shared" si="13"/>
        <v>0</v>
      </c>
      <c r="G79" s="130">
        <f>SUMIFS(XUẤT!Q:Q,XUẤT!N:N,CBCNV!B79,XUẤT!O:O,CBCNV!$G$2)</f>
        <v>0</v>
      </c>
      <c r="H79" s="134">
        <f t="shared" si="14"/>
        <v>0</v>
      </c>
      <c r="I79" s="130">
        <f>SUMIFS(XUẤT!R:R,XUẤT!N:N,CBCNV!B79,XUẤT!O:O,CBCNV!$I$2)</f>
        <v>0</v>
      </c>
      <c r="J79" s="135">
        <f t="shared" si="15"/>
        <v>0</v>
      </c>
      <c r="K79" s="130">
        <f>SUMIFS(XUẤT!S:S,XUẤT!N:N,CBCNV!B79,XUẤT!O:O,CBCNV!$K$2)</f>
        <v>0</v>
      </c>
      <c r="L79" s="135">
        <f t="shared" si="16"/>
        <v>0</v>
      </c>
      <c r="M79" s="130">
        <f>SUMIFS(XUẤT!T:T,XUẤT!N:N,CBCNV!B79,XUẤT!O:O,CBCNV!$M$2)</f>
        <v>0</v>
      </c>
      <c r="N79" s="135">
        <f t="shared" si="17"/>
        <v>0</v>
      </c>
      <c r="O79" s="130">
        <f>SUMIFS(XUẤT!U:U,XUẤT!N:N,CBCNV!B79,XUẤT!O:O,CBCNV!$O$2)</f>
        <v>0</v>
      </c>
      <c r="P79" s="135">
        <f t="shared" si="18"/>
        <v>0</v>
      </c>
      <c r="Q79" s="32"/>
      <c r="R79" s="18"/>
    </row>
    <row r="80" spans="1:20" s="136" customFormat="1" x14ac:dyDescent="0.3">
      <c r="A80" s="133">
        <v>73</v>
      </c>
      <c r="B80" s="10" t="s">
        <v>158</v>
      </c>
      <c r="C80" s="133" t="s">
        <v>79</v>
      </c>
      <c r="D80" s="133" t="s">
        <v>151</v>
      </c>
      <c r="E80" s="130">
        <f>SUMIFS(XUẤT!P:P,XUẤT!N:N,CBCNV!B80,XUẤT!O:O,CBCNV!$E$2)</f>
        <v>0</v>
      </c>
      <c r="F80" s="135">
        <f t="shared" si="13"/>
        <v>0</v>
      </c>
      <c r="G80" s="130">
        <f>SUMIFS(XUẤT!Q:Q,XUẤT!N:N,CBCNV!B80,XUẤT!O:O,CBCNV!$G$2)</f>
        <v>0</v>
      </c>
      <c r="H80" s="134">
        <f t="shared" si="14"/>
        <v>0</v>
      </c>
      <c r="I80" s="130">
        <f>SUMIFS(XUẤT!R:R,XUẤT!N:N,CBCNV!B80,XUẤT!O:O,CBCNV!$I$2)</f>
        <v>0</v>
      </c>
      <c r="J80" s="135">
        <f t="shared" si="15"/>
        <v>0</v>
      </c>
      <c r="K80" s="130">
        <f>SUMIFS(XUẤT!S:S,XUẤT!N:N,CBCNV!B80,XUẤT!O:O,CBCNV!$K$2)</f>
        <v>0</v>
      </c>
      <c r="L80" s="135">
        <f t="shared" si="16"/>
        <v>0</v>
      </c>
      <c r="M80" s="130">
        <f>SUMIFS(XUẤT!T:T,XUẤT!N:N,CBCNV!B80,XUẤT!O:O,CBCNV!$M$2)</f>
        <v>0</v>
      </c>
      <c r="N80" s="135">
        <f t="shared" si="17"/>
        <v>0</v>
      </c>
      <c r="O80" s="130">
        <f>SUMIFS(XUẤT!U:U,XUẤT!N:N,CBCNV!B80,XUẤT!O:O,CBCNV!$O$2)</f>
        <v>0</v>
      </c>
      <c r="P80" s="135">
        <f t="shared" si="18"/>
        <v>0</v>
      </c>
      <c r="Q80" s="32"/>
      <c r="R80" s="18"/>
    </row>
    <row r="81" spans="1:20" s="136" customFormat="1" x14ac:dyDescent="0.3">
      <c r="A81" s="133">
        <v>74</v>
      </c>
      <c r="B81" s="10" t="s">
        <v>159</v>
      </c>
      <c r="C81" s="133" t="s">
        <v>79</v>
      </c>
      <c r="D81" s="133" t="s">
        <v>151</v>
      </c>
      <c r="E81" s="130">
        <f>SUMIFS(XUẤT!P:P,XUẤT!N:N,CBCNV!B81,XUẤT!O:O,CBCNV!$E$2)</f>
        <v>0</v>
      </c>
      <c r="F81" s="135">
        <f t="shared" si="13"/>
        <v>0</v>
      </c>
      <c r="G81" s="130">
        <f>SUMIFS(XUẤT!Q:Q,XUẤT!N:N,CBCNV!B81,XUẤT!O:O,CBCNV!$G$2)</f>
        <v>0</v>
      </c>
      <c r="H81" s="134">
        <f t="shared" si="14"/>
        <v>0</v>
      </c>
      <c r="I81" s="130">
        <f>SUMIFS(XUẤT!R:R,XUẤT!N:N,CBCNV!B81,XUẤT!O:O,CBCNV!$I$2)</f>
        <v>0</v>
      </c>
      <c r="J81" s="135">
        <f t="shared" si="15"/>
        <v>0</v>
      </c>
      <c r="K81" s="130">
        <f>SUMIFS(XUẤT!S:S,XUẤT!N:N,CBCNV!B81,XUẤT!O:O,CBCNV!$K$2)</f>
        <v>0</v>
      </c>
      <c r="L81" s="135">
        <f t="shared" si="16"/>
        <v>0</v>
      </c>
      <c r="M81" s="130">
        <f>SUMIFS(XUẤT!T:T,XUẤT!N:N,CBCNV!B81,XUẤT!O:O,CBCNV!$M$2)</f>
        <v>0</v>
      </c>
      <c r="N81" s="135">
        <f t="shared" si="17"/>
        <v>0</v>
      </c>
      <c r="O81" s="130">
        <f>SUMIFS(XUẤT!U:U,XUẤT!N:N,CBCNV!B81,XUẤT!O:O,CBCNV!$O$2)</f>
        <v>0</v>
      </c>
      <c r="P81" s="135">
        <f t="shared" si="18"/>
        <v>0</v>
      </c>
      <c r="Q81" s="32"/>
      <c r="R81" s="18"/>
    </row>
    <row r="82" spans="1:20" s="136" customFormat="1" x14ac:dyDescent="0.3">
      <c r="A82" s="133">
        <v>75</v>
      </c>
      <c r="B82" s="10" t="s">
        <v>160</v>
      </c>
      <c r="C82" s="133" t="s">
        <v>79</v>
      </c>
      <c r="D82" s="133" t="s">
        <v>151</v>
      </c>
      <c r="E82" s="130">
        <f>SUMIFS(XUẤT!P:P,XUẤT!N:N,CBCNV!B82,XUẤT!O:O,CBCNV!$E$2)</f>
        <v>0</v>
      </c>
      <c r="F82" s="135">
        <f t="shared" si="13"/>
        <v>0</v>
      </c>
      <c r="G82" s="130">
        <f>SUMIFS(XUẤT!Q:Q,XUẤT!N:N,CBCNV!B82,XUẤT!O:O,CBCNV!$G$2)</f>
        <v>0</v>
      </c>
      <c r="H82" s="134">
        <f t="shared" si="14"/>
        <v>0</v>
      </c>
      <c r="I82" s="130">
        <f>SUMIFS(XUẤT!R:R,XUẤT!N:N,CBCNV!B82,XUẤT!O:O,CBCNV!$I$2)</f>
        <v>0</v>
      </c>
      <c r="J82" s="135">
        <f t="shared" si="15"/>
        <v>0</v>
      </c>
      <c r="K82" s="130">
        <f>SUMIFS(XUẤT!S:S,XUẤT!N:N,CBCNV!B82,XUẤT!O:O,CBCNV!$K$2)</f>
        <v>0</v>
      </c>
      <c r="L82" s="135">
        <f t="shared" si="16"/>
        <v>0</v>
      </c>
      <c r="M82" s="130">
        <f>SUMIFS(XUẤT!T:T,XUẤT!N:N,CBCNV!B82,XUẤT!O:O,CBCNV!$M$2)</f>
        <v>0</v>
      </c>
      <c r="N82" s="135">
        <f t="shared" si="17"/>
        <v>0</v>
      </c>
      <c r="O82" s="130">
        <f>SUMIFS(XUẤT!U:U,XUẤT!N:N,CBCNV!B82,XUẤT!O:O,CBCNV!$O$2)</f>
        <v>0</v>
      </c>
      <c r="P82" s="135">
        <f t="shared" si="18"/>
        <v>0</v>
      </c>
      <c r="Q82" s="32"/>
      <c r="R82" s="18"/>
    </row>
    <row r="83" spans="1:20" s="136" customFormat="1" x14ac:dyDescent="0.3">
      <c r="A83" s="133">
        <v>76</v>
      </c>
      <c r="B83" s="10" t="s">
        <v>161</v>
      </c>
      <c r="C83" s="133" t="s">
        <v>148</v>
      </c>
      <c r="D83" s="133" t="s">
        <v>151</v>
      </c>
      <c r="E83" s="130">
        <f>SUMIFS(XUẤT!P:P,XUẤT!N:N,CBCNV!B83,XUẤT!O:O,CBCNV!$E$2)</f>
        <v>0</v>
      </c>
      <c r="F83" s="135">
        <f t="shared" si="13"/>
        <v>0</v>
      </c>
      <c r="G83" s="130">
        <f>SUMIFS(XUẤT!Q:Q,XUẤT!N:N,CBCNV!B83,XUẤT!O:O,CBCNV!$G$2)</f>
        <v>0</v>
      </c>
      <c r="H83" s="134">
        <f t="shared" si="14"/>
        <v>0</v>
      </c>
      <c r="I83" s="130">
        <f>SUMIFS(XUẤT!R:R,XUẤT!N:N,CBCNV!B83,XUẤT!O:O,CBCNV!$I$2)</f>
        <v>0</v>
      </c>
      <c r="J83" s="135">
        <f t="shared" si="15"/>
        <v>0</v>
      </c>
      <c r="K83" s="130">
        <f>SUMIFS(XUẤT!S:S,XUẤT!N:N,CBCNV!B83,XUẤT!O:O,CBCNV!$K$2)</f>
        <v>0</v>
      </c>
      <c r="L83" s="135">
        <f t="shared" si="16"/>
        <v>0</v>
      </c>
      <c r="M83" s="130">
        <f>SUMIFS(XUẤT!T:T,XUẤT!N:N,CBCNV!B83,XUẤT!O:O,CBCNV!$M$2)</f>
        <v>0</v>
      </c>
      <c r="N83" s="135">
        <f t="shared" si="17"/>
        <v>0</v>
      </c>
      <c r="O83" s="130">
        <f>SUMIFS(XUẤT!U:U,XUẤT!N:N,CBCNV!B83,XUẤT!O:O,CBCNV!$O$2)</f>
        <v>0</v>
      </c>
      <c r="P83" s="135">
        <f t="shared" si="18"/>
        <v>0</v>
      </c>
      <c r="Q83" s="32"/>
      <c r="R83" s="18"/>
    </row>
    <row r="84" spans="1:20" s="136" customFormat="1" x14ac:dyDescent="0.3">
      <c r="A84" s="133">
        <v>77</v>
      </c>
      <c r="B84" s="10" t="s">
        <v>162</v>
      </c>
      <c r="C84" s="133" t="s">
        <v>148</v>
      </c>
      <c r="D84" s="133" t="s">
        <v>151</v>
      </c>
      <c r="E84" s="130">
        <f>SUMIFS(XUẤT!P:P,XUẤT!N:N,CBCNV!B84,XUẤT!O:O,CBCNV!$E$2)</f>
        <v>0</v>
      </c>
      <c r="F84" s="135">
        <f t="shared" si="13"/>
        <v>0</v>
      </c>
      <c r="G84" s="130">
        <f>SUMIFS(XUẤT!Q:Q,XUẤT!N:N,CBCNV!B84,XUẤT!O:O,CBCNV!$G$2)</f>
        <v>0</v>
      </c>
      <c r="H84" s="134">
        <f t="shared" si="14"/>
        <v>0</v>
      </c>
      <c r="I84" s="130">
        <f>SUMIFS(XUẤT!R:R,XUẤT!N:N,CBCNV!B84,XUẤT!O:O,CBCNV!$I$2)</f>
        <v>0</v>
      </c>
      <c r="J84" s="135">
        <f t="shared" si="15"/>
        <v>0</v>
      </c>
      <c r="K84" s="130">
        <f>SUMIFS(XUẤT!S:S,XUẤT!N:N,CBCNV!B84,XUẤT!O:O,CBCNV!$K$2)</f>
        <v>0</v>
      </c>
      <c r="L84" s="135">
        <f t="shared" si="16"/>
        <v>0</v>
      </c>
      <c r="M84" s="130">
        <f>SUMIFS(XUẤT!T:T,XUẤT!N:N,CBCNV!B84,XUẤT!O:O,CBCNV!$M$2)</f>
        <v>0</v>
      </c>
      <c r="N84" s="135">
        <f t="shared" si="17"/>
        <v>0</v>
      </c>
      <c r="O84" s="130">
        <f>SUMIFS(XUẤT!U:U,XUẤT!N:N,CBCNV!B84,XUẤT!O:O,CBCNV!$O$2)</f>
        <v>0</v>
      </c>
      <c r="P84" s="135">
        <f t="shared" si="18"/>
        <v>0</v>
      </c>
      <c r="Q84" s="32"/>
      <c r="R84" s="18"/>
    </row>
    <row r="85" spans="1:20" s="136" customFormat="1" x14ac:dyDescent="0.3">
      <c r="A85" s="133">
        <v>78</v>
      </c>
      <c r="B85" s="10" t="s">
        <v>48</v>
      </c>
      <c r="C85" s="133" t="s">
        <v>163</v>
      </c>
      <c r="D85" s="133" t="s">
        <v>151</v>
      </c>
      <c r="E85" s="130">
        <f>SUMIFS(XUẤT!P:P,XUẤT!N:N,CBCNV!B85,XUẤT!O:O,CBCNV!$E$2)</f>
        <v>0</v>
      </c>
      <c r="F85" s="135">
        <f t="shared" si="13"/>
        <v>0</v>
      </c>
      <c r="G85" s="130">
        <f>SUMIFS(XUẤT!Q:Q,XUẤT!N:N,CBCNV!B85,XUẤT!O:O,CBCNV!$G$2)</f>
        <v>0</v>
      </c>
      <c r="H85" s="134">
        <f t="shared" si="14"/>
        <v>0</v>
      </c>
      <c r="I85" s="130">
        <f>SUMIFS(XUẤT!R:R,XUẤT!N:N,CBCNV!B85,XUẤT!O:O,CBCNV!$I$2)</f>
        <v>0</v>
      </c>
      <c r="J85" s="135">
        <f t="shared" si="15"/>
        <v>0</v>
      </c>
      <c r="K85" s="130">
        <f>SUMIFS(XUẤT!S:S,XUẤT!N:N,CBCNV!B85,XUẤT!O:O,CBCNV!$K$2)</f>
        <v>0</v>
      </c>
      <c r="L85" s="135">
        <f t="shared" si="16"/>
        <v>0</v>
      </c>
      <c r="M85" s="130">
        <f>SUMIFS(XUẤT!T:T,XUẤT!N:N,CBCNV!B85,XUẤT!O:O,CBCNV!$M$2)</f>
        <v>0</v>
      </c>
      <c r="N85" s="135">
        <f t="shared" si="17"/>
        <v>0</v>
      </c>
      <c r="O85" s="130">
        <f>SUMIFS(XUẤT!U:U,XUẤT!N:N,CBCNV!B85,XUẤT!O:O,CBCNV!$O$2)</f>
        <v>0</v>
      </c>
      <c r="P85" s="135">
        <f t="shared" si="18"/>
        <v>0</v>
      </c>
      <c r="Q85" s="32"/>
      <c r="R85" s="18"/>
    </row>
    <row r="86" spans="1:20" s="136" customFormat="1" x14ac:dyDescent="0.3">
      <c r="A86" s="133">
        <v>79</v>
      </c>
      <c r="B86" s="10" t="s">
        <v>164</v>
      </c>
      <c r="C86" s="133" t="s">
        <v>163</v>
      </c>
      <c r="D86" s="133" t="s">
        <v>151</v>
      </c>
      <c r="E86" s="130">
        <f>SUMIFS(XUẤT!P:P,XUẤT!N:N,CBCNV!B86,XUẤT!O:O,CBCNV!$E$2)</f>
        <v>0</v>
      </c>
      <c r="F86" s="135">
        <f t="shared" si="13"/>
        <v>0</v>
      </c>
      <c r="G86" s="130">
        <f>SUMIFS(XUẤT!Q:Q,XUẤT!N:N,CBCNV!B86,XUẤT!O:O,CBCNV!$G$2)</f>
        <v>0</v>
      </c>
      <c r="H86" s="134">
        <f t="shared" si="14"/>
        <v>0</v>
      </c>
      <c r="I86" s="130">
        <f>SUMIFS(XUẤT!R:R,XUẤT!N:N,CBCNV!B86,XUẤT!O:O,CBCNV!$I$2)</f>
        <v>0</v>
      </c>
      <c r="J86" s="135">
        <f t="shared" si="15"/>
        <v>0</v>
      </c>
      <c r="K86" s="130">
        <f>SUMIFS(XUẤT!S:S,XUẤT!N:N,CBCNV!B86,XUẤT!O:O,CBCNV!$K$2)</f>
        <v>0</v>
      </c>
      <c r="L86" s="135">
        <f t="shared" si="16"/>
        <v>0</v>
      </c>
      <c r="M86" s="130">
        <f>SUMIFS(XUẤT!T:T,XUẤT!N:N,CBCNV!B86,XUẤT!O:O,CBCNV!$M$2)</f>
        <v>0</v>
      </c>
      <c r="N86" s="135">
        <f t="shared" si="17"/>
        <v>0</v>
      </c>
      <c r="O86" s="130">
        <f>SUMIFS(XUẤT!U:U,XUẤT!N:N,CBCNV!B86,XUẤT!O:O,CBCNV!$O$2)</f>
        <v>0</v>
      </c>
      <c r="P86" s="135">
        <f t="shared" si="18"/>
        <v>0</v>
      </c>
      <c r="Q86" s="32"/>
      <c r="R86" s="18"/>
    </row>
    <row r="87" spans="1:20" s="132" customFormat="1" x14ac:dyDescent="0.3">
      <c r="A87" s="133">
        <v>80</v>
      </c>
      <c r="B87" s="10" t="s">
        <v>165</v>
      </c>
      <c r="C87" s="133" t="s">
        <v>163</v>
      </c>
      <c r="D87" s="133" t="s">
        <v>151</v>
      </c>
      <c r="E87" s="130">
        <f>SUMIFS(XUẤT!P:P,XUẤT!N:N,CBCNV!B87,XUẤT!O:O,CBCNV!$E$2)</f>
        <v>0</v>
      </c>
      <c r="F87" s="135">
        <f t="shared" si="13"/>
        <v>0</v>
      </c>
      <c r="G87" s="130">
        <f>SUMIFS(XUẤT!Q:Q,XUẤT!N:N,CBCNV!B87,XUẤT!O:O,CBCNV!$G$2)</f>
        <v>0</v>
      </c>
      <c r="H87" s="134">
        <f t="shared" si="14"/>
        <v>0</v>
      </c>
      <c r="I87" s="130">
        <f>SUMIFS(XUẤT!R:R,XUẤT!N:N,CBCNV!B87,XUẤT!O:O,CBCNV!$I$2)</f>
        <v>0</v>
      </c>
      <c r="J87" s="135">
        <f t="shared" si="15"/>
        <v>0</v>
      </c>
      <c r="K87" s="130">
        <f>SUMIFS(XUẤT!S:S,XUẤT!N:N,CBCNV!B87,XUẤT!O:O,CBCNV!$K$2)</f>
        <v>0</v>
      </c>
      <c r="L87" s="135">
        <f t="shared" si="16"/>
        <v>0</v>
      </c>
      <c r="M87" s="130">
        <f>SUMIFS(XUẤT!T:T,XUẤT!N:N,CBCNV!B87,XUẤT!O:O,CBCNV!$M$2)</f>
        <v>0</v>
      </c>
      <c r="N87" s="135">
        <f t="shared" si="17"/>
        <v>0</v>
      </c>
      <c r="O87" s="130">
        <f>SUMIFS(XUẤT!U:U,XUẤT!N:N,CBCNV!B87,XUẤT!O:O,CBCNV!$O$2)</f>
        <v>0</v>
      </c>
      <c r="P87" s="135">
        <f t="shared" si="18"/>
        <v>0</v>
      </c>
      <c r="Q87" s="32"/>
      <c r="R87" s="18"/>
      <c r="S87" s="136"/>
      <c r="T87" s="136"/>
    </row>
    <row r="88" spans="1:20" s="136" customFormat="1" x14ac:dyDescent="0.3">
      <c r="A88" s="133">
        <v>81</v>
      </c>
      <c r="B88" s="10" t="s">
        <v>166</v>
      </c>
      <c r="C88" s="133" t="s">
        <v>167</v>
      </c>
      <c r="D88" s="133" t="s">
        <v>151</v>
      </c>
      <c r="E88" s="130">
        <f>SUMIFS(XUẤT!P:P,XUẤT!N:N,CBCNV!B88,XUẤT!O:O,CBCNV!$E$2)</f>
        <v>0</v>
      </c>
      <c r="F88" s="135">
        <f t="shared" si="13"/>
        <v>0</v>
      </c>
      <c r="G88" s="130">
        <f>SUMIFS(XUẤT!Q:Q,XUẤT!N:N,CBCNV!B88,XUẤT!O:O,CBCNV!$G$2)</f>
        <v>0</v>
      </c>
      <c r="H88" s="134">
        <f t="shared" si="14"/>
        <v>0</v>
      </c>
      <c r="I88" s="130">
        <f>SUMIFS(XUẤT!R:R,XUẤT!N:N,CBCNV!B88,XUẤT!O:O,CBCNV!$I$2)</f>
        <v>0</v>
      </c>
      <c r="J88" s="135">
        <f t="shared" si="15"/>
        <v>0</v>
      </c>
      <c r="K88" s="130">
        <f>SUMIFS(XUẤT!S:S,XUẤT!N:N,CBCNV!B88,XUẤT!O:O,CBCNV!$K$2)</f>
        <v>0</v>
      </c>
      <c r="L88" s="135">
        <f t="shared" si="16"/>
        <v>0</v>
      </c>
      <c r="M88" s="130">
        <f>SUMIFS(XUẤT!T:T,XUẤT!N:N,CBCNV!B88,XUẤT!O:O,CBCNV!$M$2)</f>
        <v>0</v>
      </c>
      <c r="N88" s="135">
        <f t="shared" si="17"/>
        <v>0</v>
      </c>
      <c r="O88" s="130">
        <f>SUMIFS(XUẤT!U:U,XUẤT!N:N,CBCNV!B88,XUẤT!O:O,CBCNV!$O$2)</f>
        <v>0</v>
      </c>
      <c r="P88" s="135">
        <f t="shared" si="18"/>
        <v>0</v>
      </c>
      <c r="Q88" s="32"/>
      <c r="R88" s="18"/>
    </row>
    <row r="89" spans="1:20" s="136" customFormat="1" x14ac:dyDescent="0.3">
      <c r="A89" s="133">
        <v>82</v>
      </c>
      <c r="B89" s="10" t="s">
        <v>168</v>
      </c>
      <c r="C89" s="133" t="s">
        <v>148</v>
      </c>
      <c r="D89" s="133" t="s">
        <v>151</v>
      </c>
      <c r="E89" s="130">
        <f>SUMIFS(XUẤT!P:P,XUẤT!N:N,CBCNV!B89,XUẤT!O:O,CBCNV!$E$2)</f>
        <v>0</v>
      </c>
      <c r="F89" s="135">
        <f t="shared" si="13"/>
        <v>0</v>
      </c>
      <c r="G89" s="130">
        <f>SUMIFS(XUẤT!Q:Q,XUẤT!N:N,CBCNV!B89,XUẤT!O:O,CBCNV!$G$2)</f>
        <v>0</v>
      </c>
      <c r="H89" s="134">
        <f t="shared" si="14"/>
        <v>0</v>
      </c>
      <c r="I89" s="130">
        <f>SUMIFS(XUẤT!R:R,XUẤT!N:N,CBCNV!B89,XUẤT!O:O,CBCNV!$I$2)</f>
        <v>0</v>
      </c>
      <c r="J89" s="135">
        <f t="shared" si="15"/>
        <v>0</v>
      </c>
      <c r="K89" s="130">
        <f>SUMIFS(XUẤT!S:S,XUẤT!N:N,CBCNV!B89,XUẤT!O:O,CBCNV!$K$2)</f>
        <v>0</v>
      </c>
      <c r="L89" s="135">
        <f t="shared" si="16"/>
        <v>0</v>
      </c>
      <c r="M89" s="130">
        <f>SUMIFS(XUẤT!T:T,XUẤT!N:N,CBCNV!B89,XUẤT!O:O,CBCNV!$M$2)</f>
        <v>0</v>
      </c>
      <c r="N89" s="135">
        <f t="shared" si="17"/>
        <v>0</v>
      </c>
      <c r="O89" s="130">
        <f>SUMIFS(XUẤT!U:U,XUẤT!N:N,CBCNV!B89,XUẤT!O:O,CBCNV!$O$2)</f>
        <v>0</v>
      </c>
      <c r="P89" s="135">
        <f t="shared" si="18"/>
        <v>0</v>
      </c>
      <c r="Q89" s="32"/>
      <c r="R89" s="32">
        <f>E4+G4+I4+K4+M4+O4</f>
        <v>296</v>
      </c>
    </row>
    <row r="90" spans="1:20" s="136" customFormat="1" x14ac:dyDescent="0.3">
      <c r="A90" s="133">
        <v>83</v>
      </c>
      <c r="B90" s="34" t="s">
        <v>169</v>
      </c>
      <c r="C90" s="137" t="s">
        <v>131</v>
      </c>
      <c r="D90" s="137" t="s">
        <v>170</v>
      </c>
      <c r="E90" s="130">
        <f>SUMIFS(XUẤT!P:P,XUẤT!N:N,CBCNV!B90,XUẤT!O:O,CBCNV!$E$2)</f>
        <v>0</v>
      </c>
      <c r="F90" s="135">
        <f t="shared" si="13"/>
        <v>0</v>
      </c>
      <c r="G90" s="130">
        <f>SUMIFS(XUẤT!Q:Q,XUẤT!N:N,CBCNV!B90,XUẤT!O:O,CBCNV!$G$2)</f>
        <v>0</v>
      </c>
      <c r="H90" s="134">
        <f t="shared" si="14"/>
        <v>0</v>
      </c>
      <c r="I90" s="130">
        <f>SUMIFS(XUẤT!R:R,XUẤT!N:N,CBCNV!B90,XUẤT!O:O,CBCNV!$I$2)</f>
        <v>0</v>
      </c>
      <c r="J90" s="135">
        <f t="shared" si="15"/>
        <v>0</v>
      </c>
      <c r="K90" s="130">
        <f>SUMIFS(XUẤT!S:S,XUẤT!N:N,CBCNV!B90,XUẤT!O:O,CBCNV!$K$2)</f>
        <v>0</v>
      </c>
      <c r="L90" s="135">
        <f t="shared" si="16"/>
        <v>0</v>
      </c>
      <c r="M90" s="130">
        <f>SUMIFS(XUẤT!T:T,XUẤT!N:N,CBCNV!B90,XUẤT!O:O,CBCNV!$M$2)</f>
        <v>0</v>
      </c>
      <c r="N90" s="135">
        <f t="shared" si="17"/>
        <v>0</v>
      </c>
      <c r="O90" s="130">
        <f>SUMIFS(XUẤT!U:U,XUẤT!N:N,CBCNV!B90,XUẤT!O:O,CBCNV!$O$2)</f>
        <v>0</v>
      </c>
      <c r="P90" s="135">
        <f t="shared" si="18"/>
        <v>0</v>
      </c>
      <c r="Q90" s="32"/>
      <c r="R90" s="21"/>
      <c r="S90" s="132"/>
      <c r="T90" s="132"/>
    </row>
    <row r="91" spans="1:20" s="136" customFormat="1" x14ac:dyDescent="0.3">
      <c r="A91" s="133">
        <v>84</v>
      </c>
      <c r="B91" s="10" t="s">
        <v>171</v>
      </c>
      <c r="C91" s="133" t="s">
        <v>134</v>
      </c>
      <c r="D91" s="133" t="s">
        <v>170</v>
      </c>
      <c r="E91" s="130">
        <f>SUMIFS(XUẤT!P:P,XUẤT!N:N,CBCNV!B91,XUẤT!O:O,CBCNV!$E$2)</f>
        <v>0</v>
      </c>
      <c r="F91" s="135">
        <f t="shared" si="13"/>
        <v>0</v>
      </c>
      <c r="G91" s="130">
        <f>SUMIFS(XUẤT!Q:Q,XUẤT!N:N,CBCNV!B91,XUẤT!O:O,CBCNV!$G$2)</f>
        <v>0</v>
      </c>
      <c r="H91" s="134">
        <f t="shared" si="14"/>
        <v>0</v>
      </c>
      <c r="I91" s="130">
        <f>SUMIFS(XUẤT!R:R,XUẤT!N:N,CBCNV!B91,XUẤT!O:O,CBCNV!$I$2)</f>
        <v>0</v>
      </c>
      <c r="J91" s="135">
        <f t="shared" si="15"/>
        <v>0</v>
      </c>
      <c r="K91" s="130">
        <f>SUMIFS(XUẤT!S:S,XUẤT!N:N,CBCNV!B91,XUẤT!O:O,CBCNV!$K$2)</f>
        <v>0</v>
      </c>
      <c r="L91" s="135">
        <f t="shared" si="16"/>
        <v>0</v>
      </c>
      <c r="M91" s="130">
        <f>SUMIFS(XUẤT!T:T,XUẤT!N:N,CBCNV!B91,XUẤT!O:O,CBCNV!$M$2)</f>
        <v>0</v>
      </c>
      <c r="N91" s="135">
        <f t="shared" si="17"/>
        <v>0</v>
      </c>
      <c r="O91" s="130">
        <f>SUMIFS(XUẤT!U:U,XUẤT!N:N,CBCNV!B91,XUẤT!O:O,CBCNV!$O$2)</f>
        <v>0</v>
      </c>
      <c r="P91" s="135">
        <f t="shared" si="18"/>
        <v>0</v>
      </c>
      <c r="Q91" s="32"/>
      <c r="R91" s="18"/>
    </row>
    <row r="92" spans="1:20" s="136" customFormat="1" x14ac:dyDescent="0.3">
      <c r="A92" s="133">
        <v>85</v>
      </c>
      <c r="B92" s="10" t="s">
        <v>172</v>
      </c>
      <c r="C92" s="133" t="s">
        <v>134</v>
      </c>
      <c r="D92" s="133" t="s">
        <v>170</v>
      </c>
      <c r="E92" s="130">
        <f>SUMIFS(XUẤT!P:P,XUẤT!N:N,CBCNV!B92,XUẤT!O:O,CBCNV!$E$2)</f>
        <v>5</v>
      </c>
      <c r="F92" s="135">
        <f t="shared" si="13"/>
        <v>490000</v>
      </c>
      <c r="G92" s="130">
        <f>SUMIFS(XUẤT!Q:Q,XUẤT!N:N,CBCNV!B92,XUẤT!O:O,CBCNV!$G$2)</f>
        <v>0</v>
      </c>
      <c r="H92" s="134">
        <f t="shared" si="14"/>
        <v>0</v>
      </c>
      <c r="I92" s="130">
        <f>SUMIFS(XUẤT!R:R,XUẤT!N:N,CBCNV!B92,XUẤT!O:O,CBCNV!$I$2)</f>
        <v>0</v>
      </c>
      <c r="J92" s="135">
        <f t="shared" si="15"/>
        <v>0</v>
      </c>
      <c r="K92" s="130">
        <f>SUMIFS(XUẤT!S:S,XUẤT!N:N,CBCNV!B92,XUẤT!O:O,CBCNV!$K$2)</f>
        <v>0</v>
      </c>
      <c r="L92" s="135">
        <f t="shared" si="16"/>
        <v>0</v>
      </c>
      <c r="M92" s="130">
        <f>SUMIFS(XUẤT!T:T,XUẤT!N:N,CBCNV!B92,XUẤT!O:O,CBCNV!$M$2)</f>
        <v>0</v>
      </c>
      <c r="N92" s="135">
        <f t="shared" si="17"/>
        <v>0</v>
      </c>
      <c r="O92" s="130">
        <f>SUMIFS(XUẤT!U:U,XUẤT!N:N,CBCNV!B92,XUẤT!O:O,CBCNV!$O$2)</f>
        <v>0</v>
      </c>
      <c r="P92" s="135">
        <f t="shared" si="18"/>
        <v>0</v>
      </c>
      <c r="Q92" s="32"/>
      <c r="R92" s="18"/>
    </row>
    <row r="93" spans="1:20" s="136" customFormat="1" x14ac:dyDescent="0.3">
      <c r="A93" s="133">
        <v>86</v>
      </c>
      <c r="B93" s="10" t="s">
        <v>173</v>
      </c>
      <c r="C93" s="133" t="s">
        <v>79</v>
      </c>
      <c r="D93" s="133" t="s">
        <v>170</v>
      </c>
      <c r="E93" s="130">
        <f>SUMIFS(XUẤT!P:P,XUẤT!N:N,CBCNV!B93,XUẤT!O:O,CBCNV!$E$2)</f>
        <v>0</v>
      </c>
      <c r="F93" s="135">
        <f t="shared" si="13"/>
        <v>0</v>
      </c>
      <c r="G93" s="130">
        <f>SUMIFS(XUẤT!Q:Q,XUẤT!N:N,CBCNV!B93,XUẤT!O:O,CBCNV!$G$2)</f>
        <v>0</v>
      </c>
      <c r="H93" s="134">
        <f t="shared" si="14"/>
        <v>0</v>
      </c>
      <c r="I93" s="130">
        <f>SUMIFS(XUẤT!R:R,XUẤT!N:N,CBCNV!B93,XUẤT!O:O,CBCNV!$I$2)</f>
        <v>0</v>
      </c>
      <c r="J93" s="135">
        <f t="shared" si="15"/>
        <v>0</v>
      </c>
      <c r="K93" s="130">
        <f>SUMIFS(XUẤT!S:S,XUẤT!N:N,CBCNV!B93,XUẤT!O:O,CBCNV!$K$2)</f>
        <v>0</v>
      </c>
      <c r="L93" s="135">
        <f t="shared" si="16"/>
        <v>0</v>
      </c>
      <c r="M93" s="130">
        <f>SUMIFS(XUẤT!T:T,XUẤT!N:N,CBCNV!B93,XUẤT!O:O,CBCNV!$M$2)</f>
        <v>0</v>
      </c>
      <c r="N93" s="135">
        <f t="shared" si="17"/>
        <v>0</v>
      </c>
      <c r="O93" s="130">
        <f>SUMIFS(XUẤT!U:U,XUẤT!N:N,CBCNV!B93,XUẤT!O:O,CBCNV!$O$2)</f>
        <v>0</v>
      </c>
      <c r="P93" s="135">
        <f t="shared" si="18"/>
        <v>0</v>
      </c>
      <c r="Q93" s="32"/>
      <c r="R93" s="18"/>
    </row>
    <row r="94" spans="1:20" s="136" customFormat="1" x14ac:dyDescent="0.3">
      <c r="A94" s="133">
        <v>87</v>
      </c>
      <c r="B94" s="10" t="s">
        <v>174</v>
      </c>
      <c r="C94" s="133" t="s">
        <v>79</v>
      </c>
      <c r="D94" s="133" t="s">
        <v>170</v>
      </c>
      <c r="E94" s="130">
        <f>SUMIFS(XUẤT!P:P,XUẤT!N:N,CBCNV!B94,XUẤT!O:O,CBCNV!$E$2)</f>
        <v>0</v>
      </c>
      <c r="F94" s="135">
        <f t="shared" si="13"/>
        <v>0</v>
      </c>
      <c r="G94" s="130">
        <f>SUMIFS(XUẤT!Q:Q,XUẤT!N:N,CBCNV!B94,XUẤT!O:O,CBCNV!$G$2)</f>
        <v>0</v>
      </c>
      <c r="H94" s="134">
        <f t="shared" si="14"/>
        <v>0</v>
      </c>
      <c r="I94" s="130">
        <f>SUMIFS(XUẤT!R:R,XUẤT!N:N,CBCNV!B94,XUẤT!O:O,CBCNV!$I$2)</f>
        <v>0</v>
      </c>
      <c r="J94" s="135">
        <f t="shared" si="15"/>
        <v>0</v>
      </c>
      <c r="K94" s="130">
        <f>SUMIFS(XUẤT!S:S,XUẤT!N:N,CBCNV!B94,XUẤT!O:O,CBCNV!$K$2)</f>
        <v>0</v>
      </c>
      <c r="L94" s="135">
        <f t="shared" si="16"/>
        <v>0</v>
      </c>
      <c r="M94" s="130">
        <f>SUMIFS(XUẤT!T:T,XUẤT!N:N,CBCNV!B94,XUẤT!O:O,CBCNV!$M$2)</f>
        <v>0</v>
      </c>
      <c r="N94" s="135">
        <f t="shared" si="17"/>
        <v>0</v>
      </c>
      <c r="O94" s="130">
        <f>SUMIFS(XUẤT!U:U,XUẤT!N:N,CBCNV!B94,XUẤT!O:O,CBCNV!$O$2)</f>
        <v>0</v>
      </c>
      <c r="P94" s="135">
        <f t="shared" si="18"/>
        <v>0</v>
      </c>
      <c r="Q94" s="32"/>
      <c r="R94" s="18"/>
    </row>
    <row r="95" spans="1:20" s="136" customFormat="1" x14ac:dyDescent="0.3">
      <c r="A95" s="133">
        <v>88</v>
      </c>
      <c r="B95" s="10" t="s">
        <v>175</v>
      </c>
      <c r="C95" s="133" t="s">
        <v>79</v>
      </c>
      <c r="D95" s="133" t="s">
        <v>170</v>
      </c>
      <c r="E95" s="130">
        <f>SUMIFS(XUẤT!P:P,XUẤT!N:N,CBCNV!B95,XUẤT!O:O,CBCNV!$E$2)</f>
        <v>0</v>
      </c>
      <c r="F95" s="135">
        <f t="shared" si="13"/>
        <v>0</v>
      </c>
      <c r="G95" s="130">
        <f>SUMIFS(XUẤT!Q:Q,XUẤT!N:N,CBCNV!B95,XUẤT!O:O,CBCNV!$G$2)</f>
        <v>0</v>
      </c>
      <c r="H95" s="134">
        <f t="shared" si="14"/>
        <v>0</v>
      </c>
      <c r="I95" s="130">
        <f>SUMIFS(XUẤT!R:R,XUẤT!N:N,CBCNV!B95,XUẤT!O:O,CBCNV!$I$2)</f>
        <v>0</v>
      </c>
      <c r="J95" s="135">
        <f t="shared" si="15"/>
        <v>0</v>
      </c>
      <c r="K95" s="130">
        <f>SUMIFS(XUẤT!S:S,XUẤT!N:N,CBCNV!B95,XUẤT!O:O,CBCNV!$K$2)</f>
        <v>0</v>
      </c>
      <c r="L95" s="135">
        <f t="shared" si="16"/>
        <v>0</v>
      </c>
      <c r="M95" s="130">
        <f>SUMIFS(XUẤT!T:T,XUẤT!N:N,CBCNV!B95,XUẤT!O:O,CBCNV!$M$2)</f>
        <v>0</v>
      </c>
      <c r="N95" s="135">
        <f t="shared" si="17"/>
        <v>0</v>
      </c>
      <c r="O95" s="130">
        <f>SUMIFS(XUẤT!U:U,XUẤT!N:N,CBCNV!B95,XUẤT!O:O,CBCNV!$O$2)</f>
        <v>0</v>
      </c>
      <c r="P95" s="135">
        <f t="shared" si="18"/>
        <v>0</v>
      </c>
      <c r="Q95" s="32"/>
      <c r="R95" s="18"/>
    </row>
    <row r="96" spans="1:20" s="136" customFormat="1" x14ac:dyDescent="0.3">
      <c r="A96" s="133">
        <v>89</v>
      </c>
      <c r="B96" s="10" t="s">
        <v>176</v>
      </c>
      <c r="C96" s="133" t="s">
        <v>79</v>
      </c>
      <c r="D96" s="133" t="s">
        <v>170</v>
      </c>
      <c r="E96" s="130">
        <f>SUMIFS(XUẤT!P:P,XUẤT!N:N,CBCNV!B96,XUẤT!O:O,CBCNV!$E$2)</f>
        <v>0</v>
      </c>
      <c r="F96" s="135">
        <f t="shared" si="13"/>
        <v>0</v>
      </c>
      <c r="G96" s="130">
        <f>SUMIFS(XUẤT!Q:Q,XUẤT!N:N,CBCNV!B96,XUẤT!O:O,CBCNV!$G$2)</f>
        <v>0</v>
      </c>
      <c r="H96" s="134">
        <f t="shared" si="14"/>
        <v>0</v>
      </c>
      <c r="I96" s="130">
        <f>SUMIFS(XUẤT!R:R,XUẤT!N:N,CBCNV!B96,XUẤT!O:O,CBCNV!$I$2)</f>
        <v>0</v>
      </c>
      <c r="J96" s="135">
        <f t="shared" si="15"/>
        <v>0</v>
      </c>
      <c r="K96" s="130">
        <f>SUMIFS(XUẤT!S:S,XUẤT!N:N,CBCNV!B96,XUẤT!O:O,CBCNV!$K$2)</f>
        <v>0</v>
      </c>
      <c r="L96" s="135">
        <f t="shared" si="16"/>
        <v>0</v>
      </c>
      <c r="M96" s="130">
        <f>SUMIFS(XUẤT!T:T,XUẤT!N:N,CBCNV!B96,XUẤT!O:O,CBCNV!$M$2)</f>
        <v>0</v>
      </c>
      <c r="N96" s="135">
        <f t="shared" si="17"/>
        <v>0</v>
      </c>
      <c r="O96" s="130">
        <f>SUMIFS(XUẤT!U:U,XUẤT!N:N,CBCNV!B96,XUẤT!O:O,CBCNV!$O$2)</f>
        <v>0</v>
      </c>
      <c r="P96" s="135">
        <f t="shared" si="18"/>
        <v>0</v>
      </c>
      <c r="Q96" s="32"/>
      <c r="R96" s="18"/>
    </row>
    <row r="97" spans="1:20" s="136" customFormat="1" x14ac:dyDescent="0.3">
      <c r="A97" s="133">
        <v>90</v>
      </c>
      <c r="B97" s="10" t="s">
        <v>177</v>
      </c>
      <c r="C97" s="133" t="s">
        <v>79</v>
      </c>
      <c r="D97" s="133" t="s">
        <v>170</v>
      </c>
      <c r="E97" s="130">
        <f>SUMIFS(XUẤT!P:P,XUẤT!N:N,CBCNV!B97,XUẤT!O:O,CBCNV!$E$2)</f>
        <v>0</v>
      </c>
      <c r="F97" s="135">
        <f t="shared" si="13"/>
        <v>0</v>
      </c>
      <c r="G97" s="130">
        <f>SUMIFS(XUẤT!Q:Q,XUẤT!N:N,CBCNV!B97,XUẤT!O:O,CBCNV!$G$2)</f>
        <v>0</v>
      </c>
      <c r="H97" s="134">
        <f t="shared" si="14"/>
        <v>0</v>
      </c>
      <c r="I97" s="130">
        <f>SUMIFS(XUẤT!R:R,XUẤT!N:N,CBCNV!B97,XUẤT!O:O,CBCNV!$I$2)</f>
        <v>0</v>
      </c>
      <c r="J97" s="135">
        <f t="shared" si="15"/>
        <v>0</v>
      </c>
      <c r="K97" s="130">
        <f>SUMIFS(XUẤT!S:S,XUẤT!N:N,CBCNV!B97,XUẤT!O:O,CBCNV!$K$2)</f>
        <v>0</v>
      </c>
      <c r="L97" s="135">
        <f t="shared" si="16"/>
        <v>0</v>
      </c>
      <c r="M97" s="130">
        <f>SUMIFS(XUẤT!T:T,XUẤT!N:N,CBCNV!B97,XUẤT!O:O,CBCNV!$M$2)</f>
        <v>0</v>
      </c>
      <c r="N97" s="135">
        <f t="shared" si="17"/>
        <v>0</v>
      </c>
      <c r="O97" s="130">
        <f>SUMIFS(XUẤT!U:U,XUẤT!N:N,CBCNV!B97,XUẤT!O:O,CBCNV!$O$2)</f>
        <v>0</v>
      </c>
      <c r="P97" s="135">
        <f t="shared" si="18"/>
        <v>0</v>
      </c>
      <c r="Q97" s="32"/>
      <c r="R97" s="18"/>
    </row>
    <row r="98" spans="1:20" s="136" customFormat="1" x14ac:dyDescent="0.3">
      <c r="A98" s="133">
        <v>91</v>
      </c>
      <c r="B98" s="10" t="s">
        <v>178</v>
      </c>
      <c r="C98" s="133" t="s">
        <v>79</v>
      </c>
      <c r="D98" s="133" t="s">
        <v>170</v>
      </c>
      <c r="E98" s="130">
        <f>SUMIFS(XUẤT!P:P,XUẤT!N:N,CBCNV!B98,XUẤT!O:O,CBCNV!$E$2)</f>
        <v>0</v>
      </c>
      <c r="F98" s="135">
        <f t="shared" si="13"/>
        <v>0</v>
      </c>
      <c r="G98" s="130">
        <f>SUMIFS(XUẤT!Q:Q,XUẤT!N:N,CBCNV!B98,XUẤT!O:O,CBCNV!$G$2)</f>
        <v>0</v>
      </c>
      <c r="H98" s="134">
        <f t="shared" si="14"/>
        <v>0</v>
      </c>
      <c r="I98" s="130">
        <f>SUMIFS(XUẤT!R:R,XUẤT!N:N,CBCNV!B98,XUẤT!O:O,CBCNV!$I$2)</f>
        <v>0</v>
      </c>
      <c r="J98" s="135">
        <f t="shared" si="15"/>
        <v>0</v>
      </c>
      <c r="K98" s="130">
        <f>SUMIFS(XUẤT!S:S,XUẤT!N:N,CBCNV!B98,XUẤT!O:O,CBCNV!$K$2)</f>
        <v>0</v>
      </c>
      <c r="L98" s="135">
        <f t="shared" si="16"/>
        <v>0</v>
      </c>
      <c r="M98" s="130">
        <f>SUMIFS(XUẤT!T:T,XUẤT!N:N,CBCNV!B98,XUẤT!O:O,CBCNV!$M$2)</f>
        <v>0</v>
      </c>
      <c r="N98" s="135">
        <f t="shared" si="17"/>
        <v>0</v>
      </c>
      <c r="O98" s="130">
        <f>SUMIFS(XUẤT!U:U,XUẤT!N:N,CBCNV!B98,XUẤT!O:O,CBCNV!$O$2)</f>
        <v>0</v>
      </c>
      <c r="P98" s="135">
        <f t="shared" si="18"/>
        <v>0</v>
      </c>
      <c r="Q98" s="32"/>
      <c r="R98" s="18"/>
    </row>
    <row r="99" spans="1:20" s="136" customFormat="1" x14ac:dyDescent="0.3">
      <c r="A99" s="133">
        <v>92</v>
      </c>
      <c r="B99" s="10" t="s">
        <v>179</v>
      </c>
      <c r="C99" s="133" t="s">
        <v>148</v>
      </c>
      <c r="D99" s="133" t="s">
        <v>170</v>
      </c>
      <c r="E99" s="130">
        <f>SUMIFS(XUẤT!P:P,XUẤT!N:N,CBCNV!B99,XUẤT!O:O,CBCNV!$E$2)</f>
        <v>0</v>
      </c>
      <c r="F99" s="135">
        <f t="shared" si="13"/>
        <v>0</v>
      </c>
      <c r="G99" s="130">
        <f>SUMIFS(XUẤT!Q:Q,XUẤT!N:N,CBCNV!B99,XUẤT!O:O,CBCNV!$G$2)</f>
        <v>0</v>
      </c>
      <c r="H99" s="134">
        <f t="shared" si="14"/>
        <v>0</v>
      </c>
      <c r="I99" s="130">
        <f>SUMIFS(XUẤT!R:R,XUẤT!N:N,CBCNV!B99,XUẤT!O:O,CBCNV!$I$2)</f>
        <v>0</v>
      </c>
      <c r="J99" s="135">
        <f t="shared" si="15"/>
        <v>0</v>
      </c>
      <c r="K99" s="130">
        <f>SUMIFS(XUẤT!S:S,XUẤT!N:N,CBCNV!B99,XUẤT!O:O,CBCNV!$K$2)</f>
        <v>0</v>
      </c>
      <c r="L99" s="135">
        <f t="shared" si="16"/>
        <v>0</v>
      </c>
      <c r="M99" s="130">
        <f>SUMIFS(XUẤT!T:T,XUẤT!N:N,CBCNV!B99,XUẤT!O:O,CBCNV!$M$2)</f>
        <v>0</v>
      </c>
      <c r="N99" s="135">
        <f t="shared" si="17"/>
        <v>0</v>
      </c>
      <c r="O99" s="130">
        <f>SUMIFS(XUẤT!U:U,XUẤT!N:N,CBCNV!B99,XUẤT!O:O,CBCNV!$O$2)</f>
        <v>0</v>
      </c>
      <c r="P99" s="135">
        <f t="shared" si="18"/>
        <v>0</v>
      </c>
      <c r="Q99" s="32"/>
      <c r="R99" s="18"/>
    </row>
    <row r="100" spans="1:20" s="136" customFormat="1" x14ac:dyDescent="0.3">
      <c r="A100" s="133">
        <v>93</v>
      </c>
      <c r="B100" s="10" t="s">
        <v>180</v>
      </c>
      <c r="C100" s="133" t="s">
        <v>148</v>
      </c>
      <c r="D100" s="133" t="s">
        <v>170</v>
      </c>
      <c r="E100" s="130">
        <f>SUMIFS(XUẤT!P:P,XUẤT!N:N,CBCNV!B100,XUẤT!O:O,CBCNV!$E$2)</f>
        <v>0</v>
      </c>
      <c r="F100" s="135">
        <f t="shared" si="13"/>
        <v>0</v>
      </c>
      <c r="G100" s="130">
        <f>SUMIFS(XUẤT!Q:Q,XUẤT!N:N,CBCNV!B100,XUẤT!O:O,CBCNV!$G$2)</f>
        <v>0</v>
      </c>
      <c r="H100" s="134">
        <f t="shared" si="14"/>
        <v>0</v>
      </c>
      <c r="I100" s="130">
        <f>SUMIFS(XUẤT!R:R,XUẤT!N:N,CBCNV!B100,XUẤT!O:O,CBCNV!$I$2)</f>
        <v>0</v>
      </c>
      <c r="J100" s="135">
        <f t="shared" si="15"/>
        <v>0</v>
      </c>
      <c r="K100" s="130">
        <f>SUMIFS(XUẤT!S:S,XUẤT!N:N,CBCNV!B100,XUẤT!O:O,CBCNV!$K$2)</f>
        <v>0</v>
      </c>
      <c r="L100" s="135">
        <f t="shared" si="16"/>
        <v>0</v>
      </c>
      <c r="M100" s="130">
        <f>SUMIFS(XUẤT!T:T,XUẤT!N:N,CBCNV!B100,XUẤT!O:O,CBCNV!$M$2)</f>
        <v>0</v>
      </c>
      <c r="N100" s="135">
        <f t="shared" si="17"/>
        <v>0</v>
      </c>
      <c r="O100" s="130">
        <f>SUMIFS(XUẤT!U:U,XUẤT!N:N,CBCNV!B100,XUẤT!O:O,CBCNV!$O$2)</f>
        <v>0</v>
      </c>
      <c r="P100" s="135">
        <f t="shared" si="18"/>
        <v>0</v>
      </c>
      <c r="Q100" s="32"/>
      <c r="R100" s="18"/>
    </row>
    <row r="101" spans="1:20" s="136" customFormat="1" x14ac:dyDescent="0.3">
      <c r="A101" s="133">
        <v>94</v>
      </c>
      <c r="B101" s="10" t="s">
        <v>181</v>
      </c>
      <c r="C101" s="133" t="s">
        <v>148</v>
      </c>
      <c r="D101" s="133" t="s">
        <v>170</v>
      </c>
      <c r="E101" s="130">
        <f>SUMIFS(XUẤT!P:P,XUẤT!N:N,CBCNV!B101,XUẤT!O:O,CBCNV!$E$2)</f>
        <v>0</v>
      </c>
      <c r="F101" s="135">
        <f t="shared" si="13"/>
        <v>0</v>
      </c>
      <c r="G101" s="130">
        <f>SUMIFS(XUẤT!Q:Q,XUẤT!N:N,CBCNV!B101,XUẤT!O:O,CBCNV!$G$2)</f>
        <v>0</v>
      </c>
      <c r="H101" s="134">
        <f t="shared" si="14"/>
        <v>0</v>
      </c>
      <c r="I101" s="130">
        <f>SUMIFS(XUẤT!R:R,XUẤT!N:N,CBCNV!B101,XUẤT!O:O,CBCNV!$I$2)</f>
        <v>0</v>
      </c>
      <c r="J101" s="135">
        <f t="shared" si="15"/>
        <v>0</v>
      </c>
      <c r="K101" s="130">
        <f>SUMIFS(XUẤT!S:S,XUẤT!N:N,CBCNV!B101,XUẤT!O:O,CBCNV!$K$2)</f>
        <v>0</v>
      </c>
      <c r="L101" s="135">
        <f t="shared" si="16"/>
        <v>0</v>
      </c>
      <c r="M101" s="130">
        <f>SUMIFS(XUẤT!T:T,XUẤT!N:N,CBCNV!B101,XUẤT!O:O,CBCNV!$M$2)</f>
        <v>0</v>
      </c>
      <c r="N101" s="135">
        <f t="shared" si="17"/>
        <v>0</v>
      </c>
      <c r="O101" s="130">
        <f>SUMIFS(XUẤT!U:U,XUẤT!N:N,CBCNV!B101,XUẤT!O:O,CBCNV!$O$2)</f>
        <v>0</v>
      </c>
      <c r="P101" s="135">
        <f t="shared" si="18"/>
        <v>0</v>
      </c>
      <c r="Q101" s="32"/>
      <c r="R101" s="18"/>
    </row>
    <row r="102" spans="1:20" s="136" customFormat="1" x14ac:dyDescent="0.3">
      <c r="A102" s="133">
        <v>95</v>
      </c>
      <c r="B102" s="10" t="s">
        <v>182</v>
      </c>
      <c r="C102" s="133" t="s">
        <v>148</v>
      </c>
      <c r="D102" s="133" t="s">
        <v>170</v>
      </c>
      <c r="E102" s="130">
        <f>SUMIFS(XUẤT!P:P,XUẤT!N:N,CBCNV!B102,XUẤT!O:O,CBCNV!$E$2)</f>
        <v>0</v>
      </c>
      <c r="F102" s="135">
        <f t="shared" si="13"/>
        <v>0</v>
      </c>
      <c r="G102" s="130">
        <f>SUMIFS(XUẤT!Q:Q,XUẤT!N:N,CBCNV!B102,XUẤT!O:O,CBCNV!$G$2)</f>
        <v>0</v>
      </c>
      <c r="H102" s="134">
        <f t="shared" si="14"/>
        <v>0</v>
      </c>
      <c r="I102" s="130">
        <f>SUMIFS(XUẤT!R:R,XUẤT!N:N,CBCNV!B102,XUẤT!O:O,CBCNV!$I$2)</f>
        <v>0</v>
      </c>
      <c r="J102" s="135">
        <f t="shared" si="15"/>
        <v>0</v>
      </c>
      <c r="K102" s="130">
        <f>SUMIFS(XUẤT!S:S,XUẤT!N:N,CBCNV!B102,XUẤT!O:O,CBCNV!$K$2)</f>
        <v>0</v>
      </c>
      <c r="L102" s="135">
        <f t="shared" si="16"/>
        <v>0</v>
      </c>
      <c r="M102" s="130">
        <f>SUMIFS(XUẤT!T:T,XUẤT!N:N,CBCNV!B102,XUẤT!O:O,CBCNV!$M$2)</f>
        <v>0</v>
      </c>
      <c r="N102" s="135">
        <f t="shared" si="17"/>
        <v>0</v>
      </c>
      <c r="O102" s="130">
        <f>SUMIFS(XUẤT!U:U,XUẤT!N:N,CBCNV!B102,XUẤT!O:O,CBCNV!$O$2)</f>
        <v>0</v>
      </c>
      <c r="P102" s="135">
        <f t="shared" si="18"/>
        <v>0</v>
      </c>
      <c r="Q102" s="32"/>
      <c r="R102" s="18"/>
    </row>
    <row r="103" spans="1:20" s="136" customFormat="1" x14ac:dyDescent="0.3">
      <c r="A103" s="133">
        <v>96</v>
      </c>
      <c r="B103" s="10" t="s">
        <v>183</v>
      </c>
      <c r="C103" s="133" t="s">
        <v>148</v>
      </c>
      <c r="D103" s="133" t="s">
        <v>170</v>
      </c>
      <c r="E103" s="130">
        <f>SUMIFS(XUẤT!P:P,XUẤT!N:N,CBCNV!B103,XUẤT!O:O,CBCNV!$E$2)</f>
        <v>10</v>
      </c>
      <c r="F103" s="135">
        <f t="shared" ref="F103:F134" si="19">E103*$T$10</f>
        <v>980000</v>
      </c>
      <c r="G103" s="130">
        <f>SUMIFS(XUẤT!Q:Q,XUẤT!N:N,CBCNV!B103,XUẤT!O:O,CBCNV!$G$2)</f>
        <v>2</v>
      </c>
      <c r="H103" s="134">
        <f t="shared" ref="H103:H134" si="20">G103*$T$8</f>
        <v>170000</v>
      </c>
      <c r="I103" s="130">
        <f>SUMIFS(XUẤT!R:R,XUẤT!N:N,CBCNV!B103,XUẤT!O:O,CBCNV!$I$2)</f>
        <v>0</v>
      </c>
      <c r="J103" s="135">
        <f t="shared" ref="J103:J134" si="21">I103*$T$9</f>
        <v>0</v>
      </c>
      <c r="K103" s="130">
        <f>SUMIFS(XUẤT!S:S,XUẤT!N:N,CBCNV!B103,XUẤT!O:O,CBCNV!$K$2)</f>
        <v>0</v>
      </c>
      <c r="L103" s="135">
        <f t="shared" ref="L103:L134" si="22">K103*$T$11</f>
        <v>0</v>
      </c>
      <c r="M103" s="130">
        <f>SUMIFS(XUẤT!T:T,XUẤT!N:N,CBCNV!B103,XUẤT!O:O,CBCNV!$M$2)</f>
        <v>0</v>
      </c>
      <c r="N103" s="135">
        <f t="shared" ref="N103:N134" si="23">M103*$T$12</f>
        <v>0</v>
      </c>
      <c r="O103" s="130">
        <f>SUMIFS(XUẤT!U:U,XUẤT!N:N,CBCNV!B103,XUẤT!O:O,CBCNV!$O$2)</f>
        <v>0</v>
      </c>
      <c r="P103" s="135">
        <f t="shared" ref="P103:P134" si="24">O103*$T$13</f>
        <v>0</v>
      </c>
      <c r="Q103" s="32"/>
      <c r="R103" s="18"/>
    </row>
    <row r="104" spans="1:20" s="136" customFormat="1" x14ac:dyDescent="0.3">
      <c r="A104" s="133">
        <v>97</v>
      </c>
      <c r="B104" s="10" t="s">
        <v>184</v>
      </c>
      <c r="C104" s="133" t="s">
        <v>148</v>
      </c>
      <c r="D104" s="133" t="s">
        <v>170</v>
      </c>
      <c r="E104" s="130">
        <f>SUMIFS(XUẤT!P:P,XUẤT!N:N,CBCNV!B104,XUẤT!O:O,CBCNV!$E$2)</f>
        <v>0</v>
      </c>
      <c r="F104" s="135">
        <f t="shared" si="19"/>
        <v>0</v>
      </c>
      <c r="G104" s="130">
        <f>SUMIFS(XUẤT!Q:Q,XUẤT!N:N,CBCNV!B104,XUẤT!O:O,CBCNV!$G$2)</f>
        <v>0</v>
      </c>
      <c r="H104" s="134">
        <f t="shared" si="20"/>
        <v>0</v>
      </c>
      <c r="I104" s="130">
        <f>SUMIFS(XUẤT!R:R,XUẤT!N:N,CBCNV!B104,XUẤT!O:O,CBCNV!$I$2)</f>
        <v>0</v>
      </c>
      <c r="J104" s="135">
        <f t="shared" si="21"/>
        <v>0</v>
      </c>
      <c r="K104" s="130">
        <f>SUMIFS(XUẤT!S:S,XUẤT!N:N,CBCNV!B104,XUẤT!O:O,CBCNV!$K$2)</f>
        <v>0</v>
      </c>
      <c r="L104" s="135">
        <f t="shared" si="22"/>
        <v>0</v>
      </c>
      <c r="M104" s="130">
        <f>SUMIFS(XUẤT!T:T,XUẤT!N:N,CBCNV!B104,XUẤT!O:O,CBCNV!$M$2)</f>
        <v>0</v>
      </c>
      <c r="N104" s="135">
        <f t="shared" si="23"/>
        <v>0</v>
      </c>
      <c r="O104" s="130">
        <f>SUMIFS(XUẤT!U:U,XUẤT!N:N,CBCNV!B104,XUẤT!O:O,CBCNV!$O$2)</f>
        <v>0</v>
      </c>
      <c r="P104" s="135">
        <f t="shared" si="24"/>
        <v>0</v>
      </c>
      <c r="Q104" s="32"/>
      <c r="R104" s="18"/>
    </row>
    <row r="105" spans="1:20" s="136" customFormat="1" x14ac:dyDescent="0.3">
      <c r="A105" s="133">
        <v>98</v>
      </c>
      <c r="B105" s="138" t="s">
        <v>185</v>
      </c>
      <c r="C105" s="133" t="s">
        <v>148</v>
      </c>
      <c r="D105" s="133" t="s">
        <v>170</v>
      </c>
      <c r="E105" s="130">
        <f>SUMIFS(XUẤT!P:P,XUẤT!N:N,CBCNV!B105,XUẤT!O:O,CBCNV!$E$2)</f>
        <v>0</v>
      </c>
      <c r="F105" s="135">
        <f t="shared" si="19"/>
        <v>0</v>
      </c>
      <c r="G105" s="130">
        <f>SUMIFS(XUẤT!Q:Q,XUẤT!N:N,CBCNV!B105,XUẤT!O:O,CBCNV!$G$2)</f>
        <v>0</v>
      </c>
      <c r="H105" s="134">
        <f t="shared" si="20"/>
        <v>0</v>
      </c>
      <c r="I105" s="130">
        <f>SUMIFS(XUẤT!R:R,XUẤT!N:N,CBCNV!B105,XUẤT!O:O,CBCNV!$I$2)</f>
        <v>0</v>
      </c>
      <c r="J105" s="135">
        <f t="shared" si="21"/>
        <v>0</v>
      </c>
      <c r="K105" s="130">
        <f>SUMIFS(XUẤT!S:S,XUẤT!N:N,CBCNV!B105,XUẤT!O:O,CBCNV!$K$2)</f>
        <v>0</v>
      </c>
      <c r="L105" s="135">
        <f t="shared" si="22"/>
        <v>0</v>
      </c>
      <c r="M105" s="130">
        <f>SUMIFS(XUẤT!T:T,XUẤT!N:N,CBCNV!B105,XUẤT!O:O,CBCNV!$M$2)</f>
        <v>0</v>
      </c>
      <c r="N105" s="135">
        <f t="shared" si="23"/>
        <v>0</v>
      </c>
      <c r="O105" s="130">
        <f>SUMIFS(XUẤT!U:U,XUẤT!N:N,CBCNV!B105,XUẤT!O:O,CBCNV!$O$2)</f>
        <v>30</v>
      </c>
      <c r="P105" s="135">
        <f t="shared" si="24"/>
        <v>1440000</v>
      </c>
      <c r="Q105" s="32"/>
      <c r="R105" s="18"/>
    </row>
    <row r="106" spans="1:20" s="136" customFormat="1" x14ac:dyDescent="0.3">
      <c r="A106" s="133">
        <v>99</v>
      </c>
      <c r="B106" s="10" t="s">
        <v>186</v>
      </c>
      <c r="C106" s="133" t="s">
        <v>167</v>
      </c>
      <c r="D106" s="133" t="s">
        <v>170</v>
      </c>
      <c r="E106" s="130">
        <f>SUMIFS(XUẤT!P:P,XUẤT!N:N,CBCNV!B106,XUẤT!O:O,CBCNV!$E$2)</f>
        <v>0</v>
      </c>
      <c r="F106" s="135">
        <f t="shared" si="19"/>
        <v>0</v>
      </c>
      <c r="G106" s="130">
        <f>SUMIFS(XUẤT!Q:Q,XUẤT!N:N,CBCNV!B106,XUẤT!O:O,CBCNV!$G$2)</f>
        <v>0</v>
      </c>
      <c r="H106" s="134">
        <f t="shared" si="20"/>
        <v>0</v>
      </c>
      <c r="I106" s="130">
        <f>SUMIFS(XUẤT!R:R,XUẤT!N:N,CBCNV!B106,XUẤT!O:O,CBCNV!$I$2)</f>
        <v>0</v>
      </c>
      <c r="J106" s="135">
        <f t="shared" si="21"/>
        <v>0</v>
      </c>
      <c r="K106" s="130">
        <f>SUMIFS(XUẤT!S:S,XUẤT!N:N,CBCNV!B106,XUẤT!O:O,CBCNV!$K$2)</f>
        <v>0</v>
      </c>
      <c r="L106" s="135">
        <f t="shared" si="22"/>
        <v>0</v>
      </c>
      <c r="M106" s="130">
        <f>SUMIFS(XUẤT!T:T,XUẤT!N:N,CBCNV!B106,XUẤT!O:O,CBCNV!$M$2)</f>
        <v>0</v>
      </c>
      <c r="N106" s="135">
        <f t="shared" si="23"/>
        <v>0</v>
      </c>
      <c r="O106" s="130">
        <f>SUMIFS(XUẤT!U:U,XUẤT!N:N,CBCNV!B106,XUẤT!O:O,CBCNV!$O$2)</f>
        <v>5</v>
      </c>
      <c r="P106" s="135">
        <f t="shared" si="24"/>
        <v>240000</v>
      </c>
      <c r="Q106" s="32"/>
      <c r="R106" s="18"/>
    </row>
    <row r="107" spans="1:20" s="136" customFormat="1" x14ac:dyDescent="0.3">
      <c r="A107" s="133">
        <v>100</v>
      </c>
      <c r="B107" s="10" t="s">
        <v>187</v>
      </c>
      <c r="C107" s="133" t="s">
        <v>167</v>
      </c>
      <c r="D107" s="133" t="s">
        <v>170</v>
      </c>
      <c r="E107" s="130">
        <f>SUMIFS(XUẤT!P:P,XUẤT!N:N,CBCNV!B107,XUẤT!O:O,CBCNV!$E$2)</f>
        <v>20</v>
      </c>
      <c r="F107" s="135">
        <f t="shared" si="19"/>
        <v>1960000</v>
      </c>
      <c r="G107" s="130">
        <f>SUMIFS(XUẤT!Q:Q,XUẤT!N:N,CBCNV!B107,XUẤT!O:O,CBCNV!$G$2)</f>
        <v>0</v>
      </c>
      <c r="H107" s="134">
        <f t="shared" si="20"/>
        <v>0</v>
      </c>
      <c r="I107" s="130">
        <f>SUMIFS(XUẤT!R:R,XUẤT!N:N,CBCNV!B107,XUẤT!O:O,CBCNV!$I$2)</f>
        <v>0</v>
      </c>
      <c r="J107" s="135">
        <f t="shared" si="21"/>
        <v>0</v>
      </c>
      <c r="K107" s="130">
        <f>SUMIFS(XUẤT!S:S,XUẤT!N:N,CBCNV!B107,XUẤT!O:O,CBCNV!$K$2)</f>
        <v>0</v>
      </c>
      <c r="L107" s="135">
        <f t="shared" si="22"/>
        <v>0</v>
      </c>
      <c r="M107" s="130">
        <f>SUMIFS(XUẤT!T:T,XUẤT!N:N,CBCNV!B107,XUẤT!O:O,CBCNV!$M$2)</f>
        <v>0</v>
      </c>
      <c r="N107" s="135">
        <f t="shared" si="23"/>
        <v>0</v>
      </c>
      <c r="O107" s="130">
        <f>SUMIFS(XUẤT!U:U,XUẤT!N:N,CBCNV!B107,XUẤT!O:O,CBCNV!$O$2)</f>
        <v>0</v>
      </c>
      <c r="P107" s="135">
        <f t="shared" si="24"/>
        <v>0</v>
      </c>
      <c r="Q107" s="32"/>
      <c r="R107" s="18"/>
    </row>
    <row r="108" spans="1:20" s="132" customFormat="1" x14ac:dyDescent="0.3">
      <c r="A108" s="133">
        <v>101</v>
      </c>
      <c r="B108" s="10" t="s">
        <v>188</v>
      </c>
      <c r="C108" s="133" t="s">
        <v>167</v>
      </c>
      <c r="D108" s="133" t="s">
        <v>170</v>
      </c>
      <c r="E108" s="130">
        <f>SUMIFS(XUẤT!P:P,XUẤT!N:N,CBCNV!B108,XUẤT!O:O,CBCNV!$E$2)</f>
        <v>0</v>
      </c>
      <c r="F108" s="135">
        <f t="shared" si="19"/>
        <v>0</v>
      </c>
      <c r="G108" s="130">
        <f>SUMIFS(XUẤT!Q:Q,XUẤT!N:N,CBCNV!B108,XUẤT!O:O,CBCNV!$G$2)</f>
        <v>0</v>
      </c>
      <c r="H108" s="134">
        <f t="shared" si="20"/>
        <v>0</v>
      </c>
      <c r="I108" s="130">
        <f>SUMIFS(XUẤT!R:R,XUẤT!N:N,CBCNV!B108,XUẤT!O:O,CBCNV!$I$2)</f>
        <v>0</v>
      </c>
      <c r="J108" s="135">
        <f t="shared" si="21"/>
        <v>0</v>
      </c>
      <c r="K108" s="130">
        <f>SUMIFS(XUẤT!S:S,XUẤT!N:N,CBCNV!B108,XUẤT!O:O,CBCNV!$K$2)</f>
        <v>0</v>
      </c>
      <c r="L108" s="135">
        <f t="shared" si="22"/>
        <v>0</v>
      </c>
      <c r="M108" s="130">
        <f>SUMIFS(XUẤT!T:T,XUẤT!N:N,CBCNV!B108,XUẤT!O:O,CBCNV!$M$2)</f>
        <v>0</v>
      </c>
      <c r="N108" s="135">
        <f t="shared" si="23"/>
        <v>0</v>
      </c>
      <c r="O108" s="130">
        <f>SUMIFS(XUẤT!U:U,XUẤT!N:N,CBCNV!B108,XUẤT!O:O,CBCNV!$O$2)</f>
        <v>0</v>
      </c>
      <c r="P108" s="135">
        <f t="shared" si="24"/>
        <v>0</v>
      </c>
      <c r="Q108" s="32"/>
      <c r="R108" s="18"/>
      <c r="S108" s="136"/>
      <c r="T108" s="136"/>
    </row>
    <row r="109" spans="1:20" s="136" customFormat="1" x14ac:dyDescent="0.3">
      <c r="A109" s="133">
        <v>102</v>
      </c>
      <c r="B109" s="10" t="s">
        <v>189</v>
      </c>
      <c r="C109" s="133" t="s">
        <v>167</v>
      </c>
      <c r="D109" s="133" t="s">
        <v>170</v>
      </c>
      <c r="E109" s="130">
        <f>SUMIFS(XUẤT!P:P,XUẤT!N:N,CBCNV!B109,XUẤT!O:O,CBCNV!$E$2)</f>
        <v>0</v>
      </c>
      <c r="F109" s="135">
        <f t="shared" si="19"/>
        <v>0</v>
      </c>
      <c r="G109" s="130">
        <f>SUMIFS(XUẤT!Q:Q,XUẤT!N:N,CBCNV!B109,XUẤT!O:O,CBCNV!$G$2)</f>
        <v>0</v>
      </c>
      <c r="H109" s="134">
        <f t="shared" si="20"/>
        <v>0</v>
      </c>
      <c r="I109" s="130">
        <f>SUMIFS(XUẤT!R:R,XUẤT!N:N,CBCNV!B109,XUẤT!O:O,CBCNV!$I$2)</f>
        <v>0</v>
      </c>
      <c r="J109" s="135">
        <f t="shared" si="21"/>
        <v>0</v>
      </c>
      <c r="K109" s="130">
        <f>SUMIFS(XUẤT!S:S,XUẤT!N:N,CBCNV!B109,XUẤT!O:O,CBCNV!$K$2)</f>
        <v>0</v>
      </c>
      <c r="L109" s="135">
        <f t="shared" si="22"/>
        <v>0</v>
      </c>
      <c r="M109" s="130">
        <f>SUMIFS(XUẤT!T:T,XUẤT!N:N,CBCNV!B109,XUẤT!O:O,CBCNV!$M$2)</f>
        <v>0</v>
      </c>
      <c r="N109" s="135">
        <f t="shared" si="23"/>
        <v>0</v>
      </c>
      <c r="O109" s="130">
        <f>SUMIFS(XUẤT!U:U,XUẤT!N:N,CBCNV!B109,XUẤT!O:O,CBCNV!$O$2)</f>
        <v>0</v>
      </c>
      <c r="P109" s="135">
        <f t="shared" si="24"/>
        <v>0</v>
      </c>
      <c r="Q109" s="32"/>
      <c r="R109" s="18"/>
    </row>
    <row r="110" spans="1:20" s="136" customFormat="1" x14ac:dyDescent="0.3">
      <c r="A110" s="133">
        <v>103</v>
      </c>
      <c r="B110" s="10" t="s">
        <v>190</v>
      </c>
      <c r="C110" s="133" t="s">
        <v>167</v>
      </c>
      <c r="D110" s="133" t="s">
        <v>170</v>
      </c>
      <c r="E110" s="130">
        <f>SUMIFS(XUẤT!P:P,XUẤT!N:N,CBCNV!B110,XUẤT!O:O,CBCNV!$E$2)</f>
        <v>0</v>
      </c>
      <c r="F110" s="135">
        <f t="shared" si="19"/>
        <v>0</v>
      </c>
      <c r="G110" s="130">
        <f>SUMIFS(XUẤT!Q:Q,XUẤT!N:N,CBCNV!B110,XUẤT!O:O,CBCNV!$G$2)</f>
        <v>0</v>
      </c>
      <c r="H110" s="134">
        <f t="shared" si="20"/>
        <v>0</v>
      </c>
      <c r="I110" s="130">
        <f>SUMIFS(XUẤT!R:R,XUẤT!N:N,CBCNV!B110,XUẤT!O:O,CBCNV!$I$2)</f>
        <v>0</v>
      </c>
      <c r="J110" s="135">
        <f t="shared" si="21"/>
        <v>0</v>
      </c>
      <c r="K110" s="130">
        <f>SUMIFS(XUẤT!S:S,XUẤT!N:N,CBCNV!B110,XUẤT!O:O,CBCNV!$K$2)</f>
        <v>0</v>
      </c>
      <c r="L110" s="135">
        <f t="shared" si="22"/>
        <v>0</v>
      </c>
      <c r="M110" s="130">
        <f>SUMIFS(XUẤT!T:T,XUẤT!N:N,CBCNV!B110,XUẤT!O:O,CBCNV!$M$2)</f>
        <v>0</v>
      </c>
      <c r="N110" s="135">
        <f t="shared" si="23"/>
        <v>0</v>
      </c>
      <c r="O110" s="130">
        <f>SUMIFS(XUẤT!U:U,XUẤT!N:N,CBCNV!B110,XUẤT!O:O,CBCNV!$O$2)</f>
        <v>0</v>
      </c>
      <c r="P110" s="135">
        <f t="shared" si="24"/>
        <v>0</v>
      </c>
      <c r="Q110" s="32"/>
      <c r="R110" s="18"/>
    </row>
    <row r="111" spans="1:20" s="136" customFormat="1" x14ac:dyDescent="0.3">
      <c r="A111" s="133">
        <v>104</v>
      </c>
      <c r="B111" s="34" t="s">
        <v>42</v>
      </c>
      <c r="C111" s="137" t="s">
        <v>191</v>
      </c>
      <c r="D111" s="137" t="s">
        <v>192</v>
      </c>
      <c r="E111" s="130">
        <f>SUMIFS(XUẤT!P:P,XUẤT!N:N,CBCNV!B111,XUẤT!O:O,CBCNV!$E$2)</f>
        <v>0</v>
      </c>
      <c r="F111" s="135">
        <f t="shared" si="19"/>
        <v>0</v>
      </c>
      <c r="G111" s="130">
        <f>SUMIFS(XUẤT!Q:Q,XUẤT!N:N,CBCNV!B111,XUẤT!O:O,CBCNV!$G$2)</f>
        <v>0</v>
      </c>
      <c r="H111" s="134">
        <f t="shared" si="20"/>
        <v>0</v>
      </c>
      <c r="I111" s="130">
        <f>SUMIFS(XUẤT!R:R,XUẤT!N:N,CBCNV!B111,XUẤT!O:O,CBCNV!$I$2)</f>
        <v>0</v>
      </c>
      <c r="J111" s="135">
        <f t="shared" si="21"/>
        <v>0</v>
      </c>
      <c r="K111" s="130">
        <f>SUMIFS(XUẤT!S:S,XUẤT!N:N,CBCNV!B111,XUẤT!O:O,CBCNV!$K$2)</f>
        <v>0</v>
      </c>
      <c r="L111" s="135">
        <f t="shared" si="22"/>
        <v>0</v>
      </c>
      <c r="M111" s="130">
        <f>SUMIFS(XUẤT!T:T,XUẤT!N:N,CBCNV!B111,XUẤT!O:O,CBCNV!$M$2)</f>
        <v>0</v>
      </c>
      <c r="N111" s="135">
        <f t="shared" si="23"/>
        <v>0</v>
      </c>
      <c r="O111" s="130">
        <f>SUMIFS(XUẤT!U:U,XUẤT!N:N,CBCNV!B111,XUẤT!O:O,CBCNV!$O$2)</f>
        <v>0</v>
      </c>
      <c r="P111" s="135">
        <f t="shared" si="24"/>
        <v>0</v>
      </c>
      <c r="Q111" s="32"/>
      <c r="R111" s="21"/>
      <c r="S111" s="132"/>
      <c r="T111" s="132"/>
    </row>
    <row r="112" spans="1:20" s="136" customFormat="1" x14ac:dyDescent="0.3">
      <c r="A112" s="133">
        <v>105</v>
      </c>
      <c r="B112" s="10" t="s">
        <v>193</v>
      </c>
      <c r="C112" s="133" t="s">
        <v>134</v>
      </c>
      <c r="D112" s="133" t="s">
        <v>192</v>
      </c>
      <c r="E112" s="130">
        <f>SUMIFS(XUẤT!P:P,XUẤT!N:N,CBCNV!B112,XUẤT!O:O,CBCNV!$E$2)</f>
        <v>0</v>
      </c>
      <c r="F112" s="135">
        <f t="shared" si="19"/>
        <v>0</v>
      </c>
      <c r="G112" s="130">
        <f>SUMIFS(XUẤT!Q:Q,XUẤT!N:N,CBCNV!B112,XUẤT!O:O,CBCNV!$G$2)</f>
        <v>0</v>
      </c>
      <c r="H112" s="134">
        <f t="shared" si="20"/>
        <v>0</v>
      </c>
      <c r="I112" s="130">
        <f>SUMIFS(XUẤT!R:R,XUẤT!N:N,CBCNV!B112,XUẤT!O:O,CBCNV!$I$2)</f>
        <v>0</v>
      </c>
      <c r="J112" s="135">
        <f t="shared" si="21"/>
        <v>0</v>
      </c>
      <c r="K112" s="130">
        <f>SUMIFS(XUẤT!S:S,XUẤT!N:N,CBCNV!B112,XUẤT!O:O,CBCNV!$K$2)</f>
        <v>0</v>
      </c>
      <c r="L112" s="135">
        <f t="shared" si="22"/>
        <v>0</v>
      </c>
      <c r="M112" s="130">
        <f>SUMIFS(XUẤT!T:T,XUẤT!N:N,CBCNV!B112,XUẤT!O:O,CBCNV!$M$2)</f>
        <v>0</v>
      </c>
      <c r="N112" s="135">
        <f t="shared" si="23"/>
        <v>0</v>
      </c>
      <c r="O112" s="130">
        <f>SUMIFS(XUẤT!U:U,XUẤT!N:N,CBCNV!B112,XUẤT!O:O,CBCNV!$O$2)</f>
        <v>0</v>
      </c>
      <c r="P112" s="135">
        <f t="shared" si="24"/>
        <v>0</v>
      </c>
      <c r="Q112" s="32"/>
      <c r="R112" s="18"/>
    </row>
    <row r="113" spans="1:18" s="136" customFormat="1" x14ac:dyDescent="0.3">
      <c r="A113" s="133">
        <v>106</v>
      </c>
      <c r="B113" s="10" t="s">
        <v>194</v>
      </c>
      <c r="C113" s="133" t="s">
        <v>153</v>
      </c>
      <c r="D113" s="133" t="s">
        <v>192</v>
      </c>
      <c r="E113" s="130">
        <f>SUMIFS(XUẤT!P:P,XUẤT!N:N,CBCNV!B113,XUẤT!O:O,CBCNV!$E$2)</f>
        <v>0</v>
      </c>
      <c r="F113" s="135">
        <f t="shared" si="19"/>
        <v>0</v>
      </c>
      <c r="G113" s="130">
        <f>SUMIFS(XUẤT!Q:Q,XUẤT!N:N,CBCNV!B113,XUẤT!O:O,CBCNV!$G$2)</f>
        <v>0</v>
      </c>
      <c r="H113" s="134">
        <f t="shared" si="20"/>
        <v>0</v>
      </c>
      <c r="I113" s="130">
        <f>SUMIFS(XUẤT!R:R,XUẤT!N:N,CBCNV!B113,XUẤT!O:O,CBCNV!$I$2)</f>
        <v>0</v>
      </c>
      <c r="J113" s="135">
        <f t="shared" si="21"/>
        <v>0</v>
      </c>
      <c r="K113" s="130">
        <f>SUMIFS(XUẤT!S:S,XUẤT!N:N,CBCNV!B113,XUẤT!O:O,CBCNV!$K$2)</f>
        <v>0</v>
      </c>
      <c r="L113" s="135">
        <f t="shared" si="22"/>
        <v>0</v>
      </c>
      <c r="M113" s="130">
        <f>SUMIFS(XUẤT!T:T,XUẤT!N:N,CBCNV!B113,XUẤT!O:O,CBCNV!$M$2)</f>
        <v>0</v>
      </c>
      <c r="N113" s="135">
        <f t="shared" si="23"/>
        <v>0</v>
      </c>
      <c r="O113" s="130">
        <f>SUMIFS(XUẤT!U:U,XUẤT!N:N,CBCNV!B113,XUẤT!O:O,CBCNV!$O$2)</f>
        <v>0</v>
      </c>
      <c r="P113" s="135">
        <f t="shared" si="24"/>
        <v>0</v>
      </c>
      <c r="Q113" s="32"/>
      <c r="R113" s="18"/>
    </row>
    <row r="114" spans="1:18" s="136" customFormat="1" x14ac:dyDescent="0.3">
      <c r="A114" s="133">
        <v>107</v>
      </c>
      <c r="B114" s="10" t="s">
        <v>195</v>
      </c>
      <c r="C114" s="133" t="s">
        <v>79</v>
      </c>
      <c r="D114" s="133" t="s">
        <v>192</v>
      </c>
      <c r="E114" s="130">
        <f>SUMIFS(XUẤT!P:P,XUẤT!N:N,CBCNV!B114,XUẤT!O:O,CBCNV!$E$2)</f>
        <v>0</v>
      </c>
      <c r="F114" s="135">
        <f t="shared" si="19"/>
        <v>0</v>
      </c>
      <c r="G114" s="130">
        <f>SUMIFS(XUẤT!Q:Q,XUẤT!N:N,CBCNV!B114,XUẤT!O:O,CBCNV!$G$2)</f>
        <v>0</v>
      </c>
      <c r="H114" s="134">
        <f t="shared" si="20"/>
        <v>0</v>
      </c>
      <c r="I114" s="130">
        <f>SUMIFS(XUẤT!R:R,XUẤT!N:N,CBCNV!B114,XUẤT!O:O,CBCNV!$I$2)</f>
        <v>0</v>
      </c>
      <c r="J114" s="135">
        <f t="shared" si="21"/>
        <v>0</v>
      </c>
      <c r="K114" s="130">
        <f>SUMIFS(XUẤT!S:S,XUẤT!N:N,CBCNV!B114,XUẤT!O:O,CBCNV!$K$2)</f>
        <v>0</v>
      </c>
      <c r="L114" s="135">
        <f t="shared" si="22"/>
        <v>0</v>
      </c>
      <c r="M114" s="130">
        <f>SUMIFS(XUẤT!T:T,XUẤT!N:N,CBCNV!B114,XUẤT!O:O,CBCNV!$M$2)</f>
        <v>0</v>
      </c>
      <c r="N114" s="135">
        <f t="shared" si="23"/>
        <v>0</v>
      </c>
      <c r="O114" s="130">
        <f>SUMIFS(XUẤT!U:U,XUẤT!N:N,CBCNV!B114,XUẤT!O:O,CBCNV!$O$2)</f>
        <v>0</v>
      </c>
      <c r="P114" s="135">
        <f t="shared" si="24"/>
        <v>0</v>
      </c>
      <c r="Q114" s="32"/>
      <c r="R114" s="18"/>
    </row>
    <row r="115" spans="1:18" s="136" customFormat="1" x14ac:dyDescent="0.3">
      <c r="A115" s="133">
        <v>108</v>
      </c>
      <c r="B115" s="10" t="s">
        <v>196</v>
      </c>
      <c r="C115" s="133" t="s">
        <v>79</v>
      </c>
      <c r="D115" s="133" t="s">
        <v>192</v>
      </c>
      <c r="E115" s="130">
        <f>SUMIFS(XUẤT!P:P,XUẤT!N:N,CBCNV!B115,XUẤT!O:O,CBCNV!$E$2)</f>
        <v>0</v>
      </c>
      <c r="F115" s="135">
        <f t="shared" si="19"/>
        <v>0</v>
      </c>
      <c r="G115" s="130">
        <f>SUMIFS(XUẤT!Q:Q,XUẤT!N:N,CBCNV!B115,XUẤT!O:O,CBCNV!$G$2)</f>
        <v>0</v>
      </c>
      <c r="H115" s="134">
        <f t="shared" si="20"/>
        <v>0</v>
      </c>
      <c r="I115" s="130">
        <f>SUMIFS(XUẤT!R:R,XUẤT!N:N,CBCNV!B115,XUẤT!O:O,CBCNV!$I$2)</f>
        <v>0</v>
      </c>
      <c r="J115" s="135">
        <f t="shared" si="21"/>
        <v>0</v>
      </c>
      <c r="K115" s="130">
        <f>SUMIFS(XUẤT!S:S,XUẤT!N:N,CBCNV!B115,XUẤT!O:O,CBCNV!$K$2)</f>
        <v>0</v>
      </c>
      <c r="L115" s="135">
        <f t="shared" si="22"/>
        <v>0</v>
      </c>
      <c r="M115" s="130">
        <f>SUMIFS(XUẤT!T:T,XUẤT!N:N,CBCNV!B115,XUẤT!O:O,CBCNV!$M$2)</f>
        <v>0</v>
      </c>
      <c r="N115" s="135">
        <f t="shared" si="23"/>
        <v>0</v>
      </c>
      <c r="O115" s="130">
        <f>SUMIFS(XUẤT!U:U,XUẤT!N:N,CBCNV!B115,XUẤT!O:O,CBCNV!$O$2)</f>
        <v>0</v>
      </c>
      <c r="P115" s="135">
        <f t="shared" si="24"/>
        <v>0</v>
      </c>
      <c r="Q115" s="32"/>
      <c r="R115" s="18"/>
    </row>
    <row r="116" spans="1:18" s="136" customFormat="1" x14ac:dyDescent="0.3">
      <c r="A116" s="133">
        <v>109</v>
      </c>
      <c r="B116" s="10" t="s">
        <v>197</v>
      </c>
      <c r="C116" s="133" t="s">
        <v>79</v>
      </c>
      <c r="D116" s="133" t="s">
        <v>192</v>
      </c>
      <c r="E116" s="130">
        <f>SUMIFS(XUẤT!P:P,XUẤT!N:N,CBCNV!B116,XUẤT!O:O,CBCNV!$E$2)</f>
        <v>0</v>
      </c>
      <c r="F116" s="135">
        <f t="shared" si="19"/>
        <v>0</v>
      </c>
      <c r="G116" s="130">
        <f>SUMIFS(XUẤT!Q:Q,XUẤT!N:N,CBCNV!B116,XUẤT!O:O,CBCNV!$G$2)</f>
        <v>0</v>
      </c>
      <c r="H116" s="134">
        <f t="shared" si="20"/>
        <v>0</v>
      </c>
      <c r="I116" s="130">
        <f>SUMIFS(XUẤT!R:R,XUẤT!N:N,CBCNV!B116,XUẤT!O:O,CBCNV!$I$2)</f>
        <v>0</v>
      </c>
      <c r="J116" s="135">
        <f t="shared" si="21"/>
        <v>0</v>
      </c>
      <c r="K116" s="130">
        <f>SUMIFS(XUẤT!S:S,XUẤT!N:N,CBCNV!B116,XUẤT!O:O,CBCNV!$K$2)</f>
        <v>0</v>
      </c>
      <c r="L116" s="135">
        <f t="shared" si="22"/>
        <v>0</v>
      </c>
      <c r="M116" s="130">
        <f>SUMIFS(XUẤT!T:T,XUẤT!N:N,CBCNV!B116,XUẤT!O:O,CBCNV!$M$2)</f>
        <v>0</v>
      </c>
      <c r="N116" s="135">
        <f t="shared" si="23"/>
        <v>0</v>
      </c>
      <c r="O116" s="130">
        <f>SUMIFS(XUẤT!U:U,XUẤT!N:N,CBCNV!B116,XUẤT!O:O,CBCNV!$O$2)</f>
        <v>0</v>
      </c>
      <c r="P116" s="135">
        <f t="shared" si="24"/>
        <v>0</v>
      </c>
      <c r="Q116" s="32"/>
      <c r="R116" s="18"/>
    </row>
    <row r="117" spans="1:18" s="136" customFormat="1" x14ac:dyDescent="0.3">
      <c r="A117" s="133">
        <v>110</v>
      </c>
      <c r="B117" s="10" t="s">
        <v>198</v>
      </c>
      <c r="C117" s="133" t="s">
        <v>79</v>
      </c>
      <c r="D117" s="133" t="s">
        <v>192</v>
      </c>
      <c r="E117" s="130">
        <f>SUMIFS(XUẤT!P:P,XUẤT!N:N,CBCNV!B117,XUẤT!O:O,CBCNV!$E$2)</f>
        <v>0</v>
      </c>
      <c r="F117" s="135">
        <f t="shared" si="19"/>
        <v>0</v>
      </c>
      <c r="G117" s="130">
        <f>SUMIFS(XUẤT!Q:Q,XUẤT!N:N,CBCNV!B117,XUẤT!O:O,CBCNV!$G$2)</f>
        <v>0</v>
      </c>
      <c r="H117" s="134">
        <f t="shared" si="20"/>
        <v>0</v>
      </c>
      <c r="I117" s="130">
        <f>SUMIFS(XUẤT!R:R,XUẤT!N:N,CBCNV!B117,XUẤT!O:O,CBCNV!$I$2)</f>
        <v>0</v>
      </c>
      <c r="J117" s="135">
        <f t="shared" si="21"/>
        <v>0</v>
      </c>
      <c r="K117" s="130">
        <f>SUMIFS(XUẤT!S:S,XUẤT!N:N,CBCNV!B117,XUẤT!O:O,CBCNV!$K$2)</f>
        <v>0</v>
      </c>
      <c r="L117" s="135">
        <f t="shared" si="22"/>
        <v>0</v>
      </c>
      <c r="M117" s="130">
        <f>SUMIFS(XUẤT!T:T,XUẤT!N:N,CBCNV!B117,XUẤT!O:O,CBCNV!$M$2)</f>
        <v>0</v>
      </c>
      <c r="N117" s="135">
        <f t="shared" si="23"/>
        <v>0</v>
      </c>
      <c r="O117" s="130">
        <f>SUMIFS(XUẤT!U:U,XUẤT!N:N,CBCNV!B117,XUẤT!O:O,CBCNV!$O$2)</f>
        <v>0</v>
      </c>
      <c r="P117" s="135">
        <f t="shared" si="24"/>
        <v>0</v>
      </c>
      <c r="Q117" s="32"/>
      <c r="R117" s="18"/>
    </row>
    <row r="118" spans="1:18" s="136" customFormat="1" x14ac:dyDescent="0.3">
      <c r="A118" s="133">
        <v>111</v>
      </c>
      <c r="B118" s="10" t="s">
        <v>199</v>
      </c>
      <c r="C118" s="133" t="s">
        <v>79</v>
      </c>
      <c r="D118" s="133" t="s">
        <v>192</v>
      </c>
      <c r="E118" s="130">
        <f>SUMIFS(XUẤT!P:P,XUẤT!N:N,CBCNV!B118,XUẤT!O:O,CBCNV!$E$2)</f>
        <v>0</v>
      </c>
      <c r="F118" s="135">
        <f t="shared" si="19"/>
        <v>0</v>
      </c>
      <c r="G118" s="130">
        <f>SUMIFS(XUẤT!Q:Q,XUẤT!N:N,CBCNV!B118,XUẤT!O:O,CBCNV!$G$2)</f>
        <v>0</v>
      </c>
      <c r="H118" s="134">
        <f t="shared" si="20"/>
        <v>0</v>
      </c>
      <c r="I118" s="130">
        <f>SUMIFS(XUẤT!R:R,XUẤT!N:N,CBCNV!B118,XUẤT!O:O,CBCNV!$I$2)</f>
        <v>0</v>
      </c>
      <c r="J118" s="135">
        <f t="shared" si="21"/>
        <v>0</v>
      </c>
      <c r="K118" s="130">
        <f>SUMIFS(XUẤT!S:S,XUẤT!N:N,CBCNV!B118,XUẤT!O:O,CBCNV!$K$2)</f>
        <v>0</v>
      </c>
      <c r="L118" s="135">
        <f t="shared" si="22"/>
        <v>0</v>
      </c>
      <c r="M118" s="130">
        <f>SUMIFS(XUẤT!T:T,XUẤT!N:N,CBCNV!B118,XUẤT!O:O,CBCNV!$M$2)</f>
        <v>0</v>
      </c>
      <c r="N118" s="135">
        <f t="shared" si="23"/>
        <v>0</v>
      </c>
      <c r="O118" s="130">
        <f>SUMIFS(XUẤT!U:U,XUẤT!N:N,CBCNV!B118,XUẤT!O:O,CBCNV!$O$2)</f>
        <v>0</v>
      </c>
      <c r="P118" s="135">
        <f t="shared" si="24"/>
        <v>0</v>
      </c>
      <c r="Q118" s="32"/>
      <c r="R118" s="18"/>
    </row>
    <row r="119" spans="1:18" s="136" customFormat="1" x14ac:dyDescent="0.3">
      <c r="A119" s="133">
        <v>112</v>
      </c>
      <c r="B119" s="10" t="s">
        <v>200</v>
      </c>
      <c r="C119" s="133" t="s">
        <v>148</v>
      </c>
      <c r="D119" s="133" t="s">
        <v>192</v>
      </c>
      <c r="E119" s="130">
        <f>SUMIFS(XUẤT!P:P,XUẤT!N:N,CBCNV!B119,XUẤT!O:O,CBCNV!$E$2)</f>
        <v>0</v>
      </c>
      <c r="F119" s="135">
        <f t="shared" si="19"/>
        <v>0</v>
      </c>
      <c r="G119" s="130">
        <f>SUMIFS(XUẤT!Q:Q,XUẤT!N:N,CBCNV!B119,XUẤT!O:O,CBCNV!$G$2)</f>
        <v>0</v>
      </c>
      <c r="H119" s="134">
        <f t="shared" si="20"/>
        <v>0</v>
      </c>
      <c r="I119" s="130">
        <f>SUMIFS(XUẤT!R:R,XUẤT!N:N,CBCNV!B119,XUẤT!O:O,CBCNV!$I$2)</f>
        <v>0</v>
      </c>
      <c r="J119" s="135">
        <f t="shared" si="21"/>
        <v>0</v>
      </c>
      <c r="K119" s="130">
        <f>SUMIFS(XUẤT!S:S,XUẤT!N:N,CBCNV!B119,XUẤT!O:O,CBCNV!$K$2)</f>
        <v>0</v>
      </c>
      <c r="L119" s="135">
        <f t="shared" si="22"/>
        <v>0</v>
      </c>
      <c r="M119" s="130">
        <f>SUMIFS(XUẤT!T:T,XUẤT!N:N,CBCNV!B119,XUẤT!O:O,CBCNV!$M$2)</f>
        <v>0</v>
      </c>
      <c r="N119" s="135">
        <f t="shared" si="23"/>
        <v>0</v>
      </c>
      <c r="O119" s="130">
        <f>SUMIFS(XUẤT!U:U,XUẤT!N:N,CBCNV!B119,XUẤT!O:O,CBCNV!$O$2)</f>
        <v>0</v>
      </c>
      <c r="P119" s="135">
        <f t="shared" si="24"/>
        <v>0</v>
      </c>
      <c r="Q119" s="32"/>
      <c r="R119" s="18"/>
    </row>
    <row r="120" spans="1:18" s="136" customFormat="1" x14ac:dyDescent="0.3">
      <c r="A120" s="133">
        <v>113</v>
      </c>
      <c r="B120" s="10" t="s">
        <v>46</v>
      </c>
      <c r="C120" s="133" t="s">
        <v>148</v>
      </c>
      <c r="D120" s="133" t="s">
        <v>192</v>
      </c>
      <c r="E120" s="130">
        <f>SUMIFS(XUẤT!P:P,XUẤT!N:N,CBCNV!B120,XUẤT!O:O,CBCNV!$E$2)</f>
        <v>0</v>
      </c>
      <c r="F120" s="135">
        <f t="shared" si="19"/>
        <v>0</v>
      </c>
      <c r="G120" s="130">
        <f>SUMIFS(XUẤT!Q:Q,XUẤT!N:N,CBCNV!B120,XUẤT!O:O,CBCNV!$G$2)</f>
        <v>0</v>
      </c>
      <c r="H120" s="134">
        <f t="shared" si="20"/>
        <v>0</v>
      </c>
      <c r="I120" s="130">
        <f>SUMIFS(XUẤT!R:R,XUẤT!N:N,CBCNV!B120,XUẤT!O:O,CBCNV!$I$2)</f>
        <v>0</v>
      </c>
      <c r="J120" s="135">
        <f t="shared" si="21"/>
        <v>0</v>
      </c>
      <c r="K120" s="130">
        <f>SUMIFS(XUẤT!S:S,XUẤT!N:N,CBCNV!B120,XUẤT!O:O,CBCNV!$K$2)</f>
        <v>0</v>
      </c>
      <c r="L120" s="135">
        <f t="shared" si="22"/>
        <v>0</v>
      </c>
      <c r="M120" s="130">
        <f>SUMIFS(XUẤT!T:T,XUẤT!N:N,CBCNV!B120,XUẤT!O:O,CBCNV!$M$2)</f>
        <v>0</v>
      </c>
      <c r="N120" s="135">
        <f t="shared" si="23"/>
        <v>0</v>
      </c>
      <c r="O120" s="130">
        <f>SUMIFS(XUẤT!U:U,XUẤT!N:N,CBCNV!B120,XUẤT!O:O,CBCNV!$O$2)</f>
        <v>0</v>
      </c>
      <c r="P120" s="135">
        <f t="shared" si="24"/>
        <v>0</v>
      </c>
      <c r="Q120" s="32"/>
      <c r="R120" s="18"/>
    </row>
    <row r="121" spans="1:18" s="136" customFormat="1" x14ac:dyDescent="0.3">
      <c r="A121" s="133">
        <v>114</v>
      </c>
      <c r="B121" s="10" t="s">
        <v>201</v>
      </c>
      <c r="C121" s="133" t="s">
        <v>148</v>
      </c>
      <c r="D121" s="133" t="s">
        <v>192</v>
      </c>
      <c r="E121" s="130">
        <f>SUMIFS(XUẤT!P:P,XUẤT!N:N,CBCNV!B121,XUẤT!O:O,CBCNV!$E$2)</f>
        <v>0</v>
      </c>
      <c r="F121" s="135">
        <f t="shared" si="19"/>
        <v>0</v>
      </c>
      <c r="G121" s="130">
        <f>SUMIFS(XUẤT!Q:Q,XUẤT!N:N,CBCNV!B121,XUẤT!O:O,CBCNV!$G$2)</f>
        <v>0</v>
      </c>
      <c r="H121" s="134">
        <f t="shared" si="20"/>
        <v>0</v>
      </c>
      <c r="I121" s="130">
        <f>SUMIFS(XUẤT!R:R,XUẤT!N:N,CBCNV!B121,XUẤT!O:O,CBCNV!$I$2)</f>
        <v>0</v>
      </c>
      <c r="J121" s="135">
        <f t="shared" si="21"/>
        <v>0</v>
      </c>
      <c r="K121" s="130">
        <f>SUMIFS(XUẤT!S:S,XUẤT!N:N,CBCNV!B121,XUẤT!O:O,CBCNV!$K$2)</f>
        <v>0</v>
      </c>
      <c r="L121" s="135">
        <f t="shared" si="22"/>
        <v>0</v>
      </c>
      <c r="M121" s="130">
        <f>SUMIFS(XUẤT!T:T,XUẤT!N:N,CBCNV!B121,XUẤT!O:O,CBCNV!$M$2)</f>
        <v>0</v>
      </c>
      <c r="N121" s="135">
        <f t="shared" si="23"/>
        <v>0</v>
      </c>
      <c r="O121" s="130">
        <f>SUMIFS(XUẤT!U:U,XUẤT!N:N,CBCNV!B121,XUẤT!O:O,CBCNV!$O$2)</f>
        <v>0</v>
      </c>
      <c r="P121" s="135">
        <f t="shared" si="24"/>
        <v>0</v>
      </c>
      <c r="Q121" s="32"/>
      <c r="R121" s="18"/>
    </row>
    <row r="122" spans="1:18" s="136" customFormat="1" x14ac:dyDescent="0.3">
      <c r="A122" s="133">
        <v>115</v>
      </c>
      <c r="B122" s="10" t="s">
        <v>202</v>
      </c>
      <c r="C122" s="133" t="s">
        <v>148</v>
      </c>
      <c r="D122" s="133" t="s">
        <v>192</v>
      </c>
      <c r="E122" s="130">
        <f>SUMIFS(XUẤT!P:P,XUẤT!N:N,CBCNV!B122,XUẤT!O:O,CBCNV!$E$2)</f>
        <v>0</v>
      </c>
      <c r="F122" s="135">
        <f t="shared" si="19"/>
        <v>0</v>
      </c>
      <c r="G122" s="130">
        <f>SUMIFS(XUẤT!Q:Q,XUẤT!N:N,CBCNV!B122,XUẤT!O:O,CBCNV!$G$2)</f>
        <v>0</v>
      </c>
      <c r="H122" s="134">
        <f t="shared" si="20"/>
        <v>0</v>
      </c>
      <c r="I122" s="130">
        <f>SUMIFS(XUẤT!R:R,XUẤT!N:N,CBCNV!B122,XUẤT!O:O,CBCNV!$I$2)</f>
        <v>0</v>
      </c>
      <c r="J122" s="135">
        <f t="shared" si="21"/>
        <v>0</v>
      </c>
      <c r="K122" s="130">
        <f>SUMIFS(XUẤT!S:S,XUẤT!N:N,CBCNV!B122,XUẤT!O:O,CBCNV!$K$2)</f>
        <v>0</v>
      </c>
      <c r="L122" s="135">
        <f t="shared" si="22"/>
        <v>0</v>
      </c>
      <c r="M122" s="130">
        <f>SUMIFS(XUẤT!T:T,XUẤT!N:N,CBCNV!B122,XUẤT!O:O,CBCNV!$M$2)</f>
        <v>0</v>
      </c>
      <c r="N122" s="135">
        <f t="shared" si="23"/>
        <v>0</v>
      </c>
      <c r="O122" s="130">
        <f>SUMIFS(XUẤT!U:U,XUẤT!N:N,CBCNV!B122,XUẤT!O:O,CBCNV!$O$2)</f>
        <v>0</v>
      </c>
      <c r="P122" s="135">
        <f t="shared" si="24"/>
        <v>0</v>
      </c>
      <c r="Q122" s="32"/>
      <c r="R122" s="18"/>
    </row>
    <row r="123" spans="1:18" s="136" customFormat="1" x14ac:dyDescent="0.3">
      <c r="A123" s="133">
        <v>116</v>
      </c>
      <c r="B123" s="10" t="s">
        <v>203</v>
      </c>
      <c r="C123" s="133" t="s">
        <v>148</v>
      </c>
      <c r="D123" s="133" t="s">
        <v>192</v>
      </c>
      <c r="E123" s="130">
        <f>SUMIFS(XUẤT!P:P,XUẤT!N:N,CBCNV!B123,XUẤT!O:O,CBCNV!$E$2)</f>
        <v>0</v>
      </c>
      <c r="F123" s="135">
        <f t="shared" si="19"/>
        <v>0</v>
      </c>
      <c r="G123" s="130">
        <f>SUMIFS(XUẤT!Q:Q,XUẤT!N:N,CBCNV!B123,XUẤT!O:O,CBCNV!$G$2)</f>
        <v>0</v>
      </c>
      <c r="H123" s="134">
        <f t="shared" si="20"/>
        <v>0</v>
      </c>
      <c r="I123" s="130">
        <f>SUMIFS(XUẤT!R:R,XUẤT!N:N,CBCNV!B123,XUẤT!O:O,CBCNV!$I$2)</f>
        <v>0</v>
      </c>
      <c r="J123" s="135">
        <f t="shared" si="21"/>
        <v>0</v>
      </c>
      <c r="K123" s="130">
        <f>SUMIFS(XUẤT!S:S,XUẤT!N:N,CBCNV!B123,XUẤT!O:O,CBCNV!$K$2)</f>
        <v>0</v>
      </c>
      <c r="L123" s="135">
        <f t="shared" si="22"/>
        <v>0</v>
      </c>
      <c r="M123" s="130">
        <f>SUMIFS(XUẤT!T:T,XUẤT!N:N,CBCNV!B123,XUẤT!O:O,CBCNV!$M$2)</f>
        <v>0</v>
      </c>
      <c r="N123" s="135">
        <f t="shared" si="23"/>
        <v>0</v>
      </c>
      <c r="O123" s="130">
        <f>SUMIFS(XUẤT!U:U,XUẤT!N:N,CBCNV!B123,XUẤT!O:O,CBCNV!$O$2)</f>
        <v>0</v>
      </c>
      <c r="P123" s="135">
        <f t="shared" si="24"/>
        <v>0</v>
      </c>
      <c r="Q123" s="32"/>
      <c r="R123" s="18"/>
    </row>
    <row r="124" spans="1:18" s="136" customFormat="1" x14ac:dyDescent="0.3">
      <c r="A124" s="133">
        <v>117</v>
      </c>
      <c r="B124" s="10" t="s">
        <v>204</v>
      </c>
      <c r="C124" s="133" t="s">
        <v>148</v>
      </c>
      <c r="D124" s="133" t="s">
        <v>192</v>
      </c>
      <c r="E124" s="130">
        <f>SUMIFS(XUẤT!P:P,XUẤT!N:N,CBCNV!B124,XUẤT!O:O,CBCNV!$E$2)</f>
        <v>0</v>
      </c>
      <c r="F124" s="135">
        <f t="shared" si="19"/>
        <v>0</v>
      </c>
      <c r="G124" s="130">
        <f>SUMIFS(XUẤT!Q:Q,XUẤT!N:N,CBCNV!B124,XUẤT!O:O,CBCNV!$G$2)</f>
        <v>0</v>
      </c>
      <c r="H124" s="134">
        <f t="shared" si="20"/>
        <v>0</v>
      </c>
      <c r="I124" s="130">
        <f>SUMIFS(XUẤT!R:R,XUẤT!N:N,CBCNV!B124,XUẤT!O:O,CBCNV!$I$2)</f>
        <v>0</v>
      </c>
      <c r="J124" s="135">
        <f t="shared" si="21"/>
        <v>0</v>
      </c>
      <c r="K124" s="130">
        <f>SUMIFS(XUẤT!S:S,XUẤT!N:N,CBCNV!B124,XUẤT!O:O,CBCNV!$K$2)</f>
        <v>0</v>
      </c>
      <c r="L124" s="135">
        <f t="shared" si="22"/>
        <v>0</v>
      </c>
      <c r="M124" s="130">
        <f>SUMIFS(XUẤT!T:T,XUẤT!N:N,CBCNV!B124,XUẤT!O:O,CBCNV!$M$2)</f>
        <v>0</v>
      </c>
      <c r="N124" s="135">
        <f t="shared" si="23"/>
        <v>0</v>
      </c>
      <c r="O124" s="130">
        <f>SUMIFS(XUẤT!U:U,XUẤT!N:N,CBCNV!B124,XUẤT!O:O,CBCNV!$O$2)</f>
        <v>0</v>
      </c>
      <c r="P124" s="135">
        <f t="shared" si="24"/>
        <v>0</v>
      </c>
      <c r="Q124" s="32"/>
      <c r="R124" s="18"/>
    </row>
    <row r="125" spans="1:18" s="136" customFormat="1" x14ac:dyDescent="0.3">
      <c r="A125" s="133">
        <v>118</v>
      </c>
      <c r="B125" s="10" t="s">
        <v>205</v>
      </c>
      <c r="C125" s="133" t="s">
        <v>148</v>
      </c>
      <c r="D125" s="133" t="s">
        <v>192</v>
      </c>
      <c r="E125" s="130">
        <f>SUMIFS(XUẤT!P:P,XUẤT!N:N,CBCNV!B125,XUẤT!O:O,CBCNV!$E$2)</f>
        <v>0</v>
      </c>
      <c r="F125" s="135">
        <f t="shared" si="19"/>
        <v>0</v>
      </c>
      <c r="G125" s="130">
        <f>SUMIFS(XUẤT!Q:Q,XUẤT!N:N,CBCNV!B125,XUẤT!O:O,CBCNV!$G$2)</f>
        <v>0</v>
      </c>
      <c r="H125" s="134">
        <f t="shared" si="20"/>
        <v>0</v>
      </c>
      <c r="I125" s="130">
        <f>SUMIFS(XUẤT!R:R,XUẤT!N:N,CBCNV!B125,XUẤT!O:O,CBCNV!$I$2)</f>
        <v>0</v>
      </c>
      <c r="J125" s="135">
        <f t="shared" si="21"/>
        <v>0</v>
      </c>
      <c r="K125" s="130">
        <f>SUMIFS(XUẤT!S:S,XUẤT!N:N,CBCNV!B125,XUẤT!O:O,CBCNV!$K$2)</f>
        <v>0</v>
      </c>
      <c r="L125" s="135">
        <f t="shared" si="22"/>
        <v>0</v>
      </c>
      <c r="M125" s="130">
        <f>SUMIFS(XUẤT!T:T,XUẤT!N:N,CBCNV!B125,XUẤT!O:O,CBCNV!$M$2)</f>
        <v>0</v>
      </c>
      <c r="N125" s="135">
        <f t="shared" si="23"/>
        <v>0</v>
      </c>
      <c r="O125" s="130">
        <f>SUMIFS(XUẤT!U:U,XUẤT!N:N,CBCNV!B125,XUẤT!O:O,CBCNV!$O$2)</f>
        <v>0</v>
      </c>
      <c r="P125" s="135">
        <f t="shared" si="24"/>
        <v>0</v>
      </c>
      <c r="Q125" s="32"/>
      <c r="R125" s="18"/>
    </row>
    <row r="126" spans="1:18" s="136" customFormat="1" x14ac:dyDescent="0.3">
      <c r="A126" s="133">
        <v>119</v>
      </c>
      <c r="B126" s="10" t="s">
        <v>206</v>
      </c>
      <c r="C126" s="133" t="s">
        <v>167</v>
      </c>
      <c r="D126" s="133" t="s">
        <v>192</v>
      </c>
      <c r="E126" s="130">
        <f>SUMIFS(XUẤT!P:P,XUẤT!N:N,CBCNV!B126,XUẤT!O:O,CBCNV!$E$2)</f>
        <v>0</v>
      </c>
      <c r="F126" s="135">
        <f t="shared" si="19"/>
        <v>0</v>
      </c>
      <c r="G126" s="130">
        <f>SUMIFS(XUẤT!Q:Q,XUẤT!N:N,CBCNV!B126,XUẤT!O:O,CBCNV!$G$2)</f>
        <v>0</v>
      </c>
      <c r="H126" s="134">
        <f t="shared" si="20"/>
        <v>0</v>
      </c>
      <c r="I126" s="130">
        <f>SUMIFS(XUẤT!R:R,XUẤT!N:N,CBCNV!B126,XUẤT!O:O,CBCNV!$I$2)</f>
        <v>0</v>
      </c>
      <c r="J126" s="135">
        <f t="shared" si="21"/>
        <v>0</v>
      </c>
      <c r="K126" s="130">
        <f>SUMIFS(XUẤT!S:S,XUẤT!N:N,CBCNV!B126,XUẤT!O:O,CBCNV!$K$2)</f>
        <v>0</v>
      </c>
      <c r="L126" s="135">
        <f t="shared" si="22"/>
        <v>0</v>
      </c>
      <c r="M126" s="130">
        <f>SUMIFS(XUẤT!T:T,XUẤT!N:N,CBCNV!B126,XUẤT!O:O,CBCNV!$M$2)</f>
        <v>0</v>
      </c>
      <c r="N126" s="135">
        <f t="shared" si="23"/>
        <v>0</v>
      </c>
      <c r="O126" s="130">
        <f>SUMIFS(XUẤT!U:U,XUẤT!N:N,CBCNV!B126,XUẤT!O:O,CBCNV!$O$2)</f>
        <v>0</v>
      </c>
      <c r="P126" s="135">
        <f t="shared" si="24"/>
        <v>0</v>
      </c>
      <c r="Q126" s="32"/>
      <c r="R126" s="18"/>
    </row>
    <row r="127" spans="1:18" s="136" customFormat="1" x14ac:dyDescent="0.3">
      <c r="A127" s="133">
        <v>120</v>
      </c>
      <c r="B127" s="10" t="s">
        <v>207</v>
      </c>
      <c r="C127" s="133" t="s">
        <v>163</v>
      </c>
      <c r="D127" s="133" t="s">
        <v>192</v>
      </c>
      <c r="E127" s="130">
        <f>SUMIFS(XUẤT!P:P,XUẤT!N:N,CBCNV!B127,XUẤT!O:O,CBCNV!$E$2)</f>
        <v>0</v>
      </c>
      <c r="F127" s="135">
        <f t="shared" si="19"/>
        <v>0</v>
      </c>
      <c r="G127" s="130">
        <f>SUMIFS(XUẤT!Q:Q,XUẤT!N:N,CBCNV!B127,XUẤT!O:O,CBCNV!$G$2)</f>
        <v>0</v>
      </c>
      <c r="H127" s="134">
        <f t="shared" si="20"/>
        <v>0</v>
      </c>
      <c r="I127" s="130">
        <f>SUMIFS(XUẤT!R:R,XUẤT!N:N,CBCNV!B127,XUẤT!O:O,CBCNV!$I$2)</f>
        <v>0</v>
      </c>
      <c r="J127" s="135">
        <f t="shared" si="21"/>
        <v>0</v>
      </c>
      <c r="K127" s="130">
        <f>SUMIFS(XUẤT!S:S,XUẤT!N:N,CBCNV!B127,XUẤT!O:O,CBCNV!$K$2)</f>
        <v>0</v>
      </c>
      <c r="L127" s="135">
        <f t="shared" si="22"/>
        <v>0</v>
      </c>
      <c r="M127" s="130">
        <f>SUMIFS(XUẤT!T:T,XUẤT!N:N,CBCNV!B127,XUẤT!O:O,CBCNV!$M$2)</f>
        <v>0</v>
      </c>
      <c r="N127" s="135">
        <f t="shared" si="23"/>
        <v>0</v>
      </c>
      <c r="O127" s="130">
        <f>SUMIFS(XUẤT!U:U,XUẤT!N:N,CBCNV!B127,XUẤT!O:O,CBCNV!$O$2)</f>
        <v>0</v>
      </c>
      <c r="P127" s="135">
        <f t="shared" si="24"/>
        <v>0</v>
      </c>
      <c r="Q127" s="32"/>
      <c r="R127" s="18"/>
    </row>
    <row r="128" spans="1:18" s="136" customFormat="1" x14ac:dyDescent="0.3">
      <c r="A128" s="133">
        <v>121</v>
      </c>
      <c r="B128" s="10" t="s">
        <v>208</v>
      </c>
      <c r="C128" s="133" t="s">
        <v>163</v>
      </c>
      <c r="D128" s="133" t="s">
        <v>192</v>
      </c>
      <c r="E128" s="130">
        <f>SUMIFS(XUẤT!P:P,XUẤT!N:N,CBCNV!B128,XUẤT!O:O,CBCNV!$E$2)</f>
        <v>0</v>
      </c>
      <c r="F128" s="135">
        <f t="shared" si="19"/>
        <v>0</v>
      </c>
      <c r="G128" s="130">
        <f>SUMIFS(XUẤT!Q:Q,XUẤT!N:N,CBCNV!B128,XUẤT!O:O,CBCNV!$G$2)</f>
        <v>0</v>
      </c>
      <c r="H128" s="134">
        <f t="shared" si="20"/>
        <v>0</v>
      </c>
      <c r="I128" s="130">
        <f>SUMIFS(XUẤT!R:R,XUẤT!N:N,CBCNV!B128,XUẤT!O:O,CBCNV!$I$2)</f>
        <v>0</v>
      </c>
      <c r="J128" s="135">
        <f t="shared" si="21"/>
        <v>0</v>
      </c>
      <c r="K128" s="130">
        <f>SUMIFS(XUẤT!S:S,XUẤT!N:N,CBCNV!B128,XUẤT!O:O,CBCNV!$K$2)</f>
        <v>0</v>
      </c>
      <c r="L128" s="135">
        <f t="shared" si="22"/>
        <v>0</v>
      </c>
      <c r="M128" s="130">
        <f>SUMIFS(XUẤT!T:T,XUẤT!N:N,CBCNV!B128,XUẤT!O:O,CBCNV!$M$2)</f>
        <v>0</v>
      </c>
      <c r="N128" s="135">
        <f t="shared" si="23"/>
        <v>0</v>
      </c>
      <c r="O128" s="130">
        <f>SUMIFS(XUẤT!U:U,XUẤT!N:N,CBCNV!B128,XUẤT!O:O,CBCNV!$O$2)</f>
        <v>0</v>
      </c>
      <c r="P128" s="135">
        <f t="shared" si="24"/>
        <v>0</v>
      </c>
      <c r="Q128" s="32"/>
      <c r="R128" s="18"/>
    </row>
    <row r="129" spans="1:20" s="136" customFormat="1" x14ac:dyDescent="0.3">
      <c r="A129" s="133">
        <v>122</v>
      </c>
      <c r="B129" s="10" t="s">
        <v>209</v>
      </c>
      <c r="C129" s="133" t="s">
        <v>167</v>
      </c>
      <c r="D129" s="133" t="s">
        <v>192</v>
      </c>
      <c r="E129" s="130">
        <f>SUMIFS(XUẤT!P:P,XUẤT!N:N,CBCNV!B129,XUẤT!O:O,CBCNV!$E$2)</f>
        <v>0</v>
      </c>
      <c r="F129" s="135">
        <f t="shared" si="19"/>
        <v>0</v>
      </c>
      <c r="G129" s="130">
        <f>SUMIFS(XUẤT!Q:Q,XUẤT!N:N,CBCNV!B129,XUẤT!O:O,CBCNV!$G$2)</f>
        <v>0</v>
      </c>
      <c r="H129" s="134">
        <f t="shared" si="20"/>
        <v>0</v>
      </c>
      <c r="I129" s="130">
        <f>SUMIFS(XUẤT!R:R,XUẤT!N:N,CBCNV!B129,XUẤT!O:O,CBCNV!$I$2)</f>
        <v>0</v>
      </c>
      <c r="J129" s="135">
        <f t="shared" si="21"/>
        <v>0</v>
      </c>
      <c r="K129" s="130">
        <f>SUMIFS(XUẤT!S:S,XUẤT!N:N,CBCNV!B129,XUẤT!O:O,CBCNV!$K$2)</f>
        <v>0</v>
      </c>
      <c r="L129" s="135">
        <f t="shared" si="22"/>
        <v>0</v>
      </c>
      <c r="M129" s="130">
        <f>SUMIFS(XUẤT!T:T,XUẤT!N:N,CBCNV!B129,XUẤT!O:O,CBCNV!$M$2)</f>
        <v>0</v>
      </c>
      <c r="N129" s="135">
        <f t="shared" si="23"/>
        <v>0</v>
      </c>
      <c r="O129" s="130">
        <f>SUMIFS(XUẤT!U:U,XUẤT!N:N,CBCNV!B129,XUẤT!O:O,CBCNV!$O$2)</f>
        <v>0</v>
      </c>
      <c r="P129" s="135">
        <f t="shared" si="24"/>
        <v>0</v>
      </c>
      <c r="Q129" s="32"/>
      <c r="R129" s="18"/>
    </row>
    <row r="130" spans="1:20" s="136" customFormat="1" x14ac:dyDescent="0.3">
      <c r="A130" s="133">
        <v>123</v>
      </c>
      <c r="B130" s="10" t="s">
        <v>210</v>
      </c>
      <c r="C130" s="133" t="s">
        <v>163</v>
      </c>
      <c r="D130" s="133" t="s">
        <v>192</v>
      </c>
      <c r="E130" s="130">
        <f>SUMIFS(XUẤT!P:P,XUẤT!N:N,CBCNV!B130,XUẤT!O:O,CBCNV!$E$2)</f>
        <v>0</v>
      </c>
      <c r="F130" s="135">
        <f t="shared" si="19"/>
        <v>0</v>
      </c>
      <c r="G130" s="130">
        <f>SUMIFS(XUẤT!Q:Q,XUẤT!N:N,CBCNV!B130,XUẤT!O:O,CBCNV!$G$2)</f>
        <v>0</v>
      </c>
      <c r="H130" s="134">
        <f t="shared" si="20"/>
        <v>0</v>
      </c>
      <c r="I130" s="130">
        <f>SUMIFS(XUẤT!R:R,XUẤT!N:N,CBCNV!B130,XUẤT!O:O,CBCNV!$I$2)</f>
        <v>0</v>
      </c>
      <c r="J130" s="135">
        <f t="shared" si="21"/>
        <v>0</v>
      </c>
      <c r="K130" s="130">
        <f>SUMIFS(XUẤT!S:S,XUẤT!N:N,CBCNV!B130,XUẤT!O:O,CBCNV!$K$2)</f>
        <v>0</v>
      </c>
      <c r="L130" s="135">
        <f t="shared" si="22"/>
        <v>0</v>
      </c>
      <c r="M130" s="130">
        <f>SUMIFS(XUẤT!T:T,XUẤT!N:N,CBCNV!B130,XUẤT!O:O,CBCNV!$M$2)</f>
        <v>0</v>
      </c>
      <c r="N130" s="135">
        <f t="shared" si="23"/>
        <v>0</v>
      </c>
      <c r="O130" s="130">
        <f>SUMIFS(XUẤT!U:U,XUẤT!N:N,CBCNV!B130,XUẤT!O:O,CBCNV!$O$2)</f>
        <v>0</v>
      </c>
      <c r="P130" s="135">
        <f t="shared" si="24"/>
        <v>0</v>
      </c>
      <c r="Q130" s="32"/>
      <c r="R130" s="18"/>
    </row>
    <row r="131" spans="1:20" s="136" customFormat="1" x14ac:dyDescent="0.3">
      <c r="A131" s="133">
        <v>124</v>
      </c>
      <c r="B131" s="10" t="s">
        <v>211</v>
      </c>
      <c r="C131" s="133" t="s">
        <v>167</v>
      </c>
      <c r="D131" s="133" t="s">
        <v>192</v>
      </c>
      <c r="E131" s="130">
        <f>SUMIFS(XUẤT!P:P,XUẤT!N:N,CBCNV!B131,XUẤT!O:O,CBCNV!$E$2)</f>
        <v>0</v>
      </c>
      <c r="F131" s="135">
        <f t="shared" si="19"/>
        <v>0</v>
      </c>
      <c r="G131" s="130">
        <f>SUMIFS(XUẤT!Q:Q,XUẤT!N:N,CBCNV!B131,XUẤT!O:O,CBCNV!$G$2)</f>
        <v>0</v>
      </c>
      <c r="H131" s="134">
        <f t="shared" si="20"/>
        <v>0</v>
      </c>
      <c r="I131" s="130">
        <f>SUMIFS(XUẤT!R:R,XUẤT!N:N,CBCNV!B131,XUẤT!O:O,CBCNV!$I$2)</f>
        <v>0</v>
      </c>
      <c r="J131" s="135">
        <f t="shared" si="21"/>
        <v>0</v>
      </c>
      <c r="K131" s="130">
        <f>SUMIFS(XUẤT!S:S,XUẤT!N:N,CBCNV!B131,XUẤT!O:O,CBCNV!$K$2)</f>
        <v>0</v>
      </c>
      <c r="L131" s="135">
        <f t="shared" si="22"/>
        <v>0</v>
      </c>
      <c r="M131" s="130">
        <f>SUMIFS(XUẤT!T:T,XUẤT!N:N,CBCNV!B131,XUẤT!O:O,CBCNV!$M$2)</f>
        <v>0</v>
      </c>
      <c r="N131" s="135">
        <f t="shared" si="23"/>
        <v>0</v>
      </c>
      <c r="O131" s="130">
        <f>SUMIFS(XUẤT!U:U,XUẤT!N:N,CBCNV!B131,XUẤT!O:O,CBCNV!$O$2)</f>
        <v>0</v>
      </c>
      <c r="P131" s="135">
        <f t="shared" si="24"/>
        <v>0</v>
      </c>
      <c r="Q131" s="32"/>
      <c r="R131" s="18"/>
    </row>
    <row r="132" spans="1:20" s="136" customFormat="1" x14ac:dyDescent="0.3">
      <c r="A132" s="133">
        <v>125</v>
      </c>
      <c r="B132" s="10" t="s">
        <v>212</v>
      </c>
      <c r="C132" s="133" t="s">
        <v>148</v>
      </c>
      <c r="D132" s="133" t="s">
        <v>192</v>
      </c>
      <c r="E132" s="130">
        <f>SUMIFS(XUẤT!P:P,XUẤT!N:N,CBCNV!B132,XUẤT!O:O,CBCNV!$E$2)</f>
        <v>0</v>
      </c>
      <c r="F132" s="135">
        <f t="shared" si="19"/>
        <v>0</v>
      </c>
      <c r="G132" s="130">
        <f>SUMIFS(XUẤT!Q:Q,XUẤT!N:N,CBCNV!B132,XUẤT!O:O,CBCNV!$G$2)</f>
        <v>10</v>
      </c>
      <c r="H132" s="134">
        <f t="shared" si="20"/>
        <v>850000</v>
      </c>
      <c r="I132" s="130">
        <f>SUMIFS(XUẤT!R:R,XUẤT!N:N,CBCNV!B132,XUẤT!O:O,CBCNV!$I$2)</f>
        <v>0</v>
      </c>
      <c r="J132" s="135">
        <f t="shared" si="21"/>
        <v>0</v>
      </c>
      <c r="K132" s="130">
        <f>SUMIFS(XUẤT!S:S,XUẤT!N:N,CBCNV!B132,XUẤT!O:O,CBCNV!$K$2)</f>
        <v>0</v>
      </c>
      <c r="L132" s="135">
        <f t="shared" si="22"/>
        <v>0</v>
      </c>
      <c r="M132" s="130">
        <f>SUMIFS(XUẤT!T:T,XUẤT!N:N,CBCNV!B132,XUẤT!O:O,CBCNV!$M$2)</f>
        <v>0</v>
      </c>
      <c r="N132" s="135">
        <f t="shared" si="23"/>
        <v>0</v>
      </c>
      <c r="O132" s="130">
        <f>SUMIFS(XUẤT!U:U,XUẤT!N:N,CBCNV!B132,XUẤT!O:O,CBCNV!$O$2)</f>
        <v>0</v>
      </c>
      <c r="P132" s="135">
        <f t="shared" si="24"/>
        <v>0</v>
      </c>
      <c r="Q132" s="32"/>
      <c r="R132" s="18"/>
    </row>
    <row r="133" spans="1:20" s="132" customFormat="1" x14ac:dyDescent="0.3">
      <c r="A133" s="133">
        <v>126</v>
      </c>
      <c r="B133" s="10" t="s">
        <v>213</v>
      </c>
      <c r="C133" s="133" t="s">
        <v>148</v>
      </c>
      <c r="D133" s="133" t="s">
        <v>192</v>
      </c>
      <c r="E133" s="130">
        <f>SUMIFS(XUẤT!P:P,XUẤT!N:N,CBCNV!B133,XUẤT!O:O,CBCNV!$E$2)</f>
        <v>0</v>
      </c>
      <c r="F133" s="135">
        <f t="shared" si="19"/>
        <v>0</v>
      </c>
      <c r="G133" s="130">
        <f>SUMIFS(XUẤT!Q:Q,XUẤT!N:N,CBCNV!B133,XUẤT!O:O,CBCNV!$G$2)</f>
        <v>0</v>
      </c>
      <c r="H133" s="134">
        <f t="shared" si="20"/>
        <v>0</v>
      </c>
      <c r="I133" s="130">
        <f>SUMIFS(XUẤT!R:R,XUẤT!N:N,CBCNV!B133,XUẤT!O:O,CBCNV!$I$2)</f>
        <v>0</v>
      </c>
      <c r="J133" s="135">
        <f t="shared" si="21"/>
        <v>0</v>
      </c>
      <c r="K133" s="130">
        <f>SUMIFS(XUẤT!S:S,XUẤT!N:N,CBCNV!B133,XUẤT!O:O,CBCNV!$K$2)</f>
        <v>0</v>
      </c>
      <c r="L133" s="135">
        <f t="shared" si="22"/>
        <v>0</v>
      </c>
      <c r="M133" s="130">
        <f>SUMIFS(XUẤT!T:T,XUẤT!N:N,CBCNV!B133,XUẤT!O:O,CBCNV!$M$2)</f>
        <v>0</v>
      </c>
      <c r="N133" s="135">
        <f t="shared" si="23"/>
        <v>0</v>
      </c>
      <c r="O133" s="130">
        <f>SUMIFS(XUẤT!U:U,XUẤT!N:N,CBCNV!B133,XUẤT!O:O,CBCNV!$O$2)</f>
        <v>0</v>
      </c>
      <c r="P133" s="135">
        <f t="shared" si="24"/>
        <v>0</v>
      </c>
      <c r="Q133" s="32"/>
      <c r="R133" s="18"/>
      <c r="S133" s="136"/>
      <c r="T133" s="136"/>
    </row>
    <row r="134" spans="1:20" s="136" customFormat="1" x14ac:dyDescent="0.3">
      <c r="A134" s="133">
        <v>127</v>
      </c>
      <c r="B134" s="10" t="s">
        <v>214</v>
      </c>
      <c r="C134" s="133" t="s">
        <v>148</v>
      </c>
      <c r="D134" s="133" t="s">
        <v>192</v>
      </c>
      <c r="E134" s="130">
        <f>SUMIFS(XUẤT!P:P,XUẤT!N:N,CBCNV!B134,XUẤT!O:O,CBCNV!$E$2)</f>
        <v>0</v>
      </c>
      <c r="F134" s="135">
        <f t="shared" si="19"/>
        <v>0</v>
      </c>
      <c r="G134" s="130">
        <f>SUMIFS(XUẤT!Q:Q,XUẤT!N:N,CBCNV!B134,XUẤT!O:O,CBCNV!$G$2)</f>
        <v>0</v>
      </c>
      <c r="H134" s="134">
        <f t="shared" si="20"/>
        <v>0</v>
      </c>
      <c r="I134" s="130">
        <f>SUMIFS(XUẤT!R:R,XUẤT!N:N,CBCNV!B134,XUẤT!O:O,CBCNV!$I$2)</f>
        <v>0</v>
      </c>
      <c r="J134" s="135">
        <f t="shared" si="21"/>
        <v>0</v>
      </c>
      <c r="K134" s="130">
        <f>SUMIFS(XUẤT!S:S,XUẤT!N:N,CBCNV!B134,XUẤT!O:O,CBCNV!$K$2)</f>
        <v>0</v>
      </c>
      <c r="L134" s="135">
        <f t="shared" si="22"/>
        <v>0</v>
      </c>
      <c r="M134" s="130">
        <f>SUMIFS(XUẤT!T:T,XUẤT!N:N,CBCNV!B134,XUẤT!O:O,CBCNV!$M$2)</f>
        <v>0</v>
      </c>
      <c r="N134" s="135">
        <f t="shared" si="23"/>
        <v>0</v>
      </c>
      <c r="O134" s="130">
        <f>SUMIFS(XUẤT!U:U,XUẤT!N:N,CBCNV!B134,XUẤT!O:O,CBCNV!$O$2)</f>
        <v>0</v>
      </c>
      <c r="P134" s="135">
        <f t="shared" si="24"/>
        <v>0</v>
      </c>
      <c r="Q134" s="32"/>
      <c r="R134" s="18"/>
    </row>
    <row r="135" spans="1:20" s="136" customFormat="1" x14ac:dyDescent="0.3">
      <c r="A135" s="133">
        <v>128</v>
      </c>
      <c r="B135" s="138" t="s">
        <v>215</v>
      </c>
      <c r="C135" s="133" t="s">
        <v>148</v>
      </c>
      <c r="D135" s="133" t="s">
        <v>192</v>
      </c>
      <c r="E135" s="130">
        <f>SUMIFS(XUẤT!P:P,XUẤT!N:N,CBCNV!B135,XUẤT!O:O,CBCNV!$E$2)</f>
        <v>0</v>
      </c>
      <c r="F135" s="135">
        <f t="shared" ref="F135:F166" si="25">E135*$T$10</f>
        <v>0</v>
      </c>
      <c r="G135" s="130">
        <f>SUMIFS(XUẤT!Q:Q,XUẤT!N:N,CBCNV!B135,XUẤT!O:O,CBCNV!$G$2)</f>
        <v>0</v>
      </c>
      <c r="H135" s="134">
        <f t="shared" ref="H135:H166" si="26">G135*$T$8</f>
        <v>0</v>
      </c>
      <c r="I135" s="130">
        <f>SUMIFS(XUẤT!R:R,XUẤT!N:N,CBCNV!B135,XUẤT!O:O,CBCNV!$I$2)</f>
        <v>0</v>
      </c>
      <c r="J135" s="135">
        <f t="shared" ref="J135:J166" si="27">I135*$T$9</f>
        <v>0</v>
      </c>
      <c r="K135" s="130">
        <f>SUMIFS(XUẤT!S:S,XUẤT!N:N,CBCNV!B135,XUẤT!O:O,CBCNV!$K$2)</f>
        <v>0</v>
      </c>
      <c r="L135" s="135">
        <f t="shared" ref="L135:L166" si="28">K135*$T$11</f>
        <v>0</v>
      </c>
      <c r="M135" s="130">
        <f>SUMIFS(XUẤT!T:T,XUẤT!N:N,CBCNV!B135,XUẤT!O:O,CBCNV!$M$2)</f>
        <v>0</v>
      </c>
      <c r="N135" s="135">
        <f t="shared" ref="N135:N166" si="29">M135*$T$12</f>
        <v>0</v>
      </c>
      <c r="O135" s="130">
        <f>SUMIFS(XUẤT!U:U,XUẤT!N:N,CBCNV!B135,XUẤT!O:O,CBCNV!$O$2)</f>
        <v>0</v>
      </c>
      <c r="P135" s="135">
        <f t="shared" ref="P135:P166" si="30">O135*$T$13</f>
        <v>0</v>
      </c>
      <c r="Q135" s="32"/>
      <c r="R135" s="18"/>
    </row>
    <row r="136" spans="1:20" s="136" customFormat="1" x14ac:dyDescent="0.3">
      <c r="A136" s="133">
        <v>129</v>
      </c>
      <c r="B136" s="34" t="s">
        <v>44</v>
      </c>
      <c r="C136" s="137" t="s">
        <v>131</v>
      </c>
      <c r="D136" s="137" t="s">
        <v>216</v>
      </c>
      <c r="E136" s="130">
        <f>SUMIFS(XUẤT!P:P,XUẤT!N:N,CBCNV!B136,XUẤT!O:O,CBCNV!$E$2)</f>
        <v>0</v>
      </c>
      <c r="F136" s="135">
        <f t="shared" si="25"/>
        <v>0</v>
      </c>
      <c r="G136" s="130">
        <f>SUMIFS(XUẤT!Q:Q,XUẤT!N:N,CBCNV!B136,XUẤT!O:O,CBCNV!$G$2)</f>
        <v>0</v>
      </c>
      <c r="H136" s="134">
        <f t="shared" si="26"/>
        <v>0</v>
      </c>
      <c r="I136" s="130">
        <f>SUMIFS(XUẤT!R:R,XUẤT!N:N,CBCNV!B136,XUẤT!O:O,CBCNV!$I$2)</f>
        <v>0</v>
      </c>
      <c r="J136" s="135">
        <f t="shared" si="27"/>
        <v>0</v>
      </c>
      <c r="K136" s="130">
        <f>SUMIFS(XUẤT!S:S,XUẤT!N:N,CBCNV!B136,XUẤT!O:O,CBCNV!$K$2)</f>
        <v>0</v>
      </c>
      <c r="L136" s="135">
        <f t="shared" si="28"/>
        <v>0</v>
      </c>
      <c r="M136" s="130">
        <f>SUMIFS(XUẤT!T:T,XUẤT!N:N,CBCNV!B136,XUẤT!O:O,CBCNV!$M$2)</f>
        <v>0</v>
      </c>
      <c r="N136" s="135">
        <f t="shared" si="29"/>
        <v>0</v>
      </c>
      <c r="O136" s="130">
        <f>SUMIFS(XUẤT!U:U,XUẤT!N:N,CBCNV!B136,XUẤT!O:O,CBCNV!$O$2)</f>
        <v>0</v>
      </c>
      <c r="P136" s="135">
        <f t="shared" si="30"/>
        <v>0</v>
      </c>
      <c r="Q136" s="32"/>
      <c r="R136" s="21"/>
      <c r="S136" s="132"/>
      <c r="T136" s="132"/>
    </row>
    <row r="137" spans="1:20" s="136" customFormat="1" x14ac:dyDescent="0.3">
      <c r="A137" s="133">
        <v>130</v>
      </c>
      <c r="B137" s="10" t="s">
        <v>217</v>
      </c>
      <c r="C137" s="133" t="s">
        <v>134</v>
      </c>
      <c r="D137" s="133" t="s">
        <v>216</v>
      </c>
      <c r="E137" s="130">
        <f>SUMIFS(XUẤT!P:P,XUẤT!N:N,CBCNV!B137,XUẤT!O:O,CBCNV!$E$2)</f>
        <v>0</v>
      </c>
      <c r="F137" s="135">
        <f t="shared" si="25"/>
        <v>0</v>
      </c>
      <c r="G137" s="130">
        <f>SUMIFS(XUẤT!Q:Q,XUẤT!N:N,CBCNV!B137,XUẤT!O:O,CBCNV!$G$2)</f>
        <v>0</v>
      </c>
      <c r="H137" s="134">
        <f t="shared" si="26"/>
        <v>0</v>
      </c>
      <c r="I137" s="130">
        <f>SUMIFS(XUẤT!R:R,XUẤT!N:N,CBCNV!B137,XUẤT!O:O,CBCNV!$I$2)</f>
        <v>0</v>
      </c>
      <c r="J137" s="135">
        <f t="shared" si="27"/>
        <v>0</v>
      </c>
      <c r="K137" s="130">
        <f>SUMIFS(XUẤT!S:S,XUẤT!N:N,CBCNV!B137,XUẤT!O:O,CBCNV!$K$2)</f>
        <v>0</v>
      </c>
      <c r="L137" s="135">
        <f t="shared" si="28"/>
        <v>0</v>
      </c>
      <c r="M137" s="130">
        <f>SUMIFS(XUẤT!T:T,XUẤT!N:N,CBCNV!B137,XUẤT!O:O,CBCNV!$M$2)</f>
        <v>0</v>
      </c>
      <c r="N137" s="135">
        <f t="shared" si="29"/>
        <v>0</v>
      </c>
      <c r="O137" s="130">
        <f>SUMIFS(XUẤT!U:U,XUẤT!N:N,CBCNV!B137,XUẤT!O:O,CBCNV!$O$2)</f>
        <v>0</v>
      </c>
      <c r="P137" s="135">
        <f t="shared" si="30"/>
        <v>0</v>
      </c>
      <c r="Q137" s="32"/>
      <c r="R137" s="18"/>
    </row>
    <row r="138" spans="1:20" s="136" customFormat="1" x14ac:dyDescent="0.3">
      <c r="A138" s="133">
        <v>131</v>
      </c>
      <c r="B138" s="10" t="s">
        <v>218</v>
      </c>
      <c r="C138" s="133" t="s">
        <v>134</v>
      </c>
      <c r="D138" s="133" t="s">
        <v>216</v>
      </c>
      <c r="E138" s="130">
        <f>SUMIFS(XUẤT!P:P,XUẤT!N:N,CBCNV!B138,XUẤT!O:O,CBCNV!$E$2)</f>
        <v>0</v>
      </c>
      <c r="F138" s="135">
        <f t="shared" si="25"/>
        <v>0</v>
      </c>
      <c r="G138" s="130">
        <f>SUMIFS(XUẤT!Q:Q,XUẤT!N:N,CBCNV!B138,XUẤT!O:O,CBCNV!$G$2)</f>
        <v>0</v>
      </c>
      <c r="H138" s="134">
        <f t="shared" si="26"/>
        <v>0</v>
      </c>
      <c r="I138" s="130">
        <f>SUMIFS(XUẤT!R:R,XUẤT!N:N,CBCNV!B138,XUẤT!O:O,CBCNV!$I$2)</f>
        <v>0</v>
      </c>
      <c r="J138" s="135">
        <f t="shared" si="27"/>
        <v>0</v>
      </c>
      <c r="K138" s="130">
        <f>SUMIFS(XUẤT!S:S,XUẤT!N:N,CBCNV!B138,XUẤT!O:O,CBCNV!$K$2)</f>
        <v>0</v>
      </c>
      <c r="L138" s="135">
        <f t="shared" si="28"/>
        <v>0</v>
      </c>
      <c r="M138" s="130">
        <f>SUMIFS(XUẤT!T:T,XUẤT!N:N,CBCNV!B138,XUẤT!O:O,CBCNV!$M$2)</f>
        <v>0</v>
      </c>
      <c r="N138" s="135">
        <f t="shared" si="29"/>
        <v>0</v>
      </c>
      <c r="O138" s="130">
        <f>SUMIFS(XUẤT!U:U,XUẤT!N:N,CBCNV!B138,XUẤT!O:O,CBCNV!$O$2)</f>
        <v>0</v>
      </c>
      <c r="P138" s="135">
        <f t="shared" si="30"/>
        <v>0</v>
      </c>
      <c r="Q138" s="32"/>
      <c r="R138" s="18"/>
    </row>
    <row r="139" spans="1:20" s="136" customFormat="1" x14ac:dyDescent="0.3">
      <c r="A139" s="133">
        <v>132</v>
      </c>
      <c r="B139" s="10" t="s">
        <v>219</v>
      </c>
      <c r="C139" s="133" t="s">
        <v>134</v>
      </c>
      <c r="D139" s="133" t="s">
        <v>216</v>
      </c>
      <c r="E139" s="130">
        <f>SUMIFS(XUẤT!P:P,XUẤT!N:N,CBCNV!B139,XUẤT!O:O,CBCNV!$E$2)</f>
        <v>0</v>
      </c>
      <c r="F139" s="135">
        <f t="shared" si="25"/>
        <v>0</v>
      </c>
      <c r="G139" s="130">
        <f>SUMIFS(XUẤT!Q:Q,XUẤT!N:N,CBCNV!B139,XUẤT!O:O,CBCNV!$G$2)</f>
        <v>0</v>
      </c>
      <c r="H139" s="134">
        <f t="shared" si="26"/>
        <v>0</v>
      </c>
      <c r="I139" s="130">
        <f>SUMIFS(XUẤT!R:R,XUẤT!N:N,CBCNV!B139,XUẤT!O:O,CBCNV!$I$2)</f>
        <v>0</v>
      </c>
      <c r="J139" s="135">
        <f t="shared" si="27"/>
        <v>0</v>
      </c>
      <c r="K139" s="130">
        <f>SUMIFS(XUẤT!S:S,XUẤT!N:N,CBCNV!B139,XUẤT!O:O,CBCNV!$K$2)</f>
        <v>0</v>
      </c>
      <c r="L139" s="135">
        <f t="shared" si="28"/>
        <v>0</v>
      </c>
      <c r="M139" s="130">
        <f>SUMIFS(XUẤT!T:T,XUẤT!N:N,CBCNV!B139,XUẤT!O:O,CBCNV!$M$2)</f>
        <v>0</v>
      </c>
      <c r="N139" s="135">
        <f t="shared" si="29"/>
        <v>0</v>
      </c>
      <c r="O139" s="130">
        <f>SUMIFS(XUẤT!U:U,XUẤT!N:N,CBCNV!B139,XUẤT!O:O,CBCNV!$O$2)</f>
        <v>0</v>
      </c>
      <c r="P139" s="135">
        <f t="shared" si="30"/>
        <v>0</v>
      </c>
      <c r="Q139" s="32"/>
      <c r="R139" s="18"/>
    </row>
    <row r="140" spans="1:20" s="136" customFormat="1" x14ac:dyDescent="0.3">
      <c r="A140" s="133">
        <v>133</v>
      </c>
      <c r="B140" s="10" t="s">
        <v>220</v>
      </c>
      <c r="C140" s="133" t="s">
        <v>79</v>
      </c>
      <c r="D140" s="133" t="s">
        <v>216</v>
      </c>
      <c r="E140" s="130">
        <f>SUMIFS(XUẤT!P:P,XUẤT!N:N,CBCNV!B140,XUẤT!O:O,CBCNV!$E$2)</f>
        <v>0</v>
      </c>
      <c r="F140" s="135">
        <f t="shared" si="25"/>
        <v>0</v>
      </c>
      <c r="G140" s="130">
        <f>SUMIFS(XUẤT!Q:Q,XUẤT!N:N,CBCNV!B140,XUẤT!O:O,CBCNV!$G$2)</f>
        <v>0</v>
      </c>
      <c r="H140" s="134">
        <f t="shared" si="26"/>
        <v>0</v>
      </c>
      <c r="I140" s="130">
        <f>SUMIFS(XUẤT!R:R,XUẤT!N:N,CBCNV!B140,XUẤT!O:O,CBCNV!$I$2)</f>
        <v>0</v>
      </c>
      <c r="J140" s="135">
        <f t="shared" si="27"/>
        <v>0</v>
      </c>
      <c r="K140" s="130">
        <f>SUMIFS(XUẤT!S:S,XUẤT!N:N,CBCNV!B140,XUẤT!O:O,CBCNV!$K$2)</f>
        <v>0</v>
      </c>
      <c r="L140" s="135">
        <f t="shared" si="28"/>
        <v>0</v>
      </c>
      <c r="M140" s="130">
        <f>SUMIFS(XUẤT!T:T,XUẤT!N:N,CBCNV!B140,XUẤT!O:O,CBCNV!$M$2)</f>
        <v>1</v>
      </c>
      <c r="N140" s="135">
        <f t="shared" si="29"/>
        <v>52000</v>
      </c>
      <c r="O140" s="130">
        <f>SUMIFS(XUẤT!U:U,XUẤT!N:N,CBCNV!B140,XUẤT!O:O,CBCNV!$O$2)</f>
        <v>0</v>
      </c>
      <c r="P140" s="135">
        <f t="shared" si="30"/>
        <v>0</v>
      </c>
      <c r="Q140" s="32"/>
      <c r="R140" s="18"/>
    </row>
    <row r="141" spans="1:20" s="136" customFormat="1" x14ac:dyDescent="0.3">
      <c r="A141" s="133">
        <v>134</v>
      </c>
      <c r="B141" s="10" t="s">
        <v>221</v>
      </c>
      <c r="C141" s="133" t="s">
        <v>79</v>
      </c>
      <c r="D141" s="133" t="s">
        <v>216</v>
      </c>
      <c r="E141" s="130">
        <f>SUMIFS(XUẤT!P:P,XUẤT!N:N,CBCNV!B141,XUẤT!O:O,CBCNV!$E$2)</f>
        <v>0</v>
      </c>
      <c r="F141" s="135">
        <f t="shared" si="25"/>
        <v>0</v>
      </c>
      <c r="G141" s="130">
        <f>SUMIFS(XUẤT!Q:Q,XUẤT!N:N,CBCNV!B141,XUẤT!O:O,CBCNV!$G$2)</f>
        <v>0</v>
      </c>
      <c r="H141" s="134">
        <f t="shared" si="26"/>
        <v>0</v>
      </c>
      <c r="I141" s="130">
        <f>SUMIFS(XUẤT!R:R,XUẤT!N:N,CBCNV!B141,XUẤT!O:O,CBCNV!$I$2)</f>
        <v>0</v>
      </c>
      <c r="J141" s="135">
        <f t="shared" si="27"/>
        <v>0</v>
      </c>
      <c r="K141" s="130">
        <f>SUMIFS(XUẤT!S:S,XUẤT!N:N,CBCNV!B141,XUẤT!O:O,CBCNV!$K$2)</f>
        <v>0</v>
      </c>
      <c r="L141" s="135">
        <f t="shared" si="28"/>
        <v>0</v>
      </c>
      <c r="M141" s="130">
        <f>SUMIFS(XUẤT!T:T,XUẤT!N:N,CBCNV!B141,XUẤT!O:O,CBCNV!$M$2)</f>
        <v>0</v>
      </c>
      <c r="N141" s="135">
        <f t="shared" si="29"/>
        <v>0</v>
      </c>
      <c r="O141" s="130">
        <f>SUMIFS(XUẤT!U:U,XUẤT!N:N,CBCNV!B141,XUẤT!O:O,CBCNV!$O$2)</f>
        <v>0</v>
      </c>
      <c r="P141" s="135">
        <f t="shared" si="30"/>
        <v>0</v>
      </c>
      <c r="Q141" s="32"/>
      <c r="R141" s="18"/>
    </row>
    <row r="142" spans="1:20" s="136" customFormat="1" x14ac:dyDescent="0.3">
      <c r="A142" s="133">
        <v>135</v>
      </c>
      <c r="B142" s="10" t="s">
        <v>222</v>
      </c>
      <c r="C142" s="133" t="s">
        <v>79</v>
      </c>
      <c r="D142" s="133" t="s">
        <v>216</v>
      </c>
      <c r="E142" s="130">
        <f>SUMIFS(XUẤT!P:P,XUẤT!N:N,CBCNV!B142,XUẤT!O:O,CBCNV!$E$2)</f>
        <v>0</v>
      </c>
      <c r="F142" s="135">
        <f t="shared" si="25"/>
        <v>0</v>
      </c>
      <c r="G142" s="130">
        <f>SUMIFS(XUẤT!Q:Q,XUẤT!N:N,CBCNV!B142,XUẤT!O:O,CBCNV!$G$2)</f>
        <v>0</v>
      </c>
      <c r="H142" s="134">
        <f t="shared" si="26"/>
        <v>0</v>
      </c>
      <c r="I142" s="130">
        <f>SUMIFS(XUẤT!R:R,XUẤT!N:N,CBCNV!B142,XUẤT!O:O,CBCNV!$I$2)</f>
        <v>0</v>
      </c>
      <c r="J142" s="135">
        <f t="shared" si="27"/>
        <v>0</v>
      </c>
      <c r="K142" s="130">
        <f>SUMIFS(XUẤT!S:S,XUẤT!N:N,CBCNV!B142,XUẤT!O:O,CBCNV!$K$2)</f>
        <v>0</v>
      </c>
      <c r="L142" s="135">
        <f t="shared" si="28"/>
        <v>0</v>
      </c>
      <c r="M142" s="130">
        <f>SUMIFS(XUẤT!T:T,XUẤT!N:N,CBCNV!B142,XUẤT!O:O,CBCNV!$M$2)</f>
        <v>0</v>
      </c>
      <c r="N142" s="135">
        <f t="shared" si="29"/>
        <v>0</v>
      </c>
      <c r="O142" s="130">
        <f>SUMIFS(XUẤT!U:U,XUẤT!N:N,CBCNV!B142,XUẤT!O:O,CBCNV!$O$2)</f>
        <v>0</v>
      </c>
      <c r="P142" s="135">
        <f t="shared" si="30"/>
        <v>0</v>
      </c>
      <c r="Q142" s="32"/>
      <c r="R142" s="18"/>
    </row>
    <row r="143" spans="1:20" s="136" customFormat="1" x14ac:dyDescent="0.3">
      <c r="A143" s="133">
        <v>136</v>
      </c>
      <c r="B143" s="10" t="s">
        <v>223</v>
      </c>
      <c r="C143" s="133" t="s">
        <v>79</v>
      </c>
      <c r="D143" s="133" t="s">
        <v>216</v>
      </c>
      <c r="E143" s="130">
        <f>SUMIFS(XUẤT!P:P,XUẤT!N:N,CBCNV!B143,XUẤT!O:O,CBCNV!$E$2)</f>
        <v>0</v>
      </c>
      <c r="F143" s="135">
        <f t="shared" si="25"/>
        <v>0</v>
      </c>
      <c r="G143" s="130">
        <f>SUMIFS(XUẤT!Q:Q,XUẤT!N:N,CBCNV!B143,XUẤT!O:O,CBCNV!$G$2)</f>
        <v>0</v>
      </c>
      <c r="H143" s="134">
        <f t="shared" si="26"/>
        <v>0</v>
      </c>
      <c r="I143" s="130">
        <f>SUMIFS(XUẤT!R:R,XUẤT!N:N,CBCNV!B143,XUẤT!O:O,CBCNV!$I$2)</f>
        <v>0</v>
      </c>
      <c r="J143" s="135">
        <f t="shared" si="27"/>
        <v>0</v>
      </c>
      <c r="K143" s="130">
        <f>SUMIFS(XUẤT!S:S,XUẤT!N:N,CBCNV!B143,XUẤT!O:O,CBCNV!$K$2)</f>
        <v>0</v>
      </c>
      <c r="L143" s="135">
        <f t="shared" si="28"/>
        <v>0</v>
      </c>
      <c r="M143" s="130">
        <f>SUMIFS(XUẤT!T:T,XUẤT!N:N,CBCNV!B143,XUẤT!O:O,CBCNV!$M$2)</f>
        <v>0</v>
      </c>
      <c r="N143" s="135">
        <f t="shared" si="29"/>
        <v>0</v>
      </c>
      <c r="O143" s="130">
        <f>SUMIFS(XUẤT!U:U,XUẤT!N:N,CBCNV!B143,XUẤT!O:O,CBCNV!$O$2)</f>
        <v>0</v>
      </c>
      <c r="P143" s="135">
        <f t="shared" si="30"/>
        <v>0</v>
      </c>
      <c r="Q143" s="32"/>
      <c r="R143" s="18"/>
    </row>
    <row r="144" spans="1:20" s="136" customFormat="1" x14ac:dyDescent="0.3">
      <c r="A144" s="133">
        <v>137</v>
      </c>
      <c r="B144" s="10" t="s">
        <v>224</v>
      </c>
      <c r="C144" s="133" t="s">
        <v>79</v>
      </c>
      <c r="D144" s="133" t="s">
        <v>216</v>
      </c>
      <c r="E144" s="130">
        <f>SUMIFS(XUẤT!P:P,XUẤT!N:N,CBCNV!B144,XUẤT!O:O,CBCNV!$E$2)</f>
        <v>0</v>
      </c>
      <c r="F144" s="135">
        <f t="shared" si="25"/>
        <v>0</v>
      </c>
      <c r="G144" s="130">
        <f>SUMIFS(XUẤT!Q:Q,XUẤT!N:N,CBCNV!B144,XUẤT!O:O,CBCNV!$G$2)</f>
        <v>0</v>
      </c>
      <c r="H144" s="134">
        <f t="shared" si="26"/>
        <v>0</v>
      </c>
      <c r="I144" s="130">
        <f>SUMIFS(XUẤT!R:R,XUẤT!N:N,CBCNV!B144,XUẤT!O:O,CBCNV!$I$2)</f>
        <v>0</v>
      </c>
      <c r="J144" s="135">
        <f t="shared" si="27"/>
        <v>0</v>
      </c>
      <c r="K144" s="130">
        <f>SUMIFS(XUẤT!S:S,XUẤT!N:N,CBCNV!B144,XUẤT!O:O,CBCNV!$K$2)</f>
        <v>0</v>
      </c>
      <c r="L144" s="135">
        <f t="shared" si="28"/>
        <v>0</v>
      </c>
      <c r="M144" s="130">
        <f>SUMIFS(XUẤT!T:T,XUẤT!N:N,CBCNV!B144,XUẤT!O:O,CBCNV!$M$2)</f>
        <v>0</v>
      </c>
      <c r="N144" s="135">
        <f t="shared" si="29"/>
        <v>0</v>
      </c>
      <c r="O144" s="130">
        <f>SUMIFS(XUẤT!U:U,XUẤT!N:N,CBCNV!B144,XUẤT!O:O,CBCNV!$O$2)</f>
        <v>0</v>
      </c>
      <c r="P144" s="135">
        <f t="shared" si="30"/>
        <v>0</v>
      </c>
      <c r="Q144" s="32"/>
      <c r="R144" s="18"/>
    </row>
    <row r="145" spans="1:20" s="136" customFormat="1" x14ac:dyDescent="0.3">
      <c r="A145" s="133">
        <v>138</v>
      </c>
      <c r="B145" s="10" t="s">
        <v>225</v>
      </c>
      <c r="C145" s="133" t="s">
        <v>148</v>
      </c>
      <c r="D145" s="133" t="s">
        <v>216</v>
      </c>
      <c r="E145" s="130">
        <f>SUMIFS(XUẤT!P:P,XUẤT!N:N,CBCNV!B145,XUẤT!O:O,CBCNV!$E$2)</f>
        <v>0</v>
      </c>
      <c r="F145" s="135">
        <f t="shared" si="25"/>
        <v>0</v>
      </c>
      <c r="G145" s="130">
        <f>SUMIFS(XUẤT!Q:Q,XUẤT!N:N,CBCNV!B145,XUẤT!O:O,CBCNV!$G$2)</f>
        <v>0</v>
      </c>
      <c r="H145" s="134">
        <f t="shared" si="26"/>
        <v>0</v>
      </c>
      <c r="I145" s="130">
        <f>SUMIFS(XUẤT!R:R,XUẤT!N:N,CBCNV!B145,XUẤT!O:O,CBCNV!$I$2)</f>
        <v>0</v>
      </c>
      <c r="J145" s="135">
        <f t="shared" si="27"/>
        <v>0</v>
      </c>
      <c r="K145" s="130">
        <f>SUMIFS(XUẤT!S:S,XUẤT!N:N,CBCNV!B145,XUẤT!O:O,CBCNV!$K$2)</f>
        <v>0</v>
      </c>
      <c r="L145" s="135">
        <f t="shared" si="28"/>
        <v>0</v>
      </c>
      <c r="M145" s="130">
        <f>SUMIFS(XUẤT!T:T,XUẤT!N:N,CBCNV!B145,XUẤT!O:O,CBCNV!$M$2)</f>
        <v>0</v>
      </c>
      <c r="N145" s="135">
        <f t="shared" si="29"/>
        <v>0</v>
      </c>
      <c r="O145" s="130">
        <f>SUMIFS(XUẤT!U:U,XUẤT!N:N,CBCNV!B145,XUẤT!O:O,CBCNV!$O$2)</f>
        <v>0</v>
      </c>
      <c r="P145" s="135">
        <f t="shared" si="30"/>
        <v>0</v>
      </c>
      <c r="Q145" s="32"/>
      <c r="R145" s="18"/>
    </row>
    <row r="146" spans="1:20" s="136" customFormat="1" x14ac:dyDescent="0.3">
      <c r="A146" s="133">
        <v>139</v>
      </c>
      <c r="B146" s="10" t="s">
        <v>226</v>
      </c>
      <c r="C146" s="133" t="s">
        <v>148</v>
      </c>
      <c r="D146" s="133" t="s">
        <v>216</v>
      </c>
      <c r="E146" s="130">
        <f>SUMIFS(XUẤT!P:P,XUẤT!N:N,CBCNV!B146,XUẤT!O:O,CBCNV!$E$2)</f>
        <v>0</v>
      </c>
      <c r="F146" s="135">
        <f t="shared" si="25"/>
        <v>0</v>
      </c>
      <c r="G146" s="130">
        <f>SUMIFS(XUẤT!Q:Q,XUẤT!N:N,CBCNV!B146,XUẤT!O:O,CBCNV!$G$2)</f>
        <v>0</v>
      </c>
      <c r="H146" s="134">
        <f t="shared" si="26"/>
        <v>0</v>
      </c>
      <c r="I146" s="130">
        <f>SUMIFS(XUẤT!R:R,XUẤT!N:N,CBCNV!B146,XUẤT!O:O,CBCNV!$I$2)</f>
        <v>0</v>
      </c>
      <c r="J146" s="135">
        <f t="shared" si="27"/>
        <v>0</v>
      </c>
      <c r="K146" s="130">
        <f>SUMIFS(XUẤT!S:S,XUẤT!N:N,CBCNV!B146,XUẤT!O:O,CBCNV!$K$2)</f>
        <v>0</v>
      </c>
      <c r="L146" s="135">
        <f t="shared" si="28"/>
        <v>0</v>
      </c>
      <c r="M146" s="130">
        <f>SUMIFS(XUẤT!T:T,XUẤT!N:N,CBCNV!B146,XUẤT!O:O,CBCNV!$M$2)</f>
        <v>0</v>
      </c>
      <c r="N146" s="135">
        <f t="shared" si="29"/>
        <v>0</v>
      </c>
      <c r="O146" s="130">
        <f>SUMIFS(XUẤT!U:U,XUẤT!N:N,CBCNV!B146,XUẤT!O:O,CBCNV!$O$2)</f>
        <v>0</v>
      </c>
      <c r="P146" s="135">
        <f t="shared" si="30"/>
        <v>0</v>
      </c>
      <c r="Q146" s="32"/>
      <c r="R146" s="18"/>
    </row>
    <row r="147" spans="1:20" s="136" customFormat="1" x14ac:dyDescent="0.3">
      <c r="A147" s="133">
        <v>140</v>
      </c>
      <c r="B147" s="138" t="s">
        <v>227</v>
      </c>
      <c r="C147" s="133" t="s">
        <v>148</v>
      </c>
      <c r="D147" s="133" t="s">
        <v>216</v>
      </c>
      <c r="E147" s="130">
        <f>SUMIFS(XUẤT!P:P,XUẤT!N:N,CBCNV!B147,XUẤT!O:O,CBCNV!$E$2)</f>
        <v>0</v>
      </c>
      <c r="F147" s="135">
        <f t="shared" si="25"/>
        <v>0</v>
      </c>
      <c r="G147" s="130">
        <f>SUMIFS(XUẤT!Q:Q,XUẤT!N:N,CBCNV!B147,XUẤT!O:O,CBCNV!$G$2)</f>
        <v>0</v>
      </c>
      <c r="H147" s="134">
        <f t="shared" si="26"/>
        <v>0</v>
      </c>
      <c r="I147" s="130">
        <f>SUMIFS(XUẤT!R:R,XUẤT!N:N,CBCNV!B147,XUẤT!O:O,CBCNV!$I$2)</f>
        <v>0</v>
      </c>
      <c r="J147" s="135">
        <f t="shared" si="27"/>
        <v>0</v>
      </c>
      <c r="K147" s="130">
        <f>SUMIFS(XUẤT!S:S,XUẤT!N:N,CBCNV!B147,XUẤT!O:O,CBCNV!$K$2)</f>
        <v>0</v>
      </c>
      <c r="L147" s="135">
        <f t="shared" si="28"/>
        <v>0</v>
      </c>
      <c r="M147" s="130">
        <f>SUMIFS(XUẤT!T:T,XUẤT!N:N,CBCNV!B147,XUẤT!O:O,CBCNV!$M$2)</f>
        <v>0</v>
      </c>
      <c r="N147" s="135">
        <f t="shared" si="29"/>
        <v>0</v>
      </c>
      <c r="O147" s="130">
        <f>SUMIFS(XUẤT!U:U,XUẤT!N:N,CBCNV!B147,XUẤT!O:O,CBCNV!$O$2)</f>
        <v>0</v>
      </c>
      <c r="P147" s="135">
        <f t="shared" si="30"/>
        <v>0</v>
      </c>
      <c r="Q147" s="32"/>
      <c r="R147" s="18"/>
    </row>
    <row r="148" spans="1:20" s="136" customFormat="1" x14ac:dyDescent="0.3">
      <c r="A148" s="133">
        <v>141</v>
      </c>
      <c r="B148" s="10" t="s">
        <v>228</v>
      </c>
      <c r="C148" s="133" t="s">
        <v>148</v>
      </c>
      <c r="D148" s="133" t="s">
        <v>216</v>
      </c>
      <c r="E148" s="130">
        <f>SUMIFS(XUẤT!P:P,XUẤT!N:N,CBCNV!B148,XUẤT!O:O,CBCNV!$E$2)</f>
        <v>0</v>
      </c>
      <c r="F148" s="135">
        <f t="shared" si="25"/>
        <v>0</v>
      </c>
      <c r="G148" s="130">
        <f>SUMIFS(XUẤT!Q:Q,XUẤT!N:N,CBCNV!B148,XUẤT!O:O,CBCNV!$G$2)</f>
        <v>0</v>
      </c>
      <c r="H148" s="134">
        <f t="shared" si="26"/>
        <v>0</v>
      </c>
      <c r="I148" s="130">
        <f>SUMIFS(XUẤT!R:R,XUẤT!N:N,CBCNV!B148,XUẤT!O:O,CBCNV!$I$2)</f>
        <v>0</v>
      </c>
      <c r="J148" s="135">
        <f t="shared" si="27"/>
        <v>0</v>
      </c>
      <c r="K148" s="130">
        <f>SUMIFS(XUẤT!S:S,XUẤT!N:N,CBCNV!B148,XUẤT!O:O,CBCNV!$K$2)</f>
        <v>0</v>
      </c>
      <c r="L148" s="135">
        <f t="shared" si="28"/>
        <v>0</v>
      </c>
      <c r="M148" s="130">
        <f>SUMIFS(XUẤT!T:T,XUẤT!N:N,CBCNV!B148,XUẤT!O:O,CBCNV!$M$2)</f>
        <v>0</v>
      </c>
      <c r="N148" s="135">
        <f t="shared" si="29"/>
        <v>0</v>
      </c>
      <c r="O148" s="130">
        <f>SUMIFS(XUẤT!U:U,XUẤT!N:N,CBCNV!B148,XUẤT!O:O,CBCNV!$O$2)</f>
        <v>0</v>
      </c>
      <c r="P148" s="135">
        <f t="shared" si="30"/>
        <v>0</v>
      </c>
      <c r="Q148" s="32"/>
      <c r="R148" s="18"/>
    </row>
    <row r="149" spans="1:20" s="136" customFormat="1" x14ac:dyDescent="0.3">
      <c r="A149" s="133">
        <v>142</v>
      </c>
      <c r="B149" s="10" t="s">
        <v>229</v>
      </c>
      <c r="C149" s="133" t="s">
        <v>148</v>
      </c>
      <c r="D149" s="133" t="s">
        <v>216</v>
      </c>
      <c r="E149" s="130">
        <f>SUMIFS(XUẤT!P:P,XUẤT!N:N,CBCNV!B149,XUẤT!O:O,CBCNV!$E$2)</f>
        <v>0</v>
      </c>
      <c r="F149" s="135">
        <f t="shared" si="25"/>
        <v>0</v>
      </c>
      <c r="G149" s="130">
        <f>SUMIFS(XUẤT!Q:Q,XUẤT!N:N,CBCNV!B149,XUẤT!O:O,CBCNV!$G$2)</f>
        <v>0</v>
      </c>
      <c r="H149" s="134">
        <f t="shared" si="26"/>
        <v>0</v>
      </c>
      <c r="I149" s="130">
        <f>SUMIFS(XUẤT!R:R,XUẤT!N:N,CBCNV!B149,XUẤT!O:O,CBCNV!$I$2)</f>
        <v>0</v>
      </c>
      <c r="J149" s="135">
        <f t="shared" si="27"/>
        <v>0</v>
      </c>
      <c r="K149" s="130">
        <f>SUMIFS(XUẤT!S:S,XUẤT!N:N,CBCNV!B149,XUẤT!O:O,CBCNV!$K$2)</f>
        <v>0</v>
      </c>
      <c r="L149" s="135">
        <f t="shared" si="28"/>
        <v>0</v>
      </c>
      <c r="M149" s="130">
        <f>SUMIFS(XUẤT!T:T,XUẤT!N:N,CBCNV!B149,XUẤT!O:O,CBCNV!$M$2)</f>
        <v>0</v>
      </c>
      <c r="N149" s="135">
        <f t="shared" si="29"/>
        <v>0</v>
      </c>
      <c r="O149" s="130">
        <f>SUMIFS(XUẤT!U:U,XUẤT!N:N,CBCNV!B149,XUẤT!O:O,CBCNV!$O$2)</f>
        <v>0</v>
      </c>
      <c r="P149" s="135">
        <f t="shared" si="30"/>
        <v>0</v>
      </c>
      <c r="Q149" s="32"/>
      <c r="R149" s="18"/>
    </row>
    <row r="150" spans="1:20" s="136" customFormat="1" x14ac:dyDescent="0.3">
      <c r="A150" s="133">
        <v>143</v>
      </c>
      <c r="B150" s="10" t="s">
        <v>31</v>
      </c>
      <c r="C150" s="133" t="s">
        <v>163</v>
      </c>
      <c r="D150" s="133" t="s">
        <v>216</v>
      </c>
      <c r="E150" s="130">
        <f>SUMIFS(XUẤT!P:P,XUẤT!N:N,CBCNV!B150,XUẤT!O:O,CBCNV!$E$2)</f>
        <v>0</v>
      </c>
      <c r="F150" s="135">
        <f t="shared" si="25"/>
        <v>0</v>
      </c>
      <c r="G150" s="130">
        <f>SUMIFS(XUẤT!Q:Q,XUẤT!N:N,CBCNV!B150,XUẤT!O:O,CBCNV!$G$2)</f>
        <v>0</v>
      </c>
      <c r="H150" s="134">
        <f t="shared" si="26"/>
        <v>0</v>
      </c>
      <c r="I150" s="130">
        <f>SUMIFS(XUẤT!R:R,XUẤT!N:N,CBCNV!B150,XUẤT!O:O,CBCNV!$I$2)</f>
        <v>0</v>
      </c>
      <c r="J150" s="135">
        <f t="shared" si="27"/>
        <v>0</v>
      </c>
      <c r="K150" s="130">
        <f>SUMIFS(XUẤT!S:S,XUẤT!N:N,CBCNV!B150,XUẤT!O:O,CBCNV!$K$2)</f>
        <v>0</v>
      </c>
      <c r="L150" s="135">
        <f t="shared" si="28"/>
        <v>0</v>
      </c>
      <c r="M150" s="130">
        <f>SUMIFS(XUẤT!T:T,XUẤT!N:N,CBCNV!B150,XUẤT!O:O,CBCNV!$M$2)</f>
        <v>0</v>
      </c>
      <c r="N150" s="135">
        <f t="shared" si="29"/>
        <v>0</v>
      </c>
      <c r="O150" s="130">
        <f>SUMIFS(XUẤT!U:U,XUẤT!N:N,CBCNV!B150,XUẤT!O:O,CBCNV!$O$2)</f>
        <v>0</v>
      </c>
      <c r="P150" s="135">
        <f t="shared" si="30"/>
        <v>0</v>
      </c>
      <c r="Q150" s="32"/>
      <c r="R150" s="18"/>
    </row>
    <row r="151" spans="1:20" s="136" customFormat="1" x14ac:dyDescent="0.3">
      <c r="A151" s="133">
        <v>144</v>
      </c>
      <c r="B151" s="10" t="s">
        <v>33</v>
      </c>
      <c r="C151" s="133" t="s">
        <v>163</v>
      </c>
      <c r="D151" s="133" t="s">
        <v>216</v>
      </c>
      <c r="E151" s="130">
        <f>SUMIFS(XUẤT!P:P,XUẤT!N:N,CBCNV!B151,XUẤT!O:O,CBCNV!$E$2)</f>
        <v>0</v>
      </c>
      <c r="F151" s="135">
        <f t="shared" si="25"/>
        <v>0</v>
      </c>
      <c r="G151" s="130">
        <f>SUMIFS(XUẤT!Q:Q,XUẤT!N:N,CBCNV!B151,XUẤT!O:O,CBCNV!$G$2)</f>
        <v>0</v>
      </c>
      <c r="H151" s="134">
        <f t="shared" si="26"/>
        <v>0</v>
      </c>
      <c r="I151" s="130">
        <f>SUMIFS(XUẤT!R:R,XUẤT!N:N,CBCNV!B151,XUẤT!O:O,CBCNV!$I$2)</f>
        <v>0</v>
      </c>
      <c r="J151" s="135">
        <f t="shared" si="27"/>
        <v>0</v>
      </c>
      <c r="K151" s="130">
        <f>SUMIFS(XUẤT!S:S,XUẤT!N:N,CBCNV!B151,XUẤT!O:O,CBCNV!$K$2)</f>
        <v>0</v>
      </c>
      <c r="L151" s="135">
        <f t="shared" si="28"/>
        <v>0</v>
      </c>
      <c r="M151" s="130">
        <f>SUMIFS(XUẤT!T:T,XUẤT!N:N,CBCNV!B151,XUẤT!O:O,CBCNV!$M$2)</f>
        <v>0</v>
      </c>
      <c r="N151" s="135">
        <f t="shared" si="29"/>
        <v>0</v>
      </c>
      <c r="O151" s="130">
        <f>SUMIFS(XUẤT!U:U,XUẤT!N:N,CBCNV!B151,XUẤT!O:O,CBCNV!$O$2)</f>
        <v>0</v>
      </c>
      <c r="P151" s="135">
        <f t="shared" si="30"/>
        <v>0</v>
      </c>
      <c r="Q151" s="32"/>
      <c r="R151" s="18"/>
    </row>
    <row r="152" spans="1:20" s="136" customFormat="1" x14ac:dyDescent="0.3">
      <c r="A152" s="133">
        <v>145</v>
      </c>
      <c r="B152" s="10" t="s">
        <v>230</v>
      </c>
      <c r="C152" s="133" t="s">
        <v>163</v>
      </c>
      <c r="D152" s="133" t="s">
        <v>216</v>
      </c>
      <c r="E152" s="130">
        <f>SUMIFS(XUẤT!P:P,XUẤT!N:N,CBCNV!B152,XUẤT!O:O,CBCNV!$E$2)</f>
        <v>0</v>
      </c>
      <c r="F152" s="135">
        <f t="shared" si="25"/>
        <v>0</v>
      </c>
      <c r="G152" s="130">
        <f>SUMIFS(XUẤT!Q:Q,XUẤT!N:N,CBCNV!B152,XUẤT!O:O,CBCNV!$G$2)</f>
        <v>0</v>
      </c>
      <c r="H152" s="134">
        <f t="shared" si="26"/>
        <v>0</v>
      </c>
      <c r="I152" s="130">
        <f>SUMIFS(XUẤT!R:R,XUẤT!N:N,CBCNV!B152,XUẤT!O:O,CBCNV!$I$2)</f>
        <v>0</v>
      </c>
      <c r="J152" s="135">
        <f t="shared" si="27"/>
        <v>0</v>
      </c>
      <c r="K152" s="130">
        <f>SUMIFS(XUẤT!S:S,XUẤT!N:N,CBCNV!B152,XUẤT!O:O,CBCNV!$K$2)</f>
        <v>0</v>
      </c>
      <c r="L152" s="135">
        <f t="shared" si="28"/>
        <v>0</v>
      </c>
      <c r="M152" s="130">
        <f>SUMIFS(XUẤT!T:T,XUẤT!N:N,CBCNV!B152,XUẤT!O:O,CBCNV!$M$2)</f>
        <v>0</v>
      </c>
      <c r="N152" s="135">
        <f t="shared" si="29"/>
        <v>0</v>
      </c>
      <c r="O152" s="130">
        <f>SUMIFS(XUẤT!U:U,XUẤT!N:N,CBCNV!B152,XUẤT!O:O,CBCNV!$O$2)</f>
        <v>0</v>
      </c>
      <c r="P152" s="135">
        <f t="shared" si="30"/>
        <v>0</v>
      </c>
      <c r="Q152" s="32"/>
      <c r="R152" s="18"/>
    </row>
    <row r="153" spans="1:20" s="132" customFormat="1" x14ac:dyDescent="0.3">
      <c r="A153" s="133">
        <v>146</v>
      </c>
      <c r="B153" s="10" t="s">
        <v>231</v>
      </c>
      <c r="C153" s="133" t="s">
        <v>163</v>
      </c>
      <c r="D153" s="133" t="s">
        <v>216</v>
      </c>
      <c r="E153" s="130">
        <f>SUMIFS(XUẤT!P:P,XUẤT!N:N,CBCNV!B153,XUẤT!O:O,CBCNV!$E$2)</f>
        <v>0</v>
      </c>
      <c r="F153" s="135">
        <f t="shared" si="25"/>
        <v>0</v>
      </c>
      <c r="G153" s="130">
        <f>SUMIFS(XUẤT!Q:Q,XUẤT!N:N,CBCNV!B153,XUẤT!O:O,CBCNV!$G$2)</f>
        <v>0</v>
      </c>
      <c r="H153" s="134">
        <f t="shared" si="26"/>
        <v>0</v>
      </c>
      <c r="I153" s="130">
        <f>SUMIFS(XUẤT!R:R,XUẤT!N:N,CBCNV!B153,XUẤT!O:O,CBCNV!$I$2)</f>
        <v>0</v>
      </c>
      <c r="J153" s="135">
        <f t="shared" si="27"/>
        <v>0</v>
      </c>
      <c r="K153" s="130">
        <f>SUMIFS(XUẤT!S:S,XUẤT!N:N,CBCNV!B153,XUẤT!O:O,CBCNV!$K$2)</f>
        <v>0</v>
      </c>
      <c r="L153" s="135">
        <f t="shared" si="28"/>
        <v>0</v>
      </c>
      <c r="M153" s="130">
        <f>SUMIFS(XUẤT!T:T,XUẤT!N:N,CBCNV!B153,XUẤT!O:O,CBCNV!$M$2)</f>
        <v>0</v>
      </c>
      <c r="N153" s="135">
        <f t="shared" si="29"/>
        <v>0</v>
      </c>
      <c r="O153" s="130">
        <f>SUMIFS(XUẤT!U:U,XUẤT!N:N,CBCNV!B153,XUẤT!O:O,CBCNV!$O$2)</f>
        <v>0</v>
      </c>
      <c r="P153" s="135">
        <f t="shared" si="30"/>
        <v>0</v>
      </c>
      <c r="Q153" s="32"/>
      <c r="R153" s="18"/>
      <c r="S153" s="136"/>
      <c r="T153" s="136"/>
    </row>
    <row r="154" spans="1:20" s="136" customFormat="1" x14ac:dyDescent="0.3">
      <c r="A154" s="133">
        <v>147</v>
      </c>
      <c r="B154" s="10" t="s">
        <v>232</v>
      </c>
      <c r="C154" s="133" t="s">
        <v>163</v>
      </c>
      <c r="D154" s="133" t="s">
        <v>216</v>
      </c>
      <c r="E154" s="130">
        <f>SUMIFS(XUẤT!P:P,XUẤT!N:N,CBCNV!B154,XUẤT!O:O,CBCNV!$E$2)</f>
        <v>0</v>
      </c>
      <c r="F154" s="135">
        <f t="shared" si="25"/>
        <v>0</v>
      </c>
      <c r="G154" s="130">
        <f>SUMIFS(XUẤT!Q:Q,XUẤT!N:N,CBCNV!B154,XUẤT!O:O,CBCNV!$G$2)</f>
        <v>0</v>
      </c>
      <c r="H154" s="134">
        <f t="shared" si="26"/>
        <v>0</v>
      </c>
      <c r="I154" s="130">
        <f>SUMIFS(XUẤT!R:R,XUẤT!N:N,CBCNV!B154,XUẤT!O:O,CBCNV!$I$2)</f>
        <v>0</v>
      </c>
      <c r="J154" s="135">
        <f t="shared" si="27"/>
        <v>0</v>
      </c>
      <c r="K154" s="130">
        <f>SUMIFS(XUẤT!S:S,XUẤT!N:N,CBCNV!B154,XUẤT!O:O,CBCNV!$K$2)</f>
        <v>0</v>
      </c>
      <c r="L154" s="135">
        <f t="shared" si="28"/>
        <v>0</v>
      </c>
      <c r="M154" s="130">
        <f>SUMIFS(XUẤT!T:T,XUẤT!N:N,CBCNV!B154,XUẤT!O:O,CBCNV!$M$2)</f>
        <v>0</v>
      </c>
      <c r="N154" s="135">
        <f t="shared" si="29"/>
        <v>0</v>
      </c>
      <c r="O154" s="130">
        <f>SUMIFS(XUẤT!U:U,XUẤT!N:N,CBCNV!B154,XUẤT!O:O,CBCNV!$O$2)</f>
        <v>0</v>
      </c>
      <c r="P154" s="135">
        <f t="shared" si="30"/>
        <v>0</v>
      </c>
      <c r="Q154" s="32"/>
      <c r="R154" s="18"/>
    </row>
    <row r="155" spans="1:20" s="136" customFormat="1" x14ac:dyDescent="0.3">
      <c r="A155" s="133">
        <v>148</v>
      </c>
      <c r="B155" s="10" t="s">
        <v>233</v>
      </c>
      <c r="C155" s="133" t="s">
        <v>163</v>
      </c>
      <c r="D155" s="133" t="s">
        <v>216</v>
      </c>
      <c r="E155" s="130">
        <f>SUMIFS(XUẤT!P:P,XUẤT!N:N,CBCNV!B155,XUẤT!O:O,CBCNV!$E$2)</f>
        <v>0</v>
      </c>
      <c r="F155" s="135">
        <f t="shared" si="25"/>
        <v>0</v>
      </c>
      <c r="G155" s="130">
        <f>SUMIFS(XUẤT!Q:Q,XUẤT!N:N,CBCNV!B155,XUẤT!O:O,CBCNV!$G$2)</f>
        <v>0</v>
      </c>
      <c r="H155" s="134">
        <f t="shared" si="26"/>
        <v>0</v>
      </c>
      <c r="I155" s="130">
        <f>SUMIFS(XUẤT!R:R,XUẤT!N:N,CBCNV!B155,XUẤT!O:O,CBCNV!$I$2)</f>
        <v>0</v>
      </c>
      <c r="J155" s="135">
        <f t="shared" si="27"/>
        <v>0</v>
      </c>
      <c r="K155" s="130">
        <f>SUMIFS(XUẤT!S:S,XUẤT!N:N,CBCNV!B155,XUẤT!O:O,CBCNV!$K$2)</f>
        <v>0</v>
      </c>
      <c r="L155" s="135">
        <f t="shared" si="28"/>
        <v>0</v>
      </c>
      <c r="M155" s="130">
        <f>SUMIFS(XUẤT!T:T,XUẤT!N:N,CBCNV!B155,XUẤT!O:O,CBCNV!$M$2)</f>
        <v>0</v>
      </c>
      <c r="N155" s="135">
        <f t="shared" si="29"/>
        <v>0</v>
      </c>
      <c r="O155" s="130">
        <f>SUMIFS(XUẤT!U:U,XUẤT!N:N,CBCNV!B155,XUẤT!O:O,CBCNV!$O$2)</f>
        <v>0</v>
      </c>
      <c r="P155" s="135">
        <f t="shared" si="30"/>
        <v>0</v>
      </c>
      <c r="Q155" s="32"/>
      <c r="R155" s="18"/>
    </row>
    <row r="156" spans="1:20" s="136" customFormat="1" x14ac:dyDescent="0.3">
      <c r="A156" s="133">
        <v>149</v>
      </c>
      <c r="B156" s="34" t="s">
        <v>234</v>
      </c>
      <c r="C156" s="137" t="s">
        <v>235</v>
      </c>
      <c r="D156" s="137" t="s">
        <v>236</v>
      </c>
      <c r="E156" s="130">
        <f>SUMIFS(XUẤT!P:P,XUẤT!N:N,CBCNV!B156,XUẤT!O:O,CBCNV!$E$2)</f>
        <v>0</v>
      </c>
      <c r="F156" s="135">
        <f t="shared" si="25"/>
        <v>0</v>
      </c>
      <c r="G156" s="130">
        <f>SUMIFS(XUẤT!Q:Q,XUẤT!N:N,CBCNV!B156,XUẤT!O:O,CBCNV!$G$2)</f>
        <v>0</v>
      </c>
      <c r="H156" s="134">
        <f t="shared" si="26"/>
        <v>0</v>
      </c>
      <c r="I156" s="130">
        <f>SUMIFS(XUẤT!R:R,XUẤT!N:N,CBCNV!B156,XUẤT!O:O,CBCNV!$I$2)</f>
        <v>0</v>
      </c>
      <c r="J156" s="135">
        <f t="shared" si="27"/>
        <v>0</v>
      </c>
      <c r="K156" s="130">
        <f>SUMIFS(XUẤT!S:S,XUẤT!N:N,CBCNV!B156,XUẤT!O:O,CBCNV!$K$2)</f>
        <v>0</v>
      </c>
      <c r="L156" s="135">
        <f t="shared" si="28"/>
        <v>0</v>
      </c>
      <c r="M156" s="130">
        <f>SUMIFS(XUẤT!T:T,XUẤT!N:N,CBCNV!B156,XUẤT!O:O,CBCNV!$M$2)</f>
        <v>0</v>
      </c>
      <c r="N156" s="135">
        <f t="shared" si="29"/>
        <v>0</v>
      </c>
      <c r="O156" s="130">
        <f>SUMIFS(XUẤT!U:U,XUẤT!N:N,CBCNV!B156,XUẤT!O:O,CBCNV!$O$2)</f>
        <v>0</v>
      </c>
      <c r="P156" s="135">
        <f t="shared" si="30"/>
        <v>0</v>
      </c>
      <c r="Q156" s="32"/>
      <c r="R156" s="21"/>
      <c r="S156" s="132"/>
      <c r="T156" s="132"/>
    </row>
    <row r="157" spans="1:20" s="136" customFormat="1" x14ac:dyDescent="0.3">
      <c r="A157" s="133">
        <v>150</v>
      </c>
      <c r="B157" s="10" t="s">
        <v>237</v>
      </c>
      <c r="C157" s="133" t="s">
        <v>238</v>
      </c>
      <c r="D157" s="133" t="s">
        <v>236</v>
      </c>
      <c r="E157" s="130">
        <f>SUMIFS(XUẤT!P:P,XUẤT!N:N,CBCNV!B157,XUẤT!O:O,CBCNV!$E$2)</f>
        <v>0</v>
      </c>
      <c r="F157" s="135">
        <f t="shared" si="25"/>
        <v>0</v>
      </c>
      <c r="G157" s="130">
        <f>SUMIFS(XUẤT!Q:Q,XUẤT!N:N,CBCNV!B157,XUẤT!O:O,CBCNV!$G$2)</f>
        <v>0</v>
      </c>
      <c r="H157" s="134">
        <f t="shared" si="26"/>
        <v>0</v>
      </c>
      <c r="I157" s="130">
        <f>SUMIFS(XUẤT!R:R,XUẤT!N:N,CBCNV!B157,XUẤT!O:O,CBCNV!$I$2)</f>
        <v>0</v>
      </c>
      <c r="J157" s="135">
        <f t="shared" si="27"/>
        <v>0</v>
      </c>
      <c r="K157" s="130">
        <f>SUMIFS(XUẤT!S:S,XUẤT!N:N,CBCNV!B157,XUẤT!O:O,CBCNV!$K$2)</f>
        <v>0</v>
      </c>
      <c r="L157" s="135">
        <f t="shared" si="28"/>
        <v>0</v>
      </c>
      <c r="M157" s="130">
        <f>SUMIFS(XUẤT!T:T,XUẤT!N:N,CBCNV!B157,XUẤT!O:O,CBCNV!$M$2)</f>
        <v>0</v>
      </c>
      <c r="N157" s="135">
        <f t="shared" si="29"/>
        <v>0</v>
      </c>
      <c r="O157" s="130">
        <f>SUMIFS(XUẤT!U:U,XUẤT!N:N,CBCNV!B157,XUẤT!O:O,CBCNV!$O$2)</f>
        <v>0</v>
      </c>
      <c r="P157" s="135">
        <f t="shared" si="30"/>
        <v>0</v>
      </c>
      <c r="Q157" s="32"/>
      <c r="R157" s="18"/>
    </row>
    <row r="158" spans="1:20" s="136" customFormat="1" x14ac:dyDescent="0.3">
      <c r="A158" s="133">
        <v>151</v>
      </c>
      <c r="B158" s="10" t="s">
        <v>239</v>
      </c>
      <c r="C158" s="133" t="s">
        <v>240</v>
      </c>
      <c r="D158" s="133" t="s">
        <v>236</v>
      </c>
      <c r="E158" s="130">
        <f>SUMIFS(XUẤT!P:P,XUẤT!N:N,CBCNV!B158,XUẤT!O:O,CBCNV!$E$2)</f>
        <v>0</v>
      </c>
      <c r="F158" s="135">
        <f t="shared" si="25"/>
        <v>0</v>
      </c>
      <c r="G158" s="130">
        <f>SUMIFS(XUẤT!Q:Q,XUẤT!N:N,CBCNV!B158,XUẤT!O:O,CBCNV!$G$2)</f>
        <v>0</v>
      </c>
      <c r="H158" s="134">
        <f t="shared" si="26"/>
        <v>0</v>
      </c>
      <c r="I158" s="130">
        <f>SUMIFS(XUẤT!R:R,XUẤT!N:N,CBCNV!B158,XUẤT!O:O,CBCNV!$I$2)</f>
        <v>0</v>
      </c>
      <c r="J158" s="135">
        <f t="shared" si="27"/>
        <v>0</v>
      </c>
      <c r="K158" s="130">
        <f>SUMIFS(XUẤT!S:S,XUẤT!N:N,CBCNV!B158,XUẤT!O:O,CBCNV!$K$2)</f>
        <v>0</v>
      </c>
      <c r="L158" s="135">
        <f t="shared" si="28"/>
        <v>0</v>
      </c>
      <c r="M158" s="130">
        <f>SUMIFS(XUẤT!T:T,XUẤT!N:N,CBCNV!B158,XUẤT!O:O,CBCNV!$M$2)</f>
        <v>0</v>
      </c>
      <c r="N158" s="135">
        <f t="shared" si="29"/>
        <v>0</v>
      </c>
      <c r="O158" s="130">
        <f>SUMIFS(XUẤT!U:U,XUẤT!N:N,CBCNV!B158,XUẤT!O:O,CBCNV!$O$2)</f>
        <v>0</v>
      </c>
      <c r="P158" s="135">
        <f t="shared" si="30"/>
        <v>0</v>
      </c>
      <c r="Q158" s="32"/>
      <c r="R158" s="18"/>
    </row>
    <row r="159" spans="1:20" s="136" customFormat="1" x14ac:dyDescent="0.3">
      <c r="A159" s="133">
        <v>152</v>
      </c>
      <c r="B159" s="10" t="s">
        <v>241</v>
      </c>
      <c r="C159" s="133" t="s">
        <v>240</v>
      </c>
      <c r="D159" s="133" t="s">
        <v>236</v>
      </c>
      <c r="E159" s="130">
        <f>SUMIFS(XUẤT!P:P,XUẤT!N:N,CBCNV!B159,XUẤT!O:O,CBCNV!$E$2)</f>
        <v>0</v>
      </c>
      <c r="F159" s="135">
        <f t="shared" si="25"/>
        <v>0</v>
      </c>
      <c r="G159" s="130">
        <f>SUMIFS(XUẤT!Q:Q,XUẤT!N:N,CBCNV!B159,XUẤT!O:O,CBCNV!$G$2)</f>
        <v>0</v>
      </c>
      <c r="H159" s="134">
        <f t="shared" si="26"/>
        <v>0</v>
      </c>
      <c r="I159" s="130">
        <f>SUMIFS(XUẤT!R:R,XUẤT!N:N,CBCNV!B159,XUẤT!O:O,CBCNV!$I$2)</f>
        <v>0</v>
      </c>
      <c r="J159" s="135">
        <f t="shared" si="27"/>
        <v>0</v>
      </c>
      <c r="K159" s="130">
        <f>SUMIFS(XUẤT!S:S,XUẤT!N:N,CBCNV!B159,XUẤT!O:O,CBCNV!$K$2)</f>
        <v>0</v>
      </c>
      <c r="L159" s="135">
        <f t="shared" si="28"/>
        <v>0</v>
      </c>
      <c r="M159" s="130">
        <f>SUMIFS(XUẤT!T:T,XUẤT!N:N,CBCNV!B159,XUẤT!O:O,CBCNV!$M$2)</f>
        <v>0</v>
      </c>
      <c r="N159" s="135">
        <f t="shared" si="29"/>
        <v>0</v>
      </c>
      <c r="O159" s="130">
        <f>SUMIFS(XUẤT!U:U,XUẤT!N:N,CBCNV!B159,XUẤT!O:O,CBCNV!$O$2)</f>
        <v>0</v>
      </c>
      <c r="P159" s="135">
        <f t="shared" si="30"/>
        <v>0</v>
      </c>
      <c r="Q159" s="32"/>
      <c r="R159" s="18"/>
    </row>
    <row r="160" spans="1:20" s="136" customFormat="1" x14ac:dyDescent="0.3">
      <c r="A160" s="133">
        <v>153</v>
      </c>
      <c r="B160" s="10" t="s">
        <v>242</v>
      </c>
      <c r="C160" s="133" t="s">
        <v>240</v>
      </c>
      <c r="D160" s="133" t="s">
        <v>236</v>
      </c>
      <c r="E160" s="130">
        <f>SUMIFS(XUẤT!P:P,XUẤT!N:N,CBCNV!B160,XUẤT!O:O,CBCNV!$E$2)</f>
        <v>0</v>
      </c>
      <c r="F160" s="135">
        <f t="shared" si="25"/>
        <v>0</v>
      </c>
      <c r="G160" s="130">
        <f>SUMIFS(XUẤT!Q:Q,XUẤT!N:N,CBCNV!B160,XUẤT!O:O,CBCNV!$G$2)</f>
        <v>0</v>
      </c>
      <c r="H160" s="134">
        <f t="shared" si="26"/>
        <v>0</v>
      </c>
      <c r="I160" s="130">
        <f>SUMIFS(XUẤT!R:R,XUẤT!N:N,CBCNV!B160,XUẤT!O:O,CBCNV!$I$2)</f>
        <v>0</v>
      </c>
      <c r="J160" s="135">
        <f t="shared" si="27"/>
        <v>0</v>
      </c>
      <c r="K160" s="130">
        <f>SUMIFS(XUẤT!S:S,XUẤT!N:N,CBCNV!B160,XUẤT!O:O,CBCNV!$K$2)</f>
        <v>0</v>
      </c>
      <c r="L160" s="135">
        <f t="shared" si="28"/>
        <v>0</v>
      </c>
      <c r="M160" s="130">
        <f>SUMIFS(XUẤT!T:T,XUẤT!N:N,CBCNV!B160,XUẤT!O:O,CBCNV!$M$2)</f>
        <v>0</v>
      </c>
      <c r="N160" s="135">
        <f t="shared" si="29"/>
        <v>0</v>
      </c>
      <c r="O160" s="130">
        <f>SUMIFS(XUẤT!U:U,XUẤT!N:N,CBCNV!B160,XUẤT!O:O,CBCNV!$O$2)</f>
        <v>0</v>
      </c>
      <c r="P160" s="135">
        <f t="shared" si="30"/>
        <v>0</v>
      </c>
      <c r="Q160" s="32"/>
      <c r="R160" s="18"/>
    </row>
    <row r="161" spans="1:20" s="136" customFormat="1" x14ac:dyDescent="0.3">
      <c r="A161" s="133">
        <v>154</v>
      </c>
      <c r="B161" s="10" t="s">
        <v>243</v>
      </c>
      <c r="C161" s="133" t="s">
        <v>244</v>
      </c>
      <c r="D161" s="133" t="s">
        <v>236</v>
      </c>
      <c r="E161" s="130">
        <f>SUMIFS(XUẤT!P:P,XUẤT!N:N,CBCNV!B161,XUẤT!O:O,CBCNV!$E$2)</f>
        <v>0</v>
      </c>
      <c r="F161" s="135">
        <f t="shared" si="25"/>
        <v>0</v>
      </c>
      <c r="G161" s="130">
        <f>SUMIFS(XUẤT!Q:Q,XUẤT!N:N,CBCNV!B161,XUẤT!O:O,CBCNV!$G$2)</f>
        <v>0</v>
      </c>
      <c r="H161" s="134">
        <f t="shared" si="26"/>
        <v>0</v>
      </c>
      <c r="I161" s="130">
        <f>SUMIFS(XUẤT!R:R,XUẤT!N:N,CBCNV!B161,XUẤT!O:O,CBCNV!$I$2)</f>
        <v>0</v>
      </c>
      <c r="J161" s="135">
        <f t="shared" si="27"/>
        <v>0</v>
      </c>
      <c r="K161" s="130">
        <f>SUMIFS(XUẤT!S:S,XUẤT!N:N,CBCNV!B161,XUẤT!O:O,CBCNV!$K$2)</f>
        <v>0</v>
      </c>
      <c r="L161" s="135">
        <f t="shared" si="28"/>
        <v>0</v>
      </c>
      <c r="M161" s="130">
        <f>SUMIFS(XUẤT!T:T,XUẤT!N:N,CBCNV!B161,XUẤT!O:O,CBCNV!$M$2)</f>
        <v>0</v>
      </c>
      <c r="N161" s="135">
        <f t="shared" si="29"/>
        <v>0</v>
      </c>
      <c r="O161" s="130">
        <f>SUMIFS(XUẤT!U:U,XUẤT!N:N,CBCNV!B161,XUẤT!O:O,CBCNV!$O$2)</f>
        <v>0</v>
      </c>
      <c r="P161" s="135">
        <f t="shared" si="30"/>
        <v>0</v>
      </c>
      <c r="Q161" s="32"/>
      <c r="R161" s="18"/>
    </row>
    <row r="162" spans="1:20" s="136" customFormat="1" x14ac:dyDescent="0.3">
      <c r="A162" s="133">
        <v>155</v>
      </c>
      <c r="B162" s="10" t="s">
        <v>245</v>
      </c>
      <c r="C162" s="133" t="s">
        <v>244</v>
      </c>
      <c r="D162" s="133" t="s">
        <v>236</v>
      </c>
      <c r="E162" s="130">
        <f>SUMIFS(XUẤT!P:P,XUẤT!N:N,CBCNV!B162,XUẤT!O:O,CBCNV!$E$2)</f>
        <v>0</v>
      </c>
      <c r="F162" s="135">
        <f t="shared" si="25"/>
        <v>0</v>
      </c>
      <c r="G162" s="130">
        <f>SUMIFS(XUẤT!Q:Q,XUẤT!N:N,CBCNV!B162,XUẤT!O:O,CBCNV!$G$2)</f>
        <v>0</v>
      </c>
      <c r="H162" s="134">
        <f t="shared" si="26"/>
        <v>0</v>
      </c>
      <c r="I162" s="130">
        <f>SUMIFS(XUẤT!R:R,XUẤT!N:N,CBCNV!B162,XUẤT!O:O,CBCNV!$I$2)</f>
        <v>0</v>
      </c>
      <c r="J162" s="135">
        <f t="shared" si="27"/>
        <v>0</v>
      </c>
      <c r="K162" s="130">
        <f>SUMIFS(XUẤT!S:S,XUẤT!N:N,CBCNV!B162,XUẤT!O:O,CBCNV!$K$2)</f>
        <v>0</v>
      </c>
      <c r="L162" s="135">
        <f t="shared" si="28"/>
        <v>0</v>
      </c>
      <c r="M162" s="130">
        <f>SUMIFS(XUẤT!T:T,XUẤT!N:N,CBCNV!B162,XUẤT!O:O,CBCNV!$M$2)</f>
        <v>0</v>
      </c>
      <c r="N162" s="135">
        <f t="shared" si="29"/>
        <v>0</v>
      </c>
      <c r="O162" s="130">
        <f>SUMIFS(XUẤT!U:U,XUẤT!N:N,CBCNV!B162,XUẤT!O:O,CBCNV!$O$2)</f>
        <v>0</v>
      </c>
      <c r="P162" s="135">
        <f t="shared" si="30"/>
        <v>0</v>
      </c>
      <c r="Q162" s="32"/>
      <c r="R162" s="18"/>
    </row>
    <row r="163" spans="1:20" s="136" customFormat="1" x14ac:dyDescent="0.3">
      <c r="A163" s="133">
        <v>156</v>
      </c>
      <c r="B163" s="10" t="s">
        <v>246</v>
      </c>
      <c r="C163" s="133" t="s">
        <v>244</v>
      </c>
      <c r="D163" s="133" t="s">
        <v>236</v>
      </c>
      <c r="E163" s="130">
        <f>SUMIFS(XUẤT!P:P,XUẤT!N:N,CBCNV!B163,XUẤT!O:O,CBCNV!$E$2)</f>
        <v>0</v>
      </c>
      <c r="F163" s="135">
        <f t="shared" si="25"/>
        <v>0</v>
      </c>
      <c r="G163" s="130">
        <f>SUMIFS(XUẤT!Q:Q,XUẤT!N:N,CBCNV!B163,XUẤT!O:O,CBCNV!$G$2)</f>
        <v>0</v>
      </c>
      <c r="H163" s="134">
        <f t="shared" si="26"/>
        <v>0</v>
      </c>
      <c r="I163" s="130">
        <f>SUMIFS(XUẤT!R:R,XUẤT!N:N,CBCNV!B163,XUẤT!O:O,CBCNV!$I$2)</f>
        <v>0</v>
      </c>
      <c r="J163" s="135">
        <f t="shared" si="27"/>
        <v>0</v>
      </c>
      <c r="K163" s="130">
        <f>SUMIFS(XUẤT!S:S,XUẤT!N:N,CBCNV!B163,XUẤT!O:O,CBCNV!$K$2)</f>
        <v>0</v>
      </c>
      <c r="L163" s="135">
        <f t="shared" si="28"/>
        <v>0</v>
      </c>
      <c r="M163" s="130">
        <f>SUMIFS(XUẤT!T:T,XUẤT!N:N,CBCNV!B163,XUẤT!O:O,CBCNV!$M$2)</f>
        <v>0</v>
      </c>
      <c r="N163" s="135">
        <f t="shared" si="29"/>
        <v>0</v>
      </c>
      <c r="O163" s="130">
        <f>SUMIFS(XUẤT!U:U,XUẤT!N:N,CBCNV!B163,XUẤT!O:O,CBCNV!$O$2)</f>
        <v>0</v>
      </c>
      <c r="P163" s="135">
        <f t="shared" si="30"/>
        <v>0</v>
      </c>
      <c r="Q163" s="32"/>
      <c r="R163" s="18"/>
    </row>
    <row r="164" spans="1:20" s="136" customFormat="1" x14ac:dyDescent="0.3">
      <c r="A164" s="133">
        <v>157</v>
      </c>
      <c r="B164" s="10" t="s">
        <v>247</v>
      </c>
      <c r="C164" s="133" t="s">
        <v>248</v>
      </c>
      <c r="D164" s="133" t="s">
        <v>236</v>
      </c>
      <c r="E164" s="130">
        <f>SUMIFS(XUẤT!P:P,XUẤT!N:N,CBCNV!B164,XUẤT!O:O,CBCNV!$E$2)</f>
        <v>0</v>
      </c>
      <c r="F164" s="135">
        <f t="shared" si="25"/>
        <v>0</v>
      </c>
      <c r="G164" s="130">
        <f>SUMIFS(XUẤT!Q:Q,XUẤT!N:N,CBCNV!B164,XUẤT!O:O,CBCNV!$G$2)</f>
        <v>0</v>
      </c>
      <c r="H164" s="134">
        <f t="shared" si="26"/>
        <v>0</v>
      </c>
      <c r="I164" s="130">
        <f>SUMIFS(XUẤT!R:R,XUẤT!N:N,CBCNV!B164,XUẤT!O:O,CBCNV!$I$2)</f>
        <v>0</v>
      </c>
      <c r="J164" s="135">
        <f t="shared" si="27"/>
        <v>0</v>
      </c>
      <c r="K164" s="130">
        <f>SUMIFS(XUẤT!S:S,XUẤT!N:N,CBCNV!B164,XUẤT!O:O,CBCNV!$K$2)</f>
        <v>0</v>
      </c>
      <c r="L164" s="135">
        <f t="shared" si="28"/>
        <v>0</v>
      </c>
      <c r="M164" s="130">
        <f>SUMIFS(XUẤT!T:T,XUẤT!N:N,CBCNV!B164,XUẤT!O:O,CBCNV!$M$2)</f>
        <v>0</v>
      </c>
      <c r="N164" s="135">
        <f t="shared" si="29"/>
        <v>0</v>
      </c>
      <c r="O164" s="130">
        <f>SUMIFS(XUẤT!U:U,XUẤT!N:N,CBCNV!B164,XUẤT!O:O,CBCNV!$O$2)</f>
        <v>0</v>
      </c>
      <c r="P164" s="135">
        <f t="shared" si="30"/>
        <v>0</v>
      </c>
      <c r="Q164" s="32"/>
      <c r="R164" s="18"/>
    </row>
    <row r="165" spans="1:20" s="136" customFormat="1" x14ac:dyDescent="0.3">
      <c r="A165" s="133">
        <v>158</v>
      </c>
      <c r="B165" s="10" t="s">
        <v>249</v>
      </c>
      <c r="C165" s="133" t="s">
        <v>248</v>
      </c>
      <c r="D165" s="133" t="s">
        <v>236</v>
      </c>
      <c r="E165" s="130">
        <f>SUMIFS(XUẤT!P:P,XUẤT!N:N,CBCNV!B165,XUẤT!O:O,CBCNV!$E$2)</f>
        <v>0</v>
      </c>
      <c r="F165" s="135">
        <f t="shared" si="25"/>
        <v>0</v>
      </c>
      <c r="G165" s="130">
        <f>SUMIFS(XUẤT!Q:Q,XUẤT!N:N,CBCNV!B165,XUẤT!O:O,CBCNV!$G$2)</f>
        <v>0</v>
      </c>
      <c r="H165" s="134">
        <f t="shared" si="26"/>
        <v>0</v>
      </c>
      <c r="I165" s="130">
        <f>SUMIFS(XUẤT!R:R,XUẤT!N:N,CBCNV!B165,XUẤT!O:O,CBCNV!$I$2)</f>
        <v>0</v>
      </c>
      <c r="J165" s="135">
        <f t="shared" si="27"/>
        <v>0</v>
      </c>
      <c r="K165" s="130">
        <f>SUMIFS(XUẤT!S:S,XUẤT!N:N,CBCNV!B165,XUẤT!O:O,CBCNV!$K$2)</f>
        <v>0</v>
      </c>
      <c r="L165" s="135">
        <f t="shared" si="28"/>
        <v>0</v>
      </c>
      <c r="M165" s="130">
        <f>SUMIFS(XUẤT!T:T,XUẤT!N:N,CBCNV!B165,XUẤT!O:O,CBCNV!$M$2)</f>
        <v>0</v>
      </c>
      <c r="N165" s="135">
        <f t="shared" si="29"/>
        <v>0</v>
      </c>
      <c r="O165" s="130">
        <f>SUMIFS(XUẤT!U:U,XUẤT!N:N,CBCNV!B165,XUẤT!O:O,CBCNV!$O$2)</f>
        <v>0</v>
      </c>
      <c r="P165" s="135">
        <f t="shared" si="30"/>
        <v>0</v>
      </c>
      <c r="Q165" s="32"/>
      <c r="R165" s="18"/>
    </row>
    <row r="166" spans="1:20" s="136" customFormat="1" x14ac:dyDescent="0.3">
      <c r="A166" s="133">
        <v>159</v>
      </c>
      <c r="B166" s="10" t="s">
        <v>250</v>
      </c>
      <c r="C166" s="133" t="s">
        <v>248</v>
      </c>
      <c r="D166" s="133" t="s">
        <v>236</v>
      </c>
      <c r="E166" s="130">
        <f>SUMIFS(XUẤT!P:P,XUẤT!N:N,CBCNV!B166,XUẤT!O:O,CBCNV!$E$2)</f>
        <v>0</v>
      </c>
      <c r="F166" s="135">
        <f t="shared" si="25"/>
        <v>0</v>
      </c>
      <c r="G166" s="130">
        <f>SUMIFS(XUẤT!Q:Q,XUẤT!N:N,CBCNV!B166,XUẤT!O:O,CBCNV!$G$2)</f>
        <v>0</v>
      </c>
      <c r="H166" s="134">
        <f t="shared" si="26"/>
        <v>0</v>
      </c>
      <c r="I166" s="130">
        <f>SUMIFS(XUẤT!R:R,XUẤT!N:N,CBCNV!B166,XUẤT!O:O,CBCNV!$I$2)</f>
        <v>0</v>
      </c>
      <c r="J166" s="135">
        <f t="shared" si="27"/>
        <v>0</v>
      </c>
      <c r="K166" s="130">
        <f>SUMIFS(XUẤT!S:S,XUẤT!N:N,CBCNV!B166,XUẤT!O:O,CBCNV!$K$2)</f>
        <v>0</v>
      </c>
      <c r="L166" s="135">
        <f t="shared" si="28"/>
        <v>0</v>
      </c>
      <c r="M166" s="130">
        <f>SUMIFS(XUẤT!T:T,XUẤT!N:N,CBCNV!B166,XUẤT!O:O,CBCNV!$M$2)</f>
        <v>0</v>
      </c>
      <c r="N166" s="135">
        <f t="shared" si="29"/>
        <v>0</v>
      </c>
      <c r="O166" s="130">
        <f>SUMIFS(XUẤT!U:U,XUẤT!N:N,CBCNV!B166,XUẤT!O:O,CBCNV!$O$2)</f>
        <v>0</v>
      </c>
      <c r="P166" s="135">
        <f t="shared" si="30"/>
        <v>0</v>
      </c>
      <c r="Q166" s="32"/>
      <c r="R166" s="18"/>
    </row>
    <row r="167" spans="1:20" s="136" customFormat="1" x14ac:dyDescent="0.3">
      <c r="A167" s="133">
        <v>160</v>
      </c>
      <c r="B167" s="10" t="s">
        <v>251</v>
      </c>
      <c r="C167" s="133" t="s">
        <v>248</v>
      </c>
      <c r="D167" s="133" t="s">
        <v>236</v>
      </c>
      <c r="E167" s="130">
        <f>SUMIFS(XUẤT!P:P,XUẤT!N:N,CBCNV!B167,XUẤT!O:O,CBCNV!$E$2)</f>
        <v>0</v>
      </c>
      <c r="F167" s="135">
        <f t="shared" ref="F167:F198" si="31">E167*$T$10</f>
        <v>0</v>
      </c>
      <c r="G167" s="130">
        <f>SUMIFS(XUẤT!Q:Q,XUẤT!N:N,CBCNV!B167,XUẤT!O:O,CBCNV!$G$2)</f>
        <v>0</v>
      </c>
      <c r="H167" s="134">
        <f t="shared" ref="H167:H198" si="32">G167*$T$8</f>
        <v>0</v>
      </c>
      <c r="I167" s="130">
        <f>SUMIFS(XUẤT!R:R,XUẤT!N:N,CBCNV!B167,XUẤT!O:O,CBCNV!$I$2)</f>
        <v>0</v>
      </c>
      <c r="J167" s="135">
        <f t="shared" ref="J167:J198" si="33">I167*$T$9</f>
        <v>0</v>
      </c>
      <c r="K167" s="130">
        <f>SUMIFS(XUẤT!S:S,XUẤT!N:N,CBCNV!B167,XUẤT!O:O,CBCNV!$K$2)</f>
        <v>0</v>
      </c>
      <c r="L167" s="135">
        <f t="shared" ref="L167:L198" si="34">K167*$T$11</f>
        <v>0</v>
      </c>
      <c r="M167" s="130">
        <f>SUMIFS(XUẤT!T:T,XUẤT!N:N,CBCNV!B167,XUẤT!O:O,CBCNV!$M$2)</f>
        <v>0</v>
      </c>
      <c r="N167" s="135">
        <f t="shared" ref="N167:N198" si="35">M167*$T$12</f>
        <v>0</v>
      </c>
      <c r="O167" s="130">
        <f>SUMIFS(XUẤT!U:U,XUẤT!N:N,CBCNV!B167,XUẤT!O:O,CBCNV!$O$2)</f>
        <v>13</v>
      </c>
      <c r="P167" s="135">
        <f t="shared" ref="P167:P198" si="36">O167*$T$13</f>
        <v>624000</v>
      </c>
      <c r="Q167" s="32"/>
      <c r="R167" s="18"/>
    </row>
    <row r="168" spans="1:20" s="136" customFormat="1" x14ac:dyDescent="0.3">
      <c r="A168" s="133">
        <v>161</v>
      </c>
      <c r="B168" s="10" t="s">
        <v>252</v>
      </c>
      <c r="C168" s="133" t="s">
        <v>79</v>
      </c>
      <c r="D168" s="133" t="s">
        <v>236</v>
      </c>
      <c r="E168" s="130">
        <f>SUMIFS(XUẤT!P:P,XUẤT!N:N,CBCNV!B168,XUẤT!O:O,CBCNV!$E$2)</f>
        <v>0</v>
      </c>
      <c r="F168" s="135">
        <f t="shared" si="31"/>
        <v>0</v>
      </c>
      <c r="G168" s="130">
        <f>SUMIFS(XUẤT!Q:Q,XUẤT!N:N,CBCNV!B168,XUẤT!O:O,CBCNV!$G$2)</f>
        <v>0</v>
      </c>
      <c r="H168" s="134">
        <f t="shared" si="32"/>
        <v>0</v>
      </c>
      <c r="I168" s="130">
        <f>SUMIFS(XUẤT!R:R,XUẤT!N:N,CBCNV!B168,XUẤT!O:O,CBCNV!$I$2)</f>
        <v>0</v>
      </c>
      <c r="J168" s="135">
        <f t="shared" si="33"/>
        <v>0</v>
      </c>
      <c r="K168" s="130">
        <f>SUMIFS(XUẤT!S:S,XUẤT!N:N,CBCNV!B168,XUẤT!O:O,CBCNV!$K$2)</f>
        <v>0</v>
      </c>
      <c r="L168" s="135">
        <f t="shared" si="34"/>
        <v>0</v>
      </c>
      <c r="M168" s="130">
        <f>SUMIFS(XUẤT!T:T,XUẤT!N:N,CBCNV!B168,XUẤT!O:O,CBCNV!$M$2)</f>
        <v>0</v>
      </c>
      <c r="N168" s="135">
        <f t="shared" si="35"/>
        <v>0</v>
      </c>
      <c r="O168" s="130">
        <f>SUMIFS(XUẤT!U:U,XUẤT!N:N,CBCNV!B168,XUẤT!O:O,CBCNV!$O$2)</f>
        <v>0</v>
      </c>
      <c r="P168" s="135">
        <f t="shared" si="36"/>
        <v>0</v>
      </c>
      <c r="Q168" s="32"/>
      <c r="R168" s="18"/>
    </row>
    <row r="169" spans="1:20" s="132" customFormat="1" x14ac:dyDescent="0.3">
      <c r="A169" s="133">
        <v>162</v>
      </c>
      <c r="B169" s="10" t="s">
        <v>253</v>
      </c>
      <c r="C169" s="133" t="s">
        <v>79</v>
      </c>
      <c r="D169" s="133" t="s">
        <v>236</v>
      </c>
      <c r="E169" s="130">
        <f>SUMIFS(XUẤT!P:P,XUẤT!N:N,CBCNV!B169,XUẤT!O:O,CBCNV!$E$2)</f>
        <v>0</v>
      </c>
      <c r="F169" s="135">
        <f t="shared" si="31"/>
        <v>0</v>
      </c>
      <c r="G169" s="130">
        <f>SUMIFS(XUẤT!Q:Q,XUẤT!N:N,CBCNV!B169,XUẤT!O:O,CBCNV!$G$2)</f>
        <v>0</v>
      </c>
      <c r="H169" s="134">
        <f t="shared" si="32"/>
        <v>0</v>
      </c>
      <c r="I169" s="130">
        <f>SUMIFS(XUẤT!R:R,XUẤT!N:N,CBCNV!B169,XUẤT!O:O,CBCNV!$I$2)</f>
        <v>0</v>
      </c>
      <c r="J169" s="135">
        <f t="shared" si="33"/>
        <v>0</v>
      </c>
      <c r="K169" s="130">
        <f>SUMIFS(XUẤT!S:S,XUẤT!N:N,CBCNV!B169,XUẤT!O:O,CBCNV!$K$2)</f>
        <v>0</v>
      </c>
      <c r="L169" s="135">
        <f t="shared" si="34"/>
        <v>0</v>
      </c>
      <c r="M169" s="130">
        <f>SUMIFS(XUẤT!T:T,XUẤT!N:N,CBCNV!B169,XUẤT!O:O,CBCNV!$M$2)</f>
        <v>0</v>
      </c>
      <c r="N169" s="135">
        <f t="shared" si="35"/>
        <v>0</v>
      </c>
      <c r="O169" s="130">
        <f>SUMIFS(XUẤT!U:U,XUẤT!N:N,CBCNV!B169,XUẤT!O:O,CBCNV!$O$2)</f>
        <v>0</v>
      </c>
      <c r="P169" s="135">
        <f t="shared" si="36"/>
        <v>0</v>
      </c>
      <c r="Q169" s="32"/>
      <c r="R169" s="18"/>
      <c r="S169" s="136"/>
      <c r="T169" s="136"/>
    </row>
    <row r="170" spans="1:20" s="136" customFormat="1" x14ac:dyDescent="0.3">
      <c r="A170" s="133">
        <v>163</v>
      </c>
      <c r="B170" s="10" t="s">
        <v>254</v>
      </c>
      <c r="C170" s="133" t="s">
        <v>79</v>
      </c>
      <c r="D170" s="133" t="s">
        <v>236</v>
      </c>
      <c r="E170" s="130">
        <f>SUMIFS(XUẤT!P:P,XUẤT!N:N,CBCNV!B170,XUẤT!O:O,CBCNV!$E$2)</f>
        <v>0</v>
      </c>
      <c r="F170" s="135">
        <f t="shared" si="31"/>
        <v>0</v>
      </c>
      <c r="G170" s="130">
        <f>SUMIFS(XUẤT!Q:Q,XUẤT!N:N,CBCNV!B170,XUẤT!O:O,CBCNV!$G$2)</f>
        <v>0</v>
      </c>
      <c r="H170" s="134">
        <f t="shared" si="32"/>
        <v>0</v>
      </c>
      <c r="I170" s="130">
        <f>SUMIFS(XUẤT!R:R,XUẤT!N:N,CBCNV!B170,XUẤT!O:O,CBCNV!$I$2)</f>
        <v>0</v>
      </c>
      <c r="J170" s="135">
        <f t="shared" si="33"/>
        <v>0</v>
      </c>
      <c r="K170" s="130">
        <f>SUMIFS(XUẤT!S:S,XUẤT!N:N,CBCNV!B170,XUẤT!O:O,CBCNV!$K$2)</f>
        <v>0</v>
      </c>
      <c r="L170" s="135">
        <f t="shared" si="34"/>
        <v>0</v>
      </c>
      <c r="M170" s="130">
        <f>SUMIFS(XUẤT!T:T,XUẤT!N:N,CBCNV!B170,XUẤT!O:O,CBCNV!$M$2)</f>
        <v>0</v>
      </c>
      <c r="N170" s="135">
        <f t="shared" si="35"/>
        <v>0</v>
      </c>
      <c r="O170" s="130">
        <f>SUMIFS(XUẤT!U:U,XUẤT!N:N,CBCNV!B170,XUẤT!O:O,CBCNV!$O$2)</f>
        <v>0</v>
      </c>
      <c r="P170" s="135">
        <f t="shared" si="36"/>
        <v>0</v>
      </c>
      <c r="Q170" s="32"/>
      <c r="R170" s="18"/>
    </row>
    <row r="171" spans="1:20" s="136" customFormat="1" x14ac:dyDescent="0.3">
      <c r="A171" s="133">
        <v>164</v>
      </c>
      <c r="B171" s="138" t="s">
        <v>255</v>
      </c>
      <c r="C171" s="133" t="s">
        <v>79</v>
      </c>
      <c r="D171" s="133" t="s">
        <v>236</v>
      </c>
      <c r="E171" s="130">
        <f>SUMIFS(XUẤT!P:P,XUẤT!N:N,CBCNV!B171,XUẤT!O:O,CBCNV!$E$2)</f>
        <v>0</v>
      </c>
      <c r="F171" s="135">
        <f t="shared" si="31"/>
        <v>0</v>
      </c>
      <c r="G171" s="130">
        <f>SUMIFS(XUẤT!Q:Q,XUẤT!N:N,CBCNV!B171,XUẤT!O:O,CBCNV!$G$2)</f>
        <v>0</v>
      </c>
      <c r="H171" s="134">
        <f t="shared" si="32"/>
        <v>0</v>
      </c>
      <c r="I171" s="130">
        <f>SUMIFS(XUẤT!R:R,XUẤT!N:N,CBCNV!B171,XUẤT!O:O,CBCNV!$I$2)</f>
        <v>0</v>
      </c>
      <c r="J171" s="135">
        <f t="shared" si="33"/>
        <v>0</v>
      </c>
      <c r="K171" s="130">
        <f>SUMIFS(XUẤT!S:S,XUẤT!N:N,CBCNV!B171,XUẤT!O:O,CBCNV!$K$2)</f>
        <v>0</v>
      </c>
      <c r="L171" s="135">
        <f t="shared" si="34"/>
        <v>0</v>
      </c>
      <c r="M171" s="130">
        <f>SUMIFS(XUẤT!T:T,XUẤT!N:N,CBCNV!B171,XUẤT!O:O,CBCNV!$M$2)</f>
        <v>0</v>
      </c>
      <c r="N171" s="135">
        <f t="shared" si="35"/>
        <v>0</v>
      </c>
      <c r="O171" s="130">
        <f>SUMIFS(XUẤT!U:U,XUẤT!N:N,CBCNV!B171,XUẤT!O:O,CBCNV!$O$2)</f>
        <v>0</v>
      </c>
      <c r="P171" s="135">
        <f t="shared" si="36"/>
        <v>0</v>
      </c>
      <c r="Q171" s="32"/>
      <c r="R171" s="18"/>
    </row>
    <row r="172" spans="1:20" s="136" customFormat="1" x14ac:dyDescent="0.3">
      <c r="A172" s="133">
        <v>165</v>
      </c>
      <c r="B172" s="34" t="s">
        <v>256</v>
      </c>
      <c r="C172" s="35" t="s">
        <v>131</v>
      </c>
      <c r="D172" s="35" t="s">
        <v>257</v>
      </c>
      <c r="E172" s="130">
        <f>SUMIFS(XUẤT!P:P,XUẤT!N:N,CBCNV!B172,XUẤT!O:O,CBCNV!$E$2)</f>
        <v>0</v>
      </c>
      <c r="F172" s="135">
        <f t="shared" si="31"/>
        <v>0</v>
      </c>
      <c r="G172" s="130">
        <f>SUMIFS(XUẤT!Q:Q,XUẤT!N:N,CBCNV!B172,XUẤT!O:O,CBCNV!$G$2)</f>
        <v>0</v>
      </c>
      <c r="H172" s="134">
        <f t="shared" si="32"/>
        <v>0</v>
      </c>
      <c r="I172" s="130">
        <f>SUMIFS(XUẤT!R:R,XUẤT!N:N,CBCNV!B172,XUẤT!O:O,CBCNV!$I$2)</f>
        <v>0</v>
      </c>
      <c r="J172" s="135">
        <f t="shared" si="33"/>
        <v>0</v>
      </c>
      <c r="K172" s="130">
        <f>SUMIFS(XUẤT!S:S,XUẤT!N:N,CBCNV!B172,XUẤT!O:O,CBCNV!$K$2)</f>
        <v>0</v>
      </c>
      <c r="L172" s="135">
        <f t="shared" si="34"/>
        <v>0</v>
      </c>
      <c r="M172" s="130">
        <f>SUMIFS(XUẤT!T:T,XUẤT!N:N,CBCNV!B172,XUẤT!O:O,CBCNV!$M$2)</f>
        <v>0</v>
      </c>
      <c r="N172" s="135">
        <f t="shared" si="35"/>
        <v>0</v>
      </c>
      <c r="O172" s="130">
        <f>SUMIFS(XUẤT!U:U,XUẤT!N:N,CBCNV!B172,XUẤT!O:O,CBCNV!$O$2)</f>
        <v>0</v>
      </c>
      <c r="P172" s="135">
        <f t="shared" si="36"/>
        <v>0</v>
      </c>
      <c r="Q172" s="32"/>
      <c r="R172" s="21"/>
      <c r="S172" s="132"/>
      <c r="T172" s="132"/>
    </row>
    <row r="173" spans="1:20" s="136" customFormat="1" x14ac:dyDescent="0.3">
      <c r="A173" s="133">
        <v>166</v>
      </c>
      <c r="B173" s="10" t="s">
        <v>258</v>
      </c>
      <c r="C173" s="36" t="s">
        <v>134</v>
      </c>
      <c r="D173" s="36" t="s">
        <v>257</v>
      </c>
      <c r="E173" s="130">
        <f>SUMIFS(XUẤT!P:P,XUẤT!N:N,CBCNV!B173,XUẤT!O:O,CBCNV!$E$2)</f>
        <v>0</v>
      </c>
      <c r="F173" s="135">
        <f t="shared" si="31"/>
        <v>0</v>
      </c>
      <c r="G173" s="130">
        <f>SUMIFS(XUẤT!Q:Q,XUẤT!N:N,CBCNV!B173,XUẤT!O:O,CBCNV!$G$2)</f>
        <v>0</v>
      </c>
      <c r="H173" s="134">
        <f t="shared" si="32"/>
        <v>0</v>
      </c>
      <c r="I173" s="130">
        <f>SUMIFS(XUẤT!R:R,XUẤT!N:N,CBCNV!B173,XUẤT!O:O,CBCNV!$I$2)</f>
        <v>0</v>
      </c>
      <c r="J173" s="135">
        <f t="shared" si="33"/>
        <v>0</v>
      </c>
      <c r="K173" s="130">
        <f>SUMIFS(XUẤT!S:S,XUẤT!N:N,CBCNV!B173,XUẤT!O:O,CBCNV!$K$2)</f>
        <v>0</v>
      </c>
      <c r="L173" s="135">
        <f t="shared" si="34"/>
        <v>0</v>
      </c>
      <c r="M173" s="130">
        <f>SUMIFS(XUẤT!T:T,XUẤT!N:N,CBCNV!B173,XUẤT!O:O,CBCNV!$M$2)</f>
        <v>0</v>
      </c>
      <c r="N173" s="135">
        <f t="shared" si="35"/>
        <v>0</v>
      </c>
      <c r="O173" s="130">
        <f>SUMIFS(XUẤT!U:U,XUẤT!N:N,CBCNV!B173,XUẤT!O:O,CBCNV!$O$2)</f>
        <v>0</v>
      </c>
      <c r="P173" s="135">
        <f t="shared" si="36"/>
        <v>0</v>
      </c>
      <c r="Q173" s="32"/>
      <c r="R173" s="18"/>
    </row>
    <row r="174" spans="1:20" s="136" customFormat="1" x14ac:dyDescent="0.3">
      <c r="A174" s="133">
        <v>167</v>
      </c>
      <c r="B174" s="10" t="s">
        <v>259</v>
      </c>
      <c r="C174" s="36" t="s">
        <v>79</v>
      </c>
      <c r="D174" s="36" t="s">
        <v>257</v>
      </c>
      <c r="E174" s="130">
        <f>SUMIFS(XUẤT!P:P,XUẤT!N:N,CBCNV!B174,XUẤT!O:O,CBCNV!$E$2)</f>
        <v>0</v>
      </c>
      <c r="F174" s="135">
        <f t="shared" si="31"/>
        <v>0</v>
      </c>
      <c r="G174" s="130">
        <f>SUMIFS(XUẤT!Q:Q,XUẤT!N:N,CBCNV!B174,XUẤT!O:O,CBCNV!$G$2)</f>
        <v>0</v>
      </c>
      <c r="H174" s="134">
        <f t="shared" si="32"/>
        <v>0</v>
      </c>
      <c r="I174" s="130">
        <f>SUMIFS(XUẤT!R:R,XUẤT!N:N,CBCNV!B174,XUẤT!O:O,CBCNV!$I$2)</f>
        <v>0</v>
      </c>
      <c r="J174" s="135">
        <f t="shared" si="33"/>
        <v>0</v>
      </c>
      <c r="K174" s="130">
        <f>SUMIFS(XUẤT!S:S,XUẤT!N:N,CBCNV!B174,XUẤT!O:O,CBCNV!$K$2)</f>
        <v>0</v>
      </c>
      <c r="L174" s="135">
        <f t="shared" si="34"/>
        <v>0</v>
      </c>
      <c r="M174" s="130">
        <f>SUMIFS(XUẤT!T:T,XUẤT!N:N,CBCNV!B174,XUẤT!O:O,CBCNV!$M$2)</f>
        <v>0</v>
      </c>
      <c r="N174" s="135">
        <f t="shared" si="35"/>
        <v>0</v>
      </c>
      <c r="O174" s="130">
        <f>SUMIFS(XUẤT!U:U,XUẤT!N:N,CBCNV!B174,XUẤT!O:O,CBCNV!$O$2)</f>
        <v>0</v>
      </c>
      <c r="P174" s="135">
        <f t="shared" si="36"/>
        <v>0</v>
      </c>
      <c r="Q174" s="32"/>
      <c r="R174" s="18"/>
    </row>
    <row r="175" spans="1:20" s="136" customFormat="1" x14ac:dyDescent="0.3">
      <c r="A175" s="133">
        <v>168</v>
      </c>
      <c r="B175" s="10" t="s">
        <v>260</v>
      </c>
      <c r="C175" s="36" t="s">
        <v>79</v>
      </c>
      <c r="D175" s="36" t="s">
        <v>257</v>
      </c>
      <c r="E175" s="130">
        <f>SUMIFS(XUẤT!P:P,XUẤT!N:N,CBCNV!B175,XUẤT!O:O,CBCNV!$E$2)</f>
        <v>0</v>
      </c>
      <c r="F175" s="135">
        <f t="shared" si="31"/>
        <v>0</v>
      </c>
      <c r="G175" s="130">
        <f>SUMIFS(XUẤT!Q:Q,XUẤT!N:N,CBCNV!B175,XUẤT!O:O,CBCNV!$G$2)</f>
        <v>0</v>
      </c>
      <c r="H175" s="134">
        <f t="shared" si="32"/>
        <v>0</v>
      </c>
      <c r="I175" s="130">
        <f>SUMIFS(XUẤT!R:R,XUẤT!N:N,CBCNV!B175,XUẤT!O:O,CBCNV!$I$2)</f>
        <v>0</v>
      </c>
      <c r="J175" s="135">
        <f t="shared" si="33"/>
        <v>0</v>
      </c>
      <c r="K175" s="130">
        <f>SUMIFS(XUẤT!S:S,XUẤT!N:N,CBCNV!B175,XUẤT!O:O,CBCNV!$K$2)</f>
        <v>0</v>
      </c>
      <c r="L175" s="135">
        <f t="shared" si="34"/>
        <v>0</v>
      </c>
      <c r="M175" s="130">
        <f>SUMIFS(XUẤT!T:T,XUẤT!N:N,CBCNV!B175,XUẤT!O:O,CBCNV!$M$2)</f>
        <v>0</v>
      </c>
      <c r="N175" s="135">
        <f t="shared" si="35"/>
        <v>0</v>
      </c>
      <c r="O175" s="130">
        <f>SUMIFS(XUẤT!U:U,XUẤT!N:N,CBCNV!B175,XUẤT!O:O,CBCNV!$O$2)</f>
        <v>0</v>
      </c>
      <c r="P175" s="135">
        <f t="shared" si="36"/>
        <v>0</v>
      </c>
      <c r="Q175" s="32"/>
      <c r="R175" s="18"/>
    </row>
    <row r="176" spans="1:20" s="136" customFormat="1" x14ac:dyDescent="0.3">
      <c r="A176" s="133">
        <v>169</v>
      </c>
      <c r="B176" s="10" t="s">
        <v>261</v>
      </c>
      <c r="C176" s="36" t="s">
        <v>262</v>
      </c>
      <c r="D176" s="36" t="s">
        <v>257</v>
      </c>
      <c r="E176" s="130">
        <f>SUMIFS(XUẤT!P:P,XUẤT!N:N,CBCNV!B176,XUẤT!O:O,CBCNV!$E$2)</f>
        <v>0</v>
      </c>
      <c r="F176" s="135">
        <f t="shared" si="31"/>
        <v>0</v>
      </c>
      <c r="G176" s="130">
        <f>SUMIFS(XUẤT!Q:Q,XUẤT!N:N,CBCNV!B176,XUẤT!O:O,CBCNV!$G$2)</f>
        <v>0</v>
      </c>
      <c r="H176" s="134">
        <f t="shared" si="32"/>
        <v>0</v>
      </c>
      <c r="I176" s="130">
        <f>SUMIFS(XUẤT!R:R,XUẤT!N:N,CBCNV!B176,XUẤT!O:O,CBCNV!$I$2)</f>
        <v>0</v>
      </c>
      <c r="J176" s="135">
        <f t="shared" si="33"/>
        <v>0</v>
      </c>
      <c r="K176" s="130">
        <f>SUMIFS(XUẤT!S:S,XUẤT!N:N,CBCNV!B176,XUẤT!O:O,CBCNV!$K$2)</f>
        <v>0</v>
      </c>
      <c r="L176" s="135">
        <f t="shared" si="34"/>
        <v>0</v>
      </c>
      <c r="M176" s="130">
        <f>SUMIFS(XUẤT!T:T,XUẤT!N:N,CBCNV!B176,XUẤT!O:O,CBCNV!$M$2)</f>
        <v>0</v>
      </c>
      <c r="N176" s="135">
        <f t="shared" si="35"/>
        <v>0</v>
      </c>
      <c r="O176" s="130">
        <f>SUMIFS(XUẤT!U:U,XUẤT!N:N,CBCNV!B176,XUẤT!O:O,CBCNV!$O$2)</f>
        <v>0</v>
      </c>
      <c r="P176" s="135">
        <f t="shared" si="36"/>
        <v>0</v>
      </c>
      <c r="Q176" s="32"/>
      <c r="R176" s="18"/>
    </row>
    <row r="177" spans="1:18" s="136" customFormat="1" x14ac:dyDescent="0.3">
      <c r="A177" s="133">
        <v>170</v>
      </c>
      <c r="B177" s="10" t="s">
        <v>263</v>
      </c>
      <c r="C177" s="36" t="s">
        <v>264</v>
      </c>
      <c r="D177" s="36" t="s">
        <v>257</v>
      </c>
      <c r="E177" s="130">
        <f>SUMIFS(XUẤT!P:P,XUẤT!N:N,CBCNV!B177,XUẤT!O:O,CBCNV!$E$2)</f>
        <v>0</v>
      </c>
      <c r="F177" s="135">
        <f t="shared" si="31"/>
        <v>0</v>
      </c>
      <c r="G177" s="130">
        <f>SUMIFS(XUẤT!Q:Q,XUẤT!N:N,CBCNV!B177,XUẤT!O:O,CBCNV!$G$2)</f>
        <v>0</v>
      </c>
      <c r="H177" s="134">
        <f t="shared" si="32"/>
        <v>0</v>
      </c>
      <c r="I177" s="130">
        <f>SUMIFS(XUẤT!R:R,XUẤT!N:N,CBCNV!B177,XUẤT!O:O,CBCNV!$I$2)</f>
        <v>0</v>
      </c>
      <c r="J177" s="135">
        <f t="shared" si="33"/>
        <v>0</v>
      </c>
      <c r="K177" s="130">
        <f>SUMIFS(XUẤT!S:S,XUẤT!N:N,CBCNV!B177,XUẤT!O:O,CBCNV!$K$2)</f>
        <v>0</v>
      </c>
      <c r="L177" s="135">
        <f t="shared" si="34"/>
        <v>0</v>
      </c>
      <c r="M177" s="130">
        <f>SUMIFS(XUẤT!T:T,XUẤT!N:N,CBCNV!B177,XUẤT!O:O,CBCNV!$M$2)</f>
        <v>0</v>
      </c>
      <c r="N177" s="135">
        <f t="shared" si="35"/>
        <v>0</v>
      </c>
      <c r="O177" s="130">
        <f>SUMIFS(XUẤT!U:U,XUẤT!N:N,CBCNV!B177,XUẤT!O:O,CBCNV!$O$2)</f>
        <v>0</v>
      </c>
      <c r="P177" s="135">
        <f t="shared" si="36"/>
        <v>0</v>
      </c>
      <c r="Q177" s="32"/>
      <c r="R177" s="18"/>
    </row>
    <row r="178" spans="1:18" s="136" customFormat="1" ht="36" x14ac:dyDescent="0.3">
      <c r="A178" s="133">
        <v>171</v>
      </c>
      <c r="B178" s="10" t="s">
        <v>265</v>
      </c>
      <c r="C178" s="36" t="s">
        <v>266</v>
      </c>
      <c r="D178" s="36" t="s">
        <v>257</v>
      </c>
      <c r="E178" s="130">
        <f>SUMIFS(XUẤT!P:P,XUẤT!N:N,CBCNV!B178,XUẤT!O:O,CBCNV!$E$2)</f>
        <v>0</v>
      </c>
      <c r="F178" s="135">
        <f t="shared" si="31"/>
        <v>0</v>
      </c>
      <c r="G178" s="130">
        <f>SUMIFS(XUẤT!Q:Q,XUẤT!N:N,CBCNV!B178,XUẤT!O:O,CBCNV!$G$2)</f>
        <v>0</v>
      </c>
      <c r="H178" s="134">
        <f t="shared" si="32"/>
        <v>0</v>
      </c>
      <c r="I178" s="130">
        <f>SUMIFS(XUẤT!R:R,XUẤT!N:N,CBCNV!B178,XUẤT!O:O,CBCNV!$I$2)</f>
        <v>0</v>
      </c>
      <c r="J178" s="135">
        <f t="shared" si="33"/>
        <v>0</v>
      </c>
      <c r="K178" s="130">
        <f>SUMIFS(XUẤT!S:S,XUẤT!N:N,CBCNV!B178,XUẤT!O:O,CBCNV!$K$2)</f>
        <v>0</v>
      </c>
      <c r="L178" s="135">
        <f t="shared" si="34"/>
        <v>0</v>
      </c>
      <c r="M178" s="130">
        <f>SUMIFS(XUẤT!T:T,XUẤT!N:N,CBCNV!B178,XUẤT!O:O,CBCNV!$M$2)</f>
        <v>0</v>
      </c>
      <c r="N178" s="135">
        <f t="shared" si="35"/>
        <v>0</v>
      </c>
      <c r="O178" s="130">
        <f>SUMIFS(XUẤT!U:U,XUẤT!N:N,CBCNV!B178,XUẤT!O:O,CBCNV!$O$2)</f>
        <v>0</v>
      </c>
      <c r="P178" s="135">
        <f t="shared" si="36"/>
        <v>0</v>
      </c>
      <c r="Q178" s="32"/>
      <c r="R178" s="18"/>
    </row>
    <row r="179" spans="1:18" s="136" customFormat="1" x14ac:dyDescent="0.3">
      <c r="A179" s="133">
        <v>172</v>
      </c>
      <c r="B179" s="10" t="s">
        <v>267</v>
      </c>
      <c r="C179" s="36" t="s">
        <v>262</v>
      </c>
      <c r="D179" s="36" t="s">
        <v>257</v>
      </c>
      <c r="E179" s="130">
        <f>SUMIFS(XUẤT!P:P,XUẤT!N:N,CBCNV!B179,XUẤT!O:O,CBCNV!$E$2)</f>
        <v>0</v>
      </c>
      <c r="F179" s="135">
        <f t="shared" si="31"/>
        <v>0</v>
      </c>
      <c r="G179" s="130">
        <f>SUMIFS(XUẤT!Q:Q,XUẤT!N:N,CBCNV!B179,XUẤT!O:O,CBCNV!$G$2)</f>
        <v>0</v>
      </c>
      <c r="H179" s="134">
        <f t="shared" si="32"/>
        <v>0</v>
      </c>
      <c r="I179" s="130">
        <f>SUMIFS(XUẤT!R:R,XUẤT!N:N,CBCNV!B179,XUẤT!O:O,CBCNV!$I$2)</f>
        <v>0</v>
      </c>
      <c r="J179" s="135">
        <f t="shared" si="33"/>
        <v>0</v>
      </c>
      <c r="K179" s="130">
        <f>SUMIFS(XUẤT!S:S,XUẤT!N:N,CBCNV!B179,XUẤT!O:O,CBCNV!$K$2)</f>
        <v>0</v>
      </c>
      <c r="L179" s="135">
        <f t="shared" si="34"/>
        <v>0</v>
      </c>
      <c r="M179" s="130">
        <f>SUMIFS(XUẤT!T:T,XUẤT!N:N,CBCNV!B179,XUẤT!O:O,CBCNV!$M$2)</f>
        <v>0</v>
      </c>
      <c r="N179" s="135">
        <f t="shared" si="35"/>
        <v>0</v>
      </c>
      <c r="O179" s="130">
        <f>SUMIFS(XUẤT!U:U,XUẤT!N:N,CBCNV!B179,XUẤT!O:O,CBCNV!$O$2)</f>
        <v>0</v>
      </c>
      <c r="P179" s="135">
        <f t="shared" si="36"/>
        <v>0</v>
      </c>
      <c r="Q179" s="32"/>
      <c r="R179" s="18"/>
    </row>
    <row r="180" spans="1:18" s="136" customFormat="1" x14ac:dyDescent="0.3">
      <c r="A180" s="133">
        <v>173</v>
      </c>
      <c r="B180" s="10" t="s">
        <v>268</v>
      </c>
      <c r="C180" s="36" t="s">
        <v>262</v>
      </c>
      <c r="D180" s="36" t="s">
        <v>257</v>
      </c>
      <c r="E180" s="130">
        <f>SUMIFS(XUẤT!P:P,XUẤT!N:N,CBCNV!B180,XUẤT!O:O,CBCNV!$E$2)</f>
        <v>0</v>
      </c>
      <c r="F180" s="135">
        <f t="shared" si="31"/>
        <v>0</v>
      </c>
      <c r="G180" s="130">
        <f>SUMIFS(XUẤT!Q:Q,XUẤT!N:N,CBCNV!B180,XUẤT!O:O,CBCNV!$G$2)</f>
        <v>0</v>
      </c>
      <c r="H180" s="134">
        <f t="shared" si="32"/>
        <v>0</v>
      </c>
      <c r="I180" s="130">
        <f>SUMIFS(XUẤT!R:R,XUẤT!N:N,CBCNV!B180,XUẤT!O:O,CBCNV!$I$2)</f>
        <v>0</v>
      </c>
      <c r="J180" s="135">
        <f t="shared" si="33"/>
        <v>0</v>
      </c>
      <c r="K180" s="130">
        <f>SUMIFS(XUẤT!S:S,XUẤT!N:N,CBCNV!B180,XUẤT!O:O,CBCNV!$K$2)</f>
        <v>0</v>
      </c>
      <c r="L180" s="135">
        <f t="shared" si="34"/>
        <v>0</v>
      </c>
      <c r="M180" s="130">
        <f>SUMIFS(XUẤT!T:T,XUẤT!N:N,CBCNV!B180,XUẤT!O:O,CBCNV!$M$2)</f>
        <v>0</v>
      </c>
      <c r="N180" s="135">
        <f t="shared" si="35"/>
        <v>0</v>
      </c>
      <c r="O180" s="130">
        <f>SUMIFS(XUẤT!U:U,XUẤT!N:N,CBCNV!B180,XUẤT!O:O,CBCNV!$O$2)</f>
        <v>0</v>
      </c>
      <c r="P180" s="135">
        <f t="shared" si="36"/>
        <v>0</v>
      </c>
      <c r="Q180" s="32"/>
      <c r="R180" s="18"/>
    </row>
    <row r="181" spans="1:18" s="136" customFormat="1" x14ac:dyDescent="0.3">
      <c r="A181" s="133">
        <v>174</v>
      </c>
      <c r="B181" s="10" t="s">
        <v>269</v>
      </c>
      <c r="C181" s="36" t="s">
        <v>270</v>
      </c>
      <c r="D181" s="36" t="s">
        <v>257</v>
      </c>
      <c r="E181" s="130">
        <f>SUMIFS(XUẤT!P:P,XUẤT!N:N,CBCNV!B181,XUẤT!O:O,CBCNV!$E$2)</f>
        <v>0</v>
      </c>
      <c r="F181" s="135">
        <f t="shared" si="31"/>
        <v>0</v>
      </c>
      <c r="G181" s="130">
        <f>SUMIFS(XUẤT!Q:Q,XUẤT!N:N,CBCNV!B181,XUẤT!O:O,CBCNV!$G$2)</f>
        <v>0</v>
      </c>
      <c r="H181" s="134">
        <f t="shared" si="32"/>
        <v>0</v>
      </c>
      <c r="I181" s="130">
        <f>SUMIFS(XUẤT!R:R,XUẤT!N:N,CBCNV!B181,XUẤT!O:O,CBCNV!$I$2)</f>
        <v>0</v>
      </c>
      <c r="J181" s="135">
        <f t="shared" si="33"/>
        <v>0</v>
      </c>
      <c r="K181" s="130">
        <f>SUMIFS(XUẤT!S:S,XUẤT!N:N,CBCNV!B181,XUẤT!O:O,CBCNV!$K$2)</f>
        <v>0</v>
      </c>
      <c r="L181" s="135">
        <f t="shared" si="34"/>
        <v>0</v>
      </c>
      <c r="M181" s="130">
        <f>SUMIFS(XUẤT!T:T,XUẤT!N:N,CBCNV!B181,XUẤT!O:O,CBCNV!$M$2)</f>
        <v>0</v>
      </c>
      <c r="N181" s="135">
        <f t="shared" si="35"/>
        <v>0</v>
      </c>
      <c r="O181" s="130">
        <f>SUMIFS(XUẤT!U:U,XUẤT!N:N,CBCNV!B181,XUẤT!O:O,CBCNV!$O$2)</f>
        <v>0</v>
      </c>
      <c r="P181" s="135">
        <f t="shared" si="36"/>
        <v>0</v>
      </c>
      <c r="Q181" s="32"/>
      <c r="R181" s="18"/>
    </row>
    <row r="182" spans="1:18" s="136" customFormat="1" x14ac:dyDescent="0.3">
      <c r="A182" s="133">
        <v>175</v>
      </c>
      <c r="B182" s="10" t="s">
        <v>271</v>
      </c>
      <c r="C182" s="36" t="s">
        <v>270</v>
      </c>
      <c r="D182" s="36" t="s">
        <v>257</v>
      </c>
      <c r="E182" s="130">
        <f>SUMIFS(XUẤT!P:P,XUẤT!N:N,CBCNV!B182,XUẤT!O:O,CBCNV!$E$2)</f>
        <v>0</v>
      </c>
      <c r="F182" s="135">
        <f t="shared" si="31"/>
        <v>0</v>
      </c>
      <c r="G182" s="130">
        <f>SUMIFS(XUẤT!Q:Q,XUẤT!N:N,CBCNV!B182,XUẤT!O:O,CBCNV!$G$2)</f>
        <v>0</v>
      </c>
      <c r="H182" s="134">
        <f t="shared" si="32"/>
        <v>0</v>
      </c>
      <c r="I182" s="130">
        <f>SUMIFS(XUẤT!R:R,XUẤT!N:N,CBCNV!B182,XUẤT!O:O,CBCNV!$I$2)</f>
        <v>0</v>
      </c>
      <c r="J182" s="135">
        <f t="shared" si="33"/>
        <v>0</v>
      </c>
      <c r="K182" s="130">
        <f>SUMIFS(XUẤT!S:S,XUẤT!N:N,CBCNV!B182,XUẤT!O:O,CBCNV!$K$2)</f>
        <v>0</v>
      </c>
      <c r="L182" s="135">
        <f t="shared" si="34"/>
        <v>0</v>
      </c>
      <c r="M182" s="130">
        <f>SUMIFS(XUẤT!T:T,XUẤT!N:N,CBCNV!B182,XUẤT!O:O,CBCNV!$M$2)</f>
        <v>0</v>
      </c>
      <c r="N182" s="135">
        <f t="shared" si="35"/>
        <v>0</v>
      </c>
      <c r="O182" s="130">
        <f>SUMIFS(XUẤT!U:U,XUẤT!N:N,CBCNV!B182,XUẤT!O:O,CBCNV!$O$2)</f>
        <v>0</v>
      </c>
      <c r="P182" s="135">
        <f t="shared" si="36"/>
        <v>0</v>
      </c>
      <c r="Q182" s="32"/>
      <c r="R182" s="18"/>
    </row>
    <row r="183" spans="1:18" s="136" customFormat="1" x14ac:dyDescent="0.3">
      <c r="A183" s="133">
        <v>176</v>
      </c>
      <c r="B183" s="10" t="s">
        <v>37</v>
      </c>
      <c r="C183" s="133" t="s">
        <v>270</v>
      </c>
      <c r="D183" s="133" t="s">
        <v>257</v>
      </c>
      <c r="E183" s="130">
        <f>SUMIFS(XUẤT!P:P,XUẤT!N:N,CBCNV!B183,XUẤT!O:O,CBCNV!$E$2)</f>
        <v>0</v>
      </c>
      <c r="F183" s="135">
        <f t="shared" si="31"/>
        <v>0</v>
      </c>
      <c r="G183" s="130">
        <f>SUMIFS(XUẤT!Q:Q,XUẤT!N:N,CBCNV!B183,XUẤT!O:O,CBCNV!$G$2)</f>
        <v>0</v>
      </c>
      <c r="H183" s="134">
        <f t="shared" si="32"/>
        <v>0</v>
      </c>
      <c r="I183" s="130">
        <f>SUMIFS(XUẤT!R:R,XUẤT!N:N,CBCNV!B183,XUẤT!O:O,CBCNV!$I$2)</f>
        <v>0</v>
      </c>
      <c r="J183" s="135">
        <f t="shared" si="33"/>
        <v>0</v>
      </c>
      <c r="K183" s="130">
        <f>SUMIFS(XUẤT!S:S,XUẤT!N:N,CBCNV!B183,XUẤT!O:O,CBCNV!$K$2)</f>
        <v>0</v>
      </c>
      <c r="L183" s="135">
        <f t="shared" si="34"/>
        <v>0</v>
      </c>
      <c r="M183" s="130">
        <f>SUMIFS(XUẤT!T:T,XUẤT!N:N,CBCNV!B183,XUẤT!O:O,CBCNV!$M$2)</f>
        <v>3</v>
      </c>
      <c r="N183" s="135">
        <f t="shared" si="35"/>
        <v>156000</v>
      </c>
      <c r="O183" s="130">
        <f>SUMIFS(XUẤT!U:U,XUẤT!N:N,CBCNV!B183,XUẤT!O:O,CBCNV!$O$2)</f>
        <v>0</v>
      </c>
      <c r="P183" s="135">
        <f t="shared" si="36"/>
        <v>0</v>
      </c>
      <c r="Q183" s="32"/>
      <c r="R183" s="18"/>
    </row>
    <row r="184" spans="1:18" s="136" customFormat="1" x14ac:dyDescent="0.3">
      <c r="A184" s="133">
        <v>177</v>
      </c>
      <c r="B184" s="10" t="s">
        <v>272</v>
      </c>
      <c r="C184" s="133" t="s">
        <v>270</v>
      </c>
      <c r="D184" s="133" t="s">
        <v>257</v>
      </c>
      <c r="E184" s="130">
        <f>SUMIFS(XUẤT!P:P,XUẤT!N:N,CBCNV!B184,XUẤT!O:O,CBCNV!$E$2)</f>
        <v>0</v>
      </c>
      <c r="F184" s="135">
        <f t="shared" si="31"/>
        <v>0</v>
      </c>
      <c r="G184" s="130">
        <f>SUMIFS(XUẤT!Q:Q,XUẤT!N:N,CBCNV!B184,XUẤT!O:O,CBCNV!$G$2)</f>
        <v>0</v>
      </c>
      <c r="H184" s="134">
        <f t="shared" si="32"/>
        <v>0</v>
      </c>
      <c r="I184" s="130">
        <f>SUMIFS(XUẤT!R:R,XUẤT!N:N,CBCNV!B184,XUẤT!O:O,CBCNV!$I$2)</f>
        <v>0</v>
      </c>
      <c r="J184" s="135">
        <f t="shared" si="33"/>
        <v>0</v>
      </c>
      <c r="K184" s="130">
        <f>SUMIFS(XUẤT!S:S,XUẤT!N:N,CBCNV!B184,XUẤT!O:O,CBCNV!$K$2)</f>
        <v>0</v>
      </c>
      <c r="L184" s="135">
        <f t="shared" si="34"/>
        <v>0</v>
      </c>
      <c r="M184" s="130">
        <f>SUMIFS(XUẤT!T:T,XUẤT!N:N,CBCNV!B184,XUẤT!O:O,CBCNV!$M$2)</f>
        <v>0</v>
      </c>
      <c r="N184" s="135">
        <f t="shared" si="35"/>
        <v>0</v>
      </c>
      <c r="O184" s="130">
        <f>SUMIFS(XUẤT!U:U,XUẤT!N:N,CBCNV!B184,XUẤT!O:O,CBCNV!$O$2)</f>
        <v>0</v>
      </c>
      <c r="P184" s="135">
        <f t="shared" si="36"/>
        <v>0</v>
      </c>
      <c r="Q184" s="32"/>
      <c r="R184" s="18"/>
    </row>
    <row r="185" spans="1:18" s="136" customFormat="1" x14ac:dyDescent="0.3">
      <c r="A185" s="133">
        <v>178</v>
      </c>
      <c r="B185" s="10" t="s">
        <v>273</v>
      </c>
      <c r="C185" s="133" t="s">
        <v>270</v>
      </c>
      <c r="D185" s="133" t="s">
        <v>257</v>
      </c>
      <c r="E185" s="130">
        <f>SUMIFS(XUẤT!P:P,XUẤT!N:N,CBCNV!B185,XUẤT!O:O,CBCNV!$E$2)</f>
        <v>0</v>
      </c>
      <c r="F185" s="135">
        <f t="shared" si="31"/>
        <v>0</v>
      </c>
      <c r="G185" s="130">
        <f>SUMIFS(XUẤT!Q:Q,XUẤT!N:N,CBCNV!B185,XUẤT!O:O,CBCNV!$G$2)</f>
        <v>0</v>
      </c>
      <c r="H185" s="134">
        <f t="shared" si="32"/>
        <v>0</v>
      </c>
      <c r="I185" s="130">
        <f>SUMIFS(XUẤT!R:R,XUẤT!N:N,CBCNV!B185,XUẤT!O:O,CBCNV!$I$2)</f>
        <v>0</v>
      </c>
      <c r="J185" s="135">
        <f t="shared" si="33"/>
        <v>0</v>
      </c>
      <c r="K185" s="130">
        <f>SUMIFS(XUẤT!S:S,XUẤT!N:N,CBCNV!B185,XUẤT!O:O,CBCNV!$K$2)</f>
        <v>0</v>
      </c>
      <c r="L185" s="135">
        <f t="shared" si="34"/>
        <v>0</v>
      </c>
      <c r="M185" s="130">
        <f>SUMIFS(XUẤT!T:T,XUẤT!N:N,CBCNV!B185,XUẤT!O:O,CBCNV!$M$2)</f>
        <v>0</v>
      </c>
      <c r="N185" s="135">
        <f t="shared" si="35"/>
        <v>0</v>
      </c>
      <c r="O185" s="130">
        <f>SUMIFS(XUẤT!U:U,XUẤT!N:N,CBCNV!B185,XUẤT!O:O,CBCNV!$O$2)</f>
        <v>0</v>
      </c>
      <c r="P185" s="135">
        <f t="shared" si="36"/>
        <v>0</v>
      </c>
      <c r="Q185" s="32"/>
      <c r="R185" s="18"/>
    </row>
    <row r="186" spans="1:18" s="136" customFormat="1" x14ac:dyDescent="0.3">
      <c r="A186" s="133">
        <v>179</v>
      </c>
      <c r="B186" s="10" t="s">
        <v>274</v>
      </c>
      <c r="C186" s="36" t="s">
        <v>148</v>
      </c>
      <c r="D186" s="36" t="s">
        <v>257</v>
      </c>
      <c r="E186" s="130">
        <f>SUMIFS(XUẤT!P:P,XUẤT!N:N,CBCNV!B186,XUẤT!O:O,CBCNV!$E$2)</f>
        <v>0</v>
      </c>
      <c r="F186" s="135">
        <f t="shared" si="31"/>
        <v>0</v>
      </c>
      <c r="G186" s="130">
        <f>SUMIFS(XUẤT!Q:Q,XUẤT!N:N,CBCNV!B186,XUẤT!O:O,CBCNV!$G$2)</f>
        <v>0</v>
      </c>
      <c r="H186" s="134">
        <f t="shared" si="32"/>
        <v>0</v>
      </c>
      <c r="I186" s="130">
        <f>SUMIFS(XUẤT!R:R,XUẤT!N:N,CBCNV!B186,XUẤT!O:O,CBCNV!$I$2)</f>
        <v>0</v>
      </c>
      <c r="J186" s="135">
        <f t="shared" si="33"/>
        <v>0</v>
      </c>
      <c r="K186" s="130">
        <f>SUMIFS(XUẤT!S:S,XUẤT!N:N,CBCNV!B186,XUẤT!O:O,CBCNV!$K$2)</f>
        <v>0</v>
      </c>
      <c r="L186" s="135">
        <f t="shared" si="34"/>
        <v>0</v>
      </c>
      <c r="M186" s="130">
        <f>SUMIFS(XUẤT!T:T,XUẤT!N:N,CBCNV!B186,XUẤT!O:O,CBCNV!$M$2)</f>
        <v>0</v>
      </c>
      <c r="N186" s="135">
        <f t="shared" si="35"/>
        <v>0</v>
      </c>
      <c r="O186" s="130">
        <f>SUMIFS(XUẤT!U:U,XUẤT!N:N,CBCNV!B186,XUẤT!O:O,CBCNV!$O$2)</f>
        <v>0</v>
      </c>
      <c r="P186" s="135">
        <f t="shared" si="36"/>
        <v>0</v>
      </c>
      <c r="Q186" s="32"/>
      <c r="R186" s="18"/>
    </row>
    <row r="187" spans="1:18" s="136" customFormat="1" x14ac:dyDescent="0.3">
      <c r="A187" s="133">
        <v>180</v>
      </c>
      <c r="B187" s="10" t="s">
        <v>275</v>
      </c>
      <c r="C187" s="36" t="s">
        <v>148</v>
      </c>
      <c r="D187" s="36" t="s">
        <v>257</v>
      </c>
      <c r="E187" s="130">
        <f>SUMIFS(XUẤT!P:P,XUẤT!N:N,CBCNV!B187,XUẤT!O:O,CBCNV!$E$2)</f>
        <v>0</v>
      </c>
      <c r="F187" s="135">
        <f t="shared" si="31"/>
        <v>0</v>
      </c>
      <c r="G187" s="130">
        <f>SUMIFS(XUẤT!Q:Q,XUẤT!N:N,CBCNV!B187,XUẤT!O:O,CBCNV!$G$2)</f>
        <v>0</v>
      </c>
      <c r="H187" s="134">
        <f t="shared" si="32"/>
        <v>0</v>
      </c>
      <c r="I187" s="130">
        <f>SUMIFS(XUẤT!R:R,XUẤT!N:N,CBCNV!B187,XUẤT!O:O,CBCNV!$I$2)</f>
        <v>0</v>
      </c>
      <c r="J187" s="135">
        <f t="shared" si="33"/>
        <v>0</v>
      </c>
      <c r="K187" s="130">
        <f>SUMIFS(XUẤT!S:S,XUẤT!N:N,CBCNV!B187,XUẤT!O:O,CBCNV!$K$2)</f>
        <v>0</v>
      </c>
      <c r="L187" s="135">
        <f t="shared" si="34"/>
        <v>0</v>
      </c>
      <c r="M187" s="130">
        <f>SUMIFS(XUẤT!T:T,XUẤT!N:N,CBCNV!B187,XUẤT!O:O,CBCNV!$M$2)</f>
        <v>0</v>
      </c>
      <c r="N187" s="135">
        <f t="shared" si="35"/>
        <v>0</v>
      </c>
      <c r="O187" s="130">
        <f>SUMIFS(XUẤT!U:U,XUẤT!N:N,CBCNV!B187,XUẤT!O:O,CBCNV!$O$2)</f>
        <v>0</v>
      </c>
      <c r="P187" s="135">
        <f t="shared" si="36"/>
        <v>0</v>
      </c>
      <c r="Q187" s="32"/>
      <c r="R187" s="18"/>
    </row>
    <row r="188" spans="1:18" s="136" customFormat="1" x14ac:dyDescent="0.3">
      <c r="A188" s="133">
        <v>181</v>
      </c>
      <c r="B188" s="138" t="s">
        <v>276</v>
      </c>
      <c r="C188" s="36" t="s">
        <v>148</v>
      </c>
      <c r="D188" s="133" t="s">
        <v>257</v>
      </c>
      <c r="E188" s="130">
        <f>SUMIFS(XUẤT!P:P,XUẤT!N:N,CBCNV!B188,XUẤT!O:O,CBCNV!$E$2)</f>
        <v>0</v>
      </c>
      <c r="F188" s="135">
        <f t="shared" si="31"/>
        <v>0</v>
      </c>
      <c r="G188" s="130">
        <f>SUMIFS(XUẤT!Q:Q,XUẤT!N:N,CBCNV!B188,XUẤT!O:O,CBCNV!$G$2)</f>
        <v>0</v>
      </c>
      <c r="H188" s="134">
        <f t="shared" si="32"/>
        <v>0</v>
      </c>
      <c r="I188" s="130">
        <f>SUMIFS(XUẤT!R:R,XUẤT!N:N,CBCNV!B188,XUẤT!O:O,CBCNV!$I$2)</f>
        <v>0</v>
      </c>
      <c r="J188" s="135">
        <f t="shared" si="33"/>
        <v>0</v>
      </c>
      <c r="K188" s="130">
        <f>SUMIFS(XUẤT!S:S,XUẤT!N:N,CBCNV!B188,XUẤT!O:O,CBCNV!$K$2)</f>
        <v>0</v>
      </c>
      <c r="L188" s="135">
        <f t="shared" si="34"/>
        <v>0</v>
      </c>
      <c r="M188" s="130">
        <f>SUMIFS(XUẤT!T:T,XUẤT!N:N,CBCNV!B188,XUẤT!O:O,CBCNV!$M$2)</f>
        <v>0</v>
      </c>
      <c r="N188" s="135">
        <f t="shared" si="35"/>
        <v>0</v>
      </c>
      <c r="O188" s="130">
        <f>SUMIFS(XUẤT!U:U,XUẤT!N:N,CBCNV!B188,XUẤT!O:O,CBCNV!$O$2)</f>
        <v>0</v>
      </c>
      <c r="P188" s="135">
        <f t="shared" si="36"/>
        <v>0</v>
      </c>
      <c r="Q188" s="32"/>
      <c r="R188" s="18"/>
    </row>
    <row r="189" spans="1:18" s="136" customFormat="1" x14ac:dyDescent="0.3">
      <c r="A189" s="133">
        <v>182</v>
      </c>
      <c r="B189" s="10" t="s">
        <v>277</v>
      </c>
      <c r="C189" s="36" t="s">
        <v>148</v>
      </c>
      <c r="D189" s="133" t="s">
        <v>257</v>
      </c>
      <c r="E189" s="130">
        <f>SUMIFS(XUẤT!P:P,XUẤT!N:N,CBCNV!B189,XUẤT!O:O,CBCNV!$E$2)</f>
        <v>0</v>
      </c>
      <c r="F189" s="135">
        <f t="shared" si="31"/>
        <v>0</v>
      </c>
      <c r="G189" s="130">
        <f>SUMIFS(XUẤT!Q:Q,XUẤT!N:N,CBCNV!B189,XUẤT!O:O,CBCNV!$G$2)</f>
        <v>0</v>
      </c>
      <c r="H189" s="134">
        <f t="shared" si="32"/>
        <v>0</v>
      </c>
      <c r="I189" s="130">
        <f>SUMIFS(XUẤT!R:R,XUẤT!N:N,CBCNV!B189,XUẤT!O:O,CBCNV!$I$2)</f>
        <v>0</v>
      </c>
      <c r="J189" s="135">
        <f t="shared" si="33"/>
        <v>0</v>
      </c>
      <c r="K189" s="130">
        <f>SUMIFS(XUẤT!S:S,XUẤT!N:N,CBCNV!B189,XUẤT!O:O,CBCNV!$K$2)</f>
        <v>0</v>
      </c>
      <c r="L189" s="135">
        <f t="shared" si="34"/>
        <v>0</v>
      </c>
      <c r="M189" s="130">
        <f>SUMIFS(XUẤT!T:T,XUẤT!N:N,CBCNV!B189,XUẤT!O:O,CBCNV!$M$2)</f>
        <v>0</v>
      </c>
      <c r="N189" s="135">
        <f t="shared" si="35"/>
        <v>0</v>
      </c>
      <c r="O189" s="130">
        <f>SUMIFS(XUẤT!U:U,XUẤT!N:N,CBCNV!B189,XUẤT!O:O,CBCNV!$O$2)</f>
        <v>0</v>
      </c>
      <c r="P189" s="135">
        <f t="shared" si="36"/>
        <v>0</v>
      </c>
      <c r="Q189" s="32"/>
      <c r="R189" s="18"/>
    </row>
    <row r="190" spans="1:18" s="136" customFormat="1" x14ac:dyDescent="0.3">
      <c r="A190" s="133">
        <v>183</v>
      </c>
      <c r="B190" s="10" t="s">
        <v>278</v>
      </c>
      <c r="C190" s="36" t="s">
        <v>148</v>
      </c>
      <c r="D190" s="133" t="s">
        <v>257</v>
      </c>
      <c r="E190" s="130">
        <f>SUMIFS(XUẤT!P:P,XUẤT!N:N,CBCNV!B190,XUẤT!O:O,CBCNV!$E$2)</f>
        <v>0</v>
      </c>
      <c r="F190" s="135">
        <f t="shared" si="31"/>
        <v>0</v>
      </c>
      <c r="G190" s="130">
        <f>SUMIFS(XUẤT!Q:Q,XUẤT!N:N,CBCNV!B190,XUẤT!O:O,CBCNV!$G$2)</f>
        <v>0</v>
      </c>
      <c r="H190" s="134">
        <f t="shared" si="32"/>
        <v>0</v>
      </c>
      <c r="I190" s="130">
        <f>SUMIFS(XUẤT!R:R,XUẤT!N:N,CBCNV!B190,XUẤT!O:O,CBCNV!$I$2)</f>
        <v>0</v>
      </c>
      <c r="J190" s="135">
        <f t="shared" si="33"/>
        <v>0</v>
      </c>
      <c r="K190" s="130">
        <f>SUMIFS(XUẤT!S:S,XUẤT!N:N,CBCNV!B190,XUẤT!O:O,CBCNV!$K$2)</f>
        <v>0</v>
      </c>
      <c r="L190" s="135">
        <f t="shared" si="34"/>
        <v>0</v>
      </c>
      <c r="M190" s="130">
        <f>SUMIFS(XUẤT!T:T,XUẤT!N:N,CBCNV!B190,XUẤT!O:O,CBCNV!$M$2)</f>
        <v>0</v>
      </c>
      <c r="N190" s="135">
        <f t="shared" si="35"/>
        <v>0</v>
      </c>
      <c r="O190" s="130">
        <f>SUMIFS(XUẤT!U:U,XUẤT!N:N,CBCNV!B190,XUẤT!O:O,CBCNV!$O$2)</f>
        <v>0</v>
      </c>
      <c r="P190" s="135">
        <f t="shared" si="36"/>
        <v>0</v>
      </c>
      <c r="Q190" s="32"/>
      <c r="R190" s="18"/>
    </row>
    <row r="191" spans="1:18" s="136" customFormat="1" x14ac:dyDescent="0.3">
      <c r="A191" s="133">
        <v>184</v>
      </c>
      <c r="B191" s="10" t="s">
        <v>279</v>
      </c>
      <c r="C191" s="133" t="s">
        <v>148</v>
      </c>
      <c r="D191" s="133" t="s">
        <v>257</v>
      </c>
      <c r="E191" s="130">
        <f>SUMIFS(XUẤT!P:P,XUẤT!N:N,CBCNV!B191,XUẤT!O:O,CBCNV!$E$2)</f>
        <v>0</v>
      </c>
      <c r="F191" s="135">
        <f t="shared" si="31"/>
        <v>0</v>
      </c>
      <c r="G191" s="130">
        <f>SUMIFS(XUẤT!Q:Q,XUẤT!N:N,CBCNV!B191,XUẤT!O:O,CBCNV!$G$2)</f>
        <v>0</v>
      </c>
      <c r="H191" s="134">
        <f t="shared" si="32"/>
        <v>0</v>
      </c>
      <c r="I191" s="130">
        <f>SUMIFS(XUẤT!R:R,XUẤT!N:N,CBCNV!B191,XUẤT!O:O,CBCNV!$I$2)</f>
        <v>0</v>
      </c>
      <c r="J191" s="135">
        <f t="shared" si="33"/>
        <v>0</v>
      </c>
      <c r="K191" s="130">
        <f>SUMIFS(XUẤT!S:S,XUẤT!N:N,CBCNV!B191,XUẤT!O:O,CBCNV!$K$2)</f>
        <v>0</v>
      </c>
      <c r="L191" s="135">
        <f t="shared" si="34"/>
        <v>0</v>
      </c>
      <c r="M191" s="130">
        <f>SUMIFS(XUẤT!T:T,XUẤT!N:N,CBCNV!B191,XUẤT!O:O,CBCNV!$M$2)</f>
        <v>0</v>
      </c>
      <c r="N191" s="135">
        <f t="shared" si="35"/>
        <v>0</v>
      </c>
      <c r="O191" s="130">
        <f>SUMIFS(XUẤT!U:U,XUẤT!N:N,CBCNV!B191,XUẤT!O:O,CBCNV!$O$2)</f>
        <v>0</v>
      </c>
      <c r="P191" s="135">
        <f t="shared" si="36"/>
        <v>0</v>
      </c>
      <c r="Q191" s="32"/>
      <c r="R191" s="18"/>
    </row>
    <row r="192" spans="1:18" s="136" customFormat="1" x14ac:dyDescent="0.3">
      <c r="A192" s="133">
        <v>185</v>
      </c>
      <c r="B192" s="10" t="s">
        <v>280</v>
      </c>
      <c r="C192" s="133" t="s">
        <v>148</v>
      </c>
      <c r="D192" s="133" t="s">
        <v>257</v>
      </c>
      <c r="E192" s="130">
        <f>SUMIFS(XUẤT!P:P,XUẤT!N:N,CBCNV!B192,XUẤT!O:O,CBCNV!$E$2)</f>
        <v>0</v>
      </c>
      <c r="F192" s="135">
        <f t="shared" si="31"/>
        <v>0</v>
      </c>
      <c r="G192" s="130">
        <f>SUMIFS(XUẤT!Q:Q,XUẤT!N:N,CBCNV!B192,XUẤT!O:O,CBCNV!$G$2)</f>
        <v>0</v>
      </c>
      <c r="H192" s="134">
        <f t="shared" si="32"/>
        <v>0</v>
      </c>
      <c r="I192" s="130">
        <f>SUMIFS(XUẤT!R:R,XUẤT!N:N,CBCNV!B192,XUẤT!O:O,CBCNV!$I$2)</f>
        <v>0</v>
      </c>
      <c r="J192" s="135">
        <f t="shared" si="33"/>
        <v>0</v>
      </c>
      <c r="K192" s="130">
        <f>SUMIFS(XUẤT!S:S,XUẤT!N:N,CBCNV!B192,XUẤT!O:O,CBCNV!$K$2)</f>
        <v>0</v>
      </c>
      <c r="L192" s="135">
        <f t="shared" si="34"/>
        <v>0</v>
      </c>
      <c r="M192" s="130">
        <f>SUMIFS(XUẤT!T:T,XUẤT!N:N,CBCNV!B192,XUẤT!O:O,CBCNV!$M$2)</f>
        <v>0</v>
      </c>
      <c r="N192" s="135">
        <f t="shared" si="35"/>
        <v>0</v>
      </c>
      <c r="O192" s="130">
        <f>SUMIFS(XUẤT!U:U,XUẤT!N:N,CBCNV!B192,XUẤT!O:O,CBCNV!$O$2)</f>
        <v>0</v>
      </c>
      <c r="P192" s="135">
        <f t="shared" si="36"/>
        <v>0</v>
      </c>
      <c r="Q192" s="32"/>
      <c r="R192" s="18"/>
    </row>
    <row r="193" spans="1:18" s="136" customFormat="1" x14ac:dyDescent="0.3">
      <c r="A193" s="133">
        <v>186</v>
      </c>
      <c r="B193" s="10" t="s">
        <v>281</v>
      </c>
      <c r="C193" s="133" t="s">
        <v>148</v>
      </c>
      <c r="D193" s="133" t="s">
        <v>257</v>
      </c>
      <c r="E193" s="130">
        <f>SUMIFS(XUẤT!P:P,XUẤT!N:N,CBCNV!B193,XUẤT!O:O,CBCNV!$E$2)</f>
        <v>0</v>
      </c>
      <c r="F193" s="135">
        <f t="shared" si="31"/>
        <v>0</v>
      </c>
      <c r="G193" s="130">
        <f>SUMIFS(XUẤT!Q:Q,XUẤT!N:N,CBCNV!B193,XUẤT!O:O,CBCNV!$G$2)</f>
        <v>0</v>
      </c>
      <c r="H193" s="134">
        <f t="shared" si="32"/>
        <v>0</v>
      </c>
      <c r="I193" s="130">
        <f>SUMIFS(XUẤT!R:R,XUẤT!N:N,CBCNV!B193,XUẤT!O:O,CBCNV!$I$2)</f>
        <v>0</v>
      </c>
      <c r="J193" s="135">
        <f t="shared" si="33"/>
        <v>0</v>
      </c>
      <c r="K193" s="130">
        <f>SUMIFS(XUẤT!S:S,XUẤT!N:N,CBCNV!B193,XUẤT!O:O,CBCNV!$K$2)</f>
        <v>0</v>
      </c>
      <c r="L193" s="135">
        <f t="shared" si="34"/>
        <v>0</v>
      </c>
      <c r="M193" s="130">
        <f>SUMIFS(XUẤT!T:T,XUẤT!N:N,CBCNV!B193,XUẤT!O:O,CBCNV!$M$2)</f>
        <v>0</v>
      </c>
      <c r="N193" s="135">
        <f t="shared" si="35"/>
        <v>0</v>
      </c>
      <c r="O193" s="130">
        <f>SUMIFS(XUẤT!U:U,XUẤT!N:N,CBCNV!B193,XUẤT!O:O,CBCNV!$O$2)</f>
        <v>0</v>
      </c>
      <c r="P193" s="135">
        <f t="shared" si="36"/>
        <v>0</v>
      </c>
      <c r="Q193" s="32"/>
      <c r="R193" s="18"/>
    </row>
    <row r="194" spans="1:18" s="136" customFormat="1" x14ac:dyDescent="0.3">
      <c r="A194" s="133">
        <v>187</v>
      </c>
      <c r="B194" s="10" t="s">
        <v>282</v>
      </c>
      <c r="C194" s="133" t="s">
        <v>148</v>
      </c>
      <c r="D194" s="133" t="s">
        <v>257</v>
      </c>
      <c r="E194" s="130">
        <f>SUMIFS(XUẤT!P:P,XUẤT!N:N,CBCNV!B194,XUẤT!O:O,CBCNV!$E$2)</f>
        <v>0</v>
      </c>
      <c r="F194" s="135">
        <f t="shared" si="31"/>
        <v>0</v>
      </c>
      <c r="G194" s="130">
        <f>SUMIFS(XUẤT!Q:Q,XUẤT!N:N,CBCNV!B194,XUẤT!O:O,CBCNV!$G$2)</f>
        <v>0</v>
      </c>
      <c r="H194" s="134">
        <f t="shared" si="32"/>
        <v>0</v>
      </c>
      <c r="I194" s="130">
        <f>SUMIFS(XUẤT!R:R,XUẤT!N:N,CBCNV!B194,XUẤT!O:O,CBCNV!$I$2)</f>
        <v>0</v>
      </c>
      <c r="J194" s="135">
        <f t="shared" si="33"/>
        <v>0</v>
      </c>
      <c r="K194" s="130">
        <f>SUMIFS(XUẤT!S:S,XUẤT!N:N,CBCNV!B194,XUẤT!O:O,CBCNV!$K$2)</f>
        <v>0</v>
      </c>
      <c r="L194" s="135">
        <f t="shared" si="34"/>
        <v>0</v>
      </c>
      <c r="M194" s="130">
        <f>SUMIFS(XUẤT!T:T,XUẤT!N:N,CBCNV!B194,XUẤT!O:O,CBCNV!$M$2)</f>
        <v>0</v>
      </c>
      <c r="N194" s="135">
        <f t="shared" si="35"/>
        <v>0</v>
      </c>
      <c r="O194" s="130">
        <f>SUMIFS(XUẤT!U:U,XUẤT!N:N,CBCNV!B194,XUẤT!O:O,CBCNV!$O$2)</f>
        <v>0</v>
      </c>
      <c r="P194" s="135">
        <f t="shared" si="36"/>
        <v>0</v>
      </c>
      <c r="Q194" s="32"/>
      <c r="R194" s="18"/>
    </row>
    <row r="195" spans="1:18" s="136" customFormat="1" x14ac:dyDescent="0.3">
      <c r="A195" s="133">
        <v>188</v>
      </c>
      <c r="B195" s="10" t="s">
        <v>283</v>
      </c>
      <c r="C195" s="133" t="s">
        <v>148</v>
      </c>
      <c r="D195" s="133" t="s">
        <v>257</v>
      </c>
      <c r="E195" s="130">
        <f>SUMIFS(XUẤT!P:P,XUẤT!N:N,CBCNV!B195,XUẤT!O:O,CBCNV!$E$2)</f>
        <v>0</v>
      </c>
      <c r="F195" s="135">
        <f t="shared" si="31"/>
        <v>0</v>
      </c>
      <c r="G195" s="130">
        <f>SUMIFS(XUẤT!Q:Q,XUẤT!N:N,CBCNV!B195,XUẤT!O:O,CBCNV!$G$2)</f>
        <v>0</v>
      </c>
      <c r="H195" s="134">
        <f t="shared" si="32"/>
        <v>0</v>
      </c>
      <c r="I195" s="130">
        <f>SUMIFS(XUẤT!R:R,XUẤT!N:N,CBCNV!B195,XUẤT!O:O,CBCNV!$I$2)</f>
        <v>0</v>
      </c>
      <c r="J195" s="135">
        <f t="shared" si="33"/>
        <v>0</v>
      </c>
      <c r="K195" s="130">
        <f>SUMIFS(XUẤT!S:S,XUẤT!N:N,CBCNV!B195,XUẤT!O:O,CBCNV!$K$2)</f>
        <v>0</v>
      </c>
      <c r="L195" s="135">
        <f t="shared" si="34"/>
        <v>0</v>
      </c>
      <c r="M195" s="130">
        <f>SUMIFS(XUẤT!T:T,XUẤT!N:N,CBCNV!B195,XUẤT!O:O,CBCNV!$M$2)</f>
        <v>0</v>
      </c>
      <c r="N195" s="135">
        <f t="shared" si="35"/>
        <v>0</v>
      </c>
      <c r="O195" s="130">
        <f>SUMIFS(XUẤT!U:U,XUẤT!N:N,CBCNV!B195,XUẤT!O:O,CBCNV!$O$2)</f>
        <v>0</v>
      </c>
      <c r="P195" s="135">
        <f t="shared" si="36"/>
        <v>0</v>
      </c>
      <c r="Q195" s="32"/>
      <c r="R195" s="18"/>
    </row>
    <row r="196" spans="1:18" s="136" customFormat="1" x14ac:dyDescent="0.3">
      <c r="A196" s="133">
        <v>189</v>
      </c>
      <c r="B196" s="10" t="s">
        <v>284</v>
      </c>
      <c r="C196" s="36" t="s">
        <v>148</v>
      </c>
      <c r="D196" s="36" t="s">
        <v>257</v>
      </c>
      <c r="E196" s="130">
        <f>SUMIFS(XUẤT!P:P,XUẤT!N:N,CBCNV!B196,XUẤT!O:O,CBCNV!$E$2)</f>
        <v>0</v>
      </c>
      <c r="F196" s="135">
        <f t="shared" si="31"/>
        <v>0</v>
      </c>
      <c r="G196" s="130">
        <f>SUMIFS(XUẤT!Q:Q,XUẤT!N:N,CBCNV!B196,XUẤT!O:O,CBCNV!$G$2)</f>
        <v>0</v>
      </c>
      <c r="H196" s="134">
        <f t="shared" si="32"/>
        <v>0</v>
      </c>
      <c r="I196" s="130">
        <f>SUMIFS(XUẤT!R:R,XUẤT!N:N,CBCNV!B196,XUẤT!O:O,CBCNV!$I$2)</f>
        <v>0</v>
      </c>
      <c r="J196" s="135">
        <f t="shared" si="33"/>
        <v>0</v>
      </c>
      <c r="K196" s="130">
        <f>SUMIFS(XUẤT!S:S,XUẤT!N:N,CBCNV!B196,XUẤT!O:O,CBCNV!$K$2)</f>
        <v>0</v>
      </c>
      <c r="L196" s="135">
        <f t="shared" si="34"/>
        <v>0</v>
      </c>
      <c r="M196" s="130">
        <f>SUMIFS(XUẤT!T:T,XUẤT!N:N,CBCNV!B196,XUẤT!O:O,CBCNV!$M$2)</f>
        <v>0</v>
      </c>
      <c r="N196" s="135">
        <f t="shared" si="35"/>
        <v>0</v>
      </c>
      <c r="O196" s="130">
        <f>SUMIFS(XUẤT!U:U,XUẤT!N:N,CBCNV!B196,XUẤT!O:O,CBCNV!$O$2)</f>
        <v>0</v>
      </c>
      <c r="P196" s="135">
        <f t="shared" si="36"/>
        <v>0</v>
      </c>
      <c r="Q196" s="32"/>
      <c r="R196" s="18"/>
    </row>
    <row r="197" spans="1:18" s="136" customFormat="1" x14ac:dyDescent="0.3">
      <c r="A197" s="133">
        <v>190</v>
      </c>
      <c r="B197" s="10" t="s">
        <v>285</v>
      </c>
      <c r="C197" s="133" t="s">
        <v>286</v>
      </c>
      <c r="D197" s="133" t="s">
        <v>257</v>
      </c>
      <c r="E197" s="130">
        <f>SUMIFS(XUẤT!P:P,XUẤT!N:N,CBCNV!B197,XUẤT!O:O,CBCNV!$E$2)</f>
        <v>0</v>
      </c>
      <c r="F197" s="135">
        <f t="shared" si="31"/>
        <v>0</v>
      </c>
      <c r="G197" s="130">
        <f>SUMIFS(XUẤT!Q:Q,XUẤT!N:N,CBCNV!B197,XUẤT!O:O,CBCNV!$G$2)</f>
        <v>0</v>
      </c>
      <c r="H197" s="134">
        <f t="shared" si="32"/>
        <v>0</v>
      </c>
      <c r="I197" s="130">
        <f>SUMIFS(XUẤT!R:R,XUẤT!N:N,CBCNV!B197,XUẤT!O:O,CBCNV!$I$2)</f>
        <v>0</v>
      </c>
      <c r="J197" s="135">
        <f t="shared" si="33"/>
        <v>0</v>
      </c>
      <c r="K197" s="130">
        <f>SUMIFS(XUẤT!S:S,XUẤT!N:N,CBCNV!B197,XUẤT!O:O,CBCNV!$K$2)</f>
        <v>0</v>
      </c>
      <c r="L197" s="135">
        <f t="shared" si="34"/>
        <v>0</v>
      </c>
      <c r="M197" s="130">
        <f>SUMIFS(XUẤT!T:T,XUẤT!N:N,CBCNV!B197,XUẤT!O:O,CBCNV!$M$2)</f>
        <v>0</v>
      </c>
      <c r="N197" s="135">
        <f t="shared" si="35"/>
        <v>0</v>
      </c>
      <c r="O197" s="130">
        <f>SUMIFS(XUẤT!U:U,XUẤT!N:N,CBCNV!B197,XUẤT!O:O,CBCNV!$O$2)</f>
        <v>0</v>
      </c>
      <c r="P197" s="135">
        <f t="shared" si="36"/>
        <v>0</v>
      </c>
      <c r="Q197" s="32"/>
      <c r="R197" s="18"/>
    </row>
    <row r="198" spans="1:18" s="136" customFormat="1" x14ac:dyDescent="0.3">
      <c r="A198" s="133">
        <v>191</v>
      </c>
      <c r="B198" s="10" t="s">
        <v>287</v>
      </c>
      <c r="C198" s="133" t="s">
        <v>286</v>
      </c>
      <c r="D198" s="133" t="s">
        <v>257</v>
      </c>
      <c r="E198" s="130">
        <f>SUMIFS(XUẤT!P:P,XUẤT!N:N,CBCNV!B198,XUẤT!O:O,CBCNV!$E$2)</f>
        <v>0</v>
      </c>
      <c r="F198" s="135">
        <f t="shared" si="31"/>
        <v>0</v>
      </c>
      <c r="G198" s="130">
        <f>SUMIFS(XUẤT!Q:Q,XUẤT!N:N,CBCNV!B198,XUẤT!O:O,CBCNV!$G$2)</f>
        <v>0</v>
      </c>
      <c r="H198" s="134">
        <f t="shared" si="32"/>
        <v>0</v>
      </c>
      <c r="I198" s="130">
        <f>SUMIFS(XUẤT!R:R,XUẤT!N:N,CBCNV!B198,XUẤT!O:O,CBCNV!$I$2)</f>
        <v>0</v>
      </c>
      <c r="J198" s="135">
        <f t="shared" si="33"/>
        <v>0</v>
      </c>
      <c r="K198" s="130">
        <f>SUMIFS(XUẤT!S:S,XUẤT!N:N,CBCNV!B198,XUẤT!O:O,CBCNV!$K$2)</f>
        <v>0</v>
      </c>
      <c r="L198" s="135">
        <f t="shared" si="34"/>
        <v>0</v>
      </c>
      <c r="M198" s="130">
        <f>SUMIFS(XUẤT!T:T,XUẤT!N:N,CBCNV!B198,XUẤT!O:O,CBCNV!$M$2)</f>
        <v>0</v>
      </c>
      <c r="N198" s="135">
        <f t="shared" si="35"/>
        <v>0</v>
      </c>
      <c r="O198" s="130">
        <f>SUMIFS(XUẤT!U:U,XUẤT!N:N,CBCNV!B198,XUẤT!O:O,CBCNV!$O$2)</f>
        <v>0</v>
      </c>
      <c r="P198" s="135">
        <f t="shared" si="36"/>
        <v>0</v>
      </c>
      <c r="Q198" s="32"/>
      <c r="R198" s="18"/>
    </row>
    <row r="199" spans="1:18" s="136" customFormat="1" x14ac:dyDescent="0.3">
      <c r="A199" s="133">
        <v>192</v>
      </c>
      <c r="B199" s="10" t="s">
        <v>288</v>
      </c>
      <c r="C199" s="133" t="s">
        <v>167</v>
      </c>
      <c r="D199" s="133" t="s">
        <v>257</v>
      </c>
      <c r="E199" s="130">
        <f>SUMIFS(XUẤT!P:P,XUẤT!N:N,CBCNV!B199,XUẤT!O:O,CBCNV!$E$2)</f>
        <v>0</v>
      </c>
      <c r="F199" s="135">
        <f t="shared" ref="F199:F200" si="37">E199*$T$10</f>
        <v>0</v>
      </c>
      <c r="G199" s="130">
        <f>SUMIFS(XUẤT!Q:Q,XUẤT!N:N,CBCNV!B199,XUẤT!O:O,CBCNV!$G$2)</f>
        <v>0</v>
      </c>
      <c r="H199" s="134">
        <f t="shared" ref="H199:H200" si="38">G199*$T$8</f>
        <v>0</v>
      </c>
      <c r="I199" s="130">
        <f>SUMIFS(XUẤT!R:R,XUẤT!N:N,CBCNV!B199,XUẤT!O:O,CBCNV!$I$2)</f>
        <v>0</v>
      </c>
      <c r="J199" s="135">
        <f t="shared" ref="J199:J200" si="39">I199*$T$9</f>
        <v>0</v>
      </c>
      <c r="K199" s="130">
        <f>SUMIFS(XUẤT!S:S,XUẤT!N:N,CBCNV!B199,XUẤT!O:O,CBCNV!$K$2)</f>
        <v>0</v>
      </c>
      <c r="L199" s="135">
        <f t="shared" ref="L199:L200" si="40">K199*$T$11</f>
        <v>0</v>
      </c>
      <c r="M199" s="130">
        <f>SUMIFS(XUẤT!T:T,XUẤT!N:N,CBCNV!B199,XUẤT!O:O,CBCNV!$M$2)</f>
        <v>0</v>
      </c>
      <c r="N199" s="135">
        <f t="shared" ref="N199:N200" si="41">M199*$T$12</f>
        <v>0</v>
      </c>
      <c r="O199" s="130">
        <f>SUMIFS(XUẤT!U:U,XUẤT!N:N,CBCNV!B199,XUẤT!O:O,CBCNV!$O$2)</f>
        <v>0</v>
      </c>
      <c r="P199" s="135">
        <f t="shared" ref="P199:P200" si="42">O199*$T$13</f>
        <v>0</v>
      </c>
      <c r="Q199" s="32"/>
      <c r="R199" s="18"/>
    </row>
    <row r="200" spans="1:18" s="136" customFormat="1" x14ac:dyDescent="0.3">
      <c r="A200" s="139">
        <v>193</v>
      </c>
      <c r="B200" s="37" t="s">
        <v>289</v>
      </c>
      <c r="C200" s="139" t="s">
        <v>167</v>
      </c>
      <c r="D200" s="139" t="s">
        <v>257</v>
      </c>
      <c r="E200" s="130">
        <f>SUMIFS(XUẤT!P:P,XUẤT!N:N,CBCNV!B200,XUẤT!O:O,CBCNV!$E$2)</f>
        <v>0</v>
      </c>
      <c r="F200" s="141">
        <f t="shared" si="37"/>
        <v>0</v>
      </c>
      <c r="G200" s="130">
        <f>SUMIFS(XUẤT!Q:Q,XUẤT!N:N,CBCNV!B200,XUẤT!O:O,CBCNV!$G$2)</f>
        <v>0</v>
      </c>
      <c r="H200" s="140">
        <f t="shared" si="38"/>
        <v>0</v>
      </c>
      <c r="I200" s="130">
        <f>SUMIFS(XUẤT!R:R,XUẤT!N:N,CBCNV!B200,XUẤT!O:O,CBCNV!$I$2)</f>
        <v>0</v>
      </c>
      <c r="J200" s="141">
        <f t="shared" si="39"/>
        <v>0</v>
      </c>
      <c r="K200" s="130">
        <f>SUMIFS(XUẤT!S:S,XUẤT!N:N,CBCNV!B200,XUẤT!O:O,CBCNV!$K$2)</f>
        <v>0</v>
      </c>
      <c r="L200" s="141">
        <f t="shared" si="40"/>
        <v>0</v>
      </c>
      <c r="M200" s="130">
        <f>SUMIFS(XUẤT!T:T,XUẤT!N:N,CBCNV!B200,XUẤT!O:O,CBCNV!$M$2)</f>
        <v>0</v>
      </c>
      <c r="N200" s="141">
        <f t="shared" si="41"/>
        <v>0</v>
      </c>
      <c r="O200" s="130">
        <f>SUMIFS(XUẤT!U:U,XUẤT!N:N,CBCNV!B200,XUẤT!O:O,CBCNV!$O$2)</f>
        <v>0</v>
      </c>
      <c r="P200" s="141">
        <f t="shared" si="42"/>
        <v>0</v>
      </c>
      <c r="Q200" s="32"/>
      <c r="R200" s="18"/>
    </row>
  </sheetData>
  <autoFilter ref="A6:T200" xr:uid="{00000000-0009-0000-0000-000001000000}"/>
  <mergeCells count="4">
    <mergeCell ref="A1:A3"/>
    <mergeCell ref="B1:B3"/>
    <mergeCell ref="C1:C3"/>
    <mergeCell ref="D1:D3"/>
  </mergeCells>
  <conditionalFormatting sqref="B202:B1048576 B4:B48 B50:B200">
    <cfRule type="duplicateValues" dxfId="34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W36"/>
  <sheetViews>
    <sheetView zoomScale="70" zoomScaleNormal="70" workbookViewId="0">
      <selection activeCell="A12" sqref="A12:XFD12"/>
    </sheetView>
  </sheetViews>
  <sheetFormatPr defaultColWidth="8.88671875" defaultRowHeight="18" x14ac:dyDescent="0.35"/>
  <cols>
    <col min="1" max="1" width="6.5546875" style="38" customWidth="1"/>
    <col min="2" max="2" width="15.6640625" style="39" customWidth="1"/>
    <col min="3" max="3" width="15.109375" style="40" customWidth="1"/>
    <col min="4" max="4" width="15.109375" style="41" customWidth="1"/>
    <col min="5" max="6" width="15.109375" style="16" customWidth="1"/>
    <col min="7" max="7" width="15.109375" style="42" customWidth="1"/>
    <col min="8" max="23" width="15.109375" style="39" customWidth="1"/>
    <col min="24" max="16384" width="8.88671875" style="39"/>
  </cols>
  <sheetData>
    <row r="1" spans="1:23" ht="20.399999999999999" x14ac:dyDescent="0.35">
      <c r="A1" s="371" t="s">
        <v>290</v>
      </c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</row>
    <row r="2" spans="1:23" ht="20.399999999999999" x14ac:dyDescent="0.35">
      <c r="A2" s="372" t="s">
        <v>291</v>
      </c>
      <c r="B2" s="372"/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2"/>
      <c r="N2" s="372"/>
      <c r="O2" s="372"/>
      <c r="P2" s="372"/>
      <c r="Q2" s="372"/>
      <c r="R2" s="372"/>
      <c r="S2" s="372"/>
      <c r="T2" s="372"/>
      <c r="U2" s="372"/>
      <c r="V2" s="372"/>
    </row>
    <row r="3" spans="1:23" x14ac:dyDescent="0.35">
      <c r="A3" s="373"/>
      <c r="B3" s="373"/>
      <c r="C3" s="373"/>
      <c r="D3" s="373"/>
    </row>
    <row r="4" spans="1:23" s="43" customFormat="1" ht="18.75" customHeight="1" x14ac:dyDescent="0.3">
      <c r="A4" s="374" t="s">
        <v>3</v>
      </c>
      <c r="B4" s="374" t="s">
        <v>4</v>
      </c>
      <c r="C4" s="375" t="s">
        <v>292</v>
      </c>
      <c r="D4" s="375"/>
      <c r="E4" s="375"/>
      <c r="F4" s="375"/>
      <c r="G4" s="375"/>
      <c r="H4" s="375"/>
      <c r="I4" s="375"/>
      <c r="J4" s="375" t="s">
        <v>293</v>
      </c>
      <c r="K4" s="375"/>
      <c r="L4" s="375"/>
      <c r="M4" s="375"/>
      <c r="N4" s="375"/>
      <c r="O4" s="375"/>
      <c r="P4" s="375"/>
      <c r="Q4" s="375" t="s">
        <v>294</v>
      </c>
      <c r="R4" s="375"/>
      <c r="S4" s="375"/>
      <c r="T4" s="375"/>
      <c r="U4" s="375"/>
      <c r="V4" s="375"/>
      <c r="W4" s="375"/>
    </row>
    <row r="5" spans="1:23" s="45" customFormat="1" x14ac:dyDescent="0.3">
      <c r="A5" s="374"/>
      <c r="B5" s="374"/>
      <c r="C5" s="44" t="s">
        <v>28</v>
      </c>
      <c r="D5" s="44" t="s">
        <v>32</v>
      </c>
      <c r="E5" s="44" t="s">
        <v>25</v>
      </c>
      <c r="F5" s="44" t="s">
        <v>35</v>
      </c>
      <c r="G5" s="44" t="s">
        <v>36</v>
      </c>
      <c r="H5" s="44" t="s">
        <v>38</v>
      </c>
      <c r="I5" s="44" t="s">
        <v>22</v>
      </c>
      <c r="J5" s="44" t="s">
        <v>28</v>
      </c>
      <c r="K5" s="44" t="s">
        <v>32</v>
      </c>
      <c r="L5" s="44" t="s">
        <v>25</v>
      </c>
      <c r="M5" s="44" t="s">
        <v>35</v>
      </c>
      <c r="N5" s="44" t="s">
        <v>36</v>
      </c>
      <c r="O5" s="44" t="s">
        <v>38</v>
      </c>
      <c r="P5" s="44" t="s">
        <v>22</v>
      </c>
      <c r="Q5" s="44" t="s">
        <v>28</v>
      </c>
      <c r="R5" s="44" t="s">
        <v>32</v>
      </c>
      <c r="S5" s="44" t="s">
        <v>25</v>
      </c>
      <c r="T5" s="44" t="s">
        <v>35</v>
      </c>
      <c r="U5" s="44" t="s">
        <v>36</v>
      </c>
      <c r="V5" s="44" t="s">
        <v>38</v>
      </c>
      <c r="W5" s="44" t="s">
        <v>22</v>
      </c>
    </row>
    <row r="6" spans="1:23" x14ac:dyDescent="0.35">
      <c r="A6" s="46">
        <v>1</v>
      </c>
      <c r="B6" s="47">
        <v>46266</v>
      </c>
      <c r="C6" s="48"/>
      <c r="D6" s="49"/>
      <c r="E6" s="50"/>
      <c r="F6" s="50"/>
      <c r="G6" s="51"/>
      <c r="H6" s="52"/>
      <c r="I6" s="52"/>
      <c r="J6" s="52">
        <f>SUMIFS(XUẤT!$W:$W,XUẤT!$B:$B,TỒN!$B$12,XUẤT!$O:$O,TỒN!#REF!)</f>
        <v>0</v>
      </c>
      <c r="K6" s="52">
        <f>SUMIFS(XUẤT!$W:$W,XUẤT!$B:$B,TỒN!$B$12,XUẤT!$O:$O,TỒN!#REF!)</f>
        <v>0</v>
      </c>
      <c r="L6" s="52">
        <f>SUMIFS(XUẤT!$W:$W,XUẤT!$B:$B,TỒN!$B$12,XUẤT!$O:$O,TỒN!#REF!)</f>
        <v>0</v>
      </c>
      <c r="M6" s="52">
        <f>SUMIFS(XUẤT!$W:$W,XUẤT!$B:$B,TỒN!$B$12,XUẤT!$O:$O,TỒN!#REF!)</f>
        <v>0</v>
      </c>
      <c r="N6" s="52">
        <f>SUMIFS(XUẤT!$W:$W,XUẤT!$B:$B,TỒN!$B$12,XUẤT!$O:$O,TỒN!#REF!)</f>
        <v>0</v>
      </c>
      <c r="O6" s="52">
        <f>SUMIFS(XUẤT!$W:$W,XUẤT!$B:$B,TỒN!$B$12,XUẤT!$O:$O,TỒN!#REF!)</f>
        <v>0</v>
      </c>
      <c r="P6" s="52">
        <f t="shared" ref="P6:P35" si="0">SUM(J6:O6)</f>
        <v>0</v>
      </c>
      <c r="Q6" s="52"/>
      <c r="R6" s="52"/>
      <c r="S6" s="52"/>
      <c r="T6" s="52"/>
      <c r="U6" s="52"/>
      <c r="V6" s="52"/>
      <c r="W6" s="52"/>
    </row>
    <row r="7" spans="1:23" x14ac:dyDescent="0.35">
      <c r="A7" s="46">
        <v>2</v>
      </c>
      <c r="B7" s="47">
        <v>46267</v>
      </c>
      <c r="C7" s="48"/>
      <c r="D7" s="49"/>
      <c r="E7" s="50"/>
      <c r="F7" s="50"/>
      <c r="G7" s="51"/>
      <c r="H7" s="52"/>
      <c r="I7" s="52"/>
      <c r="J7" s="52">
        <f>SUMIFS(XUẤT!$W:$W,XUẤT!$B:$B,TỒN!$B$12,XUẤT!$O:$O,TỒN!#REF!)</f>
        <v>0</v>
      </c>
      <c r="K7" s="52">
        <f>SUMIFS(XUẤT!$W:$W,XUẤT!$B:$B,TỒN!$B$12,XUẤT!$O:$O,TỒN!#REF!)</f>
        <v>0</v>
      </c>
      <c r="L7" s="52">
        <f>SUMIFS(XUẤT!$W:$W,XUẤT!$B:$B,TỒN!$B$12,XUẤT!$O:$O,TỒN!#REF!)</f>
        <v>0</v>
      </c>
      <c r="M7" s="52">
        <f>SUMIFS(XUẤT!$W:$W,XUẤT!$B:$B,TỒN!$B$12,XUẤT!$O:$O,TỒN!#REF!)</f>
        <v>0</v>
      </c>
      <c r="N7" s="52">
        <f>SUMIFS(XUẤT!$W:$W,XUẤT!$B:$B,TỒN!$B$12,XUẤT!$O:$O,TỒN!#REF!)</f>
        <v>0</v>
      </c>
      <c r="O7" s="52">
        <f>SUMIFS(XUẤT!$W:$W,XUẤT!$B:$B,TỒN!$B$12,XUẤT!$O:$O,TỒN!#REF!)</f>
        <v>0</v>
      </c>
      <c r="P7" s="52">
        <f t="shared" si="0"/>
        <v>0</v>
      </c>
      <c r="Q7" s="52"/>
      <c r="R7" s="52"/>
      <c r="S7" s="52"/>
      <c r="T7" s="52"/>
      <c r="U7" s="52"/>
      <c r="V7" s="52"/>
      <c r="W7" s="52"/>
    </row>
    <row r="8" spans="1:23" x14ac:dyDescent="0.35">
      <c r="A8" s="46">
        <v>3</v>
      </c>
      <c r="B8" s="47">
        <v>46268</v>
      </c>
      <c r="C8" s="48"/>
      <c r="D8" s="49"/>
      <c r="E8" s="50"/>
      <c r="F8" s="50"/>
      <c r="G8" s="51"/>
      <c r="H8" s="52"/>
      <c r="I8" s="52"/>
      <c r="J8" s="52">
        <f>SUMIFS(XUẤT!$W:$W,XUẤT!$B:$B,TỒN!$B$12,XUẤT!$O:$O,TỒN!J1)</f>
        <v>0</v>
      </c>
      <c r="K8" s="52">
        <f>SUMIFS(XUẤT!$W:$W,XUẤT!$B:$B,TỒN!$B$12,XUẤT!$O:$O,TỒN!K1)</f>
        <v>0</v>
      </c>
      <c r="L8" s="52">
        <f>SUMIFS(XUẤT!$W:$W,XUẤT!$B:$B,TỒN!$B$12,XUẤT!$O:$O,TỒN!L1)</f>
        <v>0</v>
      </c>
      <c r="M8" s="52">
        <f>SUMIFS(XUẤT!$W:$W,XUẤT!$B:$B,TỒN!$B$12,XUẤT!$O:$O,TỒN!M1)</f>
        <v>0</v>
      </c>
      <c r="N8" s="52">
        <f>SUMIFS(XUẤT!$W:$W,XUẤT!$B:$B,TỒN!$B$12,XUẤT!$O:$O,TỒN!N1)</f>
        <v>0</v>
      </c>
      <c r="O8" s="52">
        <f>SUMIFS(XUẤT!$W:$W,XUẤT!$B:$B,TỒN!$B$12,XUẤT!$O:$O,TỒN!O1)</f>
        <v>0</v>
      </c>
      <c r="P8" s="52">
        <f t="shared" si="0"/>
        <v>0</v>
      </c>
      <c r="Q8" s="52"/>
      <c r="R8" s="52"/>
      <c r="S8" s="52"/>
      <c r="T8" s="52"/>
      <c r="U8" s="52"/>
      <c r="V8" s="52"/>
      <c r="W8" s="52"/>
    </row>
    <row r="9" spans="1:23" x14ac:dyDescent="0.35">
      <c r="A9" s="46">
        <v>4</v>
      </c>
      <c r="B9" s="47">
        <v>46269</v>
      </c>
      <c r="C9" s="48"/>
      <c r="D9" s="49"/>
      <c r="E9" s="50"/>
      <c r="F9" s="50"/>
      <c r="G9" s="51"/>
      <c r="H9" s="52"/>
      <c r="I9" s="52"/>
      <c r="J9" s="52">
        <f>SUMIFS(XUẤT!$W:$W,XUẤT!$B:$B,TỒN!$B$12,XUẤT!$O:$O,TỒN!J2)</f>
        <v>0</v>
      </c>
      <c r="K9" s="52">
        <f>SUMIFS(XUẤT!$W:$W,XUẤT!$B:$B,TỒN!$B$12,XUẤT!$O:$O,TỒN!K2)</f>
        <v>0</v>
      </c>
      <c r="L9" s="52">
        <f>SUMIFS(XUẤT!$W:$W,XUẤT!$B:$B,TỒN!$B$12,XUẤT!$O:$O,TỒN!L2)</f>
        <v>0</v>
      </c>
      <c r="M9" s="52">
        <f>SUMIFS(XUẤT!$W:$W,XUẤT!$B:$B,TỒN!$B$12,XUẤT!$O:$O,TỒN!M2)</f>
        <v>0</v>
      </c>
      <c r="N9" s="52">
        <f>SUMIFS(XUẤT!$W:$W,XUẤT!$B:$B,TỒN!$B$12,XUẤT!$O:$O,TỒN!N2)</f>
        <v>0</v>
      </c>
      <c r="O9" s="52">
        <f>SUMIFS(XUẤT!$W:$W,XUẤT!$B:$B,TỒN!$B$12,XUẤT!$O:$O,TỒN!O2)</f>
        <v>0</v>
      </c>
      <c r="P9" s="52">
        <f t="shared" si="0"/>
        <v>0</v>
      </c>
      <c r="Q9" s="52"/>
      <c r="R9" s="52"/>
      <c r="S9" s="52"/>
      <c r="T9" s="52"/>
      <c r="U9" s="52"/>
      <c r="V9" s="52"/>
      <c r="W9" s="52"/>
    </row>
    <row r="10" spans="1:23" x14ac:dyDescent="0.35">
      <c r="A10" s="46">
        <v>5</v>
      </c>
      <c r="B10" s="47">
        <v>46270</v>
      </c>
      <c r="C10" s="48"/>
      <c r="D10" s="49"/>
      <c r="E10" s="50"/>
      <c r="F10" s="50"/>
      <c r="G10" s="51"/>
      <c r="H10" s="52"/>
      <c r="I10" s="52"/>
      <c r="J10" s="52">
        <f>SUMIFS(XUẤT!$W:$W,XUẤT!$B:$B,TỒN!$B$12,XUẤT!$O:$O,TỒN!J3)</f>
        <v>0</v>
      </c>
      <c r="K10" s="52">
        <f>SUMIFS(XUẤT!$W:$W,XUẤT!$B:$B,TỒN!$B$12,XUẤT!$O:$O,TỒN!K3)</f>
        <v>0</v>
      </c>
      <c r="L10" s="52">
        <f>SUMIFS(XUẤT!$W:$W,XUẤT!$B:$B,TỒN!$B$12,XUẤT!$O:$O,TỒN!L3)</f>
        <v>0</v>
      </c>
      <c r="M10" s="52">
        <f>SUMIFS(XUẤT!$W:$W,XUẤT!$B:$B,TỒN!$B$12,XUẤT!$O:$O,TỒN!M3)</f>
        <v>0</v>
      </c>
      <c r="N10" s="52">
        <f>SUMIFS(XUẤT!$W:$W,XUẤT!$B:$B,TỒN!$B$12,XUẤT!$O:$O,TỒN!N3)</f>
        <v>0</v>
      </c>
      <c r="O10" s="52">
        <f>SUMIFS(XUẤT!$W:$W,XUẤT!$B:$B,TỒN!$B$12,XUẤT!$O:$O,TỒN!O3)</f>
        <v>0</v>
      </c>
      <c r="P10" s="52">
        <f t="shared" si="0"/>
        <v>0</v>
      </c>
      <c r="Q10" s="52"/>
      <c r="R10" s="52"/>
      <c r="S10" s="52"/>
      <c r="T10" s="52"/>
      <c r="U10" s="52"/>
      <c r="V10" s="52"/>
      <c r="W10" s="52"/>
    </row>
    <row r="11" spans="1:23" x14ac:dyDescent="0.35">
      <c r="A11" s="46">
        <v>6</v>
      </c>
      <c r="B11" s="47">
        <v>46271</v>
      </c>
      <c r="C11" s="48"/>
      <c r="D11" s="49"/>
      <c r="E11" s="50"/>
      <c r="F11" s="50"/>
      <c r="G11" s="51"/>
      <c r="H11" s="52"/>
      <c r="I11" s="52"/>
      <c r="J11" s="52">
        <f>SUMIFS(XUẤT!$W:$W,XUẤT!$B:$B,TỒN!$B$12,XUẤT!$O:$O,TỒN!J4)</f>
        <v>0</v>
      </c>
      <c r="K11" s="52">
        <f>SUMIFS(XUẤT!$W:$W,XUẤT!$B:$B,TỒN!$B$12,XUẤT!$O:$O,TỒN!K4)</f>
        <v>0</v>
      </c>
      <c r="L11" s="52">
        <f>SUMIFS(XUẤT!$W:$W,XUẤT!$B:$B,TỒN!$B$12,XUẤT!$O:$O,TỒN!L4)</f>
        <v>0</v>
      </c>
      <c r="M11" s="52">
        <f>SUMIFS(XUẤT!$W:$W,XUẤT!$B:$B,TỒN!$B$12,XUẤT!$O:$O,TỒN!M4)</f>
        <v>0</v>
      </c>
      <c r="N11" s="52">
        <f>SUMIFS(XUẤT!$W:$W,XUẤT!$B:$B,TỒN!$B$12,XUẤT!$O:$O,TỒN!N4)</f>
        <v>0</v>
      </c>
      <c r="O11" s="52">
        <f>SUMIFS(XUẤT!$W:$W,XUẤT!$B:$B,TỒN!$B$12,XUẤT!$O:$O,TỒN!O4)</f>
        <v>0</v>
      </c>
      <c r="P11" s="52">
        <f t="shared" si="0"/>
        <v>0</v>
      </c>
      <c r="Q11" s="52"/>
      <c r="R11" s="52"/>
      <c r="S11" s="52"/>
      <c r="T11" s="52"/>
      <c r="U11" s="52"/>
      <c r="V11" s="52"/>
      <c r="W11" s="52"/>
    </row>
    <row r="12" spans="1:23" x14ac:dyDescent="0.35">
      <c r="A12" s="46">
        <v>7</v>
      </c>
      <c r="B12" s="47">
        <v>46272</v>
      </c>
      <c r="C12" s="48"/>
      <c r="D12" s="49"/>
      <c r="E12" s="50"/>
      <c r="F12" s="50"/>
      <c r="G12" s="51"/>
      <c r="H12" s="52"/>
      <c r="I12" s="52"/>
      <c r="J12" s="52">
        <f>SUMIFS(XUẤT!$W:$W,XUẤT!$B:$B,TỒN!$B$12,XUẤT!$O:$O,TỒN!J5)</f>
        <v>0</v>
      </c>
      <c r="K12" s="52">
        <f>SUMIFS(XUẤT!$W:$W,XUẤT!$B:$B,TỒN!$B$12,XUẤT!$O:$O,TỒN!K5)</f>
        <v>0</v>
      </c>
      <c r="L12" s="52">
        <f>SUMIFS(XUẤT!$W:$W,XUẤT!$B:$B,TỒN!$B$12,XUẤT!$O:$O,TỒN!L5)</f>
        <v>0</v>
      </c>
      <c r="M12" s="52">
        <f>SUMIFS(XUẤT!$W:$W,XUẤT!$B:$B,TỒN!$B$12,XUẤT!$O:$O,TỒN!M5)</f>
        <v>0</v>
      </c>
      <c r="N12" s="52">
        <f>SUMIFS(XUẤT!$W:$W,XUẤT!$B:$B,TỒN!$B$12,XUẤT!$O:$O,TỒN!N5)</f>
        <v>0</v>
      </c>
      <c r="O12" s="52">
        <f>SUMIFS(XUẤT!$W:$W,XUẤT!$B:$B,TỒN!$B$12,XUẤT!$O:$O,TỒN!O5)</f>
        <v>0</v>
      </c>
      <c r="P12" s="52">
        <f t="shared" si="0"/>
        <v>0</v>
      </c>
      <c r="Q12" s="52"/>
      <c r="R12" s="52"/>
      <c r="S12" s="52"/>
      <c r="T12" s="52"/>
      <c r="U12" s="52"/>
      <c r="V12" s="52"/>
      <c r="W12" s="52"/>
    </row>
    <row r="13" spans="1:23" x14ac:dyDescent="0.35">
      <c r="A13" s="46">
        <v>8</v>
      </c>
      <c r="B13" s="47">
        <v>46273</v>
      </c>
      <c r="C13" s="48"/>
      <c r="D13" s="49"/>
      <c r="E13" s="50"/>
      <c r="F13" s="50"/>
      <c r="G13" s="51"/>
      <c r="H13" s="52"/>
      <c r="I13" s="52"/>
      <c r="J13" s="52">
        <f>SUMIFS(XUẤT!$W:$W,XUẤT!$B:$B,TỒN!$B$12,XUẤT!$O:$O,TỒN!J12)</f>
        <v>0</v>
      </c>
      <c r="K13" s="52">
        <f>SUMIFS(XUẤT!$W:$W,XUẤT!$B:$B,TỒN!$B$12,XUẤT!$O:$O,TỒN!K12)</f>
        <v>0</v>
      </c>
      <c r="L13" s="52">
        <f>SUMIFS(XUẤT!$W:$W,XUẤT!$B:$B,TỒN!$B$12,XUẤT!$O:$O,TỒN!L12)</f>
        <v>0</v>
      </c>
      <c r="M13" s="52">
        <f>SUMIFS(XUẤT!$W:$W,XUẤT!$B:$B,TỒN!$B$12,XUẤT!$O:$O,TỒN!M12)</f>
        <v>0</v>
      </c>
      <c r="N13" s="52">
        <f>SUMIFS(XUẤT!$W:$W,XUẤT!$B:$B,TỒN!$B$12,XUẤT!$O:$O,TỒN!N12)</f>
        <v>0</v>
      </c>
      <c r="O13" s="52">
        <f>SUMIFS(XUẤT!$W:$W,XUẤT!$B:$B,TỒN!$B$12,XUẤT!$O:$O,TỒN!O12)</f>
        <v>0</v>
      </c>
      <c r="P13" s="52">
        <f t="shared" si="0"/>
        <v>0</v>
      </c>
      <c r="Q13" s="52"/>
      <c r="R13" s="52"/>
      <c r="S13" s="52"/>
      <c r="T13" s="52"/>
      <c r="U13" s="52"/>
      <c r="V13" s="52"/>
      <c r="W13" s="52"/>
    </row>
    <row r="14" spans="1:23" x14ac:dyDescent="0.35">
      <c r="A14" s="46">
        <v>9</v>
      </c>
      <c r="B14" s="47">
        <v>46274</v>
      </c>
      <c r="C14" s="48"/>
      <c r="D14" s="49"/>
      <c r="E14" s="50"/>
      <c r="F14" s="50"/>
      <c r="G14" s="51"/>
      <c r="H14" s="52"/>
      <c r="I14" s="52"/>
      <c r="J14" s="52">
        <f>SUMIFS(XUẤT!$W:$W,XUẤT!$B:$B,TỒN!$B$12,XUẤT!$O:$O,TỒN!J13)</f>
        <v>0</v>
      </c>
      <c r="K14" s="52">
        <f>SUMIFS(XUẤT!$W:$W,XUẤT!$B:$B,TỒN!$B$12,XUẤT!$O:$O,TỒN!K13)</f>
        <v>0</v>
      </c>
      <c r="L14" s="52">
        <f>SUMIFS(XUẤT!$W:$W,XUẤT!$B:$B,TỒN!$B$12,XUẤT!$O:$O,TỒN!L13)</f>
        <v>0</v>
      </c>
      <c r="M14" s="52">
        <f>SUMIFS(XUẤT!$W:$W,XUẤT!$B:$B,TỒN!$B$12,XUẤT!$O:$O,TỒN!M13)</f>
        <v>0</v>
      </c>
      <c r="N14" s="52">
        <f>SUMIFS(XUẤT!$W:$W,XUẤT!$B:$B,TỒN!$B$12,XUẤT!$O:$O,TỒN!N13)</f>
        <v>0</v>
      </c>
      <c r="O14" s="52">
        <f>SUMIFS(XUẤT!$W:$W,XUẤT!$B:$B,TỒN!$B$12,XUẤT!$O:$O,TỒN!O13)</f>
        <v>0</v>
      </c>
      <c r="P14" s="52">
        <f t="shared" si="0"/>
        <v>0</v>
      </c>
      <c r="Q14" s="52"/>
      <c r="R14" s="52"/>
      <c r="S14" s="52"/>
      <c r="T14" s="52"/>
      <c r="U14" s="52"/>
      <c r="V14" s="52"/>
      <c r="W14" s="52"/>
    </row>
    <row r="15" spans="1:23" x14ac:dyDescent="0.35">
      <c r="A15" s="46">
        <v>10</v>
      </c>
      <c r="B15" s="47">
        <v>46275</v>
      </c>
      <c r="C15" s="48"/>
      <c r="D15" s="49"/>
      <c r="E15" s="50"/>
      <c r="F15" s="50"/>
      <c r="G15" s="51"/>
      <c r="H15" s="52"/>
      <c r="I15" s="52"/>
      <c r="J15" s="52">
        <f>SUMIFS(XUẤT!$W:$W,XUẤT!$B:$B,TỒN!$B$12,XUẤT!$O:$O,TỒN!J14)</f>
        <v>0</v>
      </c>
      <c r="K15" s="52">
        <f>SUMIFS(XUẤT!$W:$W,XUẤT!$B:$B,TỒN!$B$12,XUẤT!$O:$O,TỒN!K14)</f>
        <v>0</v>
      </c>
      <c r="L15" s="52">
        <f>SUMIFS(XUẤT!$W:$W,XUẤT!$B:$B,TỒN!$B$12,XUẤT!$O:$O,TỒN!L14)</f>
        <v>0</v>
      </c>
      <c r="M15" s="52">
        <f>SUMIFS(XUẤT!$W:$W,XUẤT!$B:$B,TỒN!$B$12,XUẤT!$O:$O,TỒN!M14)</f>
        <v>0</v>
      </c>
      <c r="N15" s="52">
        <f>SUMIFS(XUẤT!$W:$W,XUẤT!$B:$B,TỒN!$B$12,XUẤT!$O:$O,TỒN!N14)</f>
        <v>0</v>
      </c>
      <c r="O15" s="52">
        <f>SUMIFS(XUẤT!$W:$W,XUẤT!$B:$B,TỒN!$B$12,XUẤT!$O:$O,TỒN!O14)</f>
        <v>0</v>
      </c>
      <c r="P15" s="52">
        <f t="shared" si="0"/>
        <v>0</v>
      </c>
      <c r="Q15" s="52"/>
      <c r="R15" s="52"/>
      <c r="S15" s="52"/>
      <c r="T15" s="52"/>
      <c r="U15" s="52"/>
      <c r="V15" s="52"/>
      <c r="W15" s="52"/>
    </row>
    <row r="16" spans="1:23" x14ac:dyDescent="0.35">
      <c r="A16" s="46">
        <v>11</v>
      </c>
      <c r="B16" s="47">
        <v>46276</v>
      </c>
      <c r="C16" s="48"/>
      <c r="D16" s="49"/>
      <c r="E16" s="50"/>
      <c r="F16" s="50"/>
      <c r="G16" s="51"/>
      <c r="H16" s="52"/>
      <c r="I16" s="52"/>
      <c r="J16" s="52">
        <f>SUMIFS(XUẤT!$W:$W,XUẤT!$B:$B,TỒN!$B$12,XUẤT!$O:$O,TỒN!J15)</f>
        <v>0</v>
      </c>
      <c r="K16" s="52">
        <f>SUMIFS(XUẤT!$W:$W,XUẤT!$B:$B,TỒN!$B$12,XUẤT!$O:$O,TỒN!K15)</f>
        <v>0</v>
      </c>
      <c r="L16" s="52">
        <f>SUMIFS(XUẤT!$W:$W,XUẤT!$B:$B,TỒN!$B$12,XUẤT!$O:$O,TỒN!L15)</f>
        <v>0</v>
      </c>
      <c r="M16" s="52">
        <f>SUMIFS(XUẤT!$W:$W,XUẤT!$B:$B,TỒN!$B$12,XUẤT!$O:$O,TỒN!M15)</f>
        <v>0</v>
      </c>
      <c r="N16" s="52">
        <f>SUMIFS(XUẤT!$W:$W,XUẤT!$B:$B,TỒN!$B$12,XUẤT!$O:$O,TỒN!N15)</f>
        <v>0</v>
      </c>
      <c r="O16" s="52">
        <f>SUMIFS(XUẤT!$W:$W,XUẤT!$B:$B,TỒN!$B$12,XUẤT!$O:$O,TỒN!O15)</f>
        <v>0</v>
      </c>
      <c r="P16" s="52">
        <f t="shared" si="0"/>
        <v>0</v>
      </c>
      <c r="Q16" s="52"/>
      <c r="R16" s="52"/>
      <c r="S16" s="52"/>
      <c r="T16" s="52"/>
      <c r="U16" s="52"/>
      <c r="V16" s="52"/>
      <c r="W16" s="52"/>
    </row>
    <row r="17" spans="1:23" x14ac:dyDescent="0.35">
      <c r="A17" s="46">
        <v>12</v>
      </c>
      <c r="B17" s="47">
        <v>46277</v>
      </c>
      <c r="C17" s="48"/>
      <c r="D17" s="49"/>
      <c r="E17" s="50"/>
      <c r="F17" s="50"/>
      <c r="G17" s="51"/>
      <c r="H17" s="52"/>
      <c r="I17" s="52"/>
      <c r="J17" s="52">
        <f>SUMIFS(XUẤT!$W:$W,XUẤT!$B:$B,TỒN!$B$12,XUẤT!$O:$O,TỒN!J16)</f>
        <v>0</v>
      </c>
      <c r="K17" s="52">
        <f>SUMIFS(XUẤT!$W:$W,XUẤT!$B:$B,TỒN!$B$12,XUẤT!$O:$O,TỒN!K16)</f>
        <v>0</v>
      </c>
      <c r="L17" s="52">
        <f>SUMIFS(XUẤT!$W:$W,XUẤT!$B:$B,TỒN!$B$12,XUẤT!$O:$O,TỒN!L16)</f>
        <v>0</v>
      </c>
      <c r="M17" s="52">
        <f>SUMIFS(XUẤT!$W:$W,XUẤT!$B:$B,TỒN!$B$12,XUẤT!$O:$O,TỒN!M16)</f>
        <v>0</v>
      </c>
      <c r="N17" s="52">
        <f>SUMIFS(XUẤT!$W:$W,XUẤT!$B:$B,TỒN!$B$12,XUẤT!$O:$O,TỒN!N16)</f>
        <v>0</v>
      </c>
      <c r="O17" s="52">
        <f>SUMIFS(XUẤT!$W:$W,XUẤT!$B:$B,TỒN!$B$12,XUẤT!$O:$O,TỒN!O16)</f>
        <v>0</v>
      </c>
      <c r="P17" s="52">
        <f t="shared" si="0"/>
        <v>0</v>
      </c>
      <c r="Q17" s="52"/>
      <c r="R17" s="52"/>
      <c r="S17" s="52"/>
      <c r="T17" s="52"/>
      <c r="U17" s="52"/>
      <c r="V17" s="52"/>
      <c r="W17" s="52"/>
    </row>
    <row r="18" spans="1:23" x14ac:dyDescent="0.35">
      <c r="A18" s="46">
        <v>13</v>
      </c>
      <c r="B18" s="47">
        <v>46278</v>
      </c>
      <c r="C18" s="48"/>
      <c r="D18" s="49"/>
      <c r="E18" s="50"/>
      <c r="F18" s="50"/>
      <c r="G18" s="51"/>
      <c r="H18" s="52"/>
      <c r="I18" s="52"/>
      <c r="J18" s="52">
        <f>SUMIFS(XUẤT!$W:$W,XUẤT!$B:$B,TỒN!$B$12,XUẤT!$O:$O,TỒN!J17)</f>
        <v>0</v>
      </c>
      <c r="K18" s="52">
        <f>SUMIFS(XUẤT!$W:$W,XUẤT!$B:$B,TỒN!$B$12,XUẤT!$O:$O,TỒN!K17)</f>
        <v>0</v>
      </c>
      <c r="L18" s="52">
        <f>SUMIFS(XUẤT!$W:$W,XUẤT!$B:$B,TỒN!$B$12,XUẤT!$O:$O,TỒN!L17)</f>
        <v>0</v>
      </c>
      <c r="M18" s="52">
        <f>SUMIFS(XUẤT!$W:$W,XUẤT!$B:$B,TỒN!$B$12,XUẤT!$O:$O,TỒN!M17)</f>
        <v>0</v>
      </c>
      <c r="N18" s="52">
        <f>SUMIFS(XUẤT!$W:$W,XUẤT!$B:$B,TỒN!$B$12,XUẤT!$O:$O,TỒN!N17)</f>
        <v>0</v>
      </c>
      <c r="O18" s="52">
        <f>SUMIFS(XUẤT!$W:$W,XUẤT!$B:$B,TỒN!$B$12,XUẤT!$O:$O,TỒN!O17)</f>
        <v>0</v>
      </c>
      <c r="P18" s="52">
        <f t="shared" si="0"/>
        <v>0</v>
      </c>
      <c r="Q18" s="52"/>
      <c r="R18" s="52"/>
      <c r="S18" s="52"/>
      <c r="T18" s="52"/>
      <c r="U18" s="52"/>
      <c r="V18" s="52"/>
      <c r="W18" s="52"/>
    </row>
    <row r="19" spans="1:23" x14ac:dyDescent="0.35">
      <c r="A19" s="46">
        <v>14</v>
      </c>
      <c r="B19" s="47">
        <v>46279</v>
      </c>
      <c r="C19" s="48"/>
      <c r="D19" s="49"/>
      <c r="E19" s="50"/>
      <c r="F19" s="50"/>
      <c r="G19" s="51"/>
      <c r="H19" s="52"/>
      <c r="I19" s="52"/>
      <c r="J19" s="52">
        <f>SUMIFS(XUẤT!$W:$W,XUẤT!$B:$B,TỒN!$B$12,XUẤT!$O:$O,TỒN!J18)</f>
        <v>0</v>
      </c>
      <c r="K19" s="52">
        <f>SUMIFS(XUẤT!$W:$W,XUẤT!$B:$B,TỒN!$B$12,XUẤT!$O:$O,TỒN!K18)</f>
        <v>0</v>
      </c>
      <c r="L19" s="52">
        <f>SUMIFS(XUẤT!$W:$W,XUẤT!$B:$B,TỒN!$B$12,XUẤT!$O:$O,TỒN!L18)</f>
        <v>0</v>
      </c>
      <c r="M19" s="52">
        <f>SUMIFS(XUẤT!$W:$W,XUẤT!$B:$B,TỒN!$B$12,XUẤT!$O:$O,TỒN!M18)</f>
        <v>0</v>
      </c>
      <c r="N19" s="52">
        <f>SUMIFS(XUẤT!$W:$W,XUẤT!$B:$B,TỒN!$B$12,XUẤT!$O:$O,TỒN!N18)</f>
        <v>0</v>
      </c>
      <c r="O19" s="52">
        <f>SUMIFS(XUẤT!$W:$W,XUẤT!$B:$B,TỒN!$B$12,XUẤT!$O:$O,TỒN!O18)</f>
        <v>0</v>
      </c>
      <c r="P19" s="52">
        <f t="shared" si="0"/>
        <v>0</v>
      </c>
      <c r="Q19" s="52"/>
      <c r="R19" s="52"/>
      <c r="S19" s="52"/>
      <c r="T19" s="52"/>
      <c r="U19" s="52"/>
      <c r="V19" s="52"/>
      <c r="W19" s="52"/>
    </row>
    <row r="20" spans="1:23" x14ac:dyDescent="0.35">
      <c r="A20" s="46">
        <v>15</v>
      </c>
      <c r="B20" s="47">
        <v>46280</v>
      </c>
      <c r="C20" s="48"/>
      <c r="D20" s="49"/>
      <c r="E20" s="50"/>
      <c r="F20" s="50"/>
      <c r="G20" s="51"/>
      <c r="H20" s="52"/>
      <c r="I20" s="52"/>
      <c r="J20" s="52">
        <f>SUMIFS(XUẤT!$W:$W,XUẤT!$B:$B,TỒN!$B$12,XUẤT!$O:$O,TỒN!J19)</f>
        <v>0</v>
      </c>
      <c r="K20" s="52">
        <f>SUMIFS(XUẤT!$W:$W,XUẤT!$B:$B,TỒN!$B$12,XUẤT!$O:$O,TỒN!K19)</f>
        <v>0</v>
      </c>
      <c r="L20" s="52">
        <f>SUMIFS(XUẤT!$W:$W,XUẤT!$B:$B,TỒN!$B$12,XUẤT!$O:$O,TỒN!L19)</f>
        <v>0</v>
      </c>
      <c r="M20" s="52">
        <f>SUMIFS(XUẤT!$W:$W,XUẤT!$B:$B,TỒN!$B$12,XUẤT!$O:$O,TỒN!M19)</f>
        <v>0</v>
      </c>
      <c r="N20" s="52">
        <f>SUMIFS(XUẤT!$W:$W,XUẤT!$B:$B,TỒN!$B$12,XUẤT!$O:$O,TỒN!N19)</f>
        <v>0</v>
      </c>
      <c r="O20" s="52">
        <f>SUMIFS(XUẤT!$W:$W,XUẤT!$B:$B,TỒN!$B$12,XUẤT!$O:$O,TỒN!O19)</f>
        <v>0</v>
      </c>
      <c r="P20" s="52">
        <f t="shared" si="0"/>
        <v>0</v>
      </c>
      <c r="Q20" s="52"/>
      <c r="R20" s="52"/>
      <c r="S20" s="52"/>
      <c r="T20" s="52"/>
      <c r="U20" s="52"/>
      <c r="V20" s="52"/>
      <c r="W20" s="52"/>
    </row>
    <row r="21" spans="1:23" x14ac:dyDescent="0.35">
      <c r="A21" s="46">
        <v>16</v>
      </c>
      <c r="B21" s="47">
        <v>46281</v>
      </c>
      <c r="C21" s="48"/>
      <c r="D21" s="49"/>
      <c r="E21" s="50"/>
      <c r="F21" s="50"/>
      <c r="G21" s="51"/>
      <c r="H21" s="52"/>
      <c r="I21" s="52"/>
      <c r="J21" s="52">
        <f>SUMIFS(XUẤT!$W:$W,XUẤT!$B:$B,TỒN!$B$12,XUẤT!$O:$O,TỒN!J20)</f>
        <v>0</v>
      </c>
      <c r="K21" s="52">
        <f>SUMIFS(XUẤT!$W:$W,XUẤT!$B:$B,TỒN!$B$12,XUẤT!$O:$O,TỒN!K20)</f>
        <v>0</v>
      </c>
      <c r="L21" s="52">
        <f>SUMIFS(XUẤT!$W:$W,XUẤT!$B:$B,TỒN!$B$12,XUẤT!$O:$O,TỒN!L20)</f>
        <v>0</v>
      </c>
      <c r="M21" s="52">
        <f>SUMIFS(XUẤT!$W:$W,XUẤT!$B:$B,TỒN!$B$12,XUẤT!$O:$O,TỒN!M20)</f>
        <v>0</v>
      </c>
      <c r="N21" s="52">
        <f>SUMIFS(XUẤT!$W:$W,XUẤT!$B:$B,TỒN!$B$12,XUẤT!$O:$O,TỒN!N20)</f>
        <v>0</v>
      </c>
      <c r="O21" s="52">
        <f>SUMIFS(XUẤT!$W:$W,XUẤT!$B:$B,TỒN!$B$12,XUẤT!$O:$O,TỒN!O20)</f>
        <v>0</v>
      </c>
      <c r="P21" s="52">
        <f t="shared" si="0"/>
        <v>0</v>
      </c>
      <c r="Q21" s="52"/>
      <c r="R21" s="52"/>
      <c r="S21" s="52"/>
      <c r="T21" s="52"/>
      <c r="U21" s="52"/>
      <c r="V21" s="52"/>
      <c r="W21" s="52"/>
    </row>
    <row r="22" spans="1:23" x14ac:dyDescent="0.35">
      <c r="A22" s="46">
        <v>17</v>
      </c>
      <c r="B22" s="47">
        <v>46282</v>
      </c>
      <c r="C22" s="48"/>
      <c r="D22" s="49"/>
      <c r="E22" s="50"/>
      <c r="F22" s="50"/>
      <c r="G22" s="51"/>
      <c r="H22" s="52"/>
      <c r="I22" s="52"/>
      <c r="J22" s="52">
        <f>SUMIFS(XUẤT!$W:$W,XUẤT!$B:$B,TỒN!$B$12,XUẤT!$O:$O,TỒN!J21)</f>
        <v>0</v>
      </c>
      <c r="K22" s="52">
        <f>SUMIFS(XUẤT!$W:$W,XUẤT!$B:$B,TỒN!$B$12,XUẤT!$O:$O,TỒN!K21)</f>
        <v>0</v>
      </c>
      <c r="L22" s="52">
        <f>SUMIFS(XUẤT!$W:$W,XUẤT!$B:$B,TỒN!$B$12,XUẤT!$O:$O,TỒN!L21)</f>
        <v>0</v>
      </c>
      <c r="M22" s="52">
        <f>SUMIFS(XUẤT!$W:$W,XUẤT!$B:$B,TỒN!$B$12,XUẤT!$O:$O,TỒN!M21)</f>
        <v>0</v>
      </c>
      <c r="N22" s="52">
        <f>SUMIFS(XUẤT!$W:$W,XUẤT!$B:$B,TỒN!$B$12,XUẤT!$O:$O,TỒN!N21)</f>
        <v>0</v>
      </c>
      <c r="O22" s="52">
        <f>SUMIFS(XUẤT!$W:$W,XUẤT!$B:$B,TỒN!$B$12,XUẤT!$O:$O,TỒN!O21)</f>
        <v>0</v>
      </c>
      <c r="P22" s="52">
        <f t="shared" si="0"/>
        <v>0</v>
      </c>
      <c r="Q22" s="52"/>
      <c r="R22" s="52"/>
      <c r="S22" s="52"/>
      <c r="T22" s="52"/>
      <c r="U22" s="52"/>
      <c r="V22" s="52"/>
      <c r="W22" s="52"/>
    </row>
    <row r="23" spans="1:23" x14ac:dyDescent="0.35">
      <c r="A23" s="46">
        <v>18</v>
      </c>
      <c r="B23" s="47">
        <v>46283</v>
      </c>
      <c r="C23" s="48"/>
      <c r="D23" s="49"/>
      <c r="E23" s="50"/>
      <c r="F23" s="50"/>
      <c r="G23" s="51"/>
      <c r="H23" s="52"/>
      <c r="I23" s="52"/>
      <c r="J23" s="52">
        <f>SUMIFS(XUẤT!$W:$W,XUẤT!$B:$B,TỒN!$B$12,XUẤT!$O:$O,TỒN!J22)</f>
        <v>0</v>
      </c>
      <c r="K23" s="52">
        <f>SUMIFS(XUẤT!$W:$W,XUẤT!$B:$B,TỒN!$B$12,XUẤT!$O:$O,TỒN!K22)</f>
        <v>0</v>
      </c>
      <c r="L23" s="52">
        <f>SUMIFS(XUẤT!$W:$W,XUẤT!$B:$B,TỒN!$B$12,XUẤT!$O:$O,TỒN!L22)</f>
        <v>0</v>
      </c>
      <c r="M23" s="52">
        <f>SUMIFS(XUẤT!$W:$W,XUẤT!$B:$B,TỒN!$B$12,XUẤT!$O:$O,TỒN!M22)</f>
        <v>0</v>
      </c>
      <c r="N23" s="52">
        <f>SUMIFS(XUẤT!$W:$W,XUẤT!$B:$B,TỒN!$B$12,XUẤT!$O:$O,TỒN!N22)</f>
        <v>0</v>
      </c>
      <c r="O23" s="52">
        <f>SUMIFS(XUẤT!$W:$W,XUẤT!$B:$B,TỒN!$B$12,XUẤT!$O:$O,TỒN!O22)</f>
        <v>0</v>
      </c>
      <c r="P23" s="52">
        <f t="shared" si="0"/>
        <v>0</v>
      </c>
      <c r="Q23" s="52"/>
      <c r="R23" s="52"/>
      <c r="S23" s="52"/>
      <c r="T23" s="52"/>
      <c r="U23" s="52"/>
      <c r="V23" s="52"/>
      <c r="W23" s="52"/>
    </row>
    <row r="24" spans="1:23" x14ac:dyDescent="0.35">
      <c r="A24" s="46">
        <v>19</v>
      </c>
      <c r="B24" s="47">
        <v>46284</v>
      </c>
      <c r="C24" s="48"/>
      <c r="D24" s="49"/>
      <c r="E24" s="50"/>
      <c r="F24" s="50"/>
      <c r="G24" s="51"/>
      <c r="H24" s="52"/>
      <c r="I24" s="52"/>
      <c r="J24" s="52">
        <f>SUMIFS(XUẤT!$W:$W,XUẤT!$B:$B,TỒN!$B$12,XUẤT!$O:$O,TỒN!J23)</f>
        <v>0</v>
      </c>
      <c r="K24" s="52">
        <f>SUMIFS(XUẤT!$W:$W,XUẤT!$B:$B,TỒN!$B$12,XUẤT!$O:$O,TỒN!K23)</f>
        <v>0</v>
      </c>
      <c r="L24" s="52">
        <f>SUMIFS(XUẤT!$W:$W,XUẤT!$B:$B,TỒN!$B$12,XUẤT!$O:$O,TỒN!L23)</f>
        <v>0</v>
      </c>
      <c r="M24" s="52">
        <f>SUMIFS(XUẤT!$W:$W,XUẤT!$B:$B,TỒN!$B$12,XUẤT!$O:$O,TỒN!M23)</f>
        <v>0</v>
      </c>
      <c r="N24" s="52">
        <f>SUMIFS(XUẤT!$W:$W,XUẤT!$B:$B,TỒN!$B$12,XUẤT!$O:$O,TỒN!N23)</f>
        <v>0</v>
      </c>
      <c r="O24" s="52">
        <f>SUMIFS(XUẤT!$W:$W,XUẤT!$B:$B,TỒN!$B$12,XUẤT!$O:$O,TỒN!O23)</f>
        <v>0</v>
      </c>
      <c r="P24" s="52">
        <f t="shared" si="0"/>
        <v>0</v>
      </c>
      <c r="Q24" s="52"/>
      <c r="R24" s="52"/>
      <c r="S24" s="52"/>
      <c r="T24" s="52"/>
      <c r="U24" s="52"/>
      <c r="V24" s="52"/>
      <c r="W24" s="52"/>
    </row>
    <row r="25" spans="1:23" x14ac:dyDescent="0.35">
      <c r="A25" s="46">
        <v>20</v>
      </c>
      <c r="B25" s="47">
        <v>46285</v>
      </c>
      <c r="C25" s="48"/>
      <c r="D25" s="49"/>
      <c r="E25" s="50"/>
      <c r="F25" s="50"/>
      <c r="G25" s="51"/>
      <c r="H25" s="52"/>
      <c r="I25" s="52"/>
      <c r="J25" s="52">
        <f>SUMIFS(XUẤT!$W:$W,XUẤT!$B:$B,TỒN!$B$12,XUẤT!$O:$O,TỒN!J24)</f>
        <v>0</v>
      </c>
      <c r="K25" s="52">
        <f>SUMIFS(XUẤT!$W:$W,XUẤT!$B:$B,TỒN!$B$12,XUẤT!$O:$O,TỒN!K24)</f>
        <v>0</v>
      </c>
      <c r="L25" s="52">
        <f>SUMIFS(XUẤT!$W:$W,XUẤT!$B:$B,TỒN!$B$12,XUẤT!$O:$O,TỒN!L24)</f>
        <v>0</v>
      </c>
      <c r="M25" s="52">
        <f>SUMIFS(XUẤT!$W:$W,XUẤT!$B:$B,TỒN!$B$12,XUẤT!$O:$O,TỒN!M24)</f>
        <v>0</v>
      </c>
      <c r="N25" s="52">
        <f>SUMIFS(XUẤT!$W:$W,XUẤT!$B:$B,TỒN!$B$12,XUẤT!$O:$O,TỒN!N24)</f>
        <v>0</v>
      </c>
      <c r="O25" s="52">
        <f>SUMIFS(XUẤT!$W:$W,XUẤT!$B:$B,TỒN!$B$12,XUẤT!$O:$O,TỒN!O24)</f>
        <v>0</v>
      </c>
      <c r="P25" s="52">
        <f t="shared" si="0"/>
        <v>0</v>
      </c>
      <c r="Q25" s="52"/>
      <c r="R25" s="52"/>
      <c r="S25" s="52"/>
      <c r="T25" s="52"/>
      <c r="U25" s="52"/>
      <c r="V25" s="52"/>
      <c r="W25" s="52"/>
    </row>
    <row r="26" spans="1:23" x14ac:dyDescent="0.35">
      <c r="A26" s="46">
        <v>21</v>
      </c>
      <c r="B26" s="47">
        <v>46286</v>
      </c>
      <c r="C26" s="48"/>
      <c r="D26" s="49"/>
      <c r="E26" s="50"/>
      <c r="F26" s="50"/>
      <c r="G26" s="51"/>
      <c r="H26" s="52"/>
      <c r="I26" s="52"/>
      <c r="J26" s="52">
        <f>SUMIFS(XUẤT!$W:$W,XUẤT!$B:$B,TỒN!$B$12,XUẤT!$O:$O,TỒN!J25)</f>
        <v>0</v>
      </c>
      <c r="K26" s="52">
        <f>SUMIFS(XUẤT!$W:$W,XUẤT!$B:$B,TỒN!$B$12,XUẤT!$O:$O,TỒN!K25)</f>
        <v>0</v>
      </c>
      <c r="L26" s="52">
        <f>SUMIFS(XUẤT!$W:$W,XUẤT!$B:$B,TỒN!$B$12,XUẤT!$O:$O,TỒN!L25)</f>
        <v>0</v>
      </c>
      <c r="M26" s="52">
        <f>SUMIFS(XUẤT!$W:$W,XUẤT!$B:$B,TỒN!$B$12,XUẤT!$O:$O,TỒN!M25)</f>
        <v>0</v>
      </c>
      <c r="N26" s="52">
        <f>SUMIFS(XUẤT!$W:$W,XUẤT!$B:$B,TỒN!$B$12,XUẤT!$O:$O,TỒN!N25)</f>
        <v>0</v>
      </c>
      <c r="O26" s="52">
        <f>SUMIFS(XUẤT!$W:$W,XUẤT!$B:$B,TỒN!$B$12,XUẤT!$O:$O,TỒN!O25)</f>
        <v>0</v>
      </c>
      <c r="P26" s="52">
        <f t="shared" si="0"/>
        <v>0</v>
      </c>
      <c r="Q26" s="52"/>
      <c r="R26" s="52"/>
      <c r="S26" s="52"/>
      <c r="T26" s="52"/>
      <c r="U26" s="52"/>
      <c r="V26" s="52"/>
      <c r="W26" s="52"/>
    </row>
    <row r="27" spans="1:23" x14ac:dyDescent="0.35">
      <c r="A27" s="46">
        <v>22</v>
      </c>
      <c r="B27" s="47">
        <v>46287</v>
      </c>
      <c r="C27" s="48"/>
      <c r="D27" s="49"/>
      <c r="E27" s="50"/>
      <c r="F27" s="50"/>
      <c r="G27" s="51"/>
      <c r="H27" s="52"/>
      <c r="I27" s="52"/>
      <c r="J27" s="52">
        <f>SUMIFS(XUẤT!$W:$W,XUẤT!$B:$B,TỒN!$B$12,XUẤT!$O:$O,TỒN!J26)</f>
        <v>0</v>
      </c>
      <c r="K27" s="52">
        <f>SUMIFS(XUẤT!$W:$W,XUẤT!$B:$B,TỒN!$B$12,XUẤT!$O:$O,TỒN!K26)</f>
        <v>0</v>
      </c>
      <c r="L27" s="52">
        <f>SUMIFS(XUẤT!$W:$W,XUẤT!$B:$B,TỒN!$B$12,XUẤT!$O:$O,TỒN!L26)</f>
        <v>0</v>
      </c>
      <c r="M27" s="52">
        <f>SUMIFS(XUẤT!$W:$W,XUẤT!$B:$B,TỒN!$B$12,XUẤT!$O:$O,TỒN!M26)</f>
        <v>0</v>
      </c>
      <c r="N27" s="52">
        <f>SUMIFS(XUẤT!$W:$W,XUẤT!$B:$B,TỒN!$B$12,XUẤT!$O:$O,TỒN!N26)</f>
        <v>0</v>
      </c>
      <c r="O27" s="52">
        <f>SUMIFS(XUẤT!$W:$W,XUẤT!$B:$B,TỒN!$B$12,XUẤT!$O:$O,TỒN!O26)</f>
        <v>0</v>
      </c>
      <c r="P27" s="52">
        <f t="shared" si="0"/>
        <v>0</v>
      </c>
      <c r="Q27" s="52"/>
      <c r="R27" s="52"/>
      <c r="S27" s="52"/>
      <c r="T27" s="52"/>
      <c r="U27" s="52"/>
      <c r="V27" s="52"/>
      <c r="W27" s="52"/>
    </row>
    <row r="28" spans="1:23" x14ac:dyDescent="0.35">
      <c r="A28" s="46">
        <v>23</v>
      </c>
      <c r="B28" s="47">
        <v>46288</v>
      </c>
      <c r="C28" s="48"/>
      <c r="D28" s="49"/>
      <c r="E28" s="50"/>
      <c r="F28" s="50"/>
      <c r="G28" s="51"/>
      <c r="H28" s="52"/>
      <c r="I28" s="52"/>
      <c r="J28" s="52">
        <f>SUMIFS(XUẤT!$W:$W,XUẤT!$B:$B,TỒN!$B$12,XUẤT!$O:$O,TỒN!J27)</f>
        <v>0</v>
      </c>
      <c r="K28" s="52">
        <f>SUMIFS(XUẤT!$W:$W,XUẤT!$B:$B,TỒN!$B$12,XUẤT!$O:$O,TỒN!K27)</f>
        <v>0</v>
      </c>
      <c r="L28" s="52">
        <f>SUMIFS(XUẤT!$W:$W,XUẤT!$B:$B,TỒN!$B$12,XUẤT!$O:$O,TỒN!L27)</f>
        <v>0</v>
      </c>
      <c r="M28" s="52">
        <f>SUMIFS(XUẤT!$W:$W,XUẤT!$B:$B,TỒN!$B$12,XUẤT!$O:$O,TỒN!M27)</f>
        <v>0</v>
      </c>
      <c r="N28" s="52">
        <f>SUMIFS(XUẤT!$W:$W,XUẤT!$B:$B,TỒN!$B$12,XUẤT!$O:$O,TỒN!N27)</f>
        <v>0</v>
      </c>
      <c r="O28" s="52">
        <f>SUMIFS(XUẤT!$W:$W,XUẤT!$B:$B,TỒN!$B$12,XUẤT!$O:$O,TỒN!O27)</f>
        <v>0</v>
      </c>
      <c r="P28" s="52">
        <f t="shared" si="0"/>
        <v>0</v>
      </c>
      <c r="Q28" s="52"/>
      <c r="R28" s="52"/>
      <c r="S28" s="52"/>
      <c r="T28" s="52"/>
      <c r="U28" s="52"/>
      <c r="V28" s="52"/>
      <c r="W28" s="52"/>
    </row>
    <row r="29" spans="1:23" x14ac:dyDescent="0.35">
      <c r="A29" s="46">
        <v>24</v>
      </c>
      <c r="B29" s="47">
        <v>46289</v>
      </c>
      <c r="C29" s="48"/>
      <c r="D29" s="49"/>
      <c r="E29" s="50"/>
      <c r="F29" s="50"/>
      <c r="G29" s="51"/>
      <c r="H29" s="52"/>
      <c r="I29" s="52"/>
      <c r="J29" s="52">
        <f>SUMIFS(XUẤT!$W:$W,XUẤT!$B:$B,TỒN!$B$12,XUẤT!$O:$O,TỒN!J28)</f>
        <v>0</v>
      </c>
      <c r="K29" s="52">
        <f>SUMIFS(XUẤT!$W:$W,XUẤT!$B:$B,TỒN!$B$12,XUẤT!$O:$O,TỒN!K28)</f>
        <v>0</v>
      </c>
      <c r="L29" s="52">
        <f>SUMIFS(XUẤT!$W:$W,XUẤT!$B:$B,TỒN!$B$12,XUẤT!$O:$O,TỒN!L28)</f>
        <v>0</v>
      </c>
      <c r="M29" s="52">
        <f>SUMIFS(XUẤT!$W:$W,XUẤT!$B:$B,TỒN!$B$12,XUẤT!$O:$O,TỒN!M28)</f>
        <v>0</v>
      </c>
      <c r="N29" s="52">
        <f>SUMIFS(XUẤT!$W:$W,XUẤT!$B:$B,TỒN!$B$12,XUẤT!$O:$O,TỒN!N28)</f>
        <v>0</v>
      </c>
      <c r="O29" s="52">
        <f>SUMIFS(XUẤT!$W:$W,XUẤT!$B:$B,TỒN!$B$12,XUẤT!$O:$O,TỒN!O28)</f>
        <v>0</v>
      </c>
      <c r="P29" s="52">
        <f t="shared" si="0"/>
        <v>0</v>
      </c>
      <c r="Q29" s="52"/>
      <c r="R29" s="52"/>
      <c r="S29" s="52"/>
      <c r="T29" s="52"/>
      <c r="U29" s="52"/>
      <c r="V29" s="52"/>
      <c r="W29" s="52"/>
    </row>
    <row r="30" spans="1:23" x14ac:dyDescent="0.35">
      <c r="A30" s="46">
        <v>25</v>
      </c>
      <c r="B30" s="47">
        <v>46290</v>
      </c>
      <c r="C30" s="48"/>
      <c r="D30" s="49"/>
      <c r="E30" s="50"/>
      <c r="F30" s="50"/>
      <c r="G30" s="51"/>
      <c r="H30" s="52"/>
      <c r="I30" s="52"/>
      <c r="J30" s="52">
        <f>SUMIFS(XUẤT!$W:$W,XUẤT!$B:$B,TỒN!$B$12,XUẤT!$O:$O,TỒN!J29)</f>
        <v>0</v>
      </c>
      <c r="K30" s="52">
        <f>SUMIFS(XUẤT!$W:$W,XUẤT!$B:$B,TỒN!$B$12,XUẤT!$O:$O,TỒN!K29)</f>
        <v>0</v>
      </c>
      <c r="L30" s="52">
        <f>SUMIFS(XUẤT!$W:$W,XUẤT!$B:$B,TỒN!$B$12,XUẤT!$O:$O,TỒN!L29)</f>
        <v>0</v>
      </c>
      <c r="M30" s="52">
        <f>SUMIFS(XUẤT!$W:$W,XUẤT!$B:$B,TỒN!$B$12,XUẤT!$O:$O,TỒN!M29)</f>
        <v>0</v>
      </c>
      <c r="N30" s="52">
        <f>SUMIFS(XUẤT!$W:$W,XUẤT!$B:$B,TỒN!$B$12,XUẤT!$O:$O,TỒN!N29)</f>
        <v>0</v>
      </c>
      <c r="O30" s="52">
        <f>SUMIFS(XUẤT!$W:$W,XUẤT!$B:$B,TỒN!$B$12,XUẤT!$O:$O,TỒN!O29)</f>
        <v>0</v>
      </c>
      <c r="P30" s="52">
        <f t="shared" si="0"/>
        <v>0</v>
      </c>
      <c r="Q30" s="52"/>
      <c r="R30" s="52"/>
      <c r="S30" s="52"/>
      <c r="T30" s="52"/>
      <c r="U30" s="52"/>
      <c r="V30" s="52"/>
      <c r="W30" s="52"/>
    </row>
    <row r="31" spans="1:23" x14ac:dyDescent="0.35">
      <c r="A31" s="46">
        <v>26</v>
      </c>
      <c r="B31" s="47">
        <v>46291</v>
      </c>
      <c r="C31" s="48"/>
      <c r="D31" s="49"/>
      <c r="E31" s="50"/>
      <c r="F31" s="50"/>
      <c r="G31" s="51"/>
      <c r="H31" s="52"/>
      <c r="I31" s="52"/>
      <c r="J31" s="52">
        <f>SUMIFS(XUẤT!$W:$W,XUẤT!$B:$B,TỒN!$B$12,XUẤT!$O:$O,TỒN!J30)</f>
        <v>0</v>
      </c>
      <c r="K31" s="52">
        <f>SUMIFS(XUẤT!$W:$W,XUẤT!$B:$B,TỒN!$B$12,XUẤT!$O:$O,TỒN!K30)</f>
        <v>0</v>
      </c>
      <c r="L31" s="52">
        <f>SUMIFS(XUẤT!$W:$W,XUẤT!$B:$B,TỒN!$B$12,XUẤT!$O:$O,TỒN!L30)</f>
        <v>0</v>
      </c>
      <c r="M31" s="52">
        <f>SUMIFS(XUẤT!$W:$W,XUẤT!$B:$B,TỒN!$B$12,XUẤT!$O:$O,TỒN!M30)</f>
        <v>0</v>
      </c>
      <c r="N31" s="52">
        <f>SUMIFS(XUẤT!$W:$W,XUẤT!$B:$B,TỒN!$B$12,XUẤT!$O:$O,TỒN!N30)</f>
        <v>0</v>
      </c>
      <c r="O31" s="52">
        <f>SUMIFS(XUẤT!$W:$W,XUẤT!$B:$B,TỒN!$B$12,XUẤT!$O:$O,TỒN!O30)</f>
        <v>0</v>
      </c>
      <c r="P31" s="52">
        <f t="shared" si="0"/>
        <v>0</v>
      </c>
      <c r="Q31" s="52"/>
      <c r="R31" s="52"/>
      <c r="S31" s="52"/>
      <c r="T31" s="52"/>
      <c r="U31" s="52"/>
      <c r="V31" s="52"/>
      <c r="W31" s="52"/>
    </row>
    <row r="32" spans="1:23" x14ac:dyDescent="0.35">
      <c r="A32" s="46">
        <v>27</v>
      </c>
      <c r="B32" s="47">
        <v>46292</v>
      </c>
      <c r="C32" s="48"/>
      <c r="D32" s="49"/>
      <c r="E32" s="50"/>
      <c r="F32" s="50"/>
      <c r="G32" s="51"/>
      <c r="H32" s="52"/>
      <c r="I32" s="52"/>
      <c r="J32" s="52">
        <f>SUMIFS(XUẤT!$W:$W,XUẤT!$B:$B,TỒN!$B$12,XUẤT!$O:$O,TỒN!J31)</f>
        <v>0</v>
      </c>
      <c r="K32" s="52">
        <f>SUMIFS(XUẤT!$W:$W,XUẤT!$B:$B,TỒN!$B$12,XUẤT!$O:$O,TỒN!K31)</f>
        <v>0</v>
      </c>
      <c r="L32" s="52">
        <f>SUMIFS(XUẤT!$W:$W,XUẤT!$B:$B,TỒN!$B$12,XUẤT!$O:$O,TỒN!L31)</f>
        <v>0</v>
      </c>
      <c r="M32" s="52">
        <f>SUMIFS(XUẤT!$W:$W,XUẤT!$B:$B,TỒN!$B$12,XUẤT!$O:$O,TỒN!M31)</f>
        <v>0</v>
      </c>
      <c r="N32" s="52">
        <f>SUMIFS(XUẤT!$W:$W,XUẤT!$B:$B,TỒN!$B$12,XUẤT!$O:$O,TỒN!N31)</f>
        <v>0</v>
      </c>
      <c r="O32" s="52">
        <f>SUMIFS(XUẤT!$W:$W,XUẤT!$B:$B,TỒN!$B$12,XUẤT!$O:$O,TỒN!O31)</f>
        <v>0</v>
      </c>
      <c r="P32" s="52">
        <f t="shared" si="0"/>
        <v>0</v>
      </c>
      <c r="Q32" s="52"/>
      <c r="R32" s="52"/>
      <c r="S32" s="52"/>
      <c r="T32" s="52"/>
      <c r="U32" s="52"/>
      <c r="V32" s="52"/>
      <c r="W32" s="52"/>
    </row>
    <row r="33" spans="1:23" s="53" customFormat="1" x14ac:dyDescent="0.35">
      <c r="A33" s="46">
        <v>28</v>
      </c>
      <c r="B33" s="47">
        <v>46293</v>
      </c>
      <c r="C33" s="48"/>
      <c r="D33" s="49"/>
      <c r="E33" s="50"/>
      <c r="F33" s="50"/>
      <c r="G33" s="51"/>
      <c r="H33" s="52"/>
      <c r="I33" s="52"/>
      <c r="J33" s="52">
        <f>SUMIFS(XUẤT!$W:$W,XUẤT!$B:$B,TỒN!$B$12,XUẤT!$O:$O,TỒN!J32)</f>
        <v>0</v>
      </c>
      <c r="K33" s="52">
        <f>SUMIFS(XUẤT!$W:$W,XUẤT!$B:$B,TỒN!$B$12,XUẤT!$O:$O,TỒN!K32)</f>
        <v>0</v>
      </c>
      <c r="L33" s="52">
        <f>SUMIFS(XUẤT!$W:$W,XUẤT!$B:$B,TỒN!$B$12,XUẤT!$O:$O,TỒN!L32)</f>
        <v>0</v>
      </c>
      <c r="M33" s="52">
        <f>SUMIFS(XUẤT!$W:$W,XUẤT!$B:$B,TỒN!$B$12,XUẤT!$O:$O,TỒN!M32)</f>
        <v>0</v>
      </c>
      <c r="N33" s="52">
        <f>SUMIFS(XUẤT!$W:$W,XUẤT!$B:$B,TỒN!$B$12,XUẤT!$O:$O,TỒN!N32)</f>
        <v>0</v>
      </c>
      <c r="O33" s="52">
        <f>SUMIFS(XUẤT!$W:$W,XUẤT!$B:$B,TỒN!$B$12,XUẤT!$O:$O,TỒN!O32)</f>
        <v>0</v>
      </c>
      <c r="P33" s="52">
        <f t="shared" si="0"/>
        <v>0</v>
      </c>
      <c r="Q33" s="52"/>
      <c r="R33" s="52"/>
      <c r="S33" s="52"/>
      <c r="T33" s="52"/>
      <c r="U33" s="52"/>
      <c r="V33" s="52"/>
      <c r="W33" s="52"/>
    </row>
    <row r="34" spans="1:23" x14ac:dyDescent="0.35">
      <c r="A34" s="46">
        <v>29</v>
      </c>
      <c r="B34" s="47">
        <v>46294</v>
      </c>
      <c r="C34" s="48"/>
      <c r="D34" s="49"/>
      <c r="E34" s="50"/>
      <c r="F34" s="50"/>
      <c r="G34" s="51"/>
      <c r="H34" s="52"/>
      <c r="I34" s="52"/>
      <c r="J34" s="52">
        <f>SUMIFS(XUẤT!$W:$W,XUẤT!$B:$B,TỒN!$B$12,XUẤT!$O:$O,TỒN!J33)</f>
        <v>0</v>
      </c>
      <c r="K34" s="52">
        <f>SUMIFS(XUẤT!$W:$W,XUẤT!$B:$B,TỒN!$B$12,XUẤT!$O:$O,TỒN!K33)</f>
        <v>0</v>
      </c>
      <c r="L34" s="52">
        <f>SUMIFS(XUẤT!$W:$W,XUẤT!$B:$B,TỒN!$B$12,XUẤT!$O:$O,TỒN!L33)</f>
        <v>0</v>
      </c>
      <c r="M34" s="52">
        <f>SUMIFS(XUẤT!$W:$W,XUẤT!$B:$B,TỒN!$B$12,XUẤT!$O:$O,TỒN!M33)</f>
        <v>0</v>
      </c>
      <c r="N34" s="52">
        <f>SUMIFS(XUẤT!$W:$W,XUẤT!$B:$B,TỒN!$B$12,XUẤT!$O:$O,TỒN!N33)</f>
        <v>0</v>
      </c>
      <c r="O34" s="52">
        <f>SUMIFS(XUẤT!$W:$W,XUẤT!$B:$B,TỒN!$B$12,XUẤT!$O:$O,TỒN!O33)</f>
        <v>0</v>
      </c>
      <c r="P34" s="52">
        <f t="shared" si="0"/>
        <v>0</v>
      </c>
      <c r="Q34" s="52"/>
      <c r="R34" s="52"/>
      <c r="S34" s="52"/>
      <c r="T34" s="52"/>
      <c r="U34" s="52"/>
      <c r="V34" s="52"/>
      <c r="W34" s="52"/>
    </row>
    <row r="35" spans="1:23" x14ac:dyDescent="0.35">
      <c r="A35" s="46">
        <v>30</v>
      </c>
      <c r="B35" s="47">
        <v>46295</v>
      </c>
      <c r="C35" s="48"/>
      <c r="D35" s="49"/>
      <c r="E35" s="50"/>
      <c r="F35" s="50"/>
      <c r="G35" s="51"/>
      <c r="H35" s="52"/>
      <c r="I35" s="52"/>
      <c r="J35" s="52">
        <f>SUMIFS(XUẤT!$W:$W,XUẤT!$B:$B,TỒN!$B$12,XUẤT!$O:$O,TỒN!J34)</f>
        <v>0</v>
      </c>
      <c r="K35" s="52">
        <f>SUMIFS(XUẤT!$W:$W,XUẤT!$B:$B,TỒN!$B$12,XUẤT!$O:$O,TỒN!K34)</f>
        <v>0</v>
      </c>
      <c r="L35" s="52">
        <f>SUMIFS(XUẤT!$W:$W,XUẤT!$B:$B,TỒN!$B$12,XUẤT!$O:$O,TỒN!L34)</f>
        <v>0</v>
      </c>
      <c r="M35" s="52">
        <f>SUMIFS(XUẤT!$W:$W,XUẤT!$B:$B,TỒN!$B$12,XUẤT!$O:$O,TỒN!M34)</f>
        <v>0</v>
      </c>
      <c r="N35" s="52">
        <f>SUMIFS(XUẤT!$W:$W,XUẤT!$B:$B,TỒN!$B$12,XUẤT!$O:$O,TỒN!N34)</f>
        <v>0</v>
      </c>
      <c r="O35" s="52">
        <f>SUMIFS(XUẤT!$W:$W,XUẤT!$B:$B,TỒN!$B$12,XUẤT!$O:$O,TỒN!O34)</f>
        <v>0</v>
      </c>
      <c r="P35" s="52">
        <f t="shared" si="0"/>
        <v>0</v>
      </c>
      <c r="Q35" s="52"/>
      <c r="R35" s="52"/>
      <c r="S35" s="52"/>
      <c r="T35" s="52"/>
      <c r="U35" s="52"/>
      <c r="V35" s="52"/>
      <c r="W35" s="52"/>
    </row>
    <row r="36" spans="1:23" x14ac:dyDescent="0.35">
      <c r="A36" s="54"/>
      <c r="B36" s="55" t="s">
        <v>22</v>
      </c>
      <c r="C36" s="56">
        <f t="shared" ref="C36:W36" si="1">SUM(C12:C35)</f>
        <v>0</v>
      </c>
      <c r="D36" s="56">
        <f t="shared" si="1"/>
        <v>0</v>
      </c>
      <c r="E36" s="56">
        <f t="shared" si="1"/>
        <v>0</v>
      </c>
      <c r="F36" s="56">
        <f t="shared" si="1"/>
        <v>0</v>
      </c>
      <c r="G36" s="56">
        <f t="shared" si="1"/>
        <v>0</v>
      </c>
      <c r="H36" s="56">
        <f t="shared" si="1"/>
        <v>0</v>
      </c>
      <c r="I36" s="56">
        <f t="shared" si="1"/>
        <v>0</v>
      </c>
      <c r="J36" s="56">
        <f t="shared" si="1"/>
        <v>0</v>
      </c>
      <c r="K36" s="56">
        <f t="shared" si="1"/>
        <v>0</v>
      </c>
      <c r="L36" s="56">
        <f t="shared" si="1"/>
        <v>0</v>
      </c>
      <c r="M36" s="56">
        <f t="shared" si="1"/>
        <v>0</v>
      </c>
      <c r="N36" s="56">
        <f t="shared" si="1"/>
        <v>0</v>
      </c>
      <c r="O36" s="56">
        <f t="shared" si="1"/>
        <v>0</v>
      </c>
      <c r="P36" s="56">
        <f t="shared" si="1"/>
        <v>0</v>
      </c>
      <c r="Q36" s="56">
        <f t="shared" si="1"/>
        <v>0</v>
      </c>
      <c r="R36" s="56">
        <f t="shared" si="1"/>
        <v>0</v>
      </c>
      <c r="S36" s="56">
        <f t="shared" si="1"/>
        <v>0</v>
      </c>
      <c r="T36" s="56">
        <f t="shared" si="1"/>
        <v>0</v>
      </c>
      <c r="U36" s="56">
        <f t="shared" si="1"/>
        <v>0</v>
      </c>
      <c r="V36" s="56">
        <f t="shared" si="1"/>
        <v>0</v>
      </c>
      <c r="W36" s="56">
        <f t="shared" si="1"/>
        <v>0</v>
      </c>
    </row>
  </sheetData>
  <mergeCells count="8">
    <mergeCell ref="A1:V1"/>
    <mergeCell ref="A2:V2"/>
    <mergeCell ref="A3:D3"/>
    <mergeCell ref="A4:A5"/>
    <mergeCell ref="B4:B5"/>
    <mergeCell ref="C4:I4"/>
    <mergeCell ref="J4:P4"/>
    <mergeCell ref="Q4:W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M28"/>
  <sheetViews>
    <sheetView zoomScaleNormal="100" workbookViewId="0">
      <selection activeCell="J19" sqref="J19"/>
    </sheetView>
  </sheetViews>
  <sheetFormatPr defaultColWidth="9.109375" defaultRowHeight="18" x14ac:dyDescent="0.3"/>
  <cols>
    <col min="1" max="1" width="6.5546875" style="57" customWidth="1"/>
    <col min="2" max="2" width="27" style="57" customWidth="1"/>
    <col min="3" max="3" width="18.109375" style="57" customWidth="1"/>
    <col min="4" max="4" width="20.6640625" style="57" customWidth="1"/>
    <col min="5" max="5" width="18.5546875" style="57" customWidth="1"/>
    <col min="6" max="6" width="24.109375" style="57" customWidth="1"/>
    <col min="7" max="7" width="8.109375" style="57" customWidth="1"/>
    <col min="8" max="8" width="13.109375" style="57" customWidth="1"/>
    <col min="9" max="9" width="14.44140625" style="57" customWidth="1"/>
    <col min="10" max="10" width="30" style="57" customWidth="1"/>
    <col min="11" max="11" width="9.109375" style="58"/>
    <col min="12" max="12" width="36.44140625" style="58" customWidth="1"/>
    <col min="13" max="16384" width="9.109375" style="58"/>
  </cols>
  <sheetData>
    <row r="1" spans="1:13" ht="27" customHeight="1" x14ac:dyDescent="0.3">
      <c r="A1" s="376" t="s">
        <v>295</v>
      </c>
      <c r="B1" s="376"/>
      <c r="C1" s="376"/>
      <c r="D1" s="376"/>
      <c r="E1" s="376"/>
      <c r="F1" s="376"/>
      <c r="G1" s="376"/>
      <c r="H1" s="376"/>
      <c r="I1" s="376"/>
      <c r="J1" s="376"/>
    </row>
    <row r="3" spans="1:13" ht="19.649999999999999" customHeight="1" x14ac:dyDescent="0.3">
      <c r="A3" s="44" t="s">
        <v>3</v>
      </c>
      <c r="B3" s="44" t="s">
        <v>296</v>
      </c>
      <c r="C3" s="44" t="s">
        <v>54</v>
      </c>
      <c r="D3" s="44" t="s">
        <v>297</v>
      </c>
      <c r="E3" s="44" t="s">
        <v>298</v>
      </c>
      <c r="F3" s="44" t="s">
        <v>299</v>
      </c>
      <c r="H3" s="377" t="s">
        <v>300</v>
      </c>
      <c r="I3" s="377"/>
      <c r="J3" s="377"/>
    </row>
    <row r="4" spans="1:13" x14ac:dyDescent="0.3">
      <c r="A4" s="59" t="s">
        <v>301</v>
      </c>
      <c r="B4" s="60" t="s">
        <v>302</v>
      </c>
      <c r="C4" s="60"/>
      <c r="D4" s="60"/>
      <c r="E4" s="60"/>
      <c r="F4" s="60"/>
      <c r="H4" s="61" t="s">
        <v>4</v>
      </c>
      <c r="I4" s="61" t="s">
        <v>303</v>
      </c>
      <c r="J4" s="61" t="s">
        <v>8</v>
      </c>
      <c r="L4" s="13" t="s">
        <v>102</v>
      </c>
      <c r="M4" s="58">
        <f t="shared" ref="M4:M10" si="0">COUNTIFS($J$5:$J$28,L4)</f>
        <v>3</v>
      </c>
    </row>
    <row r="5" spans="1:13" x14ac:dyDescent="0.3">
      <c r="A5" s="9">
        <v>1</v>
      </c>
      <c r="B5" s="8" t="s">
        <v>34</v>
      </c>
      <c r="C5" s="9" t="s">
        <v>304</v>
      </c>
      <c r="D5" s="9" t="s">
        <v>151</v>
      </c>
      <c r="E5" s="9" t="s">
        <v>305</v>
      </c>
      <c r="F5" s="9" t="s">
        <v>306</v>
      </c>
      <c r="H5" s="9">
        <v>1</v>
      </c>
      <c r="I5" s="9">
        <v>2</v>
      </c>
      <c r="J5" s="13"/>
      <c r="L5" s="13" t="s">
        <v>104</v>
      </c>
      <c r="M5" s="58">
        <f t="shared" si="0"/>
        <v>3</v>
      </c>
    </row>
    <row r="6" spans="1:13" ht="18.75" customHeight="1" x14ac:dyDescent="0.3">
      <c r="A6" s="9">
        <v>2</v>
      </c>
      <c r="B6" s="8" t="s">
        <v>307</v>
      </c>
      <c r="C6" s="378" t="s">
        <v>308</v>
      </c>
      <c r="D6" s="9" t="s">
        <v>309</v>
      </c>
      <c r="E6" s="9" t="s">
        <v>310</v>
      </c>
      <c r="F6" s="9"/>
      <c r="H6" s="9">
        <v>8</v>
      </c>
      <c r="I6" s="9">
        <v>3</v>
      </c>
      <c r="J6" s="13" t="s">
        <v>104</v>
      </c>
      <c r="L6" s="13" t="s">
        <v>105</v>
      </c>
      <c r="M6" s="58">
        <f t="shared" si="0"/>
        <v>4</v>
      </c>
    </row>
    <row r="7" spans="1:13" x14ac:dyDescent="0.3">
      <c r="A7" s="9">
        <v>3</v>
      </c>
      <c r="B7" s="8" t="s">
        <v>255</v>
      </c>
      <c r="C7" s="378"/>
      <c r="D7" s="9" t="s">
        <v>311</v>
      </c>
      <c r="E7" s="9" t="s">
        <v>312</v>
      </c>
      <c r="F7" s="9"/>
      <c r="H7" s="9">
        <v>9</v>
      </c>
      <c r="I7" s="9">
        <v>4</v>
      </c>
      <c r="J7" s="13" t="s">
        <v>105</v>
      </c>
      <c r="L7" s="13" t="s">
        <v>106</v>
      </c>
      <c r="M7" s="58">
        <f t="shared" si="0"/>
        <v>3</v>
      </c>
    </row>
    <row r="8" spans="1:13" ht="18.75" customHeight="1" x14ac:dyDescent="0.3">
      <c r="A8" s="9">
        <v>4</v>
      </c>
      <c r="B8" s="13" t="s">
        <v>102</v>
      </c>
      <c r="C8" s="378" t="s">
        <v>313</v>
      </c>
      <c r="D8" s="9" t="s">
        <v>314</v>
      </c>
      <c r="E8" s="9" t="s">
        <v>315</v>
      </c>
      <c r="F8" s="9"/>
      <c r="H8" s="9">
        <v>10</v>
      </c>
      <c r="I8" s="9">
        <v>5</v>
      </c>
      <c r="J8" s="13" t="s">
        <v>106</v>
      </c>
      <c r="L8" s="13" t="s">
        <v>316</v>
      </c>
      <c r="M8" s="58">
        <f t="shared" si="0"/>
        <v>3</v>
      </c>
    </row>
    <row r="9" spans="1:13" x14ac:dyDescent="0.3">
      <c r="A9" s="9">
        <v>5</v>
      </c>
      <c r="B9" s="13" t="s">
        <v>105</v>
      </c>
      <c r="C9" s="378"/>
      <c r="D9" s="9" t="s">
        <v>317</v>
      </c>
      <c r="E9" s="9" t="s">
        <v>318</v>
      </c>
      <c r="F9" s="9"/>
      <c r="H9" s="9">
        <v>11</v>
      </c>
      <c r="I9" s="9">
        <v>6</v>
      </c>
      <c r="J9" s="13" t="s">
        <v>108</v>
      </c>
      <c r="L9" s="13" t="s">
        <v>204</v>
      </c>
      <c r="M9" s="58">
        <f t="shared" si="0"/>
        <v>2</v>
      </c>
    </row>
    <row r="10" spans="1:13" x14ac:dyDescent="0.3">
      <c r="A10" s="9">
        <v>6</v>
      </c>
      <c r="B10" s="13" t="s">
        <v>104</v>
      </c>
      <c r="C10" s="378"/>
      <c r="D10" s="9" t="s">
        <v>314</v>
      </c>
      <c r="E10" s="9" t="s">
        <v>319</v>
      </c>
      <c r="F10" s="9"/>
      <c r="H10" s="9">
        <v>12</v>
      </c>
      <c r="I10" s="9">
        <v>7</v>
      </c>
      <c r="J10" s="13" t="s">
        <v>316</v>
      </c>
      <c r="L10" s="13" t="s">
        <v>108</v>
      </c>
      <c r="M10" s="58">
        <f t="shared" si="0"/>
        <v>4</v>
      </c>
    </row>
    <row r="11" spans="1:13" x14ac:dyDescent="0.3">
      <c r="A11" s="9">
        <v>7</v>
      </c>
      <c r="B11" s="13" t="s">
        <v>316</v>
      </c>
      <c r="C11" s="378"/>
      <c r="D11" s="9" t="s">
        <v>320</v>
      </c>
      <c r="E11" s="9" t="s">
        <v>321</v>
      </c>
      <c r="F11" s="9"/>
      <c r="H11" s="11"/>
      <c r="I11" s="11"/>
      <c r="J11" s="12"/>
    </row>
    <row r="12" spans="1:13" x14ac:dyDescent="0.3">
      <c r="A12" s="9">
        <v>8</v>
      </c>
      <c r="B12" s="13" t="s">
        <v>106</v>
      </c>
      <c r="C12" s="378"/>
      <c r="D12" s="9" t="s">
        <v>323</v>
      </c>
      <c r="E12" s="9" t="s">
        <v>324</v>
      </c>
      <c r="F12" s="9"/>
      <c r="H12" s="9">
        <v>14</v>
      </c>
      <c r="I12" s="9">
        <v>2</v>
      </c>
      <c r="J12" s="13" t="s">
        <v>106</v>
      </c>
    </row>
    <row r="13" spans="1:13" ht="36" x14ac:dyDescent="0.3">
      <c r="A13" s="9">
        <v>9</v>
      </c>
      <c r="B13" s="13" t="s">
        <v>108</v>
      </c>
      <c r="C13" s="378"/>
      <c r="D13" s="9" t="s">
        <v>314</v>
      </c>
      <c r="E13" s="9" t="s">
        <v>325</v>
      </c>
      <c r="F13" s="9"/>
      <c r="H13" s="205">
        <v>15</v>
      </c>
      <c r="I13" s="205">
        <v>3</v>
      </c>
      <c r="J13" s="206" t="s">
        <v>102</v>
      </c>
      <c r="K13" s="207" t="s">
        <v>437</v>
      </c>
    </row>
    <row r="14" spans="1:13" x14ac:dyDescent="0.3">
      <c r="A14" s="9">
        <v>10</v>
      </c>
      <c r="B14" s="13" t="s">
        <v>204</v>
      </c>
      <c r="C14" s="378"/>
      <c r="D14" s="9" t="s">
        <v>326</v>
      </c>
      <c r="E14" s="9" t="s">
        <v>327</v>
      </c>
      <c r="F14" s="9"/>
      <c r="H14" s="9">
        <v>16</v>
      </c>
      <c r="I14" s="9">
        <v>4</v>
      </c>
      <c r="J14" s="13" t="s">
        <v>105</v>
      </c>
    </row>
    <row r="15" spans="1:13" x14ac:dyDescent="0.3">
      <c r="A15" s="9">
        <v>11</v>
      </c>
      <c r="B15" s="8" t="s">
        <v>179</v>
      </c>
      <c r="C15" s="9" t="s">
        <v>170</v>
      </c>
      <c r="D15" s="9" t="s">
        <v>323</v>
      </c>
      <c r="E15" s="9" t="s">
        <v>328</v>
      </c>
      <c r="F15" s="9" t="s">
        <v>329</v>
      </c>
      <c r="H15" s="9">
        <v>17</v>
      </c>
      <c r="I15" s="9">
        <v>5</v>
      </c>
      <c r="J15" s="206" t="s">
        <v>204</v>
      </c>
    </row>
    <row r="16" spans="1:13" x14ac:dyDescent="0.3">
      <c r="A16" s="9">
        <v>12</v>
      </c>
      <c r="B16" s="7" t="s">
        <v>37</v>
      </c>
      <c r="C16" s="9" t="s">
        <v>132</v>
      </c>
      <c r="D16" s="9" t="s">
        <v>132</v>
      </c>
      <c r="E16" s="9" t="s">
        <v>330</v>
      </c>
      <c r="F16" s="9" t="s">
        <v>331</v>
      </c>
      <c r="H16" s="9">
        <v>18</v>
      </c>
      <c r="I16" s="9">
        <v>6</v>
      </c>
      <c r="J16" s="13" t="s">
        <v>316</v>
      </c>
    </row>
    <row r="17" spans="1:12" ht="36" x14ac:dyDescent="0.3">
      <c r="A17" s="9">
        <v>13</v>
      </c>
      <c r="B17" s="8" t="s">
        <v>44</v>
      </c>
      <c r="C17" s="9" t="s">
        <v>216</v>
      </c>
      <c r="D17" s="9"/>
      <c r="E17" s="9" t="s">
        <v>332</v>
      </c>
      <c r="F17" s="9" t="s">
        <v>216</v>
      </c>
      <c r="H17" s="205">
        <v>19</v>
      </c>
      <c r="I17" s="205">
        <v>7</v>
      </c>
      <c r="J17" s="206" t="s">
        <v>104</v>
      </c>
      <c r="K17" s="207" t="s">
        <v>437</v>
      </c>
    </row>
    <row r="18" spans="1:12" x14ac:dyDescent="0.3">
      <c r="A18" s="9">
        <v>14</v>
      </c>
      <c r="B18" s="8" t="s">
        <v>42</v>
      </c>
      <c r="C18" s="9" t="s">
        <v>192</v>
      </c>
      <c r="D18" s="9"/>
      <c r="E18" s="9" t="s">
        <v>333</v>
      </c>
      <c r="F18" s="9" t="s">
        <v>192</v>
      </c>
      <c r="H18" s="11">
        <v>20</v>
      </c>
      <c r="I18" s="226" t="s">
        <v>322</v>
      </c>
      <c r="J18" s="13" t="s">
        <v>108</v>
      </c>
      <c r="L18" s="225" t="s">
        <v>456</v>
      </c>
    </row>
    <row r="19" spans="1:12" ht="36" x14ac:dyDescent="0.3">
      <c r="A19" s="9">
        <v>15</v>
      </c>
      <c r="B19" s="8" t="s">
        <v>256</v>
      </c>
      <c r="C19" s="9" t="s">
        <v>257</v>
      </c>
      <c r="D19" s="9"/>
      <c r="E19" s="9" t="s">
        <v>334</v>
      </c>
      <c r="F19" s="9" t="s">
        <v>257</v>
      </c>
      <c r="H19" s="205">
        <v>21</v>
      </c>
      <c r="I19" s="226">
        <v>2</v>
      </c>
      <c r="J19" s="206" t="s">
        <v>104</v>
      </c>
      <c r="K19" s="207" t="s">
        <v>437</v>
      </c>
      <c r="L19" s="225" t="s">
        <v>456</v>
      </c>
    </row>
    <row r="20" spans="1:12" x14ac:dyDescent="0.3">
      <c r="A20" s="59" t="s">
        <v>335</v>
      </c>
      <c r="B20" s="60" t="s">
        <v>336</v>
      </c>
      <c r="C20" s="60"/>
      <c r="D20" s="60"/>
      <c r="E20" s="60"/>
      <c r="F20" s="60"/>
      <c r="H20" s="9">
        <v>22</v>
      </c>
      <c r="I20" s="9">
        <v>3</v>
      </c>
      <c r="J20" s="13" t="s">
        <v>316</v>
      </c>
    </row>
    <row r="21" spans="1:12" ht="36" x14ac:dyDescent="0.3">
      <c r="A21" s="9">
        <v>1</v>
      </c>
      <c r="B21" s="13" t="s">
        <v>203</v>
      </c>
      <c r="C21" s="9"/>
      <c r="D21" s="9" t="s">
        <v>326</v>
      </c>
      <c r="E21" s="9" t="s">
        <v>337</v>
      </c>
      <c r="F21" s="9"/>
      <c r="H21" s="9">
        <v>23</v>
      </c>
      <c r="I21" s="9">
        <v>4</v>
      </c>
      <c r="J21" s="13" t="s">
        <v>204</v>
      </c>
    </row>
    <row r="22" spans="1:12" x14ac:dyDescent="0.3">
      <c r="A22" s="9">
        <v>2</v>
      </c>
      <c r="B22" s="13" t="s">
        <v>110</v>
      </c>
      <c r="C22" s="9"/>
      <c r="D22" s="9" t="s">
        <v>151</v>
      </c>
      <c r="E22" s="9" t="s">
        <v>338</v>
      </c>
      <c r="F22" s="9"/>
      <c r="H22" s="9">
        <v>24</v>
      </c>
      <c r="I22" s="9">
        <v>5</v>
      </c>
      <c r="J22" s="13" t="s">
        <v>105</v>
      </c>
    </row>
    <row r="23" spans="1:12" x14ac:dyDescent="0.3">
      <c r="H23" s="9">
        <v>25</v>
      </c>
      <c r="I23" s="9">
        <v>6</v>
      </c>
      <c r="J23" s="13" t="s">
        <v>108</v>
      </c>
    </row>
    <row r="24" spans="1:12" x14ac:dyDescent="0.3">
      <c r="A24" s="62" t="s">
        <v>3</v>
      </c>
      <c r="B24" s="2" t="s">
        <v>339</v>
      </c>
      <c r="H24" s="9">
        <v>26</v>
      </c>
      <c r="I24" s="9">
        <v>7</v>
      </c>
      <c r="J24" s="13" t="s">
        <v>106</v>
      </c>
    </row>
    <row r="25" spans="1:12" x14ac:dyDescent="0.3">
      <c r="A25" s="9">
        <v>1</v>
      </c>
      <c r="B25" s="8" t="s">
        <v>340</v>
      </c>
      <c r="H25" s="11">
        <v>27</v>
      </c>
      <c r="I25" s="11" t="s">
        <v>322</v>
      </c>
      <c r="J25" s="12" t="s">
        <v>102</v>
      </c>
    </row>
    <row r="26" spans="1:12" x14ac:dyDescent="0.3">
      <c r="A26" s="9">
        <v>2</v>
      </c>
      <c r="B26" s="8" t="s">
        <v>341</v>
      </c>
      <c r="H26" s="9">
        <v>28</v>
      </c>
      <c r="I26" s="9">
        <v>2</v>
      </c>
      <c r="J26" s="13" t="s">
        <v>108</v>
      </c>
    </row>
    <row r="27" spans="1:12" x14ac:dyDescent="0.3">
      <c r="A27" s="9">
        <v>3</v>
      </c>
      <c r="B27" s="8" t="s">
        <v>342</v>
      </c>
      <c r="H27" s="9">
        <v>29</v>
      </c>
      <c r="I27" s="9">
        <v>3</v>
      </c>
      <c r="J27" s="13" t="s">
        <v>102</v>
      </c>
    </row>
    <row r="28" spans="1:12" x14ac:dyDescent="0.3">
      <c r="A28" s="9">
        <v>4</v>
      </c>
      <c r="B28" s="8" t="s">
        <v>343</v>
      </c>
      <c r="H28" s="9">
        <v>30</v>
      </c>
      <c r="I28" s="9">
        <v>4</v>
      </c>
      <c r="J28" s="13" t="s">
        <v>105</v>
      </c>
    </row>
  </sheetData>
  <mergeCells count="4">
    <mergeCell ref="A1:J1"/>
    <mergeCell ref="H3:J3"/>
    <mergeCell ref="C6:C7"/>
    <mergeCell ref="C8:C14"/>
  </mergeCells>
  <pageMargins left="0.7" right="0.7" top="0.17" bottom="0.75" header="0.17" footer="0.511811023622047"/>
  <pageSetup paperSize="9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H176"/>
  <sheetViews>
    <sheetView zoomScaleNormal="100" workbookViewId="0">
      <selection activeCell="D13" sqref="D13"/>
    </sheetView>
  </sheetViews>
  <sheetFormatPr defaultColWidth="9.109375" defaultRowHeight="18" x14ac:dyDescent="0.35"/>
  <cols>
    <col min="1" max="1" width="9.109375" style="63"/>
    <col min="2" max="2" width="34.88671875" style="64" customWidth="1"/>
    <col min="3" max="3" width="21" style="64" customWidth="1"/>
    <col min="4" max="4" width="11.6640625" style="64" customWidth="1"/>
    <col min="5" max="5" width="16" style="64" customWidth="1"/>
    <col min="6" max="6" width="18.109375" style="64" customWidth="1"/>
    <col min="7" max="7" width="9.109375" style="64"/>
    <col min="8" max="8" width="32.6640625" style="64" customWidth="1"/>
    <col min="9" max="16384" width="9.109375" style="64"/>
  </cols>
  <sheetData>
    <row r="1" spans="1:5" x14ac:dyDescent="0.35">
      <c r="A1" s="379" t="s">
        <v>344</v>
      </c>
      <c r="B1" s="379"/>
      <c r="C1" s="379"/>
      <c r="D1" s="379"/>
      <c r="E1" s="379"/>
    </row>
    <row r="2" spans="1:5" x14ac:dyDescent="0.35">
      <c r="A2" s="380" t="s">
        <v>291</v>
      </c>
      <c r="B2" s="380"/>
      <c r="C2" s="380"/>
      <c r="D2" s="380"/>
      <c r="E2" s="380"/>
    </row>
    <row r="4" spans="1:5" s="53" customFormat="1" ht="17.399999999999999" x14ac:dyDescent="0.3">
      <c r="A4" s="3" t="s">
        <v>3</v>
      </c>
      <c r="B4" s="65" t="s">
        <v>8</v>
      </c>
      <c r="C4" s="3" t="s">
        <v>54</v>
      </c>
      <c r="D4" s="3" t="s">
        <v>7</v>
      </c>
      <c r="E4" s="3" t="s">
        <v>17</v>
      </c>
    </row>
    <row r="5" spans="1:5" x14ac:dyDescent="0.35">
      <c r="A5" s="66">
        <v>1</v>
      </c>
      <c r="B5" s="67" t="s">
        <v>30</v>
      </c>
      <c r="C5" s="68"/>
      <c r="D5" s="69">
        <f>SUMIFS(XUẤT!AB:AB,XUẤT!AA:AA,'Vận chuyển'!B5)</f>
        <v>0</v>
      </c>
      <c r="E5" s="70">
        <f t="shared" ref="E5:E32" si="0">D5*5000</f>
        <v>0</v>
      </c>
    </row>
    <row r="6" spans="1:5" ht="18.75" customHeight="1" x14ac:dyDescent="0.35">
      <c r="A6" s="71">
        <v>2</v>
      </c>
      <c r="B6" s="72" t="s">
        <v>34</v>
      </c>
      <c r="C6" s="73" t="s">
        <v>304</v>
      </c>
      <c r="D6" s="69">
        <f>SUMIFS(XUẤT!AB:AB,XUẤT!AA:AA,'Vận chuyển'!B6)</f>
        <v>44</v>
      </c>
      <c r="E6" s="74">
        <f t="shared" si="0"/>
        <v>220000</v>
      </c>
    </row>
    <row r="7" spans="1:5" ht="18.75" customHeight="1" x14ac:dyDescent="0.35">
      <c r="A7" s="71">
        <v>3</v>
      </c>
      <c r="B7" s="127" t="s">
        <v>308</v>
      </c>
      <c r="C7" s="73" t="s">
        <v>308</v>
      </c>
      <c r="D7" s="69">
        <f>SUMIFS(XUẤT!AB:AB,XUẤT!AA:AA,'Vận chuyển'!B7)</f>
        <v>0</v>
      </c>
      <c r="E7" s="74">
        <f t="shared" si="0"/>
        <v>0</v>
      </c>
    </row>
    <row r="8" spans="1:5" ht="18.75" customHeight="1" x14ac:dyDescent="0.35">
      <c r="A8" s="71">
        <v>5</v>
      </c>
      <c r="B8" s="75" t="s">
        <v>102</v>
      </c>
      <c r="C8" s="381" t="s">
        <v>313</v>
      </c>
      <c r="D8" s="69">
        <f>SUMIFS(XUẤT!AB:AB,XUẤT!AA:AA,'Vận chuyển'!B8)</f>
        <v>0</v>
      </c>
      <c r="E8" s="74">
        <f t="shared" si="0"/>
        <v>0</v>
      </c>
    </row>
    <row r="9" spans="1:5" x14ac:dyDescent="0.35">
      <c r="A9" s="71">
        <v>6</v>
      </c>
      <c r="B9" s="75" t="s">
        <v>105</v>
      </c>
      <c r="C9" s="381"/>
      <c r="D9" s="69">
        <f>SUMIFS(XUẤT!AB:AB,XUẤT!AA:AA,'Vận chuyển'!B9)</f>
        <v>0</v>
      </c>
      <c r="E9" s="74">
        <f t="shared" si="0"/>
        <v>0</v>
      </c>
    </row>
    <row r="10" spans="1:5" x14ac:dyDescent="0.35">
      <c r="A10" s="71">
        <v>7</v>
      </c>
      <c r="B10" s="196" t="s">
        <v>104</v>
      </c>
      <c r="C10" s="381"/>
      <c r="D10" s="69">
        <f>SUMIFS(XUẤT!AB:AB,XUẤT!AA:AA,'Vận chuyển'!B10)</f>
        <v>0</v>
      </c>
      <c r="E10" s="74">
        <f t="shared" si="0"/>
        <v>0</v>
      </c>
    </row>
    <row r="11" spans="1:5" x14ac:dyDescent="0.35">
      <c r="A11" s="71">
        <v>8</v>
      </c>
      <c r="B11" s="10" t="s">
        <v>107</v>
      </c>
      <c r="C11" s="381"/>
      <c r="D11" s="69">
        <f>SUMIFS(XUẤT!AB:AB,XUẤT!AA:AA,'Vận chuyển'!B11)</f>
        <v>0</v>
      </c>
      <c r="E11" s="74">
        <f t="shared" si="0"/>
        <v>0</v>
      </c>
    </row>
    <row r="12" spans="1:5" x14ac:dyDescent="0.35">
      <c r="A12" s="71">
        <v>9</v>
      </c>
      <c r="B12" s="196" t="s">
        <v>106</v>
      </c>
      <c r="C12" s="381"/>
      <c r="D12" s="69">
        <f>SUMIFS(XUẤT!AB:AB,XUẤT!AA:AA,'Vận chuyển'!B12)</f>
        <v>2</v>
      </c>
      <c r="E12" s="74">
        <f t="shared" si="0"/>
        <v>10000</v>
      </c>
    </row>
    <row r="13" spans="1:5" x14ac:dyDescent="0.35">
      <c r="A13" s="71">
        <v>10</v>
      </c>
      <c r="B13" s="10" t="s">
        <v>108</v>
      </c>
      <c r="C13" s="381"/>
      <c r="D13" s="69">
        <f>SUMIFS(XUẤT!AB:AB,XUẤT!AA:AA,'Vận chuyển'!B13)</f>
        <v>6</v>
      </c>
      <c r="E13" s="74">
        <f t="shared" si="0"/>
        <v>30000</v>
      </c>
    </row>
    <row r="14" spans="1:5" x14ac:dyDescent="0.35">
      <c r="A14" s="71">
        <v>11</v>
      </c>
      <c r="B14" s="75" t="s">
        <v>204</v>
      </c>
      <c r="C14" s="381"/>
      <c r="D14" s="69">
        <f>SUMIFS(XUẤT!AB:AB,XUẤT!AA:AA,'Vận chuyển'!B14)</f>
        <v>0</v>
      </c>
      <c r="E14" s="74">
        <f t="shared" si="0"/>
        <v>0</v>
      </c>
    </row>
    <row r="15" spans="1:5" x14ac:dyDescent="0.35">
      <c r="A15" s="71">
        <v>12</v>
      </c>
      <c r="B15" s="127" t="s">
        <v>179</v>
      </c>
      <c r="C15" s="73" t="s">
        <v>170</v>
      </c>
      <c r="D15" s="69">
        <f>SUMIFS(XUẤT!AB:AB,XUẤT!AA:AA,'Vận chuyển'!B15)</f>
        <v>0</v>
      </c>
      <c r="E15" s="74">
        <f>D15*5000</f>
        <v>0</v>
      </c>
    </row>
    <row r="16" spans="1:5" x14ac:dyDescent="0.35">
      <c r="A16" s="71">
        <v>13</v>
      </c>
      <c r="B16" s="10" t="s">
        <v>37</v>
      </c>
      <c r="C16" s="73" t="s">
        <v>132</v>
      </c>
      <c r="D16" s="69">
        <f>SUMIFS(XUẤT!AB:AB,XUẤT!AA:AA,'Vận chuyển'!B16)</f>
        <v>3</v>
      </c>
      <c r="E16" s="74">
        <f t="shared" si="0"/>
        <v>15000</v>
      </c>
    </row>
    <row r="17" spans="1:8" x14ac:dyDescent="0.35">
      <c r="A17" s="71">
        <v>14</v>
      </c>
      <c r="B17" s="127" t="s">
        <v>44</v>
      </c>
      <c r="C17" s="73" t="s">
        <v>216</v>
      </c>
      <c r="D17" s="69">
        <f>SUMIFS(XUẤT!AB:AB,XUẤT!AA:AA,'Vận chuyển'!B17)</f>
        <v>0</v>
      </c>
      <c r="E17" s="74">
        <f t="shared" si="0"/>
        <v>0</v>
      </c>
    </row>
    <row r="18" spans="1:8" x14ac:dyDescent="0.35">
      <c r="A18" s="71">
        <v>15</v>
      </c>
      <c r="B18" s="72" t="s">
        <v>42</v>
      </c>
      <c r="C18" s="73" t="s">
        <v>192</v>
      </c>
      <c r="D18" s="69">
        <f>SUMIFS(XUẤT!AB:AB,XUẤT!AA:AA,'Vận chuyển'!B18)</f>
        <v>0</v>
      </c>
      <c r="E18" s="74">
        <f t="shared" si="0"/>
        <v>0</v>
      </c>
    </row>
    <row r="19" spans="1:8" s="53" customFormat="1" x14ac:dyDescent="0.35">
      <c r="A19" s="71">
        <v>16</v>
      </c>
      <c r="B19" s="72" t="s">
        <v>256</v>
      </c>
      <c r="C19" s="73" t="s">
        <v>257</v>
      </c>
      <c r="D19" s="69">
        <f>SUMIFS(XUẤT!AB:AB,XUẤT!AA:AA,'Vận chuyển'!B19)</f>
        <v>0</v>
      </c>
      <c r="E19" s="74">
        <f t="shared" si="0"/>
        <v>0</v>
      </c>
      <c r="F19" s="64"/>
      <c r="G19" s="64"/>
      <c r="H19" s="64"/>
    </row>
    <row r="20" spans="1:8" x14ac:dyDescent="0.35">
      <c r="A20" s="76">
        <v>17</v>
      </c>
      <c r="B20" s="37" t="s">
        <v>45</v>
      </c>
      <c r="C20" s="77"/>
      <c r="D20" s="69">
        <f>SUMIFS(XUẤT!AB:AB,XUẤT!AA:AA,'Vận chuyển'!B20)</f>
        <v>5</v>
      </c>
      <c r="E20" s="78">
        <f t="shared" si="0"/>
        <v>25000</v>
      </c>
    </row>
    <row r="21" spans="1:8" x14ac:dyDescent="0.35">
      <c r="A21" s="180">
        <v>18</v>
      </c>
      <c r="B21" s="181" t="s">
        <v>112</v>
      </c>
      <c r="C21" s="182" t="s">
        <v>58</v>
      </c>
      <c r="D21" s="69">
        <f>SUMIFS(XUẤT!AB:AB,XUẤT!AA:AA,'Vận chuyển'!B21)</f>
        <v>0</v>
      </c>
      <c r="E21" s="78">
        <f t="shared" si="0"/>
        <v>0</v>
      </c>
    </row>
    <row r="22" spans="1:8" x14ac:dyDescent="0.35">
      <c r="A22" s="180">
        <v>18</v>
      </c>
      <c r="B22" s="183" t="s">
        <v>168</v>
      </c>
      <c r="C22" s="182" t="s">
        <v>151</v>
      </c>
      <c r="D22" s="69">
        <f>SUMIFS(XUẤT!AB:AB,XUẤT!AA:AA,'Vận chuyển'!B22)</f>
        <v>0</v>
      </c>
      <c r="E22" s="78">
        <f t="shared" si="0"/>
        <v>0</v>
      </c>
    </row>
    <row r="23" spans="1:8" x14ac:dyDescent="0.35">
      <c r="A23" s="180">
        <v>19</v>
      </c>
      <c r="B23" s="10" t="s">
        <v>161</v>
      </c>
      <c r="C23" s="182" t="s">
        <v>151</v>
      </c>
      <c r="D23" s="69">
        <f>SUMIFS(XUẤT!AB:AB,XUẤT!AA:AA,'Vận chuyển'!B23)</f>
        <v>0</v>
      </c>
      <c r="E23" s="78">
        <f t="shared" si="0"/>
        <v>0</v>
      </c>
    </row>
    <row r="24" spans="1:8" x14ac:dyDescent="0.35">
      <c r="A24" s="180">
        <v>20</v>
      </c>
      <c r="B24" s="189" t="s">
        <v>48</v>
      </c>
      <c r="C24" s="182" t="s">
        <v>151</v>
      </c>
      <c r="D24" s="69">
        <f>SUMIFS(XUẤT!AB:AB,XUẤT!AA:AA,'Vận chuyển'!B24)</f>
        <v>0</v>
      </c>
      <c r="E24" s="78">
        <f t="shared" si="0"/>
        <v>0</v>
      </c>
    </row>
    <row r="25" spans="1:8" x14ac:dyDescent="0.35">
      <c r="A25" s="180">
        <v>21</v>
      </c>
      <c r="B25" s="189" t="s">
        <v>66</v>
      </c>
      <c r="C25" s="73" t="s">
        <v>304</v>
      </c>
      <c r="D25" s="69">
        <f>SUMIFS(XUẤT!AB:AB,XUẤT!AA:AA,'Vận chuyển'!B25)</f>
        <v>0</v>
      </c>
      <c r="E25" s="78">
        <f t="shared" si="0"/>
        <v>0</v>
      </c>
    </row>
    <row r="26" spans="1:8" x14ac:dyDescent="0.35">
      <c r="A26" s="180">
        <v>22</v>
      </c>
      <c r="B26" s="189" t="s">
        <v>207</v>
      </c>
      <c r="C26" s="191" t="s">
        <v>192</v>
      </c>
      <c r="D26" s="69">
        <f>SUMIFS(XUẤT!AB:AB,XUẤT!AA:AA,'Vận chuyển'!B26)</f>
        <v>0</v>
      </c>
      <c r="E26" s="78">
        <f t="shared" si="0"/>
        <v>0</v>
      </c>
    </row>
    <row r="27" spans="1:8" x14ac:dyDescent="0.35">
      <c r="A27" s="180">
        <v>23</v>
      </c>
      <c r="B27" s="189" t="s">
        <v>432</v>
      </c>
      <c r="C27" s="191" t="s">
        <v>58</v>
      </c>
      <c r="D27" s="69">
        <f>SUMIFS(XUẤT!AB:AB,XUẤT!AA:AA,'Vận chuyển'!B27)</f>
        <v>0</v>
      </c>
      <c r="E27" s="78">
        <f t="shared" si="0"/>
        <v>0</v>
      </c>
    </row>
    <row r="28" spans="1:8" x14ac:dyDescent="0.35">
      <c r="A28" s="180">
        <v>24</v>
      </c>
      <c r="B28" s="33" t="s">
        <v>80</v>
      </c>
      <c r="C28" s="191" t="s">
        <v>58</v>
      </c>
      <c r="D28" s="69">
        <f>SUMIFS(XUẤT!AB:AB,XUẤT!AA:AA,'Vận chuyển'!B28)</f>
        <v>0</v>
      </c>
      <c r="E28" s="78">
        <f t="shared" si="0"/>
        <v>0</v>
      </c>
    </row>
    <row r="29" spans="1:8" x14ac:dyDescent="0.35">
      <c r="A29" s="180">
        <v>25</v>
      </c>
      <c r="B29" s="10" t="s">
        <v>232</v>
      </c>
      <c r="C29" s="73" t="s">
        <v>216</v>
      </c>
      <c r="D29" s="69">
        <f>SUMIFS(XUẤT!AB:AB,XUẤT!AA:AA,'Vận chuyển'!B29)</f>
        <v>0</v>
      </c>
      <c r="E29" s="78">
        <f t="shared" si="0"/>
        <v>0</v>
      </c>
    </row>
    <row r="30" spans="1:8" x14ac:dyDescent="0.35">
      <c r="A30" s="180">
        <v>26</v>
      </c>
      <c r="B30" s="189" t="s">
        <v>33</v>
      </c>
      <c r="C30" s="73" t="s">
        <v>216</v>
      </c>
      <c r="D30" s="69">
        <f>SUMIFS(XUẤT!AB:AB,XUẤT!AA:AA,'Vận chuyển'!B30)</f>
        <v>0</v>
      </c>
      <c r="E30" s="78">
        <f t="shared" si="0"/>
        <v>0</v>
      </c>
    </row>
    <row r="31" spans="1:8" x14ac:dyDescent="0.35">
      <c r="A31" s="180">
        <v>27</v>
      </c>
      <c r="B31" s="189" t="s">
        <v>100</v>
      </c>
      <c r="C31" s="73" t="s">
        <v>216</v>
      </c>
      <c r="D31" s="69">
        <f>SUMIFS(XUẤT!AB:AB,XUẤT!AA:AA,'Vận chuyển'!B31)</f>
        <v>0</v>
      </c>
      <c r="E31" s="78">
        <f t="shared" si="0"/>
        <v>0</v>
      </c>
    </row>
    <row r="32" spans="1:8" x14ac:dyDescent="0.35">
      <c r="A32" s="180">
        <v>28</v>
      </c>
      <c r="B32" s="183" t="s">
        <v>189</v>
      </c>
      <c r="C32" s="73" t="s">
        <v>170</v>
      </c>
      <c r="D32" s="69">
        <f>SUMIFS(XUẤT!AB:AB,XUẤT!AA:AA,'Vận chuyển'!B32)</f>
        <v>0</v>
      </c>
      <c r="E32" s="78">
        <f t="shared" si="0"/>
        <v>0</v>
      </c>
    </row>
    <row r="33" spans="1:5" x14ac:dyDescent="0.35">
      <c r="A33" s="180">
        <v>29</v>
      </c>
      <c r="B33" s="10" t="s">
        <v>166</v>
      </c>
      <c r="D33" s="69">
        <f>SUMIFS(XUẤT!AB:AB,XUẤT!AA:AA,'Vận chuyển'!B33)</f>
        <v>10</v>
      </c>
      <c r="E33" s="78">
        <f t="shared" ref="E33:E37" si="1">D33*5000</f>
        <v>50000</v>
      </c>
    </row>
    <row r="34" spans="1:5" x14ac:dyDescent="0.35">
      <c r="A34" s="180">
        <v>30</v>
      </c>
      <c r="B34" s="10" t="s">
        <v>104</v>
      </c>
      <c r="C34" s="64" t="s">
        <v>313</v>
      </c>
      <c r="D34" s="69">
        <f>SUMIFS(XUẤT!AB:AB,XUẤT!AA:AA,'Vận chuyển'!B34)</f>
        <v>0</v>
      </c>
      <c r="E34" s="78">
        <f t="shared" si="1"/>
        <v>0</v>
      </c>
    </row>
    <row r="35" spans="1:5" x14ac:dyDescent="0.35">
      <c r="A35" s="180">
        <v>31</v>
      </c>
      <c r="B35" s="7" t="s">
        <v>187</v>
      </c>
      <c r="C35" s="64" t="s">
        <v>459</v>
      </c>
      <c r="D35" s="69">
        <f>SUMIFS(XUẤT!AB:AB,XUẤT!AA:AA,'Vận chuyển'!B35)</f>
        <v>0</v>
      </c>
      <c r="E35" s="78">
        <f t="shared" si="1"/>
        <v>0</v>
      </c>
    </row>
    <row r="36" spans="1:5" x14ac:dyDescent="0.35">
      <c r="A36" s="180">
        <v>32</v>
      </c>
      <c r="B36" s="7" t="s">
        <v>203</v>
      </c>
      <c r="C36" s="64" t="s">
        <v>460</v>
      </c>
      <c r="D36" s="69">
        <f>SUMIFS(XUẤT!AB:AB,XUẤT!AA:AA,'Vận chuyển'!B36)</f>
        <v>0</v>
      </c>
      <c r="E36" s="78">
        <f t="shared" si="1"/>
        <v>0</v>
      </c>
    </row>
    <row r="37" spans="1:5" x14ac:dyDescent="0.35">
      <c r="A37" s="180">
        <v>33</v>
      </c>
      <c r="B37" s="10" t="s">
        <v>107</v>
      </c>
      <c r="D37" s="69">
        <f>SUMIFS(XUẤT!AB:AB,XUẤT!AA:AA,'Vận chuyển'!B37)</f>
        <v>0</v>
      </c>
      <c r="E37" s="78">
        <f t="shared" si="1"/>
        <v>0</v>
      </c>
    </row>
    <row r="38" spans="1:5" x14ac:dyDescent="0.35">
      <c r="A38" s="180">
        <v>34</v>
      </c>
      <c r="B38" s="143" t="s">
        <v>29</v>
      </c>
      <c r="D38" s="69">
        <f>SUMIFS(XUẤT!AB:AB,XUẤT!AA:AA,'Vận chuyển'!B38)</f>
        <v>0</v>
      </c>
      <c r="E38" s="78">
        <f t="shared" ref="E38:E44" si="2">D38*5000</f>
        <v>0</v>
      </c>
    </row>
    <row r="39" spans="1:5" x14ac:dyDescent="0.35">
      <c r="A39" s="180">
        <v>35</v>
      </c>
      <c r="B39" s="143" t="s">
        <v>450</v>
      </c>
      <c r="D39" s="69">
        <f>SUMIFS(XUẤT!AB:AB,XUẤT!AA:AA,'Vận chuyển'!B39)</f>
        <v>0</v>
      </c>
      <c r="E39" s="78">
        <f t="shared" si="2"/>
        <v>0</v>
      </c>
    </row>
    <row r="40" spans="1:5" x14ac:dyDescent="0.35">
      <c r="A40" s="180">
        <v>36</v>
      </c>
      <c r="B40" s="143" t="s">
        <v>144</v>
      </c>
      <c r="D40" s="69">
        <f>SUMIFS(XUẤT!AB:AB,XUẤT!AA:AA,'Vận chuyển'!B40)</f>
        <v>0</v>
      </c>
      <c r="E40" s="78">
        <f t="shared" si="2"/>
        <v>0</v>
      </c>
    </row>
    <row r="41" spans="1:5" x14ac:dyDescent="0.35">
      <c r="A41" s="180">
        <v>37</v>
      </c>
      <c r="B41" s="145" t="s">
        <v>452</v>
      </c>
      <c r="D41" s="69">
        <f>SUMIFS(XUẤT!AB:AB,XUẤT!AA:AA,'Vận chuyển'!B41)</f>
        <v>0</v>
      </c>
      <c r="E41" s="78">
        <f t="shared" si="2"/>
        <v>0</v>
      </c>
    </row>
    <row r="42" spans="1:5" x14ac:dyDescent="0.35">
      <c r="A42" s="180">
        <v>38</v>
      </c>
      <c r="B42" s="90" t="s">
        <v>454</v>
      </c>
      <c r="D42" s="69">
        <f>SUMIFS(XUẤT!AB:AB,XUẤT!AA:AA,'Vận chuyển'!B42)</f>
        <v>0</v>
      </c>
      <c r="E42" s="78">
        <f t="shared" si="2"/>
        <v>0</v>
      </c>
    </row>
    <row r="43" spans="1:5" x14ac:dyDescent="0.35">
      <c r="A43" s="180">
        <v>39</v>
      </c>
      <c r="B43" s="10" t="s">
        <v>76</v>
      </c>
      <c r="D43" s="69">
        <f>SUMIFS(XUẤT!AB:AB,XUẤT!AA:AA,'Vận chuyển'!B43)</f>
        <v>0</v>
      </c>
      <c r="E43" s="78">
        <f t="shared" si="2"/>
        <v>0</v>
      </c>
    </row>
    <row r="44" spans="1:5" x14ac:dyDescent="0.35">
      <c r="A44" s="180">
        <v>40</v>
      </c>
      <c r="B44" s="90" t="s">
        <v>458</v>
      </c>
      <c r="D44" s="69">
        <f>SUMIFS(XUẤT!AB:AB,XUẤT!AA:AA,'Vận chuyển'!B44)</f>
        <v>8</v>
      </c>
      <c r="E44" s="78">
        <f t="shared" si="2"/>
        <v>40000</v>
      </c>
    </row>
    <row r="45" spans="1:5" x14ac:dyDescent="0.35">
      <c r="A45" s="180">
        <v>41</v>
      </c>
      <c r="B45" s="10" t="s">
        <v>181</v>
      </c>
      <c r="D45" s="69">
        <f>SUMIFS(XUẤT!AB:AB,XUẤT!AA:AA,'Vận chuyển'!B45)</f>
        <v>0</v>
      </c>
      <c r="E45" s="78">
        <f t="shared" ref="E45:E47" si="3">D45*5000</f>
        <v>0</v>
      </c>
    </row>
    <row r="46" spans="1:5" x14ac:dyDescent="0.35">
      <c r="A46" s="180">
        <v>42</v>
      </c>
      <c r="B46" s="193" t="s">
        <v>130</v>
      </c>
      <c r="D46" s="69">
        <f>SUMIFS(XUẤT!AB:AB,XUẤT!AA:AA,'Vận chuyển'!B46)</f>
        <v>0</v>
      </c>
      <c r="E46" s="78">
        <f t="shared" si="3"/>
        <v>0</v>
      </c>
    </row>
    <row r="47" spans="1:5" x14ac:dyDescent="0.35">
      <c r="A47" s="180">
        <v>43</v>
      </c>
      <c r="B47" s="10" t="s">
        <v>212</v>
      </c>
      <c r="D47" s="69">
        <f>SUMIFS(XUẤT!AB:AB,XUẤT!AA:AA,'Vận chuyển'!B47)</f>
        <v>0</v>
      </c>
      <c r="E47" s="78">
        <f t="shared" si="3"/>
        <v>0</v>
      </c>
    </row>
    <row r="48" spans="1:5" x14ac:dyDescent="0.35">
      <c r="A48" s="180">
        <v>44</v>
      </c>
      <c r="B48" s="10" t="s">
        <v>108</v>
      </c>
      <c r="D48" s="69">
        <f>SUMIFS(XUẤT!AB:AB,XUẤT!AA:AA,'Vận chuyển'!B48)</f>
        <v>6</v>
      </c>
      <c r="E48" s="78">
        <f t="shared" ref="E48" si="4">D48*5000</f>
        <v>30000</v>
      </c>
    </row>
    <row r="49" spans="1:8" x14ac:dyDescent="0.35">
      <c r="A49" s="180">
        <v>45</v>
      </c>
      <c r="B49" s="102" t="s">
        <v>472</v>
      </c>
      <c r="D49" s="69">
        <f>SUMIFS(XUẤT!AB:AB,XUẤT!AA:AA,'Vận chuyển'!B49)</f>
        <v>0</v>
      </c>
      <c r="E49" s="78">
        <f t="shared" ref="E49" si="5">D49*5000</f>
        <v>0</v>
      </c>
    </row>
    <row r="50" spans="1:8" x14ac:dyDescent="0.35">
      <c r="A50" s="180">
        <v>46</v>
      </c>
      <c r="B50" s="10" t="s">
        <v>206</v>
      </c>
      <c r="D50" s="69">
        <f>SUMIFS(XUẤT!AB:AB,XUẤT!AA:AA,'Vận chuyển'!B50)</f>
        <v>0</v>
      </c>
      <c r="E50" s="78">
        <f t="shared" ref="E50" si="6">D50*5000</f>
        <v>0</v>
      </c>
    </row>
    <row r="51" spans="1:8" x14ac:dyDescent="0.35">
      <c r="A51" s="180">
        <v>47</v>
      </c>
      <c r="B51" s="10" t="s">
        <v>179</v>
      </c>
      <c r="D51" s="69">
        <f>SUMIFS(XUẤT!AB:AB,XUẤT!AA:AA,'Vận chuyển'!B51)</f>
        <v>0</v>
      </c>
      <c r="E51" s="78">
        <f t="shared" ref="E51" si="7">D51*5000</f>
        <v>0</v>
      </c>
    </row>
    <row r="52" spans="1:8" x14ac:dyDescent="0.35">
      <c r="A52" s="180">
        <v>48</v>
      </c>
      <c r="B52" s="10" t="s">
        <v>74</v>
      </c>
      <c r="D52" s="69">
        <f>SUMIFS(XUẤT!AB:AB,XUẤT!AA:AA,'Vận chuyển'!B52)</f>
        <v>0</v>
      </c>
      <c r="E52" s="78">
        <f t="shared" ref="E52" si="8">D52*5000</f>
        <v>0</v>
      </c>
    </row>
    <row r="53" spans="1:8" x14ac:dyDescent="0.35">
      <c r="A53" s="180">
        <v>49</v>
      </c>
      <c r="B53" s="193" t="s">
        <v>169</v>
      </c>
      <c r="D53" s="69">
        <f>SUMIFS(XUẤT!AB:AB,XUẤT!AA:AA,'Vận chuyển'!B53)</f>
        <v>0</v>
      </c>
      <c r="E53" s="78">
        <f t="shared" ref="E53" si="9">D53*5000</f>
        <v>0</v>
      </c>
    </row>
    <row r="54" spans="1:8" x14ac:dyDescent="0.35">
      <c r="A54" s="180">
        <v>50</v>
      </c>
      <c r="B54" s="10" t="s">
        <v>37</v>
      </c>
      <c r="D54" s="69">
        <f>SUMIFS(XUẤT!AB:AB,XUẤT!AA:AA,'Vận chuyển'!B54)</f>
        <v>3</v>
      </c>
      <c r="E54" s="78">
        <f t="shared" ref="E54" si="10">D54*5000</f>
        <v>15000</v>
      </c>
    </row>
    <row r="55" spans="1:8" x14ac:dyDescent="0.35">
      <c r="A55" s="180">
        <v>51</v>
      </c>
      <c r="B55" s="10" t="s">
        <v>69</v>
      </c>
      <c r="D55" s="69">
        <f>SUMIFS(XUẤT!AB:AB,XUẤT!AA:AA,'Vận chuyển'!B55)</f>
        <v>0</v>
      </c>
      <c r="E55" s="78">
        <f t="shared" ref="E55" si="11">D55*5000</f>
        <v>0</v>
      </c>
    </row>
    <row r="56" spans="1:8" x14ac:dyDescent="0.35">
      <c r="A56" s="180">
        <v>52</v>
      </c>
      <c r="B56" s="10" t="s">
        <v>86</v>
      </c>
      <c r="D56" s="69">
        <f>SUMIFS(XUẤT!AB:AB,XUẤT!AA:AA,'Vận chuyển'!B56)</f>
        <v>0</v>
      </c>
      <c r="E56" s="78">
        <f t="shared" ref="E56" si="12">D56*5000</f>
        <v>0</v>
      </c>
    </row>
    <row r="57" spans="1:8" x14ac:dyDescent="0.35">
      <c r="A57" s="180">
        <v>53</v>
      </c>
      <c r="B57" s="10" t="s">
        <v>31</v>
      </c>
      <c r="D57" s="69">
        <f>SUMIFS(XUẤT!AB:AB,XUẤT!AA:AA,'Vận chuyển'!B57)</f>
        <v>0</v>
      </c>
      <c r="E57" s="78">
        <f t="shared" ref="E57" si="13">D57*5000</f>
        <v>0</v>
      </c>
    </row>
    <row r="58" spans="1:8" ht="19.2" customHeight="1" x14ac:dyDescent="0.35">
      <c r="A58" s="54"/>
      <c r="B58" s="55" t="s">
        <v>22</v>
      </c>
      <c r="C58" s="55"/>
      <c r="D58" s="55">
        <f>SUM(D5:D37)</f>
        <v>70</v>
      </c>
      <c r="E58" s="222">
        <f>SUM(E5:E38)</f>
        <v>350000</v>
      </c>
      <c r="F58" s="221">
        <f>E58-XUẤT!AC5</f>
        <v>-2145000</v>
      </c>
      <c r="G58" s="53"/>
      <c r="H58" s="53"/>
    </row>
    <row r="60" spans="1:8" x14ac:dyDescent="0.35">
      <c r="B60"/>
    </row>
    <row r="61" spans="1:8" x14ac:dyDescent="0.35">
      <c r="B61"/>
    </row>
    <row r="62" spans="1:8" x14ac:dyDescent="0.35">
      <c r="B62"/>
    </row>
    <row r="63" spans="1:8" x14ac:dyDescent="0.35">
      <c r="B63"/>
    </row>
    <row r="64" spans="1:8" x14ac:dyDescent="0.35">
      <c r="B64"/>
    </row>
    <row r="65" spans="2:2" x14ac:dyDescent="0.35">
      <c r="B65"/>
    </row>
    <row r="66" spans="2:2" x14ac:dyDescent="0.35">
      <c r="B66"/>
    </row>
    <row r="67" spans="2:2" x14ac:dyDescent="0.35">
      <c r="B67"/>
    </row>
    <row r="68" spans="2:2" x14ac:dyDescent="0.35">
      <c r="B68"/>
    </row>
    <row r="69" spans="2:2" x14ac:dyDescent="0.35">
      <c r="B69"/>
    </row>
    <row r="70" spans="2:2" x14ac:dyDescent="0.35">
      <c r="B70"/>
    </row>
    <row r="71" spans="2:2" x14ac:dyDescent="0.35">
      <c r="B71"/>
    </row>
    <row r="72" spans="2:2" x14ac:dyDescent="0.35">
      <c r="B72"/>
    </row>
    <row r="73" spans="2:2" x14ac:dyDescent="0.35">
      <c r="B73"/>
    </row>
    <row r="74" spans="2:2" x14ac:dyDescent="0.35">
      <c r="B74"/>
    </row>
    <row r="75" spans="2:2" x14ac:dyDescent="0.35">
      <c r="B75"/>
    </row>
    <row r="76" spans="2:2" x14ac:dyDescent="0.35">
      <c r="B76"/>
    </row>
    <row r="77" spans="2:2" x14ac:dyDescent="0.35">
      <c r="B77"/>
    </row>
    <row r="78" spans="2:2" x14ac:dyDescent="0.35">
      <c r="B78"/>
    </row>
    <row r="79" spans="2:2" x14ac:dyDescent="0.35">
      <c r="B79"/>
    </row>
    <row r="80" spans="2:2" x14ac:dyDescent="0.35">
      <c r="B80"/>
    </row>
    <row r="81" spans="2:2" x14ac:dyDescent="0.35">
      <c r="B81"/>
    </row>
    <row r="82" spans="2:2" x14ac:dyDescent="0.35">
      <c r="B82"/>
    </row>
    <row r="83" spans="2:2" x14ac:dyDescent="0.35">
      <c r="B83"/>
    </row>
    <row r="84" spans="2:2" x14ac:dyDescent="0.35">
      <c r="B84"/>
    </row>
    <row r="85" spans="2:2" x14ac:dyDescent="0.35">
      <c r="B85"/>
    </row>
    <row r="86" spans="2:2" x14ac:dyDescent="0.35">
      <c r="B86"/>
    </row>
    <row r="87" spans="2:2" x14ac:dyDescent="0.35">
      <c r="B87"/>
    </row>
    <row r="88" spans="2:2" x14ac:dyDescent="0.35">
      <c r="B88"/>
    </row>
    <row r="89" spans="2:2" x14ac:dyDescent="0.35">
      <c r="B89"/>
    </row>
    <row r="90" spans="2:2" x14ac:dyDescent="0.35">
      <c r="B90"/>
    </row>
    <row r="91" spans="2:2" x14ac:dyDescent="0.35">
      <c r="B91"/>
    </row>
    <row r="92" spans="2:2" x14ac:dyDescent="0.35">
      <c r="B92"/>
    </row>
    <row r="93" spans="2:2" x14ac:dyDescent="0.35">
      <c r="B93"/>
    </row>
    <row r="94" spans="2:2" x14ac:dyDescent="0.35">
      <c r="B94"/>
    </row>
    <row r="95" spans="2:2" x14ac:dyDescent="0.35">
      <c r="B95"/>
    </row>
    <row r="96" spans="2:2" x14ac:dyDescent="0.35">
      <c r="B96"/>
    </row>
    <row r="97" spans="2:2" x14ac:dyDescent="0.35">
      <c r="B97"/>
    </row>
    <row r="98" spans="2:2" x14ac:dyDescent="0.35">
      <c r="B98"/>
    </row>
    <row r="99" spans="2:2" x14ac:dyDescent="0.35">
      <c r="B99"/>
    </row>
    <row r="100" spans="2:2" x14ac:dyDescent="0.35">
      <c r="B100"/>
    </row>
    <row r="101" spans="2:2" x14ac:dyDescent="0.35">
      <c r="B101"/>
    </row>
    <row r="102" spans="2:2" x14ac:dyDescent="0.35">
      <c r="B102"/>
    </row>
    <row r="103" spans="2:2" x14ac:dyDescent="0.35">
      <c r="B103"/>
    </row>
    <row r="104" spans="2:2" x14ac:dyDescent="0.35">
      <c r="B104"/>
    </row>
    <row r="105" spans="2:2" x14ac:dyDescent="0.35">
      <c r="B105"/>
    </row>
    <row r="106" spans="2:2" x14ac:dyDescent="0.35">
      <c r="B106"/>
    </row>
    <row r="107" spans="2:2" x14ac:dyDescent="0.35">
      <c r="B107"/>
    </row>
    <row r="108" spans="2:2" x14ac:dyDescent="0.35">
      <c r="B108"/>
    </row>
    <row r="109" spans="2:2" x14ac:dyDescent="0.35">
      <c r="B109"/>
    </row>
    <row r="110" spans="2:2" x14ac:dyDescent="0.35">
      <c r="B110"/>
    </row>
    <row r="111" spans="2:2" x14ac:dyDescent="0.35">
      <c r="B111"/>
    </row>
    <row r="112" spans="2:2" x14ac:dyDescent="0.35">
      <c r="B112"/>
    </row>
    <row r="113" spans="2:2" x14ac:dyDescent="0.35">
      <c r="B113"/>
    </row>
    <row r="114" spans="2:2" x14ac:dyDescent="0.35">
      <c r="B114"/>
    </row>
    <row r="115" spans="2:2" x14ac:dyDescent="0.35">
      <c r="B115"/>
    </row>
    <row r="116" spans="2:2" x14ac:dyDescent="0.35">
      <c r="B116"/>
    </row>
    <row r="117" spans="2:2" x14ac:dyDescent="0.35">
      <c r="B117"/>
    </row>
    <row r="118" spans="2:2" x14ac:dyDescent="0.35">
      <c r="B118"/>
    </row>
    <row r="119" spans="2:2" x14ac:dyDescent="0.35">
      <c r="B119"/>
    </row>
    <row r="120" spans="2:2" x14ac:dyDescent="0.35">
      <c r="B120"/>
    </row>
    <row r="121" spans="2:2" x14ac:dyDescent="0.35">
      <c r="B121"/>
    </row>
    <row r="122" spans="2:2" x14ac:dyDescent="0.35">
      <c r="B122"/>
    </row>
    <row r="123" spans="2:2" x14ac:dyDescent="0.35">
      <c r="B123"/>
    </row>
    <row r="124" spans="2:2" x14ac:dyDescent="0.35">
      <c r="B124"/>
    </row>
    <row r="125" spans="2:2" x14ac:dyDescent="0.35">
      <c r="B125"/>
    </row>
    <row r="126" spans="2:2" x14ac:dyDescent="0.35">
      <c r="B126"/>
    </row>
    <row r="127" spans="2:2" x14ac:dyDescent="0.35">
      <c r="B127"/>
    </row>
    <row r="128" spans="2:2" x14ac:dyDescent="0.35">
      <c r="B128"/>
    </row>
    <row r="129" spans="2:2" x14ac:dyDescent="0.35">
      <c r="B129"/>
    </row>
    <row r="130" spans="2:2" x14ac:dyDescent="0.35">
      <c r="B130"/>
    </row>
    <row r="131" spans="2:2" x14ac:dyDescent="0.35">
      <c r="B131"/>
    </row>
    <row r="132" spans="2:2" x14ac:dyDescent="0.35">
      <c r="B132"/>
    </row>
    <row r="133" spans="2:2" x14ac:dyDescent="0.35">
      <c r="B133"/>
    </row>
    <row r="134" spans="2:2" x14ac:dyDescent="0.35">
      <c r="B134"/>
    </row>
    <row r="135" spans="2:2" x14ac:dyDescent="0.35">
      <c r="B135"/>
    </row>
    <row r="136" spans="2:2" x14ac:dyDescent="0.35">
      <c r="B136"/>
    </row>
    <row r="137" spans="2:2" x14ac:dyDescent="0.35">
      <c r="B137"/>
    </row>
    <row r="138" spans="2:2" x14ac:dyDescent="0.35">
      <c r="B138"/>
    </row>
    <row r="139" spans="2:2" x14ac:dyDescent="0.35">
      <c r="B139"/>
    </row>
    <row r="140" spans="2:2" x14ac:dyDescent="0.35">
      <c r="B140"/>
    </row>
    <row r="141" spans="2:2" x14ac:dyDescent="0.35">
      <c r="B141"/>
    </row>
    <row r="142" spans="2:2" x14ac:dyDescent="0.35">
      <c r="B142"/>
    </row>
    <row r="143" spans="2:2" x14ac:dyDescent="0.35">
      <c r="B143"/>
    </row>
    <row r="144" spans="2:2" x14ac:dyDescent="0.35">
      <c r="B144"/>
    </row>
    <row r="145" spans="2:2" x14ac:dyDescent="0.35">
      <c r="B145"/>
    </row>
    <row r="146" spans="2:2" x14ac:dyDescent="0.35">
      <c r="B146"/>
    </row>
    <row r="147" spans="2:2" x14ac:dyDescent="0.35">
      <c r="B147"/>
    </row>
    <row r="148" spans="2:2" x14ac:dyDescent="0.35">
      <c r="B148"/>
    </row>
    <row r="149" spans="2:2" x14ac:dyDescent="0.35">
      <c r="B149"/>
    </row>
    <row r="150" spans="2:2" x14ac:dyDescent="0.35">
      <c r="B150"/>
    </row>
    <row r="151" spans="2:2" x14ac:dyDescent="0.35">
      <c r="B151"/>
    </row>
    <row r="152" spans="2:2" x14ac:dyDescent="0.35">
      <c r="B152"/>
    </row>
    <row r="153" spans="2:2" x14ac:dyDescent="0.35">
      <c r="B153"/>
    </row>
    <row r="154" spans="2:2" x14ac:dyDescent="0.35">
      <c r="B154"/>
    </row>
    <row r="155" spans="2:2" x14ac:dyDescent="0.35">
      <c r="B155"/>
    </row>
    <row r="156" spans="2:2" x14ac:dyDescent="0.35">
      <c r="B156"/>
    </row>
    <row r="157" spans="2:2" x14ac:dyDescent="0.35">
      <c r="B157"/>
    </row>
    <row r="158" spans="2:2" x14ac:dyDescent="0.35">
      <c r="B158"/>
    </row>
    <row r="159" spans="2:2" x14ac:dyDescent="0.35">
      <c r="B159"/>
    </row>
    <row r="160" spans="2:2" x14ac:dyDescent="0.35">
      <c r="B160"/>
    </row>
    <row r="161" spans="2:2" x14ac:dyDescent="0.35">
      <c r="B161"/>
    </row>
    <row r="162" spans="2:2" x14ac:dyDescent="0.35">
      <c r="B162"/>
    </row>
    <row r="163" spans="2:2" x14ac:dyDescent="0.35">
      <c r="B163"/>
    </row>
    <row r="164" spans="2:2" x14ac:dyDescent="0.35">
      <c r="B164"/>
    </row>
    <row r="165" spans="2:2" x14ac:dyDescent="0.35">
      <c r="B165"/>
    </row>
    <row r="166" spans="2:2" x14ac:dyDescent="0.35">
      <c r="B166"/>
    </row>
    <row r="167" spans="2:2" x14ac:dyDescent="0.35">
      <c r="B167"/>
    </row>
    <row r="168" spans="2:2" x14ac:dyDescent="0.35">
      <c r="B168"/>
    </row>
    <row r="169" spans="2:2" x14ac:dyDescent="0.35">
      <c r="B169"/>
    </row>
    <row r="170" spans="2:2" x14ac:dyDescent="0.35">
      <c r="B170"/>
    </row>
    <row r="171" spans="2:2" x14ac:dyDescent="0.35">
      <c r="B171"/>
    </row>
    <row r="172" spans="2:2" x14ac:dyDescent="0.35">
      <c r="B172"/>
    </row>
    <row r="173" spans="2:2" x14ac:dyDescent="0.35">
      <c r="B173"/>
    </row>
    <row r="174" spans="2:2" x14ac:dyDescent="0.35">
      <c r="B174"/>
    </row>
    <row r="175" spans="2:2" x14ac:dyDescent="0.35">
      <c r="B175"/>
    </row>
    <row r="176" spans="2:2" x14ac:dyDescent="0.35">
      <c r="B176"/>
    </row>
  </sheetData>
  <mergeCells count="3">
    <mergeCell ref="A1:E1"/>
    <mergeCell ref="A2:E2"/>
    <mergeCell ref="C8:C14"/>
  </mergeCells>
  <conditionalFormatting sqref="B11">
    <cfRule type="duplicateValues" dxfId="33" priority="15"/>
  </conditionalFormatting>
  <conditionalFormatting sqref="B20:B21">
    <cfRule type="duplicateValues" dxfId="32" priority="82"/>
  </conditionalFormatting>
  <conditionalFormatting sqref="B22 B24:B27">
    <cfRule type="duplicateValues" dxfId="31" priority="79"/>
  </conditionalFormatting>
  <conditionalFormatting sqref="B23">
    <cfRule type="duplicateValues" dxfId="30" priority="75"/>
  </conditionalFormatting>
  <conditionalFormatting sqref="B28">
    <cfRule type="duplicateValues" dxfId="29" priority="78"/>
  </conditionalFormatting>
  <conditionalFormatting sqref="B29:B31">
    <cfRule type="duplicateValues" dxfId="28" priority="77"/>
  </conditionalFormatting>
  <conditionalFormatting sqref="B32">
    <cfRule type="duplicateValues" dxfId="27" priority="76"/>
  </conditionalFormatting>
  <conditionalFormatting sqref="B33">
    <cfRule type="duplicateValues" dxfId="26" priority="18"/>
  </conditionalFormatting>
  <conditionalFormatting sqref="B34">
    <cfRule type="duplicateValues" dxfId="25" priority="17"/>
  </conditionalFormatting>
  <conditionalFormatting sqref="B36">
    <cfRule type="duplicateValues" dxfId="24" priority="57"/>
  </conditionalFormatting>
  <conditionalFormatting sqref="B37">
    <cfRule type="duplicateValues" dxfId="23" priority="52"/>
  </conditionalFormatting>
  <conditionalFormatting sqref="B43">
    <cfRule type="duplicateValues" dxfId="22" priority="246"/>
  </conditionalFormatting>
  <conditionalFormatting sqref="B45">
    <cfRule type="duplicateValues" dxfId="21" priority="14"/>
  </conditionalFormatting>
  <conditionalFormatting sqref="B46">
    <cfRule type="duplicateValues" dxfId="20" priority="13"/>
  </conditionalFormatting>
  <conditionalFormatting sqref="B47">
    <cfRule type="duplicateValues" dxfId="19" priority="11"/>
  </conditionalFormatting>
  <conditionalFormatting sqref="B48">
    <cfRule type="duplicateValues" dxfId="18" priority="10"/>
  </conditionalFormatting>
  <conditionalFormatting sqref="B50">
    <cfRule type="duplicateValues" dxfId="17" priority="9"/>
  </conditionalFormatting>
  <conditionalFormatting sqref="B51">
    <cfRule type="duplicateValues" dxfId="16" priority="8"/>
  </conditionalFormatting>
  <conditionalFormatting sqref="B52">
    <cfRule type="duplicateValues" dxfId="15" priority="7"/>
  </conditionalFormatting>
  <conditionalFormatting sqref="B53">
    <cfRule type="duplicateValues" dxfId="14" priority="6"/>
  </conditionalFormatting>
  <conditionalFormatting sqref="B54">
    <cfRule type="duplicateValues" dxfId="13" priority="5"/>
  </conditionalFormatting>
  <conditionalFormatting sqref="B55">
    <cfRule type="duplicateValues" dxfId="12" priority="4"/>
  </conditionalFormatting>
  <conditionalFormatting sqref="B56">
    <cfRule type="duplicateValues" dxfId="11" priority="3"/>
  </conditionalFormatting>
  <conditionalFormatting sqref="B57">
    <cfRule type="duplicateValues" dxfId="10" priority="2"/>
  </conditionalFormatting>
  <conditionalFormatting sqref="B177:B1048576 B1:B10 B35:B37 B58:B59 B12 B14:B32">
    <cfRule type="duplicateValues" dxfId="9" priority="193"/>
  </conditionalFormatting>
  <conditionalFormatting sqref="B177:B1048576 B58:B59 B3:B10 B12 B14:B21">
    <cfRule type="duplicateValues" dxfId="8" priority="81"/>
  </conditionalFormatting>
  <conditionalFormatting sqref="B13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FD6AE5-B278-43B6-B341-CE5F82D4EA99}">
          <x14:formula1>
            <xm:f>'Đơn giá'!$B$4:$B$9</xm:f>
          </x14:formula1>
          <xm:sqref>B43</xm:sqref>
        </x14:dataValidation>
        <x14:dataValidation type="list" allowBlank="1" showInputMessage="1" showErrorMessage="1" xr:uid="{7F7B7D18-E590-497E-B210-F14E495091B7}">
          <x14:formula1>
            <xm:f>'Đơn giá'!$F$4:$F$5</xm:f>
          </x14:formula1>
          <xm:sqref>B11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K9"/>
  <sheetViews>
    <sheetView zoomScaleNormal="100" workbookViewId="0">
      <selection activeCell="A3" sqref="A3:C9"/>
    </sheetView>
  </sheetViews>
  <sheetFormatPr defaultColWidth="8.5546875" defaultRowHeight="14.4" x14ac:dyDescent="0.3"/>
  <cols>
    <col min="2" max="2" width="13.109375" customWidth="1"/>
    <col min="3" max="3" width="11.109375" customWidth="1"/>
    <col min="6" max="6" width="15.109375" customWidth="1"/>
    <col min="9" max="9" width="13.88671875" bestFit="1" customWidth="1"/>
    <col min="11" max="11" width="11.33203125" customWidth="1"/>
    <col min="12" max="12" width="13.88671875" bestFit="1" customWidth="1"/>
  </cols>
  <sheetData>
    <row r="3" spans="1:11" ht="17.399999999999999" x14ac:dyDescent="0.3">
      <c r="A3" s="4" t="s">
        <v>3</v>
      </c>
      <c r="B3" s="4" t="s">
        <v>19</v>
      </c>
      <c r="C3" s="4" t="s">
        <v>20</v>
      </c>
      <c r="I3" s="229" t="s">
        <v>465</v>
      </c>
      <c r="J3" s="229" t="s">
        <v>466</v>
      </c>
      <c r="K3" s="229" t="s">
        <v>467</v>
      </c>
    </row>
    <row r="4" spans="1:11" ht="18" x14ac:dyDescent="0.3">
      <c r="A4" s="15">
        <v>1</v>
      </c>
      <c r="B4" s="5" t="s">
        <v>28</v>
      </c>
      <c r="C4" s="6">
        <v>85000</v>
      </c>
      <c r="F4" t="s">
        <v>41</v>
      </c>
      <c r="I4" s="81">
        <v>688</v>
      </c>
      <c r="J4" s="230">
        <v>98000</v>
      </c>
      <c r="K4" s="230">
        <f>I4*J4</f>
        <v>67424000</v>
      </c>
    </row>
    <row r="5" spans="1:11" ht="18" x14ac:dyDescent="0.3">
      <c r="A5" s="15">
        <v>2</v>
      </c>
      <c r="B5" s="5" t="s">
        <v>35</v>
      </c>
      <c r="C5" s="6">
        <v>93000</v>
      </c>
      <c r="E5" s="5"/>
      <c r="F5" t="s">
        <v>30</v>
      </c>
      <c r="I5" s="81">
        <v>80</v>
      </c>
      <c r="J5" s="230">
        <v>93000</v>
      </c>
      <c r="K5" s="230">
        <f t="shared" ref="K5:K8" si="0">I5*J5</f>
        <v>7440000</v>
      </c>
    </row>
    <row r="6" spans="1:11" ht="18" x14ac:dyDescent="0.3">
      <c r="A6" s="15">
        <v>3</v>
      </c>
      <c r="B6" s="5" t="s">
        <v>25</v>
      </c>
      <c r="C6" s="6">
        <v>98000</v>
      </c>
      <c r="I6" s="81">
        <v>62</v>
      </c>
      <c r="J6" s="230">
        <v>48000</v>
      </c>
      <c r="K6" s="230">
        <f t="shared" si="0"/>
        <v>2976000</v>
      </c>
    </row>
    <row r="7" spans="1:11" ht="18" x14ac:dyDescent="0.3">
      <c r="A7" s="15">
        <v>4</v>
      </c>
      <c r="B7" s="5" t="s">
        <v>32</v>
      </c>
      <c r="C7" s="6">
        <v>106000</v>
      </c>
      <c r="I7" s="81">
        <v>147</v>
      </c>
      <c r="J7" s="230">
        <v>52000</v>
      </c>
      <c r="K7" s="230">
        <f t="shared" si="0"/>
        <v>7644000</v>
      </c>
    </row>
    <row r="8" spans="1:11" ht="18" x14ac:dyDescent="0.3">
      <c r="A8" s="15">
        <v>5</v>
      </c>
      <c r="B8" s="5" t="s">
        <v>36</v>
      </c>
      <c r="C8" s="6">
        <v>52000</v>
      </c>
      <c r="I8" s="81">
        <v>18</v>
      </c>
      <c r="J8" s="230">
        <v>93000</v>
      </c>
      <c r="K8" s="230">
        <f t="shared" si="0"/>
        <v>1674000</v>
      </c>
    </row>
    <row r="9" spans="1:11" ht="18" x14ac:dyDescent="0.3">
      <c r="A9" s="15">
        <v>6</v>
      </c>
      <c r="B9" s="5" t="s">
        <v>38</v>
      </c>
      <c r="C9" s="6">
        <v>48000</v>
      </c>
      <c r="I9" s="81"/>
      <c r="J9" s="229" t="s">
        <v>468</v>
      </c>
      <c r="K9" s="230">
        <f>SUM(K4:K8)</f>
        <v>87158000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86007-DA33-457E-973D-29066436F714}">
  <dimension ref="A1:I123"/>
  <sheetViews>
    <sheetView workbookViewId="0">
      <selection activeCell="D98" sqref="D98:H98"/>
    </sheetView>
  </sheetViews>
  <sheetFormatPr defaultColWidth="10.109375" defaultRowHeight="13.8" x14ac:dyDescent="0.3"/>
  <cols>
    <col min="1" max="1" width="5.5546875" style="162" customWidth="1"/>
    <col min="2" max="2" width="13.109375" style="165" customWidth="1"/>
    <col min="3" max="3" width="22" style="165" customWidth="1"/>
    <col min="4" max="4" width="10.109375" style="162"/>
    <col min="5" max="5" width="14.109375" style="162" customWidth="1"/>
    <col min="6" max="6" width="11.5546875" style="162" customWidth="1"/>
    <col min="7" max="8" width="10.109375" style="162"/>
    <col min="9" max="9" width="24.33203125" style="162" customWidth="1"/>
    <col min="10" max="16384" width="10.109375" style="162"/>
  </cols>
  <sheetData>
    <row r="1" spans="1:9" ht="30.6" customHeight="1" x14ac:dyDescent="0.3">
      <c r="A1" s="388" t="s">
        <v>3</v>
      </c>
      <c r="B1" s="388" t="s">
        <v>345</v>
      </c>
      <c r="C1" s="393" t="s">
        <v>409</v>
      </c>
      <c r="D1" s="389" t="s">
        <v>349</v>
      </c>
      <c r="E1" s="389"/>
      <c r="F1" s="389"/>
      <c r="G1" s="389"/>
      <c r="H1" s="389"/>
      <c r="I1" s="159" t="s">
        <v>18</v>
      </c>
    </row>
    <row r="2" spans="1:9" ht="32.85" customHeight="1" x14ac:dyDescent="0.3">
      <c r="A2" s="388"/>
      <c r="B2" s="388"/>
      <c r="C2" s="394"/>
      <c r="D2" s="203" t="s">
        <v>350</v>
      </c>
      <c r="E2" s="204" t="s">
        <v>351</v>
      </c>
      <c r="F2" s="204" t="s">
        <v>436</v>
      </c>
      <c r="G2" s="203" t="s">
        <v>352</v>
      </c>
      <c r="H2" s="203" t="s">
        <v>353</v>
      </c>
      <c r="I2" s="163" t="s">
        <v>354</v>
      </c>
    </row>
    <row r="3" spans="1:9" ht="32.85" hidden="1" customHeight="1" x14ac:dyDescent="0.3">
      <c r="A3" s="164">
        <v>1</v>
      </c>
      <c r="B3" s="390" t="s">
        <v>431</v>
      </c>
      <c r="C3" s="190" t="s">
        <v>434</v>
      </c>
      <c r="D3" s="163" t="e">
        <f>'TỒN KHO HUẾ'!#REF!</f>
        <v>#REF!</v>
      </c>
      <c r="E3" s="163" t="e">
        <f>'TỒN KHO HUẾ'!#REF!</f>
        <v>#REF!</v>
      </c>
      <c r="F3" s="163" t="e">
        <f>'TỒN KHO HUẾ'!#REF!</f>
        <v>#REF!</v>
      </c>
      <c r="G3" s="163" t="e">
        <f>'TỒN KHO HUẾ'!#REF!</f>
        <v>#REF!</v>
      </c>
      <c r="H3" s="163" t="e">
        <f>'TỒN KHO HUẾ'!#REF!</f>
        <v>#REF!</v>
      </c>
      <c r="I3" s="163"/>
    </row>
    <row r="4" spans="1:9" ht="32.85" hidden="1" customHeight="1" x14ac:dyDescent="0.3">
      <c r="A4" s="164">
        <v>2</v>
      </c>
      <c r="B4" s="391"/>
      <c r="C4" s="166" t="s">
        <v>361</v>
      </c>
      <c r="D4" s="163" t="e">
        <f>'TỒN KHO TĂNG ÁP'!#REF!</f>
        <v>#REF!</v>
      </c>
      <c r="E4" s="163" t="e">
        <f>'TỒN KHO TĂNG ÁP'!#REF!</f>
        <v>#REF!</v>
      </c>
      <c r="F4" s="163" t="e">
        <f>'TỒN KHO TĂNG ÁP'!#REF!</f>
        <v>#REF!</v>
      </c>
      <c r="G4" s="163" t="e">
        <f>'TỒN KHO TĂNG ÁP'!#REF!</f>
        <v>#REF!</v>
      </c>
      <c r="H4" s="163" t="e">
        <f>'TỒN KHO TĂNG ÁP'!#REF!</f>
        <v>#REF!</v>
      </c>
      <c r="I4" s="163"/>
    </row>
    <row r="5" spans="1:9" s="202" customFormat="1" ht="32.85" hidden="1" customHeight="1" x14ac:dyDescent="0.3">
      <c r="A5" s="199">
        <v>3</v>
      </c>
      <c r="B5" s="392"/>
      <c r="C5" s="200" t="s">
        <v>435</v>
      </c>
      <c r="D5" s="201">
        <f>'Tồn kho VP'!R6</f>
        <v>0</v>
      </c>
      <c r="E5" s="201">
        <f>'Tồn kho VP'!S6</f>
        <v>0</v>
      </c>
      <c r="F5" s="201">
        <f>'Tồn kho VP'!T6</f>
        <v>0</v>
      </c>
      <c r="G5" s="201">
        <f>'Tồn kho VP'!U6</f>
        <v>51</v>
      </c>
      <c r="H5" s="201">
        <f>'Tồn kho VP'!V6</f>
        <v>0</v>
      </c>
      <c r="I5" s="201"/>
    </row>
    <row r="6" spans="1:9" ht="32.85" hidden="1" customHeight="1" x14ac:dyDescent="0.3">
      <c r="A6" s="164">
        <v>4</v>
      </c>
      <c r="B6" s="390">
        <v>46365</v>
      </c>
      <c r="C6" s="190" t="s">
        <v>434</v>
      </c>
      <c r="D6" s="163" t="e">
        <f>'TỒN KHO HUẾ'!#REF!</f>
        <v>#REF!</v>
      </c>
      <c r="E6" s="163" t="e">
        <f>'TỒN KHO HUẾ'!#REF!</f>
        <v>#REF!</v>
      </c>
      <c r="F6" s="163" t="e">
        <f>'TỒN KHO HUẾ'!#REF!</f>
        <v>#REF!</v>
      </c>
      <c r="G6" s="163" t="e">
        <f>'TỒN KHO HUẾ'!#REF!</f>
        <v>#REF!</v>
      </c>
      <c r="H6" s="163" t="e">
        <f>'TỒN KHO HUẾ'!#REF!</f>
        <v>#REF!</v>
      </c>
      <c r="I6" s="163"/>
    </row>
    <row r="7" spans="1:9" ht="32.85" hidden="1" customHeight="1" x14ac:dyDescent="0.3">
      <c r="A7" s="164">
        <v>5</v>
      </c>
      <c r="B7" s="391"/>
      <c r="C7" s="166" t="s">
        <v>361</v>
      </c>
      <c r="D7" s="163" t="e">
        <f>'TỒN KHO TĂNG ÁP'!#REF!</f>
        <v>#REF!</v>
      </c>
      <c r="E7" s="163" t="e">
        <f>'TỒN KHO TĂNG ÁP'!#REF!</f>
        <v>#REF!</v>
      </c>
      <c r="F7" s="163" t="e">
        <f>'TỒN KHO TĂNG ÁP'!#REF!</f>
        <v>#REF!</v>
      </c>
      <c r="G7" s="163" t="e">
        <f>'TỒN KHO TĂNG ÁP'!#REF!</f>
        <v>#REF!</v>
      </c>
      <c r="H7" s="163" t="e">
        <f>'TỒN KHO TĂNG ÁP'!#REF!</f>
        <v>#REF!</v>
      </c>
      <c r="I7" s="163"/>
    </row>
    <row r="8" spans="1:9" ht="35.1" hidden="1" customHeight="1" x14ac:dyDescent="0.3">
      <c r="A8" s="164">
        <v>6</v>
      </c>
      <c r="B8" s="392"/>
      <c r="C8" s="200" t="s">
        <v>435</v>
      </c>
      <c r="D8" s="163">
        <f>'Tồn kho VP'!R7</f>
        <v>0</v>
      </c>
      <c r="E8" s="163">
        <f>'Tồn kho VP'!S7</f>
        <v>0</v>
      </c>
      <c r="F8" s="163">
        <f>'Tồn kho VP'!T7</f>
        <v>0</v>
      </c>
      <c r="G8" s="163">
        <f>'Tồn kho VP'!U7</f>
        <v>47</v>
      </c>
      <c r="H8" s="163">
        <f>'Tồn kho VP'!V7</f>
        <v>0</v>
      </c>
      <c r="I8" s="163"/>
    </row>
    <row r="9" spans="1:9" ht="35.1" hidden="1" customHeight="1" x14ac:dyDescent="0.3">
      <c r="A9" s="164">
        <v>7</v>
      </c>
      <c r="B9" s="382" t="s">
        <v>439</v>
      </c>
      <c r="C9" s="190" t="s">
        <v>434</v>
      </c>
      <c r="D9" s="163" t="e">
        <f>'TỒN KHO HUẾ'!#REF!</f>
        <v>#REF!</v>
      </c>
      <c r="E9" s="163" t="e">
        <f>'TỒN KHO HUẾ'!#REF!</f>
        <v>#REF!</v>
      </c>
      <c r="F9" s="163" t="e">
        <f>'TỒN KHO HUẾ'!#REF!</f>
        <v>#REF!</v>
      </c>
      <c r="G9" s="163" t="e">
        <f>'TỒN KHO HUẾ'!#REF!</f>
        <v>#REF!</v>
      </c>
      <c r="H9" s="163" t="e">
        <f>'TỒN KHO HUẾ'!#REF!</f>
        <v>#REF!</v>
      </c>
      <c r="I9" s="163"/>
    </row>
    <row r="10" spans="1:9" ht="35.1" hidden="1" customHeight="1" x14ac:dyDescent="0.3">
      <c r="A10" s="164">
        <v>8</v>
      </c>
      <c r="B10" s="383"/>
      <c r="C10" s="166" t="s">
        <v>361</v>
      </c>
      <c r="D10" s="163" t="e">
        <f>'TỒN KHO TĂNG ÁP'!#REF!</f>
        <v>#REF!</v>
      </c>
      <c r="E10" s="163" t="e">
        <f>'TỒN KHO TĂNG ÁP'!#REF!</f>
        <v>#REF!</v>
      </c>
      <c r="F10" s="163" t="e">
        <f>'TỒN KHO TĂNG ÁP'!#REF!</f>
        <v>#REF!</v>
      </c>
      <c r="G10" s="163" t="e">
        <f>'TỒN KHO TĂNG ÁP'!#REF!</f>
        <v>#REF!</v>
      </c>
      <c r="H10" s="163" t="e">
        <f>'TỒN KHO TĂNG ÁP'!#REF!</f>
        <v>#REF!</v>
      </c>
      <c r="I10" s="163"/>
    </row>
    <row r="11" spans="1:9" ht="35.1" hidden="1" customHeight="1" x14ac:dyDescent="0.3">
      <c r="A11" s="164">
        <v>9</v>
      </c>
      <c r="B11" s="383"/>
      <c r="C11" s="200" t="s">
        <v>435</v>
      </c>
      <c r="D11" s="163">
        <f>'Tồn kho VP'!R8</f>
        <v>0</v>
      </c>
      <c r="E11" s="163">
        <f>'Tồn kho VP'!S8</f>
        <v>0</v>
      </c>
      <c r="F11" s="163">
        <f>'Tồn kho VP'!T8</f>
        <v>0</v>
      </c>
      <c r="G11" s="163">
        <f>'Tồn kho VP'!U8</f>
        <v>29</v>
      </c>
      <c r="H11" s="163">
        <f>'Tồn kho VP'!V8</f>
        <v>0</v>
      </c>
      <c r="I11" s="163"/>
    </row>
    <row r="12" spans="1:9" ht="35.1" hidden="1" customHeight="1" x14ac:dyDescent="0.3">
      <c r="A12" s="164">
        <v>10</v>
      </c>
      <c r="B12" s="384"/>
      <c r="C12" s="163" t="s">
        <v>440</v>
      </c>
      <c r="D12" s="163">
        <f>'tồn xe'!O5</f>
        <v>0</v>
      </c>
      <c r="E12" s="163">
        <f>'tồn xe'!P5</f>
        <v>0</v>
      </c>
      <c r="F12" s="163">
        <f>'tồn xe'!Q5</f>
        <v>11</v>
      </c>
      <c r="G12" s="163">
        <f>'tồn xe'!R5</f>
        <v>0</v>
      </c>
      <c r="H12" s="163">
        <f>'tồn xe'!S5</f>
        <v>0</v>
      </c>
      <c r="I12" s="163"/>
    </row>
    <row r="13" spans="1:9" ht="35.1" hidden="1" customHeight="1" x14ac:dyDescent="0.3">
      <c r="A13" s="164">
        <v>11</v>
      </c>
      <c r="B13" s="382" t="s">
        <v>441</v>
      </c>
      <c r="C13" s="190" t="s">
        <v>434</v>
      </c>
      <c r="D13" s="163" t="e">
        <f>'TỒN KHO HUẾ'!#REF!</f>
        <v>#REF!</v>
      </c>
      <c r="E13" s="163" t="e">
        <f>'TỒN KHO HUẾ'!#REF!</f>
        <v>#REF!</v>
      </c>
      <c r="F13" s="163" t="e">
        <f>'TỒN KHO HUẾ'!#REF!</f>
        <v>#REF!</v>
      </c>
      <c r="G13" s="163" t="e">
        <f>'TỒN KHO HUẾ'!#REF!</f>
        <v>#REF!</v>
      </c>
      <c r="H13" s="163" t="e">
        <f>'TỒN KHO HUẾ'!#REF!</f>
        <v>#REF!</v>
      </c>
      <c r="I13" s="163"/>
    </row>
    <row r="14" spans="1:9" ht="35.1" hidden="1" customHeight="1" x14ac:dyDescent="0.3">
      <c r="A14" s="164">
        <v>12</v>
      </c>
      <c r="B14" s="383"/>
      <c r="C14" s="166" t="s">
        <v>361</v>
      </c>
      <c r="D14" s="163" t="e">
        <f>'TỒN KHO TĂNG ÁP'!#REF!</f>
        <v>#REF!</v>
      </c>
      <c r="E14" s="163" t="e">
        <f>'TỒN KHO TĂNG ÁP'!#REF!</f>
        <v>#REF!</v>
      </c>
      <c r="F14" s="163" t="e">
        <f>'TỒN KHO TĂNG ÁP'!#REF!</f>
        <v>#REF!</v>
      </c>
      <c r="G14" s="163" t="e">
        <f>'TỒN KHO TĂNG ÁP'!#REF!</f>
        <v>#REF!</v>
      </c>
      <c r="H14" s="163" t="e">
        <f>'TỒN KHO TĂNG ÁP'!#REF!</f>
        <v>#REF!</v>
      </c>
      <c r="I14" s="163"/>
    </row>
    <row r="15" spans="1:9" ht="35.1" hidden="1" customHeight="1" x14ac:dyDescent="0.3">
      <c r="A15" s="164">
        <v>13</v>
      </c>
      <c r="B15" s="383"/>
      <c r="C15" s="200" t="s">
        <v>435</v>
      </c>
      <c r="D15" s="163">
        <f>'Tồn kho VP'!R9</f>
        <v>0</v>
      </c>
      <c r="E15" s="163">
        <f>'Tồn kho VP'!S9</f>
        <v>0</v>
      </c>
      <c r="F15" s="163">
        <f>'Tồn kho VP'!T9</f>
        <v>0</v>
      </c>
      <c r="G15" s="163">
        <f>'Tồn kho VP'!U9</f>
        <v>29</v>
      </c>
      <c r="H15" s="163">
        <f>'Tồn kho VP'!V9</f>
        <v>0</v>
      </c>
      <c r="I15" s="163"/>
    </row>
    <row r="16" spans="1:9" ht="35.1" hidden="1" customHeight="1" x14ac:dyDescent="0.3">
      <c r="A16" s="164">
        <v>14</v>
      </c>
      <c r="B16" s="383"/>
      <c r="C16" s="163" t="s">
        <v>440</v>
      </c>
      <c r="D16" s="163">
        <f>'tồn xe'!O6</f>
        <v>0</v>
      </c>
      <c r="E16" s="163">
        <f>'tồn xe'!P6</f>
        <v>0</v>
      </c>
      <c r="F16" s="163">
        <f>'tồn xe'!Q6</f>
        <v>0</v>
      </c>
      <c r="G16" s="163">
        <f>'tồn xe'!R6</f>
        <v>0</v>
      </c>
      <c r="H16" s="163">
        <f>'tồn xe'!S6</f>
        <v>0</v>
      </c>
      <c r="I16" s="163"/>
    </row>
    <row r="17" spans="1:9" ht="35.1" hidden="1" customHeight="1" x14ac:dyDescent="0.3">
      <c r="A17" s="164">
        <v>15</v>
      </c>
      <c r="B17" s="384"/>
      <c r="C17" s="163" t="s">
        <v>444</v>
      </c>
      <c r="D17" s="163">
        <f>'TỒN KHO HÀ LẦM'!R7</f>
        <v>0</v>
      </c>
      <c r="E17" s="163">
        <f>'TỒN KHO HÀ LẦM'!S7</f>
        <v>0</v>
      </c>
      <c r="F17" s="163">
        <f>'TỒN KHO HÀ LẦM'!T7</f>
        <v>0</v>
      </c>
      <c r="G17" s="163">
        <f>'TỒN KHO HÀ LẦM'!U7</f>
        <v>17</v>
      </c>
      <c r="H17" s="163">
        <f>'TỒN KHO HÀ LẦM'!V7</f>
        <v>30</v>
      </c>
      <c r="I17" s="163"/>
    </row>
    <row r="18" spans="1:9" ht="35.1" hidden="1" customHeight="1" x14ac:dyDescent="0.3">
      <c r="A18" s="164">
        <v>16</v>
      </c>
      <c r="B18" s="382" t="s">
        <v>446</v>
      </c>
      <c r="C18" s="190" t="s">
        <v>434</v>
      </c>
      <c r="D18" s="163" t="e">
        <f>'TỒN KHO HUẾ'!#REF!</f>
        <v>#REF!</v>
      </c>
      <c r="E18" s="163" t="e">
        <f>'TỒN KHO HUẾ'!#REF!</f>
        <v>#REF!</v>
      </c>
      <c r="F18" s="163" t="e">
        <f>'TỒN KHO HUẾ'!#REF!</f>
        <v>#REF!</v>
      </c>
      <c r="G18" s="163" t="e">
        <f>'TỒN KHO HUẾ'!#REF!</f>
        <v>#REF!</v>
      </c>
      <c r="H18" s="163" t="e">
        <f>'TỒN KHO HUẾ'!#REF!</f>
        <v>#REF!</v>
      </c>
      <c r="I18" s="163"/>
    </row>
    <row r="19" spans="1:9" ht="35.1" hidden="1" customHeight="1" x14ac:dyDescent="0.3">
      <c r="A19" s="164">
        <v>17</v>
      </c>
      <c r="B19" s="383"/>
      <c r="C19" s="166" t="s">
        <v>361</v>
      </c>
      <c r="D19" s="163" t="e">
        <f>'TỒN KHO TĂNG ÁP'!#REF!</f>
        <v>#REF!</v>
      </c>
      <c r="E19" s="163" t="e">
        <f>'TỒN KHO TĂNG ÁP'!#REF!</f>
        <v>#REF!</v>
      </c>
      <c r="F19" s="163" t="e">
        <f>'TỒN KHO TĂNG ÁP'!#REF!</f>
        <v>#REF!</v>
      </c>
      <c r="G19" s="163" t="e">
        <f>'TỒN KHO TĂNG ÁP'!#REF!</f>
        <v>#REF!</v>
      </c>
      <c r="H19" s="163" t="e">
        <f>'TỒN KHO TĂNG ÁP'!#REF!</f>
        <v>#REF!</v>
      </c>
      <c r="I19" s="163"/>
    </row>
    <row r="20" spans="1:9" ht="35.1" hidden="1" customHeight="1" x14ac:dyDescent="0.3">
      <c r="A20" s="164">
        <v>18</v>
      </c>
      <c r="B20" s="383"/>
      <c r="C20" s="200" t="s">
        <v>435</v>
      </c>
      <c r="D20" s="163">
        <f>'Tồn kho VP'!R10</f>
        <v>0</v>
      </c>
      <c r="E20" s="163">
        <f>'Tồn kho VP'!S10</f>
        <v>0</v>
      </c>
      <c r="F20" s="163">
        <f>'Tồn kho VP'!T10</f>
        <v>0</v>
      </c>
      <c r="G20" s="163">
        <f>'Tồn kho VP'!U10</f>
        <v>28</v>
      </c>
      <c r="H20" s="163">
        <f>'Tồn kho VP'!V10</f>
        <v>0</v>
      </c>
      <c r="I20" s="163"/>
    </row>
    <row r="21" spans="1:9" ht="35.1" hidden="1" customHeight="1" x14ac:dyDescent="0.3">
      <c r="A21" s="164">
        <v>19</v>
      </c>
      <c r="B21" s="383"/>
      <c r="C21" s="163" t="s">
        <v>440</v>
      </c>
      <c r="D21" s="163">
        <f>'tồn xe'!O7</f>
        <v>0</v>
      </c>
      <c r="E21" s="163">
        <f>'tồn xe'!P7</f>
        <v>0</v>
      </c>
      <c r="F21" s="163">
        <f>'tồn xe'!Q7</f>
        <v>0</v>
      </c>
      <c r="G21" s="163">
        <f>'tồn xe'!R7</f>
        <v>0</v>
      </c>
      <c r="H21" s="163">
        <f>'tồn xe'!S7</f>
        <v>0</v>
      </c>
      <c r="I21" s="163"/>
    </row>
    <row r="22" spans="1:9" ht="35.1" hidden="1" customHeight="1" x14ac:dyDescent="0.3">
      <c r="A22" s="164">
        <v>20</v>
      </c>
      <c r="B22" s="384"/>
      <c r="C22" s="163" t="s">
        <v>444</v>
      </c>
      <c r="D22" s="163">
        <f>'TỒN KHO HÀ LẦM'!R8</f>
        <v>0</v>
      </c>
      <c r="E22" s="163">
        <f>'TỒN KHO HÀ LẦM'!S8</f>
        <v>0</v>
      </c>
      <c r="F22" s="163">
        <f>'TỒN KHO HÀ LẦM'!T8</f>
        <v>0</v>
      </c>
      <c r="G22" s="163">
        <f>'TỒN KHO HÀ LẦM'!U8</f>
        <v>17</v>
      </c>
      <c r="H22" s="163">
        <f>'TỒN KHO HÀ LẦM'!V8</f>
        <v>30</v>
      </c>
      <c r="I22" s="163"/>
    </row>
    <row r="23" spans="1:9" ht="35.1" hidden="1" customHeight="1" x14ac:dyDescent="0.3">
      <c r="A23" s="164">
        <v>21</v>
      </c>
      <c r="B23" s="382" t="s">
        <v>447</v>
      </c>
      <c r="C23" s="190" t="s">
        <v>434</v>
      </c>
      <c r="D23" s="163" t="e">
        <f>'TỒN KHO HUẾ'!#REF!</f>
        <v>#REF!</v>
      </c>
      <c r="E23" s="163" t="e">
        <f>'TỒN KHO HUẾ'!#REF!</f>
        <v>#REF!</v>
      </c>
      <c r="F23" s="163" t="e">
        <f>'TỒN KHO HUẾ'!#REF!</f>
        <v>#REF!</v>
      </c>
      <c r="G23" s="163" t="e">
        <f>'TỒN KHO HUẾ'!#REF!</f>
        <v>#REF!</v>
      </c>
      <c r="H23" s="163" t="e">
        <f>'TỒN KHO HUẾ'!#REF!</f>
        <v>#REF!</v>
      </c>
      <c r="I23" s="163"/>
    </row>
    <row r="24" spans="1:9" ht="35.1" hidden="1" customHeight="1" x14ac:dyDescent="0.3">
      <c r="A24" s="164">
        <v>22</v>
      </c>
      <c r="B24" s="383"/>
      <c r="C24" s="166" t="s">
        <v>361</v>
      </c>
      <c r="D24" s="163" t="e">
        <f>'TỒN KHO TĂNG ÁP'!#REF!</f>
        <v>#REF!</v>
      </c>
      <c r="E24" s="163" t="e">
        <f>'TỒN KHO TĂNG ÁP'!#REF!</f>
        <v>#REF!</v>
      </c>
      <c r="F24" s="163" t="e">
        <f>'TỒN KHO TĂNG ÁP'!#REF!</f>
        <v>#REF!</v>
      </c>
      <c r="G24" s="163" t="e">
        <f>'TỒN KHO TĂNG ÁP'!#REF!</f>
        <v>#REF!</v>
      </c>
      <c r="H24" s="163" t="e">
        <f>'TỒN KHO TĂNG ÁP'!#REF!</f>
        <v>#REF!</v>
      </c>
      <c r="I24" s="163"/>
    </row>
    <row r="25" spans="1:9" ht="35.1" hidden="1" customHeight="1" x14ac:dyDescent="0.3">
      <c r="A25" s="164">
        <v>23</v>
      </c>
      <c r="B25" s="383"/>
      <c r="C25" s="200" t="s">
        <v>435</v>
      </c>
      <c r="D25" s="163">
        <f>'Tồn kho VP'!R11</f>
        <v>0</v>
      </c>
      <c r="E25" s="163">
        <f>'Tồn kho VP'!S11</f>
        <v>0</v>
      </c>
      <c r="F25" s="163">
        <f>'Tồn kho VP'!T11</f>
        <v>0</v>
      </c>
      <c r="G25" s="163">
        <f>'Tồn kho VP'!U11</f>
        <v>24</v>
      </c>
      <c r="H25" s="163">
        <f>'Tồn kho VP'!V11</f>
        <v>0</v>
      </c>
      <c r="I25" s="163"/>
    </row>
    <row r="26" spans="1:9" ht="28.8" hidden="1" customHeight="1" x14ac:dyDescent="0.3">
      <c r="A26" s="163"/>
      <c r="B26" s="383"/>
      <c r="C26" s="163" t="s">
        <v>440</v>
      </c>
      <c r="D26" s="163"/>
      <c r="E26" s="163"/>
      <c r="F26" s="163"/>
      <c r="G26" s="163"/>
      <c r="H26" s="163"/>
      <c r="I26" s="163"/>
    </row>
    <row r="27" spans="1:9" ht="28.8" hidden="1" customHeight="1" x14ac:dyDescent="0.3">
      <c r="A27" s="163"/>
      <c r="B27" s="384"/>
      <c r="C27" s="163" t="s">
        <v>444</v>
      </c>
      <c r="D27" s="163">
        <f>'TỒN KHO HÀ LẦM'!R9</f>
        <v>0</v>
      </c>
      <c r="E27" s="163">
        <f>'TỒN KHO HÀ LẦM'!S9</f>
        <v>0</v>
      </c>
      <c r="F27" s="163">
        <f>'TỒN KHO HÀ LẦM'!T9</f>
        <v>0</v>
      </c>
      <c r="G27" s="163">
        <f>'TỒN KHO HÀ LẦM'!U9</f>
        <v>17</v>
      </c>
      <c r="H27" s="163">
        <f>'TỒN KHO HÀ LẦM'!V9</f>
        <v>30</v>
      </c>
      <c r="I27" s="163"/>
    </row>
    <row r="28" spans="1:9" ht="33" hidden="1" customHeight="1" x14ac:dyDescent="0.3">
      <c r="A28" s="163"/>
      <c r="B28" s="382" t="s">
        <v>449</v>
      </c>
      <c r="C28" s="190" t="s">
        <v>434</v>
      </c>
      <c r="D28" s="163" t="e">
        <f>'TỒN KHO HUẾ'!#REF!</f>
        <v>#REF!</v>
      </c>
      <c r="E28" s="163" t="e">
        <f>'TỒN KHO HUẾ'!#REF!</f>
        <v>#REF!</v>
      </c>
      <c r="F28" s="163" t="e">
        <f>'TỒN KHO HUẾ'!#REF!</f>
        <v>#REF!</v>
      </c>
      <c r="G28" s="163" t="e">
        <f>'TỒN KHO HUẾ'!#REF!</f>
        <v>#REF!</v>
      </c>
      <c r="H28" s="163" t="e">
        <f>'TỒN KHO HUẾ'!#REF!</f>
        <v>#REF!</v>
      </c>
      <c r="I28" s="163"/>
    </row>
    <row r="29" spans="1:9" ht="33" hidden="1" customHeight="1" x14ac:dyDescent="0.3">
      <c r="A29" s="163"/>
      <c r="B29" s="383"/>
      <c r="C29" s="166" t="s">
        <v>361</v>
      </c>
      <c r="D29" s="163" t="e">
        <f>'TỒN KHO TĂNG ÁP'!#REF!</f>
        <v>#REF!</v>
      </c>
      <c r="E29" s="163" t="e">
        <f>'TỒN KHO TĂNG ÁP'!#REF!</f>
        <v>#REF!</v>
      </c>
      <c r="F29" s="163" t="e">
        <f>'TỒN KHO TĂNG ÁP'!#REF!</f>
        <v>#REF!</v>
      </c>
      <c r="G29" s="163" t="e">
        <f>'TỒN KHO TĂNG ÁP'!#REF!</f>
        <v>#REF!</v>
      </c>
      <c r="H29" s="163" t="e">
        <f>'TỒN KHO TĂNG ÁP'!#REF!</f>
        <v>#REF!</v>
      </c>
      <c r="I29" s="163"/>
    </row>
    <row r="30" spans="1:9" ht="33" hidden="1" customHeight="1" x14ac:dyDescent="0.3">
      <c r="A30" s="163"/>
      <c r="B30" s="383"/>
      <c r="C30" s="200" t="s">
        <v>435</v>
      </c>
      <c r="D30" s="163">
        <f>'Tồn kho VP'!R12</f>
        <v>0</v>
      </c>
      <c r="E30" s="163">
        <f>'Tồn kho VP'!S12</f>
        <v>0</v>
      </c>
      <c r="F30" s="163">
        <f>'Tồn kho VP'!T12</f>
        <v>0</v>
      </c>
      <c r="G30" s="163">
        <f>'Tồn kho VP'!U12</f>
        <v>22</v>
      </c>
      <c r="H30" s="163">
        <f>'Tồn kho VP'!V12</f>
        <v>0</v>
      </c>
      <c r="I30" s="163"/>
    </row>
    <row r="31" spans="1:9" ht="33" hidden="1" customHeight="1" x14ac:dyDescent="0.3">
      <c r="A31" s="163"/>
      <c r="B31" s="383"/>
      <c r="C31" s="163" t="s">
        <v>440</v>
      </c>
      <c r="D31" s="163">
        <f>'tồn xe'!O9</f>
        <v>0</v>
      </c>
      <c r="E31" s="163">
        <f>'tồn xe'!P9</f>
        <v>0</v>
      </c>
      <c r="F31" s="163">
        <f>'tồn xe'!Q9</f>
        <v>0</v>
      </c>
      <c r="G31" s="163">
        <f>'tồn xe'!R9</f>
        <v>0</v>
      </c>
      <c r="H31" s="163">
        <f>'tồn xe'!S9</f>
        <v>0</v>
      </c>
      <c r="I31" s="163"/>
    </row>
    <row r="32" spans="1:9" ht="33" hidden="1" customHeight="1" x14ac:dyDescent="0.3">
      <c r="A32" s="163"/>
      <c r="B32" s="384"/>
      <c r="C32" s="163" t="s">
        <v>444</v>
      </c>
      <c r="D32" s="163">
        <f>'TỒN KHO HÀ LẦM'!R8</f>
        <v>0</v>
      </c>
      <c r="E32" s="163">
        <f>'TỒN KHO HÀ LẦM'!S8</f>
        <v>0</v>
      </c>
      <c r="F32" s="163">
        <f>'TỒN KHO HÀ LẦM'!T8</f>
        <v>0</v>
      </c>
      <c r="G32" s="163">
        <f>'TỒN KHO HÀ LẦM'!U8</f>
        <v>17</v>
      </c>
      <c r="H32" s="163">
        <f>'TỒN KHO HÀ LẦM'!V8</f>
        <v>30</v>
      </c>
      <c r="I32" s="163"/>
    </row>
    <row r="33" spans="1:9" ht="29.4" hidden="1" customHeight="1" x14ac:dyDescent="0.3">
      <c r="A33" s="163"/>
      <c r="B33" s="382" t="s">
        <v>451</v>
      </c>
      <c r="C33" s="190" t="s">
        <v>434</v>
      </c>
      <c r="D33" s="163" t="e">
        <f>'TỒN KHO HUẾ'!#REF!</f>
        <v>#REF!</v>
      </c>
      <c r="E33" s="163" t="e">
        <f>'TỒN KHO HUẾ'!#REF!</f>
        <v>#REF!</v>
      </c>
      <c r="F33" s="163" t="e">
        <f>'TỒN KHO HUẾ'!#REF!</f>
        <v>#REF!</v>
      </c>
      <c r="G33" s="163" t="e">
        <f>'TỒN KHO HUẾ'!#REF!</f>
        <v>#REF!</v>
      </c>
      <c r="H33" s="163" t="e">
        <f>'TỒN KHO HUẾ'!#REF!</f>
        <v>#REF!</v>
      </c>
      <c r="I33" s="163"/>
    </row>
    <row r="34" spans="1:9" ht="29.4" hidden="1" customHeight="1" x14ac:dyDescent="0.3">
      <c r="A34" s="163"/>
      <c r="B34" s="383"/>
      <c r="C34" s="166" t="s">
        <v>361</v>
      </c>
      <c r="D34" s="163" t="e">
        <f>'TỒN KHO TĂNG ÁP'!#REF!</f>
        <v>#REF!</v>
      </c>
      <c r="E34" s="163" t="e">
        <f>'TỒN KHO TĂNG ÁP'!#REF!</f>
        <v>#REF!</v>
      </c>
      <c r="F34" s="163" t="e">
        <f>'TỒN KHO TĂNG ÁP'!#REF!</f>
        <v>#REF!</v>
      </c>
      <c r="G34" s="163" t="e">
        <f>'TỒN KHO TĂNG ÁP'!#REF!</f>
        <v>#REF!</v>
      </c>
      <c r="H34" s="163" t="e">
        <f>'TỒN KHO TĂNG ÁP'!#REF!</f>
        <v>#REF!</v>
      </c>
      <c r="I34" s="163"/>
    </row>
    <row r="35" spans="1:9" ht="29.4" hidden="1" customHeight="1" x14ac:dyDescent="0.3">
      <c r="A35" s="163"/>
      <c r="B35" s="383"/>
      <c r="C35" s="200" t="s">
        <v>435</v>
      </c>
      <c r="D35" s="163">
        <f>'Tồn kho VP'!R13</f>
        <v>0</v>
      </c>
      <c r="E35" s="163">
        <f>'Tồn kho VP'!S13</f>
        <v>0</v>
      </c>
      <c r="F35" s="163">
        <f>'Tồn kho VP'!T13</f>
        <v>0</v>
      </c>
      <c r="G35" s="163">
        <f>'Tồn kho VP'!U13</f>
        <v>18</v>
      </c>
      <c r="H35" s="163">
        <f>'Tồn kho VP'!V13</f>
        <v>0</v>
      </c>
      <c r="I35" s="163"/>
    </row>
    <row r="36" spans="1:9" ht="29.4" hidden="1" customHeight="1" x14ac:dyDescent="0.3">
      <c r="A36" s="163"/>
      <c r="B36" s="383"/>
      <c r="C36" s="163" t="s">
        <v>440</v>
      </c>
      <c r="D36" s="163">
        <f>'tồn xe'!O10</f>
        <v>0</v>
      </c>
      <c r="E36" s="163">
        <f>'tồn xe'!P10</f>
        <v>0</v>
      </c>
      <c r="F36" s="163">
        <f>'tồn xe'!Q10</f>
        <v>0</v>
      </c>
      <c r="G36" s="163">
        <f>'tồn xe'!R10</f>
        <v>0</v>
      </c>
      <c r="H36" s="163">
        <f>'tồn xe'!S10</f>
        <v>0</v>
      </c>
      <c r="I36" s="163"/>
    </row>
    <row r="37" spans="1:9" ht="29.4" hidden="1" customHeight="1" x14ac:dyDescent="0.3">
      <c r="A37" s="163"/>
      <c r="B37" s="384"/>
      <c r="C37" s="163" t="s">
        <v>444</v>
      </c>
      <c r="D37" s="163">
        <f>'TỒN KHO HÀ LẦM'!R11</f>
        <v>0</v>
      </c>
      <c r="E37" s="163">
        <f>'TỒN KHO HÀ LẦM'!S11</f>
        <v>0</v>
      </c>
      <c r="F37" s="163">
        <f>'TỒN KHO HÀ LẦM'!T11</f>
        <v>0</v>
      </c>
      <c r="G37" s="163">
        <f>'TỒN KHO HÀ LẦM'!U11</f>
        <v>17</v>
      </c>
      <c r="H37" s="163">
        <f>'TỒN KHO HÀ LẦM'!V11</f>
        <v>30</v>
      </c>
      <c r="I37" s="163"/>
    </row>
    <row r="38" spans="1:9" ht="28.2" hidden="1" customHeight="1" x14ac:dyDescent="0.3">
      <c r="A38" s="163"/>
      <c r="B38" s="382" t="s">
        <v>463</v>
      </c>
      <c r="C38" s="190" t="s">
        <v>434</v>
      </c>
      <c r="D38" s="163" t="e">
        <f>'TỒN KHO HUẾ'!#REF!</f>
        <v>#REF!</v>
      </c>
      <c r="E38" s="163" t="e">
        <f>'TỒN KHO HUẾ'!#REF!</f>
        <v>#REF!</v>
      </c>
      <c r="F38" s="163" t="e">
        <f>'TỒN KHO HUẾ'!#REF!</f>
        <v>#REF!</v>
      </c>
      <c r="G38" s="163" t="e">
        <f>'TỒN KHO HUẾ'!#REF!</f>
        <v>#REF!</v>
      </c>
      <c r="H38" s="163" t="e">
        <f>'TỒN KHO HUẾ'!#REF!</f>
        <v>#REF!</v>
      </c>
      <c r="I38" s="163"/>
    </row>
    <row r="39" spans="1:9" ht="28.2" hidden="1" customHeight="1" x14ac:dyDescent="0.3">
      <c r="A39" s="163"/>
      <c r="B39" s="383"/>
      <c r="C39" s="166" t="s">
        <v>361</v>
      </c>
      <c r="D39" s="163" t="e">
        <f>'TỒN KHO TĂNG ÁP'!#REF!</f>
        <v>#REF!</v>
      </c>
      <c r="E39" s="163" t="e">
        <f>'TỒN KHO TĂNG ÁP'!#REF!</f>
        <v>#REF!</v>
      </c>
      <c r="F39" s="163" t="e">
        <f>'TỒN KHO TĂNG ÁP'!#REF!</f>
        <v>#REF!</v>
      </c>
      <c r="G39" s="163" t="e">
        <f>'TỒN KHO TĂNG ÁP'!#REF!</f>
        <v>#REF!</v>
      </c>
      <c r="H39" s="163" t="e">
        <f>'TỒN KHO TĂNG ÁP'!#REF!</f>
        <v>#REF!</v>
      </c>
      <c r="I39" s="163"/>
    </row>
    <row r="40" spans="1:9" ht="28.2" hidden="1" customHeight="1" x14ac:dyDescent="0.3">
      <c r="A40" s="163"/>
      <c r="B40" s="383"/>
      <c r="C40" s="200" t="s">
        <v>435</v>
      </c>
      <c r="D40" s="163">
        <f>'Tồn kho VP'!R14</f>
        <v>0</v>
      </c>
      <c r="E40" s="163">
        <f>'Tồn kho VP'!S14</f>
        <v>0</v>
      </c>
      <c r="F40" s="163">
        <f>'Tồn kho VP'!T14</f>
        <v>0</v>
      </c>
      <c r="G40" s="163">
        <f>'Tồn kho VP'!U14</f>
        <v>17</v>
      </c>
      <c r="H40" s="163">
        <f>'Tồn kho VP'!V14</f>
        <v>0</v>
      </c>
      <c r="I40" s="163"/>
    </row>
    <row r="41" spans="1:9" ht="28.2" hidden="1" customHeight="1" x14ac:dyDescent="0.3">
      <c r="A41" s="163"/>
      <c r="B41" s="383"/>
      <c r="C41" s="163" t="s">
        <v>440</v>
      </c>
      <c r="D41" s="163"/>
      <c r="E41" s="163"/>
      <c r="F41" s="163"/>
      <c r="G41" s="163"/>
      <c r="H41" s="163"/>
      <c r="I41" s="163"/>
    </row>
    <row r="42" spans="1:9" ht="28.2" hidden="1" customHeight="1" x14ac:dyDescent="0.3">
      <c r="A42" s="163"/>
      <c r="B42" s="384"/>
      <c r="C42" s="163" t="s">
        <v>444</v>
      </c>
      <c r="D42" s="163">
        <f>'TỒN KHO HÀ LẦM'!R12</f>
        <v>0</v>
      </c>
      <c r="E42" s="163">
        <f>'TỒN KHO HÀ LẦM'!S12</f>
        <v>0</v>
      </c>
      <c r="F42" s="163">
        <f>'TỒN KHO HÀ LẦM'!T12</f>
        <v>0</v>
      </c>
      <c r="G42" s="163">
        <f>'TỒN KHO HÀ LẦM'!U12</f>
        <v>17</v>
      </c>
      <c r="H42" s="163">
        <f>'TỒN KHO HÀ LẦM'!V12</f>
        <v>30</v>
      </c>
      <c r="I42" s="163"/>
    </row>
    <row r="43" spans="1:9" ht="39.6" hidden="1" customHeight="1" x14ac:dyDescent="0.3">
      <c r="A43" s="163"/>
      <c r="B43" s="382" t="s">
        <v>462</v>
      </c>
      <c r="C43" s="190" t="s">
        <v>434</v>
      </c>
      <c r="D43" s="163" t="e">
        <f>+'TỒN KHO HUẾ'!#REF!</f>
        <v>#REF!</v>
      </c>
      <c r="E43" s="163" t="e">
        <f>+'TỒN KHO HUẾ'!#REF!</f>
        <v>#REF!</v>
      </c>
      <c r="F43" s="163" t="e">
        <f>+'TỒN KHO HUẾ'!#REF!</f>
        <v>#REF!</v>
      </c>
      <c r="G43" s="163" t="e">
        <f>+'TỒN KHO HUẾ'!#REF!</f>
        <v>#REF!</v>
      </c>
      <c r="H43" s="163" t="e">
        <f>+'TỒN KHO HUẾ'!#REF!</f>
        <v>#REF!</v>
      </c>
      <c r="I43" s="163"/>
    </row>
    <row r="44" spans="1:9" ht="39.6" hidden="1" customHeight="1" x14ac:dyDescent="0.3">
      <c r="A44" s="163"/>
      <c r="B44" s="383"/>
      <c r="C44" s="166" t="s">
        <v>361</v>
      </c>
      <c r="D44" s="163" t="e">
        <f>+'TỒN KHO TĂNG ÁP'!#REF!</f>
        <v>#REF!</v>
      </c>
      <c r="E44" s="163" t="e">
        <f>+'TỒN KHO TĂNG ÁP'!#REF!</f>
        <v>#REF!</v>
      </c>
      <c r="F44" s="163" t="e">
        <f>+'TỒN KHO TĂNG ÁP'!#REF!</f>
        <v>#REF!</v>
      </c>
      <c r="G44" s="163" t="e">
        <f>+'TỒN KHO TĂNG ÁP'!#REF!</f>
        <v>#REF!</v>
      </c>
      <c r="H44" s="163" t="e">
        <f>+'TỒN KHO TĂNG ÁP'!#REF!</f>
        <v>#REF!</v>
      </c>
      <c r="I44" s="163"/>
    </row>
    <row r="45" spans="1:9" ht="39.6" hidden="1" customHeight="1" x14ac:dyDescent="0.3">
      <c r="A45" s="163"/>
      <c r="B45" s="383"/>
      <c r="C45" s="200" t="s">
        <v>435</v>
      </c>
      <c r="D45" s="163">
        <f>+'Tồn kho VP'!R15</f>
        <v>0</v>
      </c>
      <c r="E45" s="163">
        <f>+'Tồn kho VP'!S15</f>
        <v>0</v>
      </c>
      <c r="F45" s="163">
        <f>+'Tồn kho VP'!T15</f>
        <v>0</v>
      </c>
      <c r="G45" s="163">
        <f>+'Tồn kho VP'!U15</f>
        <v>16</v>
      </c>
      <c r="H45" s="163">
        <f>+'Tồn kho VP'!V15</f>
        <v>0</v>
      </c>
      <c r="I45" s="163"/>
    </row>
    <row r="46" spans="1:9" ht="39.6" hidden="1" customHeight="1" x14ac:dyDescent="0.3">
      <c r="A46" s="163"/>
      <c r="B46" s="383"/>
      <c r="C46" s="163" t="s">
        <v>440</v>
      </c>
      <c r="D46" s="163"/>
      <c r="E46" s="163"/>
      <c r="F46" s="163"/>
      <c r="G46" s="163"/>
      <c r="H46" s="163"/>
      <c r="I46" s="163"/>
    </row>
    <row r="47" spans="1:9" ht="39.6" hidden="1" customHeight="1" x14ac:dyDescent="0.3">
      <c r="A47" s="163"/>
      <c r="B47" s="384"/>
      <c r="C47" s="163" t="s">
        <v>444</v>
      </c>
      <c r="D47" s="163">
        <f>+'TỒN KHO HÀ LẦM'!R13</f>
        <v>0</v>
      </c>
      <c r="E47" s="163">
        <f>+'TỒN KHO HÀ LẦM'!S13</f>
        <v>0</v>
      </c>
      <c r="F47" s="163">
        <f>+'TỒN KHO HÀ LẦM'!T13</f>
        <v>0</v>
      </c>
      <c r="G47" s="163">
        <f>+'TỒN KHO HÀ LẦM'!U13</f>
        <v>17</v>
      </c>
      <c r="H47" s="163">
        <f>+'TỒN KHO HÀ LẦM'!V13</f>
        <v>30</v>
      </c>
      <c r="I47" s="163"/>
    </row>
    <row r="48" spans="1:9" ht="39.6" hidden="1" customHeight="1" x14ac:dyDescent="0.3">
      <c r="A48" s="163"/>
      <c r="B48" s="382" t="s">
        <v>470</v>
      </c>
      <c r="C48" s="190" t="s">
        <v>473</v>
      </c>
      <c r="D48" s="163" t="e">
        <f>'TỒN KHO HUẾ'!#REF!</f>
        <v>#REF!</v>
      </c>
      <c r="E48" s="163" t="e">
        <f>'TỒN KHO HUẾ'!#REF!</f>
        <v>#REF!</v>
      </c>
      <c r="F48" s="163" t="e">
        <f>'TỒN KHO HUẾ'!#REF!</f>
        <v>#REF!</v>
      </c>
      <c r="G48" s="163" t="e">
        <f>'TỒN KHO HUẾ'!#REF!</f>
        <v>#REF!</v>
      </c>
      <c r="H48" s="163" t="e">
        <f>'TỒN KHO HUẾ'!#REF!</f>
        <v>#REF!</v>
      </c>
      <c r="I48" s="163"/>
    </row>
    <row r="49" spans="1:9" ht="39.6" hidden="1" customHeight="1" x14ac:dyDescent="0.3">
      <c r="A49" s="163"/>
      <c r="B49" s="383"/>
      <c r="C49" s="166" t="s">
        <v>361</v>
      </c>
      <c r="D49" s="163" t="e">
        <f>'TỒN KHO TĂNG ÁP'!#REF!</f>
        <v>#REF!</v>
      </c>
      <c r="E49" s="163" t="e">
        <f>'TỒN KHO TĂNG ÁP'!#REF!</f>
        <v>#REF!</v>
      </c>
      <c r="F49" s="163" t="e">
        <f>'TỒN KHO TĂNG ÁP'!#REF!</f>
        <v>#REF!</v>
      </c>
      <c r="G49" s="163" t="e">
        <f>'TỒN KHO TĂNG ÁP'!#REF!</f>
        <v>#REF!</v>
      </c>
      <c r="H49" s="163" t="e">
        <f>'TỒN KHO TĂNG ÁP'!#REF!</f>
        <v>#REF!</v>
      </c>
      <c r="I49" s="163"/>
    </row>
    <row r="50" spans="1:9" ht="39.6" hidden="1" customHeight="1" x14ac:dyDescent="0.3">
      <c r="A50" s="163"/>
      <c r="B50" s="383"/>
      <c r="C50" s="200" t="s">
        <v>435</v>
      </c>
      <c r="D50" s="163">
        <f>'Tồn kho VP'!R16</f>
        <v>0</v>
      </c>
      <c r="E50" s="163">
        <f>'Tồn kho VP'!S16</f>
        <v>1</v>
      </c>
      <c r="F50" s="163">
        <f>'Tồn kho VP'!T16</f>
        <v>0</v>
      </c>
      <c r="G50" s="163">
        <f>'Tồn kho VP'!U16</f>
        <v>49</v>
      </c>
      <c r="H50" s="163">
        <f>'Tồn kho VP'!V16</f>
        <v>0</v>
      </c>
      <c r="I50" s="163"/>
    </row>
    <row r="51" spans="1:9" ht="39.6" hidden="1" customHeight="1" x14ac:dyDescent="0.3">
      <c r="A51" s="163"/>
      <c r="B51" s="383"/>
      <c r="C51" s="163" t="s">
        <v>440</v>
      </c>
      <c r="D51" s="163"/>
      <c r="E51" s="163"/>
      <c r="F51" s="163"/>
      <c r="G51" s="163"/>
      <c r="H51" s="163"/>
      <c r="I51" s="163"/>
    </row>
    <row r="52" spans="1:9" ht="39.6" hidden="1" customHeight="1" x14ac:dyDescent="0.3">
      <c r="A52" s="163"/>
      <c r="B52" s="384"/>
      <c r="C52" s="163" t="s">
        <v>444</v>
      </c>
      <c r="D52" s="163">
        <f>'TỒN KHO HÀ LẦM'!R14</f>
        <v>0</v>
      </c>
      <c r="E52" s="163">
        <f>'TỒN KHO HÀ LẦM'!S14</f>
        <v>0</v>
      </c>
      <c r="F52" s="163">
        <f>'TỒN KHO HÀ LẦM'!T14</f>
        <v>0</v>
      </c>
      <c r="G52" s="163">
        <f>'TỒN KHO HÀ LẦM'!U14</f>
        <v>17</v>
      </c>
      <c r="H52" s="163">
        <f>'TỒN KHO HÀ LẦM'!V14</f>
        <v>30</v>
      </c>
      <c r="I52" s="163"/>
    </row>
    <row r="53" spans="1:9" ht="30" hidden="1" customHeight="1" x14ac:dyDescent="0.3">
      <c r="A53" s="163"/>
      <c r="B53" s="382" t="s">
        <v>474</v>
      </c>
      <c r="C53" s="190" t="s">
        <v>473</v>
      </c>
      <c r="D53" s="163" t="e">
        <f>'TỒN KHO HUẾ'!#REF!</f>
        <v>#REF!</v>
      </c>
      <c r="E53" s="163" t="e">
        <f>'TỒN KHO HUẾ'!#REF!</f>
        <v>#REF!</v>
      </c>
      <c r="F53" s="163" t="e">
        <f>'TỒN KHO HUẾ'!#REF!</f>
        <v>#REF!</v>
      </c>
      <c r="G53" s="163" t="e">
        <f>'TỒN KHO HUẾ'!#REF!</f>
        <v>#REF!</v>
      </c>
      <c r="H53" s="163" t="e">
        <f>'TỒN KHO HUẾ'!#REF!</f>
        <v>#REF!</v>
      </c>
      <c r="I53" s="163"/>
    </row>
    <row r="54" spans="1:9" ht="30" hidden="1" customHeight="1" x14ac:dyDescent="0.3">
      <c r="A54" s="163"/>
      <c r="B54" s="383"/>
      <c r="C54" s="166" t="s">
        <v>361</v>
      </c>
      <c r="D54" s="163" t="e">
        <f>'TỒN KHO TĂNG ÁP'!#REF!</f>
        <v>#REF!</v>
      </c>
      <c r="E54" s="163" t="e">
        <f>'TỒN KHO TĂNG ÁP'!#REF!</f>
        <v>#REF!</v>
      </c>
      <c r="F54" s="163" t="e">
        <f>'TỒN KHO TĂNG ÁP'!#REF!</f>
        <v>#REF!</v>
      </c>
      <c r="G54" s="163" t="e">
        <f>'TỒN KHO TĂNG ÁP'!#REF!</f>
        <v>#REF!</v>
      </c>
      <c r="H54" s="163" t="e">
        <f>'TỒN KHO TĂNG ÁP'!#REF!</f>
        <v>#REF!</v>
      </c>
      <c r="I54" s="163"/>
    </row>
    <row r="55" spans="1:9" ht="30" hidden="1" customHeight="1" x14ac:dyDescent="0.3">
      <c r="A55" s="163"/>
      <c r="B55" s="383"/>
      <c r="C55" s="200" t="s">
        <v>435</v>
      </c>
      <c r="D55" s="163">
        <f>'Tồn kho VP'!R17</f>
        <v>0</v>
      </c>
      <c r="E55" s="163">
        <f>'Tồn kho VP'!S17</f>
        <v>1</v>
      </c>
      <c r="F55" s="163">
        <f>'Tồn kho VP'!T17</f>
        <v>0</v>
      </c>
      <c r="G55" s="163">
        <f>'Tồn kho VP'!U17</f>
        <v>37</v>
      </c>
      <c r="H55" s="163">
        <f>'Tồn kho VP'!V17</f>
        <v>0</v>
      </c>
      <c r="I55" s="163"/>
    </row>
    <row r="56" spans="1:9" ht="30" hidden="1" customHeight="1" x14ac:dyDescent="0.3">
      <c r="A56" s="163"/>
      <c r="B56" s="383"/>
      <c r="C56" s="163" t="s">
        <v>440</v>
      </c>
      <c r="D56" s="163"/>
      <c r="E56" s="163"/>
      <c r="F56" s="163"/>
      <c r="G56" s="163"/>
      <c r="H56" s="163"/>
      <c r="I56" s="163"/>
    </row>
    <row r="57" spans="1:9" ht="30" hidden="1" customHeight="1" x14ac:dyDescent="0.3">
      <c r="A57" s="163"/>
      <c r="B57" s="384"/>
      <c r="C57" s="163" t="s">
        <v>444</v>
      </c>
      <c r="D57" s="163">
        <f>'TỒN KHO HÀ LẦM'!R14</f>
        <v>0</v>
      </c>
      <c r="E57" s="163">
        <f>'TỒN KHO HÀ LẦM'!S14</f>
        <v>0</v>
      </c>
      <c r="F57" s="163">
        <f>'TỒN KHO HÀ LẦM'!T14</f>
        <v>0</v>
      </c>
      <c r="G57" s="163">
        <f>'TỒN KHO HÀ LẦM'!U14</f>
        <v>17</v>
      </c>
      <c r="H57" s="163">
        <f>'TỒN KHO HÀ LẦM'!V14</f>
        <v>30</v>
      </c>
      <c r="I57" s="163"/>
    </row>
    <row r="58" spans="1:9" ht="31.8" hidden="1" customHeight="1" x14ac:dyDescent="0.3">
      <c r="A58" s="163"/>
      <c r="B58" s="382" t="s">
        <v>477</v>
      </c>
      <c r="C58" s="190" t="s">
        <v>473</v>
      </c>
      <c r="D58" s="163" t="e">
        <f>'TỒN KHO HUẾ'!#REF!</f>
        <v>#REF!</v>
      </c>
      <c r="E58" s="163" t="e">
        <f>'TỒN KHO HUẾ'!#REF!</f>
        <v>#REF!</v>
      </c>
      <c r="F58" s="163" t="e">
        <f>'TỒN KHO HUẾ'!#REF!</f>
        <v>#REF!</v>
      </c>
      <c r="G58" s="163" t="e">
        <f>'TỒN KHO HUẾ'!#REF!</f>
        <v>#REF!</v>
      </c>
      <c r="H58" s="163" t="e">
        <f>'TỒN KHO HUẾ'!#REF!</f>
        <v>#REF!</v>
      </c>
      <c r="I58" s="163"/>
    </row>
    <row r="59" spans="1:9" ht="31.8" hidden="1" customHeight="1" x14ac:dyDescent="0.3">
      <c r="A59" s="163"/>
      <c r="B59" s="383"/>
      <c r="C59" s="166" t="s">
        <v>361</v>
      </c>
      <c r="D59" s="163" t="e">
        <f>'TỒN KHO TĂNG ÁP'!#REF!</f>
        <v>#REF!</v>
      </c>
      <c r="E59" s="163" t="e">
        <f>'TỒN KHO TĂNG ÁP'!#REF!</f>
        <v>#REF!</v>
      </c>
      <c r="F59" s="163" t="e">
        <f>'TỒN KHO TĂNG ÁP'!#REF!</f>
        <v>#REF!</v>
      </c>
      <c r="G59" s="163" t="e">
        <f>'TỒN KHO TĂNG ÁP'!#REF!</f>
        <v>#REF!</v>
      </c>
      <c r="H59" s="163" t="e">
        <f>'TỒN KHO TĂNG ÁP'!#REF!</f>
        <v>#REF!</v>
      </c>
      <c r="I59" s="163"/>
    </row>
    <row r="60" spans="1:9" ht="31.8" hidden="1" customHeight="1" x14ac:dyDescent="0.3">
      <c r="A60" s="163"/>
      <c r="B60" s="383"/>
      <c r="C60" s="200" t="s">
        <v>435</v>
      </c>
      <c r="D60" s="163">
        <f>'Tồn kho VP'!R18</f>
        <v>0</v>
      </c>
      <c r="E60" s="163">
        <f>'Tồn kho VP'!S18</f>
        <v>1</v>
      </c>
      <c r="F60" s="163">
        <f>'Tồn kho VP'!T18</f>
        <v>0</v>
      </c>
      <c r="G60" s="163">
        <f>'Tồn kho VP'!U18</f>
        <v>27</v>
      </c>
      <c r="H60" s="163">
        <f>'Tồn kho VP'!V18</f>
        <v>0</v>
      </c>
      <c r="I60" s="163"/>
    </row>
    <row r="61" spans="1:9" ht="31.8" hidden="1" customHeight="1" x14ac:dyDescent="0.3">
      <c r="A61" s="163"/>
      <c r="B61" s="383"/>
      <c r="C61" s="163" t="s">
        <v>440</v>
      </c>
      <c r="D61" s="163"/>
      <c r="E61" s="163"/>
      <c r="F61" s="163"/>
      <c r="G61" s="163"/>
      <c r="H61" s="163"/>
      <c r="I61" s="163"/>
    </row>
    <row r="62" spans="1:9" ht="31.8" hidden="1" customHeight="1" x14ac:dyDescent="0.3">
      <c r="A62" s="163"/>
      <c r="B62" s="384"/>
      <c r="C62" s="163" t="s">
        <v>444</v>
      </c>
      <c r="D62" s="163">
        <f>'TỒN KHO HÀ LẦM'!R16</f>
        <v>0</v>
      </c>
      <c r="E62" s="163">
        <f>'TỒN KHO HÀ LẦM'!S16</f>
        <v>0</v>
      </c>
      <c r="F62" s="163">
        <f>'TỒN KHO HÀ LẦM'!T16</f>
        <v>0</v>
      </c>
      <c r="G62" s="163">
        <f>'TỒN KHO HÀ LẦM'!U16</f>
        <v>17</v>
      </c>
      <c r="H62" s="163">
        <f>'TỒN KHO HÀ LẦM'!V16</f>
        <v>30</v>
      </c>
      <c r="I62" s="163"/>
    </row>
    <row r="63" spans="1:9" ht="36" hidden="1" customHeight="1" x14ac:dyDescent="0.3">
      <c r="A63" s="163"/>
      <c r="B63" s="382" t="s">
        <v>478</v>
      </c>
      <c r="C63" s="237" t="s">
        <v>473</v>
      </c>
      <c r="D63" s="163" t="e">
        <f>'TỒN KHO HUẾ'!#REF!</f>
        <v>#REF!</v>
      </c>
      <c r="E63" s="163" t="e">
        <f>'TỒN KHO HUẾ'!#REF!</f>
        <v>#REF!</v>
      </c>
      <c r="F63" s="163" t="e">
        <f>'TỒN KHO HUẾ'!#REF!</f>
        <v>#REF!</v>
      </c>
      <c r="G63" s="163" t="e">
        <f>'TỒN KHO HUẾ'!#REF!</f>
        <v>#REF!</v>
      </c>
      <c r="H63" s="163" t="e">
        <f>'TỒN KHO HUẾ'!#REF!</f>
        <v>#REF!</v>
      </c>
      <c r="I63" s="163"/>
    </row>
    <row r="64" spans="1:9" ht="36" hidden="1" customHeight="1" x14ac:dyDescent="0.3">
      <c r="A64" s="163"/>
      <c r="B64" s="383"/>
      <c r="C64" s="235" t="s">
        <v>361</v>
      </c>
      <c r="D64" s="163" t="e">
        <f>'TỒN KHO TĂNG ÁP'!#REF!</f>
        <v>#REF!</v>
      </c>
      <c r="E64" s="163" t="e">
        <f>'TỒN KHO TĂNG ÁP'!#REF!</f>
        <v>#REF!</v>
      </c>
      <c r="F64" s="163" t="e">
        <f>'TỒN KHO TĂNG ÁP'!#REF!</f>
        <v>#REF!</v>
      </c>
      <c r="G64" s="163" t="e">
        <f>'TỒN KHO TĂNG ÁP'!#REF!</f>
        <v>#REF!</v>
      </c>
      <c r="H64" s="163" t="e">
        <f>'TỒN KHO TĂNG ÁP'!#REF!</f>
        <v>#REF!</v>
      </c>
      <c r="I64" s="163"/>
    </row>
    <row r="65" spans="1:9" ht="36" hidden="1" customHeight="1" x14ac:dyDescent="0.3">
      <c r="A65" s="163"/>
      <c r="B65" s="383"/>
      <c r="C65" s="236" t="s">
        <v>435</v>
      </c>
      <c r="D65" s="163">
        <f>'Tồn kho VP'!R19</f>
        <v>0</v>
      </c>
      <c r="E65" s="163">
        <f>'Tồn kho VP'!S19</f>
        <v>1</v>
      </c>
      <c r="F65" s="163">
        <f>'Tồn kho VP'!T19</f>
        <v>0</v>
      </c>
      <c r="G65" s="163">
        <f>'Tồn kho VP'!U19</f>
        <v>27</v>
      </c>
      <c r="H65" s="163">
        <f>'Tồn kho VP'!V19</f>
        <v>0</v>
      </c>
      <c r="I65" s="163"/>
    </row>
    <row r="66" spans="1:9" ht="30.6" hidden="1" customHeight="1" x14ac:dyDescent="0.3">
      <c r="A66" s="163"/>
      <c r="B66" s="383"/>
      <c r="C66" s="163" t="s">
        <v>440</v>
      </c>
      <c r="D66" s="163"/>
      <c r="E66" s="163"/>
      <c r="F66" s="163"/>
      <c r="G66" s="163"/>
      <c r="H66" s="163"/>
      <c r="I66" s="163"/>
    </row>
    <row r="67" spans="1:9" ht="30.6" hidden="1" customHeight="1" x14ac:dyDescent="0.3">
      <c r="A67" s="163"/>
      <c r="B67" s="384"/>
      <c r="C67" s="163" t="s">
        <v>444</v>
      </c>
      <c r="D67" s="163">
        <f>'TỒN KHO HÀ LẦM'!R17</f>
        <v>0</v>
      </c>
      <c r="E67" s="163">
        <f>'TỒN KHO HÀ LẦM'!S17</f>
        <v>0</v>
      </c>
      <c r="F67" s="163">
        <f>'TỒN KHO HÀ LẦM'!T17</f>
        <v>0</v>
      </c>
      <c r="G67" s="163">
        <f>'TỒN KHO HÀ LẦM'!U17</f>
        <v>17</v>
      </c>
      <c r="H67" s="163">
        <f>'TỒN KHO HÀ LẦM'!V17</f>
        <v>30</v>
      </c>
      <c r="I67" s="163"/>
    </row>
    <row r="68" spans="1:9" ht="33.6" hidden="1" customHeight="1" x14ac:dyDescent="0.3">
      <c r="A68" s="163"/>
      <c r="B68" s="382" t="s">
        <v>480</v>
      </c>
      <c r="C68" s="237" t="s">
        <v>473</v>
      </c>
      <c r="D68" s="163" t="e">
        <f>'TỒN KHO HUẾ'!#REF!</f>
        <v>#REF!</v>
      </c>
      <c r="E68" s="163" t="e">
        <f>'TỒN KHO HUẾ'!#REF!</f>
        <v>#REF!</v>
      </c>
      <c r="F68" s="163" t="e">
        <f>'TỒN KHO HUẾ'!#REF!</f>
        <v>#REF!</v>
      </c>
      <c r="G68" s="163" t="e">
        <f>'TỒN KHO HUẾ'!#REF!</f>
        <v>#REF!</v>
      </c>
      <c r="H68" s="163" t="e">
        <f>'TỒN KHO HUẾ'!#REF!</f>
        <v>#REF!</v>
      </c>
      <c r="I68" s="163"/>
    </row>
    <row r="69" spans="1:9" ht="33.6" hidden="1" customHeight="1" x14ac:dyDescent="0.3">
      <c r="A69" s="163"/>
      <c r="B69" s="383"/>
      <c r="C69" s="235" t="s">
        <v>361</v>
      </c>
      <c r="D69" s="163" t="e">
        <f>'TỒN KHO TĂNG ÁP'!#REF!</f>
        <v>#REF!</v>
      </c>
      <c r="E69" s="163" t="e">
        <f>'TỒN KHO TĂNG ÁP'!#REF!</f>
        <v>#REF!</v>
      </c>
      <c r="F69" s="163" t="e">
        <f>'TỒN KHO TĂNG ÁP'!#REF!</f>
        <v>#REF!</v>
      </c>
      <c r="G69" s="163" t="e">
        <f>'TỒN KHO TĂNG ÁP'!#REF!</f>
        <v>#REF!</v>
      </c>
      <c r="H69" s="163" t="e">
        <f>'TỒN KHO TĂNG ÁP'!#REF!</f>
        <v>#REF!</v>
      </c>
      <c r="I69" s="163"/>
    </row>
    <row r="70" spans="1:9" ht="33.6" hidden="1" customHeight="1" x14ac:dyDescent="0.3">
      <c r="A70" s="163"/>
      <c r="B70" s="383"/>
      <c r="C70" s="236" t="s">
        <v>435</v>
      </c>
      <c r="D70" s="163">
        <f>'Tồn kho VP'!R20</f>
        <v>0</v>
      </c>
      <c r="E70" s="163">
        <f>'Tồn kho VP'!S20</f>
        <v>1</v>
      </c>
      <c r="F70" s="163">
        <f>'Tồn kho VP'!T20</f>
        <v>0</v>
      </c>
      <c r="G70" s="163">
        <f>'Tồn kho VP'!U20</f>
        <v>25</v>
      </c>
      <c r="H70" s="163">
        <f>'Tồn kho VP'!V20</f>
        <v>0</v>
      </c>
      <c r="I70" s="163"/>
    </row>
    <row r="71" spans="1:9" ht="33.6" hidden="1" customHeight="1" x14ac:dyDescent="0.3">
      <c r="A71" s="163"/>
      <c r="B71" s="383"/>
      <c r="C71" s="163" t="s">
        <v>440</v>
      </c>
      <c r="D71" s="163"/>
      <c r="E71" s="163"/>
      <c r="F71" s="163"/>
      <c r="G71" s="163"/>
      <c r="H71" s="163"/>
      <c r="I71" s="163"/>
    </row>
    <row r="72" spans="1:9" ht="33.6" hidden="1" customHeight="1" x14ac:dyDescent="0.3">
      <c r="A72" s="163"/>
      <c r="B72" s="384"/>
      <c r="C72" s="163" t="s">
        <v>444</v>
      </c>
      <c r="D72" s="163">
        <f>'TỒN KHO HÀ LẦM'!R18</f>
        <v>0</v>
      </c>
      <c r="E72" s="163">
        <f>'TỒN KHO HÀ LẦM'!S18</f>
        <v>0</v>
      </c>
      <c r="F72" s="163">
        <f>'TỒN KHO HÀ LẦM'!T18</f>
        <v>0</v>
      </c>
      <c r="G72" s="163">
        <f>'TỒN KHO HÀ LẦM'!U18</f>
        <v>17</v>
      </c>
      <c r="H72" s="163">
        <f>'TỒN KHO HÀ LẦM'!V18</f>
        <v>30</v>
      </c>
      <c r="I72" s="163"/>
    </row>
    <row r="73" spans="1:9" ht="25.2" hidden="1" customHeight="1" x14ac:dyDescent="0.3">
      <c r="A73" s="163"/>
      <c r="B73" s="382" t="s">
        <v>482</v>
      </c>
      <c r="C73" s="237" t="s">
        <v>473</v>
      </c>
      <c r="D73" s="163" t="e">
        <f>'TỒN KHO HUẾ'!#REF!</f>
        <v>#REF!</v>
      </c>
      <c r="E73" s="163" t="e">
        <f>'TỒN KHO HUẾ'!#REF!</f>
        <v>#REF!</v>
      </c>
      <c r="F73" s="163" t="e">
        <f>'TỒN KHO HUẾ'!#REF!</f>
        <v>#REF!</v>
      </c>
      <c r="G73" s="163" t="e">
        <f>'TỒN KHO HUẾ'!#REF!</f>
        <v>#REF!</v>
      </c>
      <c r="H73" s="163" t="e">
        <f>'TỒN KHO HUẾ'!#REF!</f>
        <v>#REF!</v>
      </c>
      <c r="I73" s="163"/>
    </row>
    <row r="74" spans="1:9" ht="25.2" hidden="1" customHeight="1" x14ac:dyDescent="0.3">
      <c r="A74" s="163"/>
      <c r="B74" s="383"/>
      <c r="C74" s="235" t="s">
        <v>361</v>
      </c>
      <c r="D74" s="163" t="e">
        <f>'TỒN KHO TĂNG ÁP'!#REF!</f>
        <v>#REF!</v>
      </c>
      <c r="E74" s="163" t="e">
        <f>'TỒN KHO TĂNG ÁP'!#REF!</f>
        <v>#REF!</v>
      </c>
      <c r="F74" s="163" t="e">
        <f>'TỒN KHO TĂNG ÁP'!#REF!</f>
        <v>#REF!</v>
      </c>
      <c r="G74" s="163" t="e">
        <f>'TỒN KHO TĂNG ÁP'!#REF!</f>
        <v>#REF!</v>
      </c>
      <c r="H74" s="163" t="e">
        <f>'TỒN KHO TĂNG ÁP'!#REF!</f>
        <v>#REF!</v>
      </c>
      <c r="I74" s="163"/>
    </row>
    <row r="75" spans="1:9" ht="25.2" hidden="1" customHeight="1" x14ac:dyDescent="0.3">
      <c r="A75" s="163"/>
      <c r="B75" s="383"/>
      <c r="C75" s="236" t="s">
        <v>435</v>
      </c>
      <c r="D75" s="163">
        <f>'Tồn kho VP'!R21</f>
        <v>0</v>
      </c>
      <c r="E75" s="163">
        <f>'Tồn kho VP'!S21</f>
        <v>1</v>
      </c>
      <c r="F75" s="163">
        <f>'Tồn kho VP'!T21</f>
        <v>0</v>
      </c>
      <c r="G75" s="163">
        <f>'Tồn kho VP'!U21</f>
        <v>25</v>
      </c>
      <c r="H75" s="163">
        <f>'Tồn kho VP'!V21</f>
        <v>0</v>
      </c>
      <c r="I75" s="163"/>
    </row>
    <row r="76" spans="1:9" ht="25.2" hidden="1" customHeight="1" x14ac:dyDescent="0.3">
      <c r="A76" s="163"/>
      <c r="B76" s="383"/>
      <c r="C76" s="163" t="s">
        <v>440</v>
      </c>
      <c r="D76" s="163">
        <f>'tồn xe'!O14</f>
        <v>0</v>
      </c>
      <c r="E76" s="163">
        <f>'tồn xe'!P14</f>
        <v>0</v>
      </c>
      <c r="F76" s="163">
        <f>'tồn xe'!Q14</f>
        <v>0</v>
      </c>
      <c r="G76" s="163">
        <f>'tồn xe'!R14</f>
        <v>0</v>
      </c>
      <c r="H76" s="163">
        <f>'tồn xe'!S14</f>
        <v>0</v>
      </c>
      <c r="I76" s="163"/>
    </row>
    <row r="77" spans="1:9" ht="25.2" hidden="1" customHeight="1" x14ac:dyDescent="0.3">
      <c r="A77" s="163"/>
      <c r="B77" s="384"/>
      <c r="C77" s="163" t="s">
        <v>444</v>
      </c>
      <c r="D77" s="163">
        <f>'TỒN KHO HÀ LẦM'!R19</f>
        <v>0</v>
      </c>
      <c r="E77" s="163">
        <f>'TỒN KHO HÀ LẦM'!S19</f>
        <v>0</v>
      </c>
      <c r="F77" s="163">
        <f>'TỒN KHO HÀ LẦM'!T19</f>
        <v>0</v>
      </c>
      <c r="G77" s="163">
        <f>'TỒN KHO HÀ LẦM'!U19</f>
        <v>17</v>
      </c>
      <c r="H77" s="163">
        <f>'TỒN KHO HÀ LẦM'!V19</f>
        <v>30</v>
      </c>
      <c r="I77" s="163"/>
    </row>
    <row r="78" spans="1:9" ht="31.2" hidden="1" customHeight="1" x14ac:dyDescent="0.3">
      <c r="A78" s="163"/>
      <c r="B78" s="382" t="s">
        <v>483</v>
      </c>
      <c r="C78" s="237" t="s">
        <v>487</v>
      </c>
      <c r="D78" s="163" t="e">
        <f>'TỒN KHO HUẾ'!#REF!</f>
        <v>#REF!</v>
      </c>
      <c r="E78" s="163" t="e">
        <f>'TỒN KHO HUẾ'!#REF!</f>
        <v>#REF!</v>
      </c>
      <c r="F78" s="163" t="e">
        <f>'TỒN KHO HUẾ'!#REF!</f>
        <v>#REF!</v>
      </c>
      <c r="G78" s="163" t="e">
        <f>'TỒN KHO HUẾ'!#REF!</f>
        <v>#REF!</v>
      </c>
      <c r="H78" s="163" t="e">
        <f>'TỒN KHO HUẾ'!#REF!</f>
        <v>#REF!</v>
      </c>
      <c r="I78" s="163"/>
    </row>
    <row r="79" spans="1:9" ht="31.2" hidden="1" customHeight="1" x14ac:dyDescent="0.3">
      <c r="A79" s="163"/>
      <c r="B79" s="383"/>
      <c r="C79" s="235" t="s">
        <v>361</v>
      </c>
      <c r="D79" s="163" t="e">
        <f>'TỒN KHO TĂNG ÁP'!#REF!</f>
        <v>#REF!</v>
      </c>
      <c r="E79" s="163" t="e">
        <f>'TỒN KHO TĂNG ÁP'!#REF!</f>
        <v>#REF!</v>
      </c>
      <c r="F79" s="163" t="e">
        <f>'TỒN KHO TĂNG ÁP'!#REF!</f>
        <v>#REF!</v>
      </c>
      <c r="G79" s="163" t="e">
        <f>'TỒN KHO TĂNG ÁP'!#REF!</f>
        <v>#REF!</v>
      </c>
      <c r="H79" s="163" t="e">
        <f>'TỒN KHO TĂNG ÁP'!#REF!</f>
        <v>#REF!</v>
      </c>
      <c r="I79" s="163"/>
    </row>
    <row r="80" spans="1:9" ht="31.2" hidden="1" customHeight="1" x14ac:dyDescent="0.3">
      <c r="A80" s="163"/>
      <c r="B80" s="383"/>
      <c r="C80" s="236" t="s">
        <v>435</v>
      </c>
      <c r="D80" s="163">
        <f>'Tồn kho VP'!R22</f>
        <v>0</v>
      </c>
      <c r="E80" s="163">
        <f>'Tồn kho VP'!S22</f>
        <v>1</v>
      </c>
      <c r="F80" s="163">
        <f>'Tồn kho VP'!T22</f>
        <v>0</v>
      </c>
      <c r="G80" s="163">
        <f>'Tồn kho VP'!U22</f>
        <v>24</v>
      </c>
      <c r="H80" s="163">
        <f>'Tồn kho VP'!V22</f>
        <v>0</v>
      </c>
      <c r="I80" s="163"/>
    </row>
    <row r="81" spans="1:9" ht="31.2" hidden="1" customHeight="1" x14ac:dyDescent="0.3">
      <c r="A81" s="163"/>
      <c r="B81" s="383"/>
      <c r="C81" s="163" t="s">
        <v>440</v>
      </c>
      <c r="D81" s="163"/>
      <c r="E81" s="163"/>
      <c r="F81" s="163"/>
      <c r="G81" s="163"/>
      <c r="H81" s="163"/>
      <c r="I81" s="163"/>
    </row>
    <row r="82" spans="1:9" ht="31.2" hidden="1" customHeight="1" x14ac:dyDescent="0.3">
      <c r="A82" s="163"/>
      <c r="B82" s="384"/>
      <c r="C82" s="163" t="s">
        <v>444</v>
      </c>
      <c r="D82" s="163">
        <f>'TỒN KHO HÀ LẦM'!R19</f>
        <v>0</v>
      </c>
      <c r="E82" s="163">
        <f>'TỒN KHO HÀ LẦM'!S19</f>
        <v>0</v>
      </c>
      <c r="F82" s="163">
        <f>'TỒN KHO HÀ LẦM'!T19</f>
        <v>0</v>
      </c>
      <c r="G82" s="163">
        <f>'TỒN KHO HÀ LẦM'!U19</f>
        <v>17</v>
      </c>
      <c r="H82" s="163">
        <f>'TỒN KHO HÀ LẦM'!V19</f>
        <v>30</v>
      </c>
      <c r="I82" s="163"/>
    </row>
    <row r="83" spans="1:9" ht="27" hidden="1" customHeight="1" x14ac:dyDescent="0.3">
      <c r="A83" s="163"/>
      <c r="B83" s="382" t="s">
        <v>486</v>
      </c>
      <c r="C83" s="237" t="s">
        <v>487</v>
      </c>
      <c r="D83" s="163">
        <f>'TỒN KHO HUẾ'!R5</f>
        <v>0</v>
      </c>
      <c r="E83" s="163">
        <f>'TỒN KHO HUẾ'!S5</f>
        <v>28</v>
      </c>
      <c r="F83" s="163">
        <f>'TỒN KHO HUẾ'!T5</f>
        <v>0</v>
      </c>
      <c r="G83" s="163">
        <f>'TỒN KHO HUẾ'!U5</f>
        <v>213</v>
      </c>
      <c r="H83" s="163">
        <f>'TỒN KHO HUẾ'!V5</f>
        <v>30</v>
      </c>
      <c r="I83" s="163"/>
    </row>
    <row r="84" spans="1:9" ht="27" hidden="1" customHeight="1" x14ac:dyDescent="0.3">
      <c r="A84" s="163"/>
      <c r="B84" s="383"/>
      <c r="C84" s="235" t="s">
        <v>361</v>
      </c>
      <c r="D84" s="163">
        <f>'TỒN KHO TĂNG ÁP'!R5</f>
        <v>1</v>
      </c>
      <c r="E84" s="163">
        <f>'TỒN KHO TĂNG ÁP'!S5</f>
        <v>47</v>
      </c>
      <c r="F84" s="163">
        <f>'TỒN KHO TĂNG ÁP'!T5</f>
        <v>0</v>
      </c>
      <c r="G84" s="163">
        <f>'TỒN KHO TĂNG ÁP'!U5</f>
        <v>237</v>
      </c>
      <c r="H84" s="163">
        <f>'TỒN KHO TĂNG ÁP'!V5</f>
        <v>4</v>
      </c>
      <c r="I84" s="163"/>
    </row>
    <row r="85" spans="1:9" ht="27" hidden="1" customHeight="1" x14ac:dyDescent="0.3">
      <c r="A85" s="163"/>
      <c r="B85" s="383"/>
      <c r="C85" s="236" t="s">
        <v>435</v>
      </c>
      <c r="D85" s="163">
        <f>'Tồn kho VP'!R22</f>
        <v>0</v>
      </c>
      <c r="E85" s="163">
        <f>'Tồn kho VP'!S22</f>
        <v>1</v>
      </c>
      <c r="F85" s="163">
        <f>'Tồn kho VP'!T22</f>
        <v>0</v>
      </c>
      <c r="G85" s="163">
        <f>'Tồn kho VP'!U22</f>
        <v>24</v>
      </c>
      <c r="H85" s="163">
        <f>'Tồn kho VP'!V22</f>
        <v>0</v>
      </c>
      <c r="I85" s="163"/>
    </row>
    <row r="86" spans="1:9" ht="27" hidden="1" customHeight="1" x14ac:dyDescent="0.3">
      <c r="A86" s="163"/>
      <c r="B86" s="383"/>
      <c r="C86" s="163" t="s">
        <v>440</v>
      </c>
      <c r="D86" s="163"/>
      <c r="E86" s="163"/>
      <c r="F86" s="163"/>
      <c r="G86" s="163"/>
      <c r="H86" s="163"/>
      <c r="I86" s="163"/>
    </row>
    <row r="87" spans="1:9" ht="27" hidden="1" customHeight="1" x14ac:dyDescent="0.3">
      <c r="A87" s="163"/>
      <c r="B87" s="384"/>
      <c r="C87" s="163" t="s">
        <v>444</v>
      </c>
      <c r="D87" s="163">
        <f>'TỒN KHO HÀ LẦM'!R20</f>
        <v>0</v>
      </c>
      <c r="E87" s="163">
        <f>'TỒN KHO HÀ LẦM'!S20</f>
        <v>0</v>
      </c>
      <c r="F87" s="163">
        <f>'TỒN KHO HÀ LẦM'!T20</f>
        <v>0</v>
      </c>
      <c r="G87" s="163">
        <f>'TỒN KHO HÀ LẦM'!U20</f>
        <v>17</v>
      </c>
      <c r="H87" s="163">
        <f>'TỒN KHO HÀ LẦM'!V20</f>
        <v>19</v>
      </c>
      <c r="I87" s="163"/>
    </row>
    <row r="88" spans="1:9" ht="25.2" hidden="1" customHeight="1" x14ac:dyDescent="0.3">
      <c r="A88" s="163"/>
      <c r="B88" s="382" t="s">
        <v>505</v>
      </c>
      <c r="C88" s="237" t="s">
        <v>487</v>
      </c>
      <c r="D88" s="163">
        <f>'TỒN KHO HUẾ'!R7</f>
        <v>10</v>
      </c>
      <c r="E88" s="163">
        <f>'TỒN KHO HUẾ'!S7</f>
        <v>28</v>
      </c>
      <c r="F88" s="163">
        <f>'TỒN KHO HUẾ'!T7</f>
        <v>0</v>
      </c>
      <c r="G88" s="163">
        <f>'TỒN KHO HUẾ'!U7</f>
        <v>201</v>
      </c>
      <c r="H88" s="163">
        <f>'TỒN KHO HUẾ'!V7</f>
        <v>6</v>
      </c>
      <c r="I88" s="163"/>
    </row>
    <row r="89" spans="1:9" ht="25.2" hidden="1" customHeight="1" x14ac:dyDescent="0.3">
      <c r="A89" s="163"/>
      <c r="B89" s="383"/>
      <c r="C89" s="235" t="s">
        <v>361</v>
      </c>
      <c r="D89" s="163">
        <f>'TỒN KHO TĂNG ÁP'!R6</f>
        <v>15</v>
      </c>
      <c r="E89" s="163">
        <f>'TỒN KHO TĂNG ÁP'!S6</f>
        <v>43</v>
      </c>
      <c r="F89" s="163">
        <f>'TỒN KHO TĂNG ÁP'!T6</f>
        <v>0</v>
      </c>
      <c r="G89" s="163">
        <f>'TỒN KHO TĂNG ÁP'!U6</f>
        <v>312</v>
      </c>
      <c r="H89" s="163">
        <f>'TỒN KHO TĂNG ÁP'!V6</f>
        <v>54</v>
      </c>
      <c r="I89" s="163"/>
    </row>
    <row r="90" spans="1:9" ht="25.2" hidden="1" customHeight="1" x14ac:dyDescent="0.3">
      <c r="A90" s="163"/>
      <c r="B90" s="383"/>
      <c r="C90" s="236" t="s">
        <v>435</v>
      </c>
      <c r="D90" s="163"/>
      <c r="E90" s="163"/>
      <c r="F90" s="163"/>
      <c r="G90" s="163"/>
      <c r="H90" s="163"/>
      <c r="I90" s="163"/>
    </row>
    <row r="91" spans="1:9" ht="25.2" hidden="1" customHeight="1" x14ac:dyDescent="0.3">
      <c r="A91" s="163"/>
      <c r="B91" s="383"/>
      <c r="C91" s="163" t="s">
        <v>440</v>
      </c>
      <c r="D91" s="163">
        <f>'tồn xe'!O15</f>
        <v>0</v>
      </c>
      <c r="E91" s="163">
        <f>'tồn xe'!P15</f>
        <v>0</v>
      </c>
      <c r="F91" s="163">
        <f>'tồn xe'!Q15</f>
        <v>6</v>
      </c>
      <c r="G91" s="163">
        <f>'tồn xe'!R15</f>
        <v>0</v>
      </c>
      <c r="H91" s="163">
        <f>'tồn xe'!S15</f>
        <v>0</v>
      </c>
      <c r="I91" s="163"/>
    </row>
    <row r="92" spans="1:9" ht="25.2" hidden="1" customHeight="1" x14ac:dyDescent="0.3">
      <c r="A92" s="163"/>
      <c r="B92" s="384"/>
      <c r="C92" s="163" t="s">
        <v>444</v>
      </c>
      <c r="D92" s="163">
        <f>'TỒN KHO HÀ LẦM'!R21</f>
        <v>0</v>
      </c>
      <c r="E92" s="163">
        <f>'TỒN KHO HÀ LẦM'!S21</f>
        <v>0</v>
      </c>
      <c r="F92" s="163">
        <f>'TỒN KHO HÀ LẦM'!T21</f>
        <v>0</v>
      </c>
      <c r="G92" s="163">
        <f>'TỒN KHO HÀ LẦM'!U21</f>
        <v>17</v>
      </c>
      <c r="H92" s="163">
        <f>'TỒN KHO HÀ LẦM'!V21</f>
        <v>19</v>
      </c>
      <c r="I92" s="163"/>
    </row>
    <row r="93" spans="1:9" ht="22.8" hidden="1" customHeight="1" x14ac:dyDescent="0.3">
      <c r="A93" s="163"/>
      <c r="B93" s="385">
        <v>46032</v>
      </c>
      <c r="C93" s="237" t="s">
        <v>487</v>
      </c>
      <c r="D93" s="163">
        <f>'TỒN KHO HUẾ'!R8</f>
        <v>0</v>
      </c>
      <c r="E93" s="163">
        <f>'TỒN KHO HUẾ'!S8</f>
        <v>28</v>
      </c>
      <c r="F93" s="163">
        <f>'TỒN KHO HUẾ'!T8</f>
        <v>0</v>
      </c>
      <c r="G93" s="163">
        <f>'TỒN KHO HUẾ'!U8</f>
        <v>188</v>
      </c>
      <c r="H93" s="163">
        <f>'TỒN KHO HUẾ'!V8</f>
        <v>50</v>
      </c>
      <c r="I93" s="163"/>
    </row>
    <row r="94" spans="1:9" ht="26.4" hidden="1" customHeight="1" x14ac:dyDescent="0.3">
      <c r="A94" s="163"/>
      <c r="B94" s="386"/>
      <c r="C94" s="235" t="s">
        <v>361</v>
      </c>
      <c r="D94" s="163">
        <f>'TỒN KHO TĂNG ÁP'!R7</f>
        <v>0</v>
      </c>
      <c r="E94" s="163">
        <f>'TỒN KHO TĂNG ÁP'!S7</f>
        <v>42</v>
      </c>
      <c r="F94" s="163">
        <f>'TỒN KHO TĂNG ÁP'!T7</f>
        <v>0</v>
      </c>
      <c r="G94" s="163">
        <f>'TỒN KHO TĂNG ÁP'!U7</f>
        <v>301</v>
      </c>
      <c r="H94" s="163">
        <f>'TỒN KHO TĂNG ÁP'!V7</f>
        <v>6</v>
      </c>
      <c r="I94" s="163"/>
    </row>
    <row r="95" spans="1:9" ht="26.4" hidden="1" customHeight="1" x14ac:dyDescent="0.3">
      <c r="A95" s="163"/>
      <c r="B95" s="386"/>
      <c r="C95" s="236" t="s">
        <v>435</v>
      </c>
      <c r="D95" s="163">
        <f>'Tồn kho VP'!R23</f>
        <v>0</v>
      </c>
      <c r="E95" s="163">
        <f>'Tồn kho VP'!S23</f>
        <v>1</v>
      </c>
      <c r="F95" s="163">
        <f>'Tồn kho VP'!T23</f>
        <v>0</v>
      </c>
      <c r="G95" s="163">
        <f>'Tồn kho VP'!U23</f>
        <v>24</v>
      </c>
      <c r="H95" s="163">
        <f>'Tồn kho VP'!V23</f>
        <v>0</v>
      </c>
      <c r="I95" s="163"/>
    </row>
    <row r="96" spans="1:9" ht="26.4" hidden="1" customHeight="1" x14ac:dyDescent="0.3">
      <c r="A96" s="163"/>
      <c r="B96" s="386"/>
      <c r="C96" s="163" t="s">
        <v>440</v>
      </c>
      <c r="D96" s="163">
        <f>'tồn xe'!O16</f>
        <v>0</v>
      </c>
      <c r="E96" s="163">
        <f>'tồn xe'!P16</f>
        <v>0</v>
      </c>
      <c r="F96" s="163">
        <f>'tồn xe'!Q16</f>
        <v>11</v>
      </c>
      <c r="G96" s="163">
        <f>'tồn xe'!R16</f>
        <v>0</v>
      </c>
      <c r="H96" s="163">
        <f>'tồn xe'!S16</f>
        <v>0</v>
      </c>
      <c r="I96" s="163"/>
    </row>
    <row r="97" spans="1:9" ht="26.4" hidden="1" customHeight="1" x14ac:dyDescent="0.3">
      <c r="A97" s="163"/>
      <c r="B97" s="387"/>
      <c r="C97" s="163" t="s">
        <v>444</v>
      </c>
      <c r="D97" s="163">
        <f>'TỒN KHO HÀ LẦM'!R22</f>
        <v>0</v>
      </c>
      <c r="E97" s="163">
        <f>'TỒN KHO HÀ LẦM'!S22</f>
        <v>0</v>
      </c>
      <c r="F97" s="163">
        <f>'TỒN KHO HÀ LẦM'!T22</f>
        <v>0</v>
      </c>
      <c r="G97" s="163">
        <f>'TỒN KHO HÀ LẦM'!U22</f>
        <v>17</v>
      </c>
      <c r="H97" s="163">
        <f>'TỒN KHO HÀ LẦM'!V22</f>
        <v>19</v>
      </c>
      <c r="I97" s="163"/>
    </row>
    <row r="98" spans="1:9" ht="40.799999999999997" customHeight="1" x14ac:dyDescent="0.3">
      <c r="A98" s="163"/>
      <c r="B98" s="382" t="s">
        <v>579</v>
      </c>
      <c r="C98" s="237" t="s">
        <v>487</v>
      </c>
      <c r="D98" s="163">
        <f>'TỒN KHO HUẾ'!R9</f>
        <v>19</v>
      </c>
      <c r="E98" s="163">
        <f>'TỒN KHO HUẾ'!S9</f>
        <v>23</v>
      </c>
      <c r="F98" s="163">
        <f>'TỒN KHO HUẾ'!T9</f>
        <v>0</v>
      </c>
      <c r="G98" s="163">
        <f>'TỒN KHO HUẾ'!U9</f>
        <v>140</v>
      </c>
      <c r="H98" s="163">
        <f>'TỒN KHO HUẾ'!V9</f>
        <v>5</v>
      </c>
      <c r="I98" s="163"/>
    </row>
    <row r="99" spans="1:9" ht="40.799999999999997" customHeight="1" x14ac:dyDescent="0.3">
      <c r="A99" s="163"/>
      <c r="B99" s="383"/>
      <c r="C99" s="235" t="s">
        <v>361</v>
      </c>
      <c r="D99" s="163">
        <f>'TỒN KHO TĂNG ÁP'!R8</f>
        <v>0</v>
      </c>
      <c r="E99" s="163">
        <f>'TỒN KHO TĂNG ÁP'!S8</f>
        <v>41</v>
      </c>
      <c r="F99" s="163">
        <f>'TỒN KHO TĂNG ÁP'!T8</f>
        <v>0</v>
      </c>
      <c r="G99" s="163">
        <f>'TỒN KHO TĂNG ÁP'!U8</f>
        <v>301</v>
      </c>
      <c r="H99" s="163">
        <f>'TỒN KHO TĂNG ÁP'!V8</f>
        <v>4</v>
      </c>
      <c r="I99" s="163"/>
    </row>
    <row r="100" spans="1:9" ht="40.799999999999997" customHeight="1" x14ac:dyDescent="0.3">
      <c r="A100" s="163"/>
      <c r="B100" s="383"/>
      <c r="C100" s="236" t="s">
        <v>435</v>
      </c>
      <c r="D100" s="163">
        <f>'Tồn kho VP'!R24</f>
        <v>0</v>
      </c>
      <c r="E100" s="163">
        <f>'Tồn kho VP'!S24</f>
        <v>1</v>
      </c>
      <c r="F100" s="163">
        <f>'Tồn kho VP'!T24</f>
        <v>0</v>
      </c>
      <c r="G100" s="163">
        <f>'Tồn kho VP'!U24</f>
        <v>21</v>
      </c>
      <c r="H100" s="163">
        <f>'Tồn kho VP'!V24</f>
        <v>0</v>
      </c>
      <c r="I100" s="163"/>
    </row>
    <row r="101" spans="1:9" ht="40.799999999999997" customHeight="1" x14ac:dyDescent="0.3">
      <c r="A101" s="163"/>
      <c r="B101" s="383"/>
      <c r="C101" s="163" t="s">
        <v>440</v>
      </c>
      <c r="D101" s="163"/>
      <c r="E101" s="163"/>
      <c r="F101" s="163"/>
      <c r="G101" s="163"/>
      <c r="H101" s="163"/>
      <c r="I101" s="163"/>
    </row>
    <row r="102" spans="1:9" ht="40.799999999999997" customHeight="1" x14ac:dyDescent="0.3">
      <c r="A102" s="163"/>
      <c r="B102" s="384"/>
      <c r="C102" s="163" t="s">
        <v>444</v>
      </c>
      <c r="D102" s="163">
        <f>'TỒN KHO HÀ LẦM'!R23</f>
        <v>0</v>
      </c>
      <c r="E102" s="163">
        <f>'TỒN KHO HÀ LẦM'!S23</f>
        <v>0</v>
      </c>
      <c r="F102" s="163">
        <f>'TỒN KHO HÀ LẦM'!T23</f>
        <v>0</v>
      </c>
      <c r="G102" s="163">
        <f>'TỒN KHO HÀ LẦM'!U23</f>
        <v>17</v>
      </c>
      <c r="H102" s="163">
        <f>'TỒN KHO HÀ LẦM'!V23</f>
        <v>19</v>
      </c>
      <c r="I102" s="163"/>
    </row>
    <row r="103" spans="1:9" x14ac:dyDescent="0.3">
      <c r="A103" s="163"/>
      <c r="B103" s="164"/>
      <c r="C103" s="164"/>
      <c r="D103" s="163"/>
      <c r="E103" s="163"/>
      <c r="F103" s="163"/>
      <c r="G103" s="163"/>
      <c r="H103" s="163"/>
      <c r="I103" s="163"/>
    </row>
    <row r="104" spans="1:9" x14ac:dyDescent="0.3">
      <c r="A104" s="163"/>
      <c r="B104" s="164"/>
      <c r="C104" s="164"/>
      <c r="D104" s="163"/>
      <c r="E104" s="163"/>
      <c r="F104" s="163"/>
      <c r="G104" s="163"/>
      <c r="H104" s="163"/>
      <c r="I104" s="163"/>
    </row>
    <row r="105" spans="1:9" x14ac:dyDescent="0.3">
      <c r="A105" s="163"/>
      <c r="B105" s="164"/>
      <c r="C105" s="164"/>
      <c r="D105" s="163"/>
      <c r="E105" s="163"/>
      <c r="F105" s="163"/>
      <c r="G105" s="163"/>
      <c r="H105" s="163"/>
      <c r="I105" s="163"/>
    </row>
    <row r="106" spans="1:9" x14ac:dyDescent="0.3">
      <c r="A106" s="163"/>
      <c r="B106" s="164"/>
      <c r="C106" s="164"/>
      <c r="D106" s="163"/>
      <c r="E106" s="163"/>
      <c r="F106" s="163"/>
      <c r="G106" s="163"/>
      <c r="H106" s="163"/>
      <c r="I106" s="163"/>
    </row>
    <row r="107" spans="1:9" x14ac:dyDescent="0.3">
      <c r="A107" s="163"/>
      <c r="B107" s="164"/>
      <c r="C107" s="164"/>
      <c r="D107" s="163"/>
      <c r="E107" s="163"/>
      <c r="F107" s="163"/>
      <c r="G107" s="163"/>
      <c r="H107" s="163"/>
      <c r="I107" s="163"/>
    </row>
    <row r="108" spans="1:9" x14ac:dyDescent="0.3">
      <c r="A108" s="163"/>
      <c r="B108" s="164"/>
      <c r="C108" s="164"/>
      <c r="D108" s="163"/>
      <c r="E108" s="163"/>
      <c r="F108" s="163"/>
      <c r="G108" s="163"/>
      <c r="H108" s="163"/>
      <c r="I108" s="163"/>
    </row>
    <row r="109" spans="1:9" x14ac:dyDescent="0.3">
      <c r="A109" s="163"/>
      <c r="B109" s="164"/>
      <c r="C109" s="164"/>
      <c r="D109" s="163"/>
      <c r="E109" s="163"/>
      <c r="F109" s="163"/>
      <c r="G109" s="163"/>
      <c r="H109" s="163"/>
      <c r="I109" s="163"/>
    </row>
    <row r="110" spans="1:9" x14ac:dyDescent="0.3">
      <c r="A110" s="163"/>
      <c r="B110" s="164"/>
      <c r="C110" s="164"/>
      <c r="D110" s="163"/>
      <c r="E110" s="163"/>
      <c r="F110" s="163"/>
      <c r="G110" s="163"/>
      <c r="H110" s="163"/>
      <c r="I110" s="163"/>
    </row>
    <row r="111" spans="1:9" x14ac:dyDescent="0.3">
      <c r="A111" s="163"/>
      <c r="B111" s="164"/>
      <c r="C111" s="164"/>
      <c r="D111" s="163"/>
      <c r="E111" s="163"/>
      <c r="F111" s="163"/>
      <c r="G111" s="163"/>
      <c r="H111" s="163"/>
      <c r="I111" s="163"/>
    </row>
    <row r="112" spans="1:9" x14ac:dyDescent="0.3">
      <c r="A112" s="163"/>
      <c r="B112" s="164"/>
      <c r="C112" s="164"/>
      <c r="D112" s="163"/>
      <c r="E112" s="163"/>
      <c r="F112" s="163"/>
      <c r="G112" s="163"/>
      <c r="H112" s="163"/>
      <c r="I112" s="163"/>
    </row>
    <row r="113" spans="1:9" x14ac:dyDescent="0.3">
      <c r="A113" s="163"/>
      <c r="B113" s="164"/>
      <c r="C113" s="164"/>
      <c r="D113" s="163"/>
      <c r="E113" s="163"/>
      <c r="F113" s="163"/>
      <c r="G113" s="163"/>
      <c r="H113" s="163"/>
      <c r="I113" s="163"/>
    </row>
    <row r="114" spans="1:9" x14ac:dyDescent="0.3">
      <c r="A114" s="163"/>
      <c r="B114" s="164"/>
      <c r="C114" s="164"/>
      <c r="D114" s="163"/>
      <c r="E114" s="163"/>
      <c r="F114" s="163"/>
      <c r="G114" s="163"/>
      <c r="H114" s="163"/>
      <c r="I114" s="163"/>
    </row>
    <row r="115" spans="1:9" x14ac:dyDescent="0.3">
      <c r="A115" s="163"/>
      <c r="B115" s="164"/>
      <c r="C115" s="164"/>
      <c r="D115" s="163"/>
      <c r="E115" s="163"/>
      <c r="F115" s="163"/>
      <c r="G115" s="163"/>
      <c r="H115" s="163"/>
      <c r="I115" s="163"/>
    </row>
    <row r="116" spans="1:9" x14ac:dyDescent="0.3">
      <c r="A116" s="163"/>
      <c r="B116" s="164"/>
      <c r="C116" s="164"/>
      <c r="D116" s="163"/>
      <c r="E116" s="163"/>
      <c r="F116" s="163"/>
      <c r="G116" s="163"/>
      <c r="H116" s="163"/>
      <c r="I116" s="163"/>
    </row>
    <row r="117" spans="1:9" x14ac:dyDescent="0.3">
      <c r="A117" s="163"/>
      <c r="B117" s="164"/>
      <c r="C117" s="164"/>
      <c r="D117" s="163"/>
      <c r="E117" s="163"/>
      <c r="F117" s="163"/>
      <c r="G117" s="163"/>
      <c r="H117" s="163"/>
      <c r="I117" s="163"/>
    </row>
    <row r="118" spans="1:9" x14ac:dyDescent="0.3">
      <c r="A118" s="163"/>
      <c r="B118" s="164"/>
      <c r="C118" s="164"/>
      <c r="D118" s="163"/>
      <c r="E118" s="163"/>
      <c r="F118" s="163"/>
      <c r="G118" s="163"/>
      <c r="H118" s="163"/>
      <c r="I118" s="163"/>
    </row>
    <row r="119" spans="1:9" x14ac:dyDescent="0.3">
      <c r="A119" s="163"/>
      <c r="B119" s="164"/>
      <c r="C119" s="164"/>
      <c r="D119" s="163"/>
      <c r="E119" s="163"/>
      <c r="F119" s="163"/>
      <c r="G119" s="163"/>
      <c r="H119" s="163"/>
      <c r="I119" s="163"/>
    </row>
    <row r="120" spans="1:9" x14ac:dyDescent="0.3">
      <c r="A120" s="163"/>
      <c r="B120" s="164"/>
      <c r="C120" s="164"/>
      <c r="D120" s="163"/>
      <c r="E120" s="163"/>
      <c r="F120" s="163"/>
      <c r="G120" s="163"/>
      <c r="H120" s="163"/>
      <c r="I120" s="163"/>
    </row>
    <row r="121" spans="1:9" x14ac:dyDescent="0.3">
      <c r="A121" s="163"/>
      <c r="B121" s="164"/>
      <c r="C121" s="164"/>
      <c r="D121" s="163"/>
      <c r="E121" s="163"/>
      <c r="F121" s="163"/>
      <c r="G121" s="163"/>
      <c r="H121" s="163"/>
      <c r="I121" s="163"/>
    </row>
    <row r="122" spans="1:9" x14ac:dyDescent="0.3">
      <c r="A122" s="163"/>
      <c r="B122" s="164"/>
      <c r="C122" s="164"/>
      <c r="D122" s="163"/>
      <c r="E122" s="163"/>
      <c r="F122" s="163"/>
      <c r="G122" s="163"/>
      <c r="H122" s="163"/>
      <c r="I122" s="163"/>
    </row>
    <row r="123" spans="1:9" x14ac:dyDescent="0.3">
      <c r="A123" s="163"/>
      <c r="B123" s="164"/>
      <c r="C123" s="164"/>
      <c r="D123" s="163"/>
      <c r="E123" s="163"/>
      <c r="F123" s="163"/>
      <c r="G123" s="163"/>
      <c r="H123" s="163"/>
      <c r="I123" s="163"/>
    </row>
  </sheetData>
  <mergeCells count="25">
    <mergeCell ref="B53:B57"/>
    <mergeCell ref="B43:B47"/>
    <mergeCell ref="B48:B52"/>
    <mergeCell ref="D1:H1"/>
    <mergeCell ref="B6:B8"/>
    <mergeCell ref="B13:B17"/>
    <mergeCell ref="B9:B12"/>
    <mergeCell ref="B3:B5"/>
    <mergeCell ref="C1:C2"/>
    <mergeCell ref="B98:B102"/>
    <mergeCell ref="B93:B97"/>
    <mergeCell ref="B38:B42"/>
    <mergeCell ref="A1:A2"/>
    <mergeCell ref="B1:B2"/>
    <mergeCell ref="B33:B37"/>
    <mergeCell ref="B28:B32"/>
    <mergeCell ref="B23:B27"/>
    <mergeCell ref="B18:B22"/>
    <mergeCell ref="B88:B92"/>
    <mergeCell ref="B83:B87"/>
    <mergeCell ref="B78:B82"/>
    <mergeCell ref="B73:B77"/>
    <mergeCell ref="B68:B72"/>
    <mergeCell ref="B63:B67"/>
    <mergeCell ref="B58:B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85"/>
  <sheetViews>
    <sheetView zoomScaleNormal="100" workbookViewId="0">
      <selection activeCell="M10" sqref="M10"/>
    </sheetView>
  </sheetViews>
  <sheetFormatPr defaultColWidth="10.109375" defaultRowHeight="14.4" x14ac:dyDescent="0.3"/>
  <cols>
    <col min="1" max="1" width="5.5546875" customWidth="1"/>
    <col min="2" max="2" width="21" style="81" customWidth="1"/>
    <col min="3" max="3" width="13.109375" customWidth="1"/>
    <col min="23" max="23" width="14.33203125" customWidth="1"/>
    <col min="24" max="24" width="23.33203125" style="122" customWidth="1"/>
    <col min="25" max="25" width="23.33203125" customWidth="1"/>
    <col min="26" max="26" width="14.33203125" customWidth="1"/>
    <col min="27" max="27" width="10.44140625"/>
    <col min="28" max="28" width="7.88671875" customWidth="1"/>
    <col min="29" max="29" width="7.33203125" customWidth="1"/>
    <col min="30" max="30" width="9.33203125" customWidth="1"/>
    <col min="31" max="31" width="8" customWidth="1"/>
    <col min="32" max="33" width="8.109375" customWidth="1"/>
    <col min="34" max="34" width="7.88671875" customWidth="1"/>
    <col min="35" max="35" width="7.109375" customWidth="1"/>
    <col min="36" max="36" width="8.109375" customWidth="1"/>
    <col min="37" max="37" width="7.44140625" customWidth="1"/>
    <col min="38" max="38" width="7.6640625" customWidth="1"/>
  </cols>
  <sheetData>
    <row r="1" spans="1:38" ht="30.6" customHeight="1" x14ac:dyDescent="0.3">
      <c r="A1" s="80" t="s">
        <v>3</v>
      </c>
      <c r="B1" s="80" t="s">
        <v>345</v>
      </c>
      <c r="C1" s="395" t="s">
        <v>346</v>
      </c>
      <c r="D1" s="395"/>
      <c r="E1" s="395"/>
      <c r="F1" s="395"/>
      <c r="G1" s="395"/>
      <c r="H1" s="396" t="s">
        <v>347</v>
      </c>
      <c r="I1" s="396"/>
      <c r="J1" s="396"/>
      <c r="K1" s="396"/>
      <c r="L1" s="396"/>
      <c r="M1" s="397" t="s">
        <v>348</v>
      </c>
      <c r="N1" s="397"/>
      <c r="O1" s="397"/>
      <c r="P1" s="397"/>
      <c r="Q1" s="397"/>
      <c r="R1" s="398" t="s">
        <v>349</v>
      </c>
      <c r="S1" s="398"/>
      <c r="T1" s="398"/>
      <c r="U1" s="398"/>
      <c r="V1" s="398"/>
      <c r="W1" s="79" t="s">
        <v>385</v>
      </c>
      <c r="X1" s="114"/>
      <c r="Y1" s="113" t="s">
        <v>348</v>
      </c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</row>
    <row r="2" spans="1:38" ht="30.6" customHeight="1" x14ac:dyDescent="0.3">
      <c r="A2" s="80"/>
      <c r="B2" s="80"/>
      <c r="C2" s="176"/>
      <c r="D2" s="176"/>
      <c r="E2" s="176"/>
      <c r="F2" s="176"/>
      <c r="G2" s="176"/>
      <c r="H2" s="177"/>
      <c r="I2" s="177"/>
      <c r="J2" s="177"/>
      <c r="K2" s="177"/>
      <c r="L2" s="177"/>
      <c r="M2" s="178"/>
      <c r="N2" s="178"/>
      <c r="O2" s="178"/>
      <c r="P2" s="178"/>
      <c r="Q2" s="178"/>
      <c r="R2" s="179"/>
      <c r="S2" s="179"/>
      <c r="T2" s="179"/>
      <c r="U2" s="179"/>
      <c r="V2" s="179"/>
      <c r="W2" s="79"/>
      <c r="X2" s="114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</row>
    <row r="3" spans="1:38" ht="32.85" customHeight="1" x14ac:dyDescent="0.3">
      <c r="A3" s="79"/>
      <c r="B3" s="82"/>
      <c r="C3" s="94" t="s">
        <v>350</v>
      </c>
      <c r="D3" s="94" t="s">
        <v>351</v>
      </c>
      <c r="E3" s="94" t="s">
        <v>426</v>
      </c>
      <c r="F3" s="94" t="s">
        <v>352</v>
      </c>
      <c r="G3" s="94" t="s">
        <v>353</v>
      </c>
      <c r="H3" s="95" t="s">
        <v>350</v>
      </c>
      <c r="I3" s="95" t="s">
        <v>351</v>
      </c>
      <c r="J3" s="95" t="s">
        <v>425</v>
      </c>
      <c r="K3" s="95" t="s">
        <v>352</v>
      </c>
      <c r="L3" s="95" t="s">
        <v>353</v>
      </c>
      <c r="M3" s="96" t="s">
        <v>350</v>
      </c>
      <c r="N3" s="96" t="s">
        <v>351</v>
      </c>
      <c r="O3" s="96" t="s">
        <v>426</v>
      </c>
      <c r="P3" s="96" t="s">
        <v>352</v>
      </c>
      <c r="Q3" s="96" t="s">
        <v>353</v>
      </c>
      <c r="R3" s="194" t="s">
        <v>350</v>
      </c>
      <c r="S3" s="194" t="s">
        <v>351</v>
      </c>
      <c r="T3" s="194" t="s">
        <v>427</v>
      </c>
      <c r="U3" s="194" t="s">
        <v>352</v>
      </c>
      <c r="V3" s="194" t="s">
        <v>353</v>
      </c>
      <c r="W3" s="79"/>
      <c r="X3" s="120"/>
      <c r="Y3" s="107" t="s">
        <v>296</v>
      </c>
      <c r="Z3" s="107" t="s">
        <v>363</v>
      </c>
      <c r="AA3" s="108" t="s">
        <v>25</v>
      </c>
      <c r="AB3" s="106" t="s">
        <v>364</v>
      </c>
      <c r="AC3" s="106" t="s">
        <v>365</v>
      </c>
      <c r="AD3" s="106" t="s">
        <v>366</v>
      </c>
      <c r="AE3" s="106" t="s">
        <v>28</v>
      </c>
      <c r="AF3" s="106" t="s">
        <v>367</v>
      </c>
      <c r="AG3" s="106" t="s">
        <v>368</v>
      </c>
      <c r="AH3" s="106" t="s">
        <v>369</v>
      </c>
      <c r="AI3" s="106" t="s">
        <v>370</v>
      </c>
      <c r="AJ3" s="106" t="s">
        <v>371</v>
      </c>
      <c r="AK3" s="106" t="s">
        <v>38</v>
      </c>
      <c r="AL3" s="106" t="s">
        <v>372</v>
      </c>
    </row>
    <row r="4" spans="1:38" ht="32.85" hidden="1" customHeight="1" x14ac:dyDescent="0.35">
      <c r="A4" s="79"/>
      <c r="B4" s="82" t="s">
        <v>483</v>
      </c>
      <c r="C4" s="79">
        <v>11</v>
      </c>
      <c r="D4" s="79">
        <v>11</v>
      </c>
      <c r="E4" s="79"/>
      <c r="F4" s="79">
        <v>148</v>
      </c>
      <c r="G4" s="79">
        <v>28</v>
      </c>
      <c r="H4" s="79"/>
      <c r="I4" s="79">
        <v>33</v>
      </c>
      <c r="J4" s="79"/>
      <c r="K4" s="79">
        <v>108</v>
      </c>
      <c r="L4" s="79"/>
      <c r="M4" s="79">
        <v>11</v>
      </c>
      <c r="N4" s="79">
        <v>36</v>
      </c>
      <c r="O4" s="79"/>
      <c r="P4" s="79">
        <v>64</v>
      </c>
      <c r="Q4" s="79">
        <v>17</v>
      </c>
      <c r="R4" s="79">
        <v>0</v>
      </c>
      <c r="S4" s="79">
        <v>8</v>
      </c>
      <c r="T4" s="79">
        <v>0</v>
      </c>
      <c r="U4" s="79">
        <v>192</v>
      </c>
      <c r="V4" s="79">
        <v>11</v>
      </c>
      <c r="W4" s="79"/>
      <c r="X4" s="123">
        <v>46269</v>
      </c>
      <c r="Y4" s="109" t="s">
        <v>377</v>
      </c>
      <c r="Z4" s="109" t="s">
        <v>375</v>
      </c>
      <c r="AA4" s="109"/>
      <c r="AB4" s="109"/>
      <c r="AC4" s="109"/>
      <c r="AD4" s="109"/>
      <c r="AE4" s="109">
        <v>5</v>
      </c>
      <c r="AF4" s="109"/>
      <c r="AG4" s="109"/>
      <c r="AH4" s="109"/>
      <c r="AI4" s="109"/>
      <c r="AJ4" s="109"/>
      <c r="AK4" s="109"/>
      <c r="AL4" s="109"/>
    </row>
    <row r="5" spans="1:38" ht="35.1" hidden="1" customHeight="1" x14ac:dyDescent="0.3">
      <c r="A5" s="79"/>
      <c r="B5" s="87" t="s">
        <v>486</v>
      </c>
      <c r="C5" s="79">
        <f>R4</f>
        <v>0</v>
      </c>
      <c r="D5" s="79">
        <f t="shared" ref="D5:G5" si="0">S4</f>
        <v>8</v>
      </c>
      <c r="E5" s="79">
        <f t="shared" si="0"/>
        <v>0</v>
      </c>
      <c r="F5" s="79">
        <f t="shared" si="0"/>
        <v>192</v>
      </c>
      <c r="G5" s="79">
        <f t="shared" si="0"/>
        <v>11</v>
      </c>
      <c r="H5" s="79"/>
      <c r="I5" s="79">
        <v>20</v>
      </c>
      <c r="J5" s="79"/>
      <c r="K5" s="79">
        <v>32</v>
      </c>
      <c r="L5" s="79">
        <v>30</v>
      </c>
      <c r="M5" s="79"/>
      <c r="N5" s="79"/>
      <c r="O5" s="79"/>
      <c r="P5" s="79">
        <v>11</v>
      </c>
      <c r="Q5" s="79">
        <v>11</v>
      </c>
      <c r="R5" s="117">
        <f t="shared" ref="R5" si="1">C5+H5-M5</f>
        <v>0</v>
      </c>
      <c r="S5" s="117">
        <f t="shared" ref="S5" si="2">D5+I5-N5</f>
        <v>28</v>
      </c>
      <c r="T5" s="117">
        <f t="shared" ref="T5" si="3">E5+J5-O5</f>
        <v>0</v>
      </c>
      <c r="U5" s="117">
        <f t="shared" ref="U5" si="4">F5+K5-P5</f>
        <v>213</v>
      </c>
      <c r="V5" s="117">
        <f t="shared" ref="V5" si="5">G5+L5-Q5</f>
        <v>30</v>
      </c>
      <c r="W5" s="79"/>
      <c r="X5" s="121">
        <v>46270</v>
      </c>
      <c r="Y5" s="110" t="s">
        <v>378</v>
      </c>
      <c r="Z5" s="110" t="s">
        <v>373</v>
      </c>
      <c r="AA5" s="110">
        <v>55</v>
      </c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</row>
    <row r="6" spans="1:38" ht="35.1" hidden="1" customHeight="1" x14ac:dyDescent="0.3">
      <c r="A6" s="79"/>
      <c r="B6" s="87" t="s">
        <v>486</v>
      </c>
      <c r="C6" s="79">
        <f t="shared" ref="C6" si="6">R5</f>
        <v>0</v>
      </c>
      <c r="D6" s="79">
        <f t="shared" ref="D6" si="7">S5</f>
        <v>28</v>
      </c>
      <c r="E6" s="79"/>
      <c r="F6" s="79">
        <f t="shared" ref="F6" si="8">U5</f>
        <v>213</v>
      </c>
      <c r="G6" s="79">
        <f t="shared" ref="G6" si="9">V5</f>
        <v>30</v>
      </c>
      <c r="H6" s="79"/>
      <c r="I6" s="79"/>
      <c r="J6" s="79"/>
      <c r="K6" s="79"/>
      <c r="L6" s="79"/>
      <c r="M6" s="79"/>
      <c r="N6" s="79"/>
      <c r="O6" s="79"/>
      <c r="P6" s="79"/>
      <c r="Q6" s="79"/>
      <c r="R6" s="117">
        <f t="shared" ref="R6" si="10">C6+H6-M6</f>
        <v>0</v>
      </c>
      <c r="S6" s="117">
        <f t="shared" ref="S6" si="11">D6+I6-N6</f>
        <v>28</v>
      </c>
      <c r="T6" s="117">
        <f t="shared" ref="T6" si="12">E6+J6-O6</f>
        <v>0</v>
      </c>
      <c r="U6" s="117">
        <f t="shared" ref="U6" si="13">F6+K6-P6</f>
        <v>213</v>
      </c>
      <c r="V6" s="117">
        <f t="shared" ref="V6" si="14">G6+L6-Q6</f>
        <v>30</v>
      </c>
      <c r="W6" s="79"/>
      <c r="X6" s="121">
        <v>46271</v>
      </c>
      <c r="Y6" s="110" t="s">
        <v>379</v>
      </c>
      <c r="Z6" s="110" t="s">
        <v>373</v>
      </c>
      <c r="AA6" s="110">
        <v>2</v>
      </c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</row>
    <row r="7" spans="1:38" ht="35.1" hidden="1" customHeight="1" x14ac:dyDescent="0.3">
      <c r="A7" s="79"/>
      <c r="B7" s="87" t="s">
        <v>505</v>
      </c>
      <c r="C7" s="79">
        <f t="shared" ref="C7" si="15">R6</f>
        <v>0</v>
      </c>
      <c r="D7" s="79">
        <f t="shared" ref="D7" si="16">S6</f>
        <v>28</v>
      </c>
      <c r="E7" s="79"/>
      <c r="F7" s="79">
        <f t="shared" ref="F7" si="17">U6</f>
        <v>213</v>
      </c>
      <c r="G7" s="79">
        <f t="shared" ref="G7" si="18">V6</f>
        <v>30</v>
      </c>
      <c r="H7" s="79">
        <v>10</v>
      </c>
      <c r="I7" s="79"/>
      <c r="J7" s="79"/>
      <c r="K7" s="79">
        <v>10</v>
      </c>
      <c r="L7" s="79"/>
      <c r="M7" s="79"/>
      <c r="N7" s="79"/>
      <c r="O7" s="79"/>
      <c r="P7" s="79">
        <v>22</v>
      </c>
      <c r="Q7" s="79">
        <v>24</v>
      </c>
      <c r="R7" s="117">
        <f t="shared" ref="R7" si="19">C7+H7-M7</f>
        <v>10</v>
      </c>
      <c r="S7" s="117">
        <f t="shared" ref="S7" si="20">D7+I7-N7</f>
        <v>28</v>
      </c>
      <c r="T7" s="117">
        <f t="shared" ref="T7" si="21">E7+J7-O7</f>
        <v>0</v>
      </c>
      <c r="U7" s="117">
        <f t="shared" ref="U7" si="22">F7+K7-P7</f>
        <v>201</v>
      </c>
      <c r="V7" s="117">
        <f t="shared" ref="V7" si="23">G7+L7-Q7</f>
        <v>6</v>
      </c>
      <c r="W7" s="79"/>
      <c r="X7" s="121">
        <v>46271</v>
      </c>
      <c r="Y7" s="110" t="s">
        <v>380</v>
      </c>
      <c r="Z7" s="110" t="s">
        <v>373</v>
      </c>
      <c r="AA7" s="110">
        <v>11</v>
      </c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</row>
    <row r="8" spans="1:38" ht="35.1" hidden="1" customHeight="1" x14ac:dyDescent="0.3">
      <c r="A8" s="79"/>
      <c r="B8" s="97" t="s">
        <v>545</v>
      </c>
      <c r="C8" s="79">
        <f t="shared" ref="C8" si="24">R7</f>
        <v>10</v>
      </c>
      <c r="D8" s="79">
        <f t="shared" ref="D8" si="25">S7</f>
        <v>28</v>
      </c>
      <c r="E8" s="79"/>
      <c r="F8" s="79">
        <f t="shared" ref="F8" si="26">U7</f>
        <v>201</v>
      </c>
      <c r="G8" s="79">
        <f t="shared" ref="G8" si="27">V7</f>
        <v>6</v>
      </c>
      <c r="H8" s="79">
        <v>17</v>
      </c>
      <c r="I8" s="79"/>
      <c r="J8" s="79"/>
      <c r="K8" s="79">
        <f>12+25</f>
        <v>37</v>
      </c>
      <c r="L8" s="79">
        <v>50</v>
      </c>
      <c r="M8" s="79">
        <f>17+10</f>
        <v>27</v>
      </c>
      <c r="N8" s="79"/>
      <c r="O8" s="79"/>
      <c r="P8" s="79">
        <f>12+33+5</f>
        <v>50</v>
      </c>
      <c r="Q8" s="79">
        <v>6</v>
      </c>
      <c r="R8" s="117">
        <f t="shared" ref="R8" si="28">C8+H8-M8</f>
        <v>0</v>
      </c>
      <c r="S8" s="117">
        <f t="shared" ref="S8" si="29">D8+I8-N8</f>
        <v>28</v>
      </c>
      <c r="T8" s="117">
        <f t="shared" ref="T8" si="30">E8+J8-O8</f>
        <v>0</v>
      </c>
      <c r="U8" s="117">
        <f t="shared" ref="U8" si="31">F8+K8-P8</f>
        <v>188</v>
      </c>
      <c r="V8" s="117">
        <f t="shared" ref="V8" si="32">G8+L8-Q8</f>
        <v>50</v>
      </c>
      <c r="W8" s="79"/>
      <c r="X8" s="121">
        <v>46271</v>
      </c>
      <c r="Y8" s="110" t="s">
        <v>381</v>
      </c>
      <c r="Z8" s="110" t="s">
        <v>373</v>
      </c>
      <c r="AA8" s="110"/>
      <c r="AB8" s="110"/>
      <c r="AC8" s="110"/>
      <c r="AD8" s="110"/>
      <c r="AE8" s="110">
        <v>1</v>
      </c>
      <c r="AF8" s="110"/>
      <c r="AG8" s="110"/>
      <c r="AH8" s="110"/>
      <c r="AI8" s="110"/>
      <c r="AJ8" s="110"/>
      <c r="AK8" s="110"/>
      <c r="AL8" s="110"/>
    </row>
    <row r="9" spans="1:38" ht="35.1" customHeight="1" x14ac:dyDescent="0.3">
      <c r="A9" s="79"/>
      <c r="B9" s="87" t="s">
        <v>580</v>
      </c>
      <c r="C9" s="79">
        <f t="shared" ref="C9" si="33">R8</f>
        <v>0</v>
      </c>
      <c r="D9" s="79">
        <f t="shared" ref="D9" si="34">S8</f>
        <v>28</v>
      </c>
      <c r="E9" s="79"/>
      <c r="F9" s="79">
        <f t="shared" ref="F9" si="35">U8</f>
        <v>188</v>
      </c>
      <c r="G9" s="79">
        <f t="shared" ref="G9" si="36">V8</f>
        <v>50</v>
      </c>
      <c r="H9" s="79">
        <f>11+10</f>
        <v>21</v>
      </c>
      <c r="I9" s="79"/>
      <c r="J9" s="79"/>
      <c r="K9" s="79">
        <v>17</v>
      </c>
      <c r="L9" s="79"/>
      <c r="M9" s="79">
        <v>2</v>
      </c>
      <c r="N9" s="79">
        <v>5</v>
      </c>
      <c r="O9" s="79"/>
      <c r="P9" s="79">
        <v>65</v>
      </c>
      <c r="Q9" s="79">
        <v>45</v>
      </c>
      <c r="R9" s="117">
        <f t="shared" ref="R9" si="37">C9+H9-M9</f>
        <v>19</v>
      </c>
      <c r="S9" s="117">
        <f t="shared" ref="S9" si="38">D9+I9-N9</f>
        <v>23</v>
      </c>
      <c r="T9" s="117">
        <f t="shared" ref="T9" si="39">E9+J9-O9</f>
        <v>0</v>
      </c>
      <c r="U9" s="117">
        <f t="shared" ref="U9" si="40">F9+K9-P9</f>
        <v>140</v>
      </c>
      <c r="V9" s="117">
        <f t="shared" ref="V9" si="41">G9+L9-Q9</f>
        <v>5</v>
      </c>
      <c r="W9" s="79"/>
      <c r="X9" s="185" t="s">
        <v>420</v>
      </c>
      <c r="Y9" s="110" t="s">
        <v>374</v>
      </c>
      <c r="Z9" s="110"/>
      <c r="AA9" s="110">
        <v>22</v>
      </c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</row>
    <row r="10" spans="1:38" ht="35.1" customHeight="1" x14ac:dyDescent="0.3">
      <c r="A10" s="79"/>
      <c r="B10" s="186">
        <v>46091</v>
      </c>
      <c r="C10" s="79">
        <f t="shared" ref="C10" si="42">R9</f>
        <v>19</v>
      </c>
      <c r="D10" s="79">
        <f t="shared" ref="D10" si="43">S9</f>
        <v>23</v>
      </c>
      <c r="E10" s="79"/>
      <c r="F10" s="79">
        <f t="shared" ref="F10" si="44">U9</f>
        <v>140</v>
      </c>
      <c r="G10" s="79">
        <f t="shared" ref="G10" si="45">V9</f>
        <v>5</v>
      </c>
      <c r="H10" s="79"/>
      <c r="I10" s="79"/>
      <c r="J10" s="79"/>
      <c r="K10" s="79"/>
      <c r="L10" s="79"/>
      <c r="M10" s="79">
        <v>8</v>
      </c>
      <c r="N10" s="79"/>
      <c r="O10" s="79"/>
      <c r="P10" s="79">
        <v>55</v>
      </c>
      <c r="Q10" s="79"/>
      <c r="R10" s="117">
        <f t="shared" ref="R10" si="46">C10+H10-M10</f>
        <v>11</v>
      </c>
      <c r="S10" s="117">
        <f t="shared" ref="S10" si="47">D10+I10-N10</f>
        <v>23</v>
      </c>
      <c r="T10" s="117">
        <f t="shared" ref="T10" si="48">E10+J10-O10</f>
        <v>0</v>
      </c>
      <c r="U10" s="117">
        <f t="shared" ref="U10" si="49">F10+K10-P10</f>
        <v>85</v>
      </c>
      <c r="V10" s="117">
        <f t="shared" ref="V10" si="50">G10+L10-Q10</f>
        <v>5</v>
      </c>
      <c r="W10" s="79"/>
      <c r="X10" s="185" t="s">
        <v>420</v>
      </c>
      <c r="Y10" s="110" t="s">
        <v>374</v>
      </c>
      <c r="Z10" s="110"/>
      <c r="AA10" s="110">
        <v>17</v>
      </c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</row>
    <row r="11" spans="1:38" ht="35.1" customHeight="1" x14ac:dyDescent="0.3">
      <c r="A11" s="79"/>
      <c r="B11" s="87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185" t="s">
        <v>420</v>
      </c>
      <c r="Y11" s="110" t="s">
        <v>382</v>
      </c>
      <c r="Z11" s="110" t="s">
        <v>376</v>
      </c>
      <c r="AA11" s="110"/>
      <c r="AB11" s="110"/>
      <c r="AC11" s="110"/>
      <c r="AD11" s="110"/>
      <c r="AE11" s="110"/>
      <c r="AF11" s="110"/>
      <c r="AG11" s="110"/>
      <c r="AH11" s="110"/>
      <c r="AI11" s="110">
        <v>1</v>
      </c>
      <c r="AJ11" s="110"/>
      <c r="AK11" s="110"/>
      <c r="AL11" s="110"/>
    </row>
    <row r="12" spans="1:38" ht="35.1" customHeight="1" x14ac:dyDescent="0.3">
      <c r="A12" s="79"/>
      <c r="B12" s="87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185" t="s">
        <v>420</v>
      </c>
      <c r="Y12" s="110" t="s">
        <v>382</v>
      </c>
      <c r="Z12" s="110" t="s">
        <v>376</v>
      </c>
      <c r="AA12" s="110"/>
      <c r="AB12" s="110"/>
      <c r="AC12" s="110"/>
      <c r="AD12" s="110"/>
      <c r="AE12" s="110"/>
      <c r="AF12" s="110"/>
      <c r="AG12" s="110"/>
      <c r="AH12" s="110"/>
      <c r="AI12" s="110">
        <v>1</v>
      </c>
      <c r="AJ12" s="110"/>
      <c r="AK12" s="110"/>
      <c r="AL12" s="110"/>
    </row>
    <row r="13" spans="1:38" ht="35.1" customHeight="1" x14ac:dyDescent="0.3">
      <c r="X13" s="124" t="s">
        <v>357</v>
      </c>
      <c r="Y13" s="110" t="s">
        <v>388</v>
      </c>
      <c r="Z13" s="110"/>
      <c r="AA13" s="110">
        <v>11</v>
      </c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</row>
    <row r="14" spans="1:38" ht="35.1" customHeight="1" x14ac:dyDescent="0.3">
      <c r="X14" s="118"/>
      <c r="Y14" s="110" t="s">
        <v>386</v>
      </c>
      <c r="Z14" s="110"/>
      <c r="AA14" s="110">
        <v>4</v>
      </c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</row>
    <row r="15" spans="1:38" ht="35.1" customHeight="1" x14ac:dyDescent="0.3">
      <c r="X15" s="118"/>
      <c r="Y15" s="110" t="s">
        <v>387</v>
      </c>
      <c r="Z15" s="110"/>
      <c r="AA15" s="110">
        <v>3</v>
      </c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</row>
    <row r="16" spans="1:38" ht="35.1" customHeight="1" x14ac:dyDescent="0.3">
      <c r="X16" s="124" t="s">
        <v>417</v>
      </c>
      <c r="Y16" s="144" t="s">
        <v>418</v>
      </c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</row>
    <row r="17" spans="24:38" x14ac:dyDescent="0.3">
      <c r="X17" s="366"/>
      <c r="Y17" s="366" t="s">
        <v>419</v>
      </c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</row>
    <row r="18" spans="24:38" x14ac:dyDescent="0.3">
      <c r="X18" s="367"/>
      <c r="Y18" s="367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</row>
    <row r="19" spans="24:38" x14ac:dyDescent="0.3">
      <c r="X19" s="118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</row>
    <row r="20" spans="24:38" x14ac:dyDescent="0.3">
      <c r="X20" s="118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</row>
    <row r="21" spans="24:38" x14ac:dyDescent="0.3">
      <c r="X21" s="118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</row>
    <row r="22" spans="24:38" x14ac:dyDescent="0.3">
      <c r="X22" s="118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</row>
    <row r="23" spans="24:38" x14ac:dyDescent="0.3">
      <c r="X23" s="118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</row>
    <row r="24" spans="24:38" x14ac:dyDescent="0.3">
      <c r="X24" s="118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</row>
    <row r="25" spans="24:38" x14ac:dyDescent="0.3">
      <c r="X25" s="118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</row>
    <row r="26" spans="24:38" x14ac:dyDescent="0.3">
      <c r="X26" s="118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</row>
    <row r="27" spans="24:38" x14ac:dyDescent="0.3">
      <c r="X27" s="118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</row>
    <row r="28" spans="24:38" x14ac:dyDescent="0.3">
      <c r="X28" s="118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</row>
    <row r="29" spans="24:38" x14ac:dyDescent="0.3">
      <c r="X29" s="118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</row>
    <row r="30" spans="24:38" x14ac:dyDescent="0.3">
      <c r="X30" s="118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</row>
    <row r="31" spans="24:38" x14ac:dyDescent="0.3">
      <c r="X31" s="118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</row>
    <row r="32" spans="24:38" x14ac:dyDescent="0.3">
      <c r="X32" s="118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</row>
    <row r="33" spans="24:38" x14ac:dyDescent="0.3">
      <c r="X33" s="118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</row>
    <row r="34" spans="24:38" x14ac:dyDescent="0.3">
      <c r="X34" s="118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</row>
    <row r="35" spans="24:38" x14ac:dyDescent="0.3">
      <c r="X35" s="118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</row>
    <row r="36" spans="24:38" x14ac:dyDescent="0.3">
      <c r="X36" s="118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</row>
    <row r="37" spans="24:38" x14ac:dyDescent="0.3">
      <c r="X37" s="118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</row>
    <row r="38" spans="24:38" x14ac:dyDescent="0.3">
      <c r="X38" s="118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</row>
    <row r="39" spans="24:38" x14ac:dyDescent="0.3">
      <c r="X39" s="118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</row>
    <row r="40" spans="24:38" x14ac:dyDescent="0.3">
      <c r="X40" s="11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</row>
    <row r="41" spans="24:38" x14ac:dyDescent="0.3">
      <c r="X41" s="11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</row>
    <row r="42" spans="24:38" x14ac:dyDescent="0.3">
      <c r="X42" s="11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</row>
    <row r="43" spans="24:38" x14ac:dyDescent="0.3">
      <c r="X43" s="11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</row>
    <row r="44" spans="24:38" x14ac:dyDescent="0.3">
      <c r="X44" s="11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</row>
    <row r="45" spans="24:38" x14ac:dyDescent="0.3">
      <c r="X45" s="11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</row>
    <row r="46" spans="24:38" x14ac:dyDescent="0.3">
      <c r="X46" s="11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</row>
    <row r="47" spans="24:38" x14ac:dyDescent="0.3">
      <c r="X47" s="11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</row>
    <row r="48" spans="24:38" x14ac:dyDescent="0.3">
      <c r="X48" s="11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</row>
    <row r="49" spans="24:38" x14ac:dyDescent="0.3">
      <c r="X49" s="11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</row>
    <row r="50" spans="24:38" x14ac:dyDescent="0.3">
      <c r="X50" s="11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</row>
    <row r="51" spans="24:38" x14ac:dyDescent="0.3">
      <c r="X51" s="11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</row>
    <row r="52" spans="24:38" x14ac:dyDescent="0.3">
      <c r="X52" s="11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</row>
    <row r="53" spans="24:38" x14ac:dyDescent="0.3">
      <c r="X53" s="11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</row>
    <row r="54" spans="24:38" x14ac:dyDescent="0.3">
      <c r="X54" s="11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</row>
    <row r="55" spans="24:38" x14ac:dyDescent="0.3">
      <c r="X55" s="11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</row>
    <row r="56" spans="24:38" x14ac:dyDescent="0.3">
      <c r="X56" s="11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</row>
    <row r="57" spans="24:38" x14ac:dyDescent="0.3">
      <c r="X57" s="11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</row>
    <row r="58" spans="24:38" x14ac:dyDescent="0.3">
      <c r="X58" s="11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</row>
    <row r="59" spans="24:38" x14ac:dyDescent="0.3">
      <c r="X59" s="11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</row>
    <row r="60" spans="24:38" x14ac:dyDescent="0.3">
      <c r="X60" s="11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</row>
    <row r="61" spans="24:38" x14ac:dyDescent="0.3">
      <c r="X61" s="11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</row>
    <row r="62" spans="24:38" x14ac:dyDescent="0.3">
      <c r="X62" s="11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</row>
    <row r="63" spans="24:38" x14ac:dyDescent="0.3">
      <c r="X63" s="11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</row>
    <row r="64" spans="24:38" x14ac:dyDescent="0.3">
      <c r="X64" s="11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</row>
    <row r="65" spans="24:38" x14ac:dyDescent="0.3">
      <c r="X65" s="11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</row>
    <row r="66" spans="24:38" x14ac:dyDescent="0.3">
      <c r="X66" s="11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</row>
    <row r="67" spans="24:38" x14ac:dyDescent="0.3">
      <c r="X67" s="11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</row>
    <row r="68" spans="24:38" x14ac:dyDescent="0.3">
      <c r="X68" s="11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</row>
    <row r="69" spans="24:38" x14ac:dyDescent="0.3">
      <c r="X69" s="11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</row>
    <row r="70" spans="24:38" x14ac:dyDescent="0.3">
      <c r="X70" s="11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</row>
    <row r="71" spans="24:38" x14ac:dyDescent="0.3">
      <c r="X71" s="11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</row>
    <row r="72" spans="24:38" x14ac:dyDescent="0.3">
      <c r="X72" s="11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</row>
    <row r="73" spans="24:38" x14ac:dyDescent="0.3">
      <c r="X73" s="11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</row>
    <row r="74" spans="24:38" x14ac:dyDescent="0.3">
      <c r="X74" s="11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</row>
    <row r="75" spans="24:38" x14ac:dyDescent="0.3">
      <c r="X75" s="11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</row>
    <row r="76" spans="24:38" x14ac:dyDescent="0.3">
      <c r="X76" s="11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</row>
    <row r="77" spans="24:38" x14ac:dyDescent="0.3">
      <c r="X77" s="11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</row>
    <row r="78" spans="24:38" x14ac:dyDescent="0.3">
      <c r="X78" s="11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</row>
    <row r="79" spans="24:38" x14ac:dyDescent="0.3">
      <c r="X79" s="11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</row>
    <row r="80" spans="24:38" x14ac:dyDescent="0.3">
      <c r="X80" s="11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</row>
    <row r="81" spans="24:38" x14ac:dyDescent="0.3">
      <c r="X81" s="11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</row>
    <row r="82" spans="24:38" x14ac:dyDescent="0.3">
      <c r="X82" s="11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</row>
    <row r="83" spans="24:38" x14ac:dyDescent="0.3">
      <c r="X83" s="11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</row>
    <row r="84" spans="24:38" x14ac:dyDescent="0.3">
      <c r="X84" s="119"/>
      <c r="Y84" s="79"/>
      <c r="Z84" s="111" t="s">
        <v>383</v>
      </c>
      <c r="AA84" s="79">
        <f t="shared" ref="AA84:AL84" si="51">SUM(AA5:AA83)</f>
        <v>125</v>
      </c>
      <c r="AB84" s="79">
        <f t="shared" si="51"/>
        <v>0</v>
      </c>
      <c r="AC84" s="79">
        <f t="shared" si="51"/>
        <v>0</v>
      </c>
      <c r="AD84" s="79">
        <f t="shared" si="51"/>
        <v>0</v>
      </c>
      <c r="AE84" s="79">
        <f t="shared" si="51"/>
        <v>1</v>
      </c>
      <c r="AF84" s="79">
        <f t="shared" si="51"/>
        <v>0</v>
      </c>
      <c r="AG84" s="79">
        <f t="shared" si="51"/>
        <v>0</v>
      </c>
      <c r="AH84" s="79">
        <f t="shared" si="51"/>
        <v>0</v>
      </c>
      <c r="AI84" s="79">
        <f t="shared" si="51"/>
        <v>2</v>
      </c>
      <c r="AJ84" s="79">
        <f t="shared" si="51"/>
        <v>0</v>
      </c>
      <c r="AK84" s="79">
        <f t="shared" si="51"/>
        <v>0</v>
      </c>
      <c r="AL84" s="79">
        <f t="shared" si="51"/>
        <v>0</v>
      </c>
    </row>
    <row r="85" spans="24:38" x14ac:dyDescent="0.3">
      <c r="X85" s="119"/>
      <c r="Y85" s="79"/>
      <c r="Z85" s="111" t="s">
        <v>384</v>
      </c>
      <c r="AA85" s="112" t="e">
        <f>#REF!+I84-AA84</f>
        <v>#REF!</v>
      </c>
      <c r="AB85" s="112" t="e">
        <f>#REF!+K84-AB84</f>
        <v>#REF!</v>
      </c>
      <c r="AC85" s="112" t="e">
        <f>#REF!+L84-AC84</f>
        <v>#REF!</v>
      </c>
      <c r="AD85" s="112" t="e">
        <f>#REF!+M84-AD84</f>
        <v>#REF!</v>
      </c>
      <c r="AE85" s="112" t="e">
        <f>#REF!+N84-AE84</f>
        <v>#REF!</v>
      </c>
      <c r="AF85" s="112" t="e">
        <f>#REF!+P84-AF84</f>
        <v>#REF!</v>
      </c>
      <c r="AG85" s="112" t="e">
        <f>#REF!+Q84-AG84</f>
        <v>#REF!</v>
      </c>
      <c r="AH85" s="112" t="e">
        <f>#REF!+R84-AH84</f>
        <v>#REF!</v>
      </c>
      <c r="AI85" s="112" t="e">
        <f>#REF!+S84-AI84</f>
        <v>#REF!</v>
      </c>
      <c r="AJ85" s="112" t="e">
        <f>#REF!+U84-AJ84</f>
        <v>#REF!</v>
      </c>
      <c r="AK85" s="112" t="e">
        <f>#REF!+V84-AK84</f>
        <v>#REF!</v>
      </c>
      <c r="AL85" s="112" t="e">
        <f>#REF!+W84-AL84</f>
        <v>#REF!</v>
      </c>
    </row>
  </sheetData>
  <autoFilter ref="A2:AL2" xr:uid="{00000000-0001-0000-0700-000000000000}"/>
  <mergeCells count="6">
    <mergeCell ref="Y17:Y18"/>
    <mergeCell ref="C1:G1"/>
    <mergeCell ref="H1:L1"/>
    <mergeCell ref="M1:Q1"/>
    <mergeCell ref="R1:V1"/>
    <mergeCell ref="X17:X18"/>
  </mergeCells>
  <dataValidations count="1">
    <dataValidation type="list" allowBlank="1" showInputMessage="1" showErrorMessage="1" sqref="Y84:Y1085 Y1:Y4" xr:uid="{F3A35D46-F104-47B1-AFD8-5FB672FEA399}">
      <formula1>$A$4:$A$435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Roman,thường"&amp;12&amp;Kffffff&amp;A</oddHeader>
    <oddFooter>&amp;C&amp;"Times New Roman,thường"&amp;12&amp;KffffffTrang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107"/>
  <sheetViews>
    <sheetView topLeftCell="G1" zoomScaleNormal="100" workbookViewId="0">
      <pane ySplit="2" topLeftCell="A3" activePane="bottomLeft" state="frozen"/>
      <selection activeCell="H1" sqref="H1"/>
      <selection pane="bottomLeft" activeCell="L9" sqref="L9"/>
    </sheetView>
  </sheetViews>
  <sheetFormatPr defaultColWidth="10.109375" defaultRowHeight="14.4" x14ac:dyDescent="0.3"/>
  <cols>
    <col min="1" max="1" width="5.5546875" customWidth="1"/>
    <col min="2" max="2" width="13.109375" style="81" customWidth="1"/>
    <col min="3" max="3" width="7.44140625" customWidth="1"/>
    <col min="4" max="5" width="11.109375" customWidth="1"/>
    <col min="19" max="20" width="11.6640625" customWidth="1"/>
    <col min="24" max="25" width="26.6640625" customWidth="1"/>
    <col min="26" max="26" width="14.33203125" customWidth="1"/>
    <col min="27" max="27" width="10.44140625"/>
    <col min="28" max="28" width="7.88671875" customWidth="1"/>
    <col min="29" max="29" width="9.44140625" customWidth="1"/>
    <col min="30" max="30" width="9.33203125" customWidth="1"/>
    <col min="31" max="31" width="8" customWidth="1"/>
    <col min="32" max="33" width="8.109375" customWidth="1"/>
    <col min="34" max="34" width="7.88671875" customWidth="1"/>
    <col min="35" max="35" width="7.109375" customWidth="1"/>
    <col min="36" max="36" width="8.109375" customWidth="1"/>
    <col min="37" max="37" width="7.44140625" customWidth="1"/>
    <col min="38" max="38" width="7.6640625" customWidth="1"/>
  </cols>
  <sheetData>
    <row r="1" spans="1:38" ht="30.6" customHeight="1" x14ac:dyDescent="0.3">
      <c r="A1" s="80" t="s">
        <v>3</v>
      </c>
      <c r="B1" s="80" t="s">
        <v>345</v>
      </c>
      <c r="C1" s="395" t="s">
        <v>346</v>
      </c>
      <c r="D1" s="395"/>
      <c r="E1" s="395"/>
      <c r="F1" s="395"/>
      <c r="G1" s="395"/>
      <c r="H1" s="396" t="s">
        <v>347</v>
      </c>
      <c r="I1" s="396"/>
      <c r="J1" s="396"/>
      <c r="K1" s="396"/>
      <c r="L1" s="396"/>
      <c r="M1" s="397" t="s">
        <v>348</v>
      </c>
      <c r="N1" s="397"/>
      <c r="O1" s="397"/>
      <c r="P1" s="397"/>
      <c r="Q1" s="397"/>
      <c r="R1" s="398" t="s">
        <v>349</v>
      </c>
      <c r="S1" s="398"/>
      <c r="T1" s="398"/>
      <c r="U1" s="398"/>
      <c r="V1" s="398"/>
      <c r="W1" s="79"/>
      <c r="X1" s="114"/>
      <c r="Y1" s="113" t="s">
        <v>348</v>
      </c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</row>
    <row r="2" spans="1:38" ht="32.85" customHeight="1" x14ac:dyDescent="0.3">
      <c r="A2" s="79"/>
      <c r="B2" s="82"/>
      <c r="C2" s="83" t="s">
        <v>350</v>
      </c>
      <c r="D2" s="83" t="s">
        <v>351</v>
      </c>
      <c r="E2" s="83" t="s">
        <v>413</v>
      </c>
      <c r="F2" s="83" t="s">
        <v>352</v>
      </c>
      <c r="G2" s="83" t="s">
        <v>353</v>
      </c>
      <c r="H2" s="84" t="s">
        <v>350</v>
      </c>
      <c r="I2" s="84" t="s">
        <v>351</v>
      </c>
      <c r="J2" s="84" t="s">
        <v>413</v>
      </c>
      <c r="K2" s="84" t="s">
        <v>352</v>
      </c>
      <c r="L2" s="84" t="s">
        <v>353</v>
      </c>
      <c r="M2" s="85" t="s">
        <v>350</v>
      </c>
      <c r="N2" s="85" t="s">
        <v>351</v>
      </c>
      <c r="O2" s="174" t="s">
        <v>413</v>
      </c>
      <c r="P2" s="85" t="s">
        <v>352</v>
      </c>
      <c r="Q2" s="85" t="s">
        <v>353</v>
      </c>
      <c r="R2" s="86" t="s">
        <v>350</v>
      </c>
      <c r="S2" s="86" t="s">
        <v>351</v>
      </c>
      <c r="T2" s="173" t="s">
        <v>413</v>
      </c>
      <c r="U2" s="86" t="s">
        <v>352</v>
      </c>
      <c r="V2" s="86" t="s">
        <v>353</v>
      </c>
      <c r="W2" s="79"/>
      <c r="X2" s="115"/>
      <c r="Y2" s="107" t="s">
        <v>296</v>
      </c>
      <c r="Z2" s="107" t="s">
        <v>363</v>
      </c>
      <c r="AA2" s="108" t="s">
        <v>25</v>
      </c>
      <c r="AB2" s="106" t="s">
        <v>364</v>
      </c>
      <c r="AC2" s="106" t="s">
        <v>365</v>
      </c>
      <c r="AD2" s="106" t="s">
        <v>366</v>
      </c>
      <c r="AE2" s="106" t="s">
        <v>28</v>
      </c>
      <c r="AF2" s="106" t="s">
        <v>367</v>
      </c>
      <c r="AG2" s="106" t="s">
        <v>368</v>
      </c>
      <c r="AH2" s="106" t="s">
        <v>369</v>
      </c>
      <c r="AI2" s="106" t="s">
        <v>370</v>
      </c>
      <c r="AJ2" s="106" t="s">
        <v>371</v>
      </c>
      <c r="AK2" s="106" t="s">
        <v>38</v>
      </c>
      <c r="AL2" s="106" t="s">
        <v>372</v>
      </c>
    </row>
    <row r="3" spans="1:38" ht="32.85" customHeight="1" x14ac:dyDescent="0.3">
      <c r="A3" s="79"/>
      <c r="B3" s="82"/>
      <c r="C3" s="83"/>
      <c r="D3" s="83"/>
      <c r="E3" s="83"/>
      <c r="F3" s="83"/>
      <c r="G3" s="83"/>
      <c r="H3" s="84"/>
      <c r="I3" s="84"/>
      <c r="J3" s="84"/>
      <c r="K3" s="84"/>
      <c r="L3" s="84"/>
      <c r="M3" s="85"/>
      <c r="N3" s="85"/>
      <c r="O3" s="174"/>
      <c r="P3" s="85"/>
      <c r="Q3" s="85"/>
      <c r="R3" s="86"/>
      <c r="S3" s="86"/>
      <c r="T3" s="173"/>
      <c r="U3" s="86"/>
      <c r="V3" s="86"/>
      <c r="W3" s="79"/>
      <c r="X3" s="115"/>
      <c r="Y3" s="107"/>
      <c r="Z3" s="107"/>
      <c r="AA3" s="108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</row>
    <row r="4" spans="1:38" ht="32.85" customHeight="1" x14ac:dyDescent="0.35">
      <c r="A4" s="79"/>
      <c r="B4" s="82" t="s">
        <v>483</v>
      </c>
      <c r="C4" s="79">
        <v>20</v>
      </c>
      <c r="D4" s="79">
        <v>9</v>
      </c>
      <c r="E4" s="79"/>
      <c r="F4" s="79">
        <v>230</v>
      </c>
      <c r="G4" s="79">
        <v>45</v>
      </c>
      <c r="H4" s="79"/>
      <c r="I4" s="79"/>
      <c r="J4" s="79"/>
      <c r="K4" s="79"/>
      <c r="L4" s="79"/>
      <c r="M4" s="79">
        <v>19</v>
      </c>
      <c r="N4" s="79">
        <v>2</v>
      </c>
      <c r="O4" s="79"/>
      <c r="P4" s="79">
        <v>16</v>
      </c>
      <c r="Q4" s="79">
        <v>41</v>
      </c>
      <c r="R4" s="79">
        <v>1</v>
      </c>
      <c r="S4" s="79">
        <v>7</v>
      </c>
      <c r="T4" s="79">
        <v>0</v>
      </c>
      <c r="U4" s="79">
        <v>214</v>
      </c>
      <c r="V4" s="79">
        <v>4</v>
      </c>
      <c r="W4" s="79"/>
      <c r="X4" s="116">
        <v>46268</v>
      </c>
      <c r="Y4" s="109" t="s">
        <v>390</v>
      </c>
      <c r="Z4" s="109" t="s">
        <v>373</v>
      </c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>
        <v>3</v>
      </c>
      <c r="AL4" s="109"/>
    </row>
    <row r="5" spans="1:38" ht="35.1" customHeight="1" x14ac:dyDescent="0.3">
      <c r="A5" s="79"/>
      <c r="B5" s="87" t="s">
        <v>486</v>
      </c>
      <c r="C5" s="79">
        <f>R4</f>
        <v>1</v>
      </c>
      <c r="D5" s="79">
        <f t="shared" ref="D5:G5" si="0">S4</f>
        <v>7</v>
      </c>
      <c r="E5" s="79">
        <f t="shared" si="0"/>
        <v>0</v>
      </c>
      <c r="F5" s="79">
        <f t="shared" si="0"/>
        <v>214</v>
      </c>
      <c r="G5" s="79">
        <f t="shared" si="0"/>
        <v>4</v>
      </c>
      <c r="H5" s="79">
        <v>33</v>
      </c>
      <c r="I5" s="79">
        <v>40</v>
      </c>
      <c r="J5" s="79"/>
      <c r="K5" s="79">
        <f>11+34</f>
        <v>45</v>
      </c>
      <c r="L5" s="79"/>
      <c r="M5" s="79">
        <v>33</v>
      </c>
      <c r="N5" s="79"/>
      <c r="O5" s="79"/>
      <c r="P5" s="79">
        <f>11+11</f>
        <v>22</v>
      </c>
      <c r="Q5" s="79"/>
      <c r="R5" s="117">
        <f t="shared" ref="R5" si="1">C5+H5-M5</f>
        <v>1</v>
      </c>
      <c r="S5" s="117">
        <f t="shared" ref="S5" si="2">D5+I5-N5</f>
        <v>47</v>
      </c>
      <c r="T5" s="117">
        <f t="shared" ref="T5" si="3">E5+J5-O5</f>
        <v>0</v>
      </c>
      <c r="U5" s="117">
        <f t="shared" ref="U5" si="4">F5+K5-P5</f>
        <v>237</v>
      </c>
      <c r="V5" s="117">
        <f t="shared" ref="V5" si="5">G5+L5-Q5</f>
        <v>4</v>
      </c>
      <c r="W5" s="79"/>
      <c r="X5" s="125">
        <v>46268</v>
      </c>
      <c r="Y5" s="79" t="s">
        <v>391</v>
      </c>
      <c r="Z5" s="79" t="s">
        <v>41</v>
      </c>
      <c r="AA5" s="79"/>
      <c r="AB5" s="79"/>
      <c r="AC5" s="79"/>
      <c r="AD5" s="79"/>
      <c r="AE5" s="79"/>
      <c r="AF5" s="79"/>
      <c r="AG5" s="79"/>
      <c r="AH5" s="79"/>
      <c r="AI5" s="79">
        <v>2</v>
      </c>
      <c r="AJ5" s="79"/>
      <c r="AK5" s="79"/>
      <c r="AL5" s="79"/>
    </row>
    <row r="6" spans="1:38" ht="35.1" customHeight="1" x14ac:dyDescent="0.3">
      <c r="A6" s="79"/>
      <c r="B6" s="87" t="s">
        <v>505</v>
      </c>
      <c r="C6" s="79">
        <f t="shared" ref="C6" si="6">R5</f>
        <v>1</v>
      </c>
      <c r="D6" s="79">
        <f t="shared" ref="D6" si="7">S5</f>
        <v>47</v>
      </c>
      <c r="E6" s="79"/>
      <c r="F6" s="79">
        <f t="shared" ref="F6" si="8">U5</f>
        <v>237</v>
      </c>
      <c r="G6" s="79">
        <f t="shared" ref="G6" si="9">V5</f>
        <v>4</v>
      </c>
      <c r="H6" s="79">
        <v>30</v>
      </c>
      <c r="I6" s="79"/>
      <c r="J6" s="79"/>
      <c r="K6" s="79">
        <f>78+2</f>
        <v>80</v>
      </c>
      <c r="L6" s="79">
        <v>50</v>
      </c>
      <c r="M6" s="79">
        <v>16</v>
      </c>
      <c r="N6" s="79">
        <v>4</v>
      </c>
      <c r="O6" s="79"/>
      <c r="P6" s="79">
        <v>5</v>
      </c>
      <c r="Q6" s="79"/>
      <c r="R6" s="117">
        <f t="shared" ref="R6" si="10">C6+H6-M6</f>
        <v>15</v>
      </c>
      <c r="S6" s="117">
        <f t="shared" ref="S6" si="11">D6+I6-N6</f>
        <v>43</v>
      </c>
      <c r="T6" s="117">
        <f t="shared" ref="T6" si="12">E6+J6-O6</f>
        <v>0</v>
      </c>
      <c r="U6" s="117">
        <f t="shared" ref="U6" si="13">F6+K6-P6</f>
        <v>312</v>
      </c>
      <c r="V6" s="117">
        <f t="shared" ref="V6" si="14">G6+L6-Q6</f>
        <v>54</v>
      </c>
      <c r="W6" s="79"/>
      <c r="X6" s="125">
        <v>46268</v>
      </c>
      <c r="Y6" s="79" t="s">
        <v>392</v>
      </c>
      <c r="Z6" s="79" t="s">
        <v>41</v>
      </c>
      <c r="AA6" s="79"/>
      <c r="AB6" s="79"/>
      <c r="AC6" s="79"/>
      <c r="AD6" s="79"/>
      <c r="AE6" s="79"/>
      <c r="AF6" s="79"/>
      <c r="AG6" s="79"/>
      <c r="AH6" s="79"/>
      <c r="AI6" s="79">
        <v>4</v>
      </c>
      <c r="AJ6" s="79"/>
      <c r="AK6" s="79"/>
      <c r="AL6" s="79"/>
    </row>
    <row r="7" spans="1:38" ht="35.1" customHeight="1" x14ac:dyDescent="0.3">
      <c r="A7" s="79"/>
      <c r="B7" s="97" t="s">
        <v>545</v>
      </c>
      <c r="C7" s="79">
        <f t="shared" ref="C7" si="15">R6</f>
        <v>15</v>
      </c>
      <c r="D7" s="79">
        <f t="shared" ref="D7" si="16">S6</f>
        <v>43</v>
      </c>
      <c r="E7" s="79"/>
      <c r="F7" s="79">
        <f t="shared" ref="F7" si="17">U6</f>
        <v>312</v>
      </c>
      <c r="G7" s="79">
        <f t="shared" ref="G7" si="18">V6</f>
        <v>54</v>
      </c>
      <c r="H7" s="79"/>
      <c r="I7" s="79"/>
      <c r="J7" s="79"/>
      <c r="K7" s="79"/>
      <c r="L7" s="79"/>
      <c r="M7" s="79">
        <v>15</v>
      </c>
      <c r="N7" s="79">
        <v>1</v>
      </c>
      <c r="O7" s="79"/>
      <c r="P7" s="79">
        <v>11</v>
      </c>
      <c r="Q7" s="79">
        <v>48</v>
      </c>
      <c r="R7" s="117">
        <f t="shared" ref="R7" si="19">C7+H7-M7</f>
        <v>0</v>
      </c>
      <c r="S7" s="117">
        <f t="shared" ref="S7" si="20">D7+I7-N7</f>
        <v>42</v>
      </c>
      <c r="T7" s="117">
        <f t="shared" ref="T7" si="21">E7+J7-O7</f>
        <v>0</v>
      </c>
      <c r="U7" s="117">
        <f t="shared" ref="U7" si="22">F7+K7-P7</f>
        <v>301</v>
      </c>
      <c r="V7" s="117">
        <f t="shared" ref="V7" si="23">G7+L7-Q7</f>
        <v>6</v>
      </c>
      <c r="W7" s="260"/>
      <c r="X7" s="125">
        <v>46268</v>
      </c>
      <c r="Y7" s="79" t="s">
        <v>374</v>
      </c>
      <c r="Z7" s="79"/>
      <c r="AA7" s="79">
        <v>21</v>
      </c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</row>
    <row r="8" spans="1:38" ht="35.1" customHeight="1" x14ac:dyDescent="0.3">
      <c r="A8" s="79"/>
      <c r="B8" s="186">
        <v>46063</v>
      </c>
      <c r="C8" s="79">
        <f t="shared" ref="C8" si="24">R7</f>
        <v>0</v>
      </c>
      <c r="D8" s="79">
        <f t="shared" ref="D8" si="25">S7</f>
        <v>42</v>
      </c>
      <c r="E8" s="79"/>
      <c r="F8" s="79">
        <f t="shared" ref="F8" si="26">U7</f>
        <v>301</v>
      </c>
      <c r="G8" s="79">
        <f t="shared" ref="G8" si="27">V7</f>
        <v>6</v>
      </c>
      <c r="H8" s="79"/>
      <c r="I8" s="79"/>
      <c r="J8" s="79"/>
      <c r="K8" s="79"/>
      <c r="L8" s="79"/>
      <c r="M8" s="79"/>
      <c r="N8" s="79">
        <v>1</v>
      </c>
      <c r="O8" s="79"/>
      <c r="P8" s="79"/>
      <c r="Q8" s="79">
        <v>2</v>
      </c>
      <c r="R8" s="117">
        <f t="shared" ref="R8" si="28">C8+H8-M8</f>
        <v>0</v>
      </c>
      <c r="S8" s="117">
        <f t="shared" ref="S8" si="29">D8+I8-N8</f>
        <v>41</v>
      </c>
      <c r="T8" s="117">
        <f t="shared" ref="T8" si="30">E8+J8-O8</f>
        <v>0</v>
      </c>
      <c r="U8" s="117">
        <f t="shared" ref="U8" si="31">F8+K8-P8</f>
        <v>301</v>
      </c>
      <c r="V8" s="117">
        <f t="shared" ref="V8" si="32">G8+L8-Q8</f>
        <v>4</v>
      </c>
      <c r="W8" s="260"/>
      <c r="X8" s="125">
        <v>46268</v>
      </c>
      <c r="Y8" s="79" t="s">
        <v>393</v>
      </c>
      <c r="Z8" s="79"/>
      <c r="AA8" s="79">
        <v>12</v>
      </c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</row>
    <row r="9" spans="1:38" ht="35.1" customHeight="1" x14ac:dyDescent="0.3">
      <c r="A9" s="79"/>
      <c r="B9" s="186">
        <v>46091</v>
      </c>
      <c r="C9" s="79">
        <f t="shared" ref="C9" si="33">R8</f>
        <v>0</v>
      </c>
      <c r="D9" s="79">
        <f t="shared" ref="D9" si="34">S8</f>
        <v>41</v>
      </c>
      <c r="E9" s="79"/>
      <c r="F9" s="79">
        <f t="shared" ref="F9" si="35">U8</f>
        <v>301</v>
      </c>
      <c r="G9" s="79">
        <f t="shared" ref="G9" si="36">V8</f>
        <v>4</v>
      </c>
      <c r="H9" s="79"/>
      <c r="I9" s="79"/>
      <c r="J9" s="79"/>
      <c r="K9" s="79"/>
      <c r="L9" s="79">
        <v>26</v>
      </c>
      <c r="M9" s="79"/>
      <c r="N9" s="79"/>
      <c r="O9" s="79"/>
      <c r="P9" s="79">
        <v>51</v>
      </c>
      <c r="Q9" s="79">
        <v>2</v>
      </c>
      <c r="R9" s="117">
        <f t="shared" ref="R9" si="37">C9+H9-M9</f>
        <v>0</v>
      </c>
      <c r="S9" s="117">
        <f t="shared" ref="S9" si="38">D9+I9-N9</f>
        <v>41</v>
      </c>
      <c r="T9" s="117">
        <f t="shared" ref="T9" si="39">E9+J9-O9</f>
        <v>0</v>
      </c>
      <c r="U9" s="117">
        <f t="shared" ref="U9" si="40">F9+K9-P9</f>
        <v>250</v>
      </c>
      <c r="V9" s="117">
        <f t="shared" ref="V9" si="41">G9+L9-Q9</f>
        <v>28</v>
      </c>
      <c r="W9" s="260"/>
      <c r="X9" s="125">
        <v>46269</v>
      </c>
      <c r="Y9" s="79" t="s">
        <v>374</v>
      </c>
      <c r="Z9" s="79"/>
      <c r="AA9" s="79">
        <v>22</v>
      </c>
      <c r="AB9" s="79"/>
      <c r="AC9" s="79"/>
      <c r="AD9" s="79"/>
      <c r="AE9" s="79">
        <v>16</v>
      </c>
      <c r="AF9" s="79"/>
      <c r="AG9" s="79"/>
      <c r="AH9" s="79"/>
      <c r="AI9" s="79"/>
      <c r="AJ9" s="79"/>
      <c r="AK9" s="79"/>
      <c r="AL9" s="79"/>
    </row>
    <row r="10" spans="1:38" ht="35.1" customHeight="1" x14ac:dyDescent="0.3">
      <c r="A10" s="79"/>
      <c r="B10" s="87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260"/>
      <c r="X10" s="125">
        <v>46269</v>
      </c>
      <c r="Y10" s="79" t="s">
        <v>394</v>
      </c>
      <c r="Z10" s="79"/>
      <c r="AA10" s="79"/>
      <c r="AB10" s="79"/>
      <c r="AC10" s="79"/>
      <c r="AD10" s="79"/>
      <c r="AE10" s="79"/>
      <c r="AF10" s="79"/>
      <c r="AG10" s="79"/>
      <c r="AH10" s="79"/>
      <c r="AI10" s="79">
        <v>3</v>
      </c>
      <c r="AJ10" s="79"/>
      <c r="AK10" s="79"/>
      <c r="AL10" s="79"/>
    </row>
    <row r="11" spans="1:38" ht="35.1" customHeight="1" x14ac:dyDescent="0.3">
      <c r="A11" s="79"/>
      <c r="B11" s="87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260"/>
      <c r="X11" s="125">
        <v>46269</v>
      </c>
      <c r="Y11" s="79" t="s">
        <v>395</v>
      </c>
      <c r="Z11" s="79"/>
      <c r="AA11" s="79">
        <v>2</v>
      </c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</row>
    <row r="12" spans="1:38" ht="35.1" customHeight="1" x14ac:dyDescent="0.3">
      <c r="A12" s="79"/>
      <c r="B12" s="87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260"/>
      <c r="X12" s="125">
        <v>46270</v>
      </c>
      <c r="Y12" s="79" t="s">
        <v>374</v>
      </c>
      <c r="Z12" s="79"/>
      <c r="AA12" s="79">
        <v>33</v>
      </c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</row>
    <row r="13" spans="1:38" ht="35.1" customHeight="1" x14ac:dyDescent="0.3">
      <c r="A13" s="79"/>
      <c r="B13" s="87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X13" s="125">
        <v>46270</v>
      </c>
      <c r="Y13" s="79" t="s">
        <v>396</v>
      </c>
      <c r="Z13" s="79" t="s">
        <v>375</v>
      </c>
      <c r="AA13" s="79">
        <v>2</v>
      </c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</row>
    <row r="14" spans="1:38" ht="35.1" customHeight="1" x14ac:dyDescent="0.3">
      <c r="A14" s="79"/>
      <c r="B14" s="87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X14" s="125">
        <v>46270</v>
      </c>
      <c r="Y14" s="79" t="s">
        <v>397</v>
      </c>
      <c r="Z14" s="79" t="s">
        <v>375</v>
      </c>
      <c r="AA14" s="79">
        <v>4</v>
      </c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</row>
    <row r="15" spans="1:38" ht="35.1" customHeight="1" x14ac:dyDescent="0.3">
      <c r="A15" s="79"/>
      <c r="B15" s="87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X15" s="125">
        <v>46271</v>
      </c>
      <c r="Y15" s="79" t="s">
        <v>397</v>
      </c>
      <c r="Z15" s="79" t="s">
        <v>375</v>
      </c>
      <c r="AA15" s="79"/>
      <c r="AB15" s="79"/>
      <c r="AC15" s="79"/>
      <c r="AD15" s="79"/>
      <c r="AE15" s="79">
        <v>2</v>
      </c>
      <c r="AF15" s="79"/>
      <c r="AG15" s="79"/>
      <c r="AH15" s="79"/>
      <c r="AI15" s="79"/>
      <c r="AJ15" s="79"/>
      <c r="AK15" s="79"/>
      <c r="AL15" s="79"/>
    </row>
    <row r="16" spans="1:38" ht="35.1" customHeight="1" x14ac:dyDescent="0.3">
      <c r="A16" s="79"/>
      <c r="B16" s="87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X16" s="125">
        <v>46271</v>
      </c>
      <c r="Y16" s="79" t="s">
        <v>398</v>
      </c>
      <c r="Z16" s="79" t="s">
        <v>373</v>
      </c>
      <c r="AA16" s="79"/>
      <c r="AB16" s="79"/>
      <c r="AC16" s="79"/>
      <c r="AD16" s="79"/>
      <c r="AE16" s="79"/>
      <c r="AF16" s="79"/>
      <c r="AG16" s="79"/>
      <c r="AH16" s="79"/>
      <c r="AI16" s="79">
        <v>2</v>
      </c>
      <c r="AJ16" s="79"/>
      <c r="AK16" s="79"/>
      <c r="AL16" s="79"/>
    </row>
    <row r="17" spans="1:38" ht="31.8" customHeight="1" x14ac:dyDescent="0.3">
      <c r="A17" s="79"/>
      <c r="B17" s="87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X17" s="125">
        <v>46271</v>
      </c>
      <c r="Y17" s="79" t="s">
        <v>397</v>
      </c>
      <c r="Z17" s="79" t="s">
        <v>375</v>
      </c>
      <c r="AA17" s="79"/>
      <c r="AB17" s="79"/>
      <c r="AC17" s="79"/>
      <c r="AD17" s="79"/>
      <c r="AE17" s="79"/>
      <c r="AF17" s="79"/>
      <c r="AG17" s="79"/>
      <c r="AH17" s="79"/>
      <c r="AI17" s="79">
        <v>2</v>
      </c>
      <c r="AJ17" s="79"/>
      <c r="AK17" s="79"/>
      <c r="AL17" s="79"/>
    </row>
    <row r="18" spans="1:38" ht="31.8" customHeight="1" x14ac:dyDescent="0.3">
      <c r="A18" s="79"/>
      <c r="B18" s="87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X18" s="125">
        <v>46272</v>
      </c>
      <c r="Y18" s="79" t="s">
        <v>50</v>
      </c>
      <c r="Z18" s="79"/>
      <c r="AA18" s="79">
        <v>3</v>
      </c>
      <c r="AB18" s="79"/>
      <c r="AC18" s="79"/>
      <c r="AD18" s="79"/>
      <c r="AE18" s="79">
        <v>2</v>
      </c>
      <c r="AF18" s="79"/>
      <c r="AG18" s="79"/>
      <c r="AH18" s="79"/>
      <c r="AI18" s="79">
        <v>10</v>
      </c>
      <c r="AJ18" s="79">
        <v>1</v>
      </c>
      <c r="AK18" s="79"/>
      <c r="AL18" s="79"/>
    </row>
    <row r="19" spans="1:38" ht="31.8" customHeight="1" x14ac:dyDescent="0.3">
      <c r="A19" s="79"/>
      <c r="B19" s="87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X19" s="125">
        <v>46272</v>
      </c>
      <c r="Y19" s="79" t="s">
        <v>50</v>
      </c>
      <c r="Z19" s="79"/>
      <c r="AA19" s="79">
        <v>3</v>
      </c>
      <c r="AB19" s="79"/>
      <c r="AC19" s="79"/>
      <c r="AD19" s="79"/>
      <c r="AE19" s="79">
        <v>2</v>
      </c>
      <c r="AF19" s="79"/>
      <c r="AG19" s="79"/>
      <c r="AH19" s="79"/>
      <c r="AI19" s="79">
        <v>10</v>
      </c>
      <c r="AJ19" s="79">
        <v>1</v>
      </c>
      <c r="AK19" s="79"/>
      <c r="AL19" s="79"/>
    </row>
    <row r="20" spans="1:38" ht="31.8" customHeight="1" x14ac:dyDescent="0.3">
      <c r="A20" s="79"/>
      <c r="B20" s="87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X20" s="79"/>
      <c r="Y20" s="79" t="s">
        <v>389</v>
      </c>
      <c r="Z20" s="79"/>
      <c r="AA20" s="79">
        <v>2</v>
      </c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</row>
    <row r="21" spans="1:38" ht="31.8" customHeight="1" x14ac:dyDescent="0.3">
      <c r="A21" s="79"/>
      <c r="B21" s="87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X21" s="79"/>
      <c r="Y21" s="79" t="s">
        <v>374</v>
      </c>
      <c r="Z21" s="79"/>
      <c r="AA21" s="79">
        <v>36</v>
      </c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</row>
    <row r="22" spans="1:38" ht="31.8" customHeight="1" x14ac:dyDescent="0.3">
      <c r="A22" s="79"/>
      <c r="B22" s="87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X22" s="79"/>
      <c r="Y22" s="79" t="s">
        <v>399</v>
      </c>
      <c r="Z22" s="79"/>
      <c r="AA22" s="79">
        <v>6</v>
      </c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</row>
    <row r="23" spans="1:38" ht="31.8" customHeight="1" x14ac:dyDescent="0.3">
      <c r="A23" s="79"/>
      <c r="B23" s="87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X23" s="79"/>
      <c r="Y23" s="79" t="s">
        <v>400</v>
      </c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>
        <v>10</v>
      </c>
      <c r="AL23" s="79">
        <v>1</v>
      </c>
    </row>
    <row r="24" spans="1:38" ht="31.8" customHeight="1" x14ac:dyDescent="0.3">
      <c r="A24" s="79"/>
      <c r="B24" s="87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X24" s="79"/>
      <c r="Y24" s="79" t="s">
        <v>401</v>
      </c>
      <c r="Z24" s="79"/>
      <c r="AA24" s="79">
        <v>2</v>
      </c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</row>
    <row r="25" spans="1:38" ht="31.8" customHeight="1" x14ac:dyDescent="0.3">
      <c r="A25" s="79"/>
      <c r="B25" s="87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X25" s="79"/>
      <c r="Y25" s="79" t="s">
        <v>402</v>
      </c>
      <c r="Z25" s="79"/>
      <c r="AA25" s="79">
        <v>6</v>
      </c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</row>
    <row r="26" spans="1:38" ht="31.8" customHeight="1" x14ac:dyDescent="0.3">
      <c r="A26" s="79"/>
      <c r="B26" s="87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X26" s="79"/>
      <c r="Y26" s="79" t="s">
        <v>403</v>
      </c>
      <c r="Z26" s="79"/>
      <c r="AA26" s="79">
        <v>2</v>
      </c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</row>
    <row r="27" spans="1:38" ht="31.8" customHeight="1" x14ac:dyDescent="0.3">
      <c r="A27" s="79"/>
      <c r="B27" s="87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X27" s="79"/>
      <c r="Y27" s="79" t="s">
        <v>404</v>
      </c>
      <c r="Z27" s="79"/>
      <c r="AA27" s="79"/>
      <c r="AB27" s="79"/>
      <c r="AC27" s="79"/>
      <c r="AD27" s="79"/>
      <c r="AE27" s="79"/>
      <c r="AF27" s="79"/>
      <c r="AG27" s="79"/>
      <c r="AH27" s="79"/>
      <c r="AI27" s="79">
        <v>4</v>
      </c>
      <c r="AJ27" s="79"/>
      <c r="AK27" s="79"/>
      <c r="AL27" s="79"/>
    </row>
    <row r="28" spans="1:38" ht="31.8" customHeight="1" x14ac:dyDescent="0.3">
      <c r="A28" s="79"/>
      <c r="B28" s="87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X28" s="79"/>
      <c r="Y28" s="79" t="s">
        <v>374</v>
      </c>
      <c r="Z28" s="79"/>
      <c r="AA28" s="79">
        <v>11</v>
      </c>
      <c r="AB28" s="79"/>
      <c r="AC28" s="79"/>
      <c r="AD28" s="79"/>
      <c r="AE28" s="79">
        <v>33</v>
      </c>
      <c r="AF28" s="79"/>
      <c r="AG28" s="79"/>
      <c r="AH28" s="79"/>
      <c r="AI28" s="79">
        <v>2</v>
      </c>
      <c r="AJ28" s="79"/>
      <c r="AK28" s="79"/>
      <c r="AL28" s="79"/>
    </row>
    <row r="29" spans="1:38" ht="31.8" customHeight="1" x14ac:dyDescent="0.3">
      <c r="A29" s="79"/>
      <c r="B29" s="87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X29" s="79"/>
      <c r="Y29" s="79" t="s">
        <v>405</v>
      </c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>
        <v>8</v>
      </c>
      <c r="AL29" s="79"/>
    </row>
    <row r="30" spans="1:38" ht="31.8" customHeight="1" x14ac:dyDescent="0.3">
      <c r="A30" s="79"/>
      <c r="B30" s="87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X30" s="79"/>
      <c r="Y30" s="79" t="s">
        <v>394</v>
      </c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>
        <v>4</v>
      </c>
      <c r="AL30" s="79"/>
    </row>
    <row r="31" spans="1:38" x14ac:dyDescent="0.3">
      <c r="X31" s="125">
        <v>46243</v>
      </c>
      <c r="Y31" s="79" t="s">
        <v>406</v>
      </c>
      <c r="Z31" s="79"/>
      <c r="AA31" s="79">
        <v>22</v>
      </c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</row>
    <row r="32" spans="1:38" x14ac:dyDescent="0.3">
      <c r="X32" s="79"/>
      <c r="Y32" s="79" t="s">
        <v>406</v>
      </c>
      <c r="Z32" s="79"/>
      <c r="AA32" s="79">
        <v>22</v>
      </c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</row>
    <row r="33" spans="24:38" x14ac:dyDescent="0.3">
      <c r="X33" s="79"/>
      <c r="Y33" s="79" t="s">
        <v>406</v>
      </c>
      <c r="Z33" s="79"/>
      <c r="AA33" s="79"/>
      <c r="AB33" s="79"/>
      <c r="AC33" s="79"/>
      <c r="AD33" s="79"/>
      <c r="AE33" s="79">
        <v>11</v>
      </c>
      <c r="AF33" s="79"/>
      <c r="AG33" s="79"/>
      <c r="AH33" s="79"/>
      <c r="AI33" s="79">
        <v>4</v>
      </c>
      <c r="AJ33" s="79"/>
      <c r="AK33" s="79"/>
      <c r="AL33" s="79"/>
    </row>
    <row r="34" spans="24:38" x14ac:dyDescent="0.3">
      <c r="X34" s="79"/>
      <c r="Y34" s="79" t="s">
        <v>50</v>
      </c>
      <c r="Z34" s="79"/>
      <c r="AA34" s="79">
        <v>3</v>
      </c>
      <c r="AB34" s="79"/>
      <c r="AC34" s="79"/>
      <c r="AD34" s="79"/>
      <c r="AE34" s="79">
        <v>3</v>
      </c>
      <c r="AF34" s="79"/>
      <c r="AG34" s="79"/>
      <c r="AH34" s="79"/>
      <c r="AI34" s="79"/>
      <c r="AJ34" s="79"/>
      <c r="AK34" s="79"/>
      <c r="AL34" s="79"/>
    </row>
    <row r="35" spans="24:38" x14ac:dyDescent="0.3">
      <c r="X35" s="79"/>
      <c r="Y35" s="79" t="s">
        <v>407</v>
      </c>
      <c r="Z35" s="79"/>
      <c r="AA35" s="79">
        <v>2</v>
      </c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</row>
    <row r="36" spans="24:38" x14ac:dyDescent="0.3">
      <c r="X36" s="79"/>
      <c r="Y36" s="79" t="s">
        <v>399</v>
      </c>
      <c r="Z36" s="79"/>
      <c r="AA36" s="79">
        <v>4</v>
      </c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</row>
    <row r="37" spans="24:38" x14ac:dyDescent="0.3">
      <c r="X37" s="79"/>
      <c r="Y37" s="79" t="s">
        <v>406</v>
      </c>
      <c r="Z37" s="79"/>
      <c r="AA37" s="79"/>
      <c r="AB37" s="79"/>
      <c r="AC37" s="79"/>
      <c r="AD37" s="79"/>
      <c r="AE37" s="79">
        <v>22</v>
      </c>
      <c r="AF37" s="79"/>
      <c r="AG37" s="79"/>
      <c r="AH37" s="79"/>
      <c r="AI37" s="79"/>
      <c r="AJ37" s="79"/>
      <c r="AK37" s="79"/>
      <c r="AL37" s="79"/>
    </row>
    <row r="38" spans="24:38" x14ac:dyDescent="0.3">
      <c r="X38" s="79"/>
      <c r="Y38" s="79" t="s">
        <v>408</v>
      </c>
      <c r="Z38" s="79"/>
      <c r="AA38" s="79"/>
      <c r="AB38" s="79"/>
      <c r="AC38" s="79"/>
      <c r="AD38" s="79"/>
      <c r="AE38" s="79"/>
      <c r="AF38" s="79"/>
      <c r="AG38" s="79"/>
      <c r="AH38" s="79"/>
      <c r="AI38" s="79">
        <v>3</v>
      </c>
      <c r="AJ38" s="79"/>
      <c r="AK38" s="79"/>
      <c r="AL38" s="79"/>
    </row>
    <row r="39" spans="24:38" x14ac:dyDescent="0.3">
      <c r="X39" s="175" t="s">
        <v>355</v>
      </c>
      <c r="Y39" s="79" t="s">
        <v>407</v>
      </c>
      <c r="Z39" s="79"/>
      <c r="AA39" s="79"/>
      <c r="AB39" s="79"/>
      <c r="AC39" s="79"/>
      <c r="AD39" s="79"/>
      <c r="AE39" s="79"/>
      <c r="AF39" s="79"/>
      <c r="AG39" s="79"/>
      <c r="AH39" s="79"/>
      <c r="AI39" s="79">
        <v>1</v>
      </c>
      <c r="AJ39" s="79"/>
      <c r="AK39" s="79"/>
      <c r="AL39" s="79"/>
    </row>
    <row r="40" spans="24:38" x14ac:dyDescent="0.3">
      <c r="X40" s="79"/>
      <c r="Y40" s="79" t="s">
        <v>50</v>
      </c>
      <c r="Z40" s="79"/>
      <c r="AA40" s="79">
        <v>4</v>
      </c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</row>
    <row r="41" spans="24:38" x14ac:dyDescent="0.3">
      <c r="X41" s="79"/>
      <c r="Y41" s="79" t="s">
        <v>407</v>
      </c>
      <c r="Z41" s="79"/>
      <c r="AA41" s="79">
        <v>3</v>
      </c>
      <c r="AB41" s="79"/>
      <c r="AC41" s="79"/>
      <c r="AD41" s="79"/>
      <c r="AE41" s="79">
        <v>1</v>
      </c>
      <c r="AF41" s="79"/>
      <c r="AG41" s="79"/>
      <c r="AH41" s="79"/>
      <c r="AI41" s="79"/>
      <c r="AJ41" s="79"/>
      <c r="AK41" s="79"/>
      <c r="AL41" s="79"/>
    </row>
    <row r="42" spans="24:38" x14ac:dyDescent="0.3">
      <c r="X42" s="79"/>
      <c r="Y42" s="79" t="s">
        <v>415</v>
      </c>
      <c r="Z42" s="79"/>
      <c r="AA42" s="79"/>
      <c r="AB42" s="79"/>
      <c r="AC42" s="79"/>
      <c r="AD42" s="79"/>
      <c r="AE42" s="79"/>
      <c r="AF42" s="79"/>
      <c r="AG42" s="79"/>
      <c r="AH42" s="79"/>
      <c r="AI42" s="79">
        <v>2</v>
      </c>
      <c r="AJ42" s="79"/>
      <c r="AK42" s="79"/>
      <c r="AL42" s="79"/>
    </row>
    <row r="43" spans="24:38" x14ac:dyDescent="0.3">
      <c r="X43" s="79"/>
      <c r="Y43" s="79" t="s">
        <v>416</v>
      </c>
      <c r="Z43" s="79"/>
      <c r="AA43" s="79"/>
      <c r="AB43" s="79"/>
      <c r="AC43" s="79">
        <v>11</v>
      </c>
      <c r="AD43" s="79"/>
      <c r="AE43" s="79"/>
      <c r="AF43" s="79"/>
      <c r="AG43" s="79"/>
      <c r="AH43" s="79"/>
      <c r="AI43" s="79"/>
      <c r="AJ43" s="79"/>
      <c r="AK43" s="79"/>
      <c r="AL43" s="79"/>
    </row>
    <row r="44" spans="24:38" x14ac:dyDescent="0.3"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</row>
    <row r="45" spans="24:38" x14ac:dyDescent="0.3"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</row>
    <row r="46" spans="24:38" x14ac:dyDescent="0.3"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</row>
    <row r="47" spans="24:38" x14ac:dyDescent="0.3"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</row>
    <row r="48" spans="24:38" x14ac:dyDescent="0.3">
      <c r="X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</row>
    <row r="49" spans="24:38" x14ac:dyDescent="0.3"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</row>
    <row r="50" spans="24:38" x14ac:dyDescent="0.3"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</row>
    <row r="51" spans="24:38" x14ac:dyDescent="0.3">
      <c r="X51" s="79"/>
      <c r="Y51" s="79"/>
      <c r="Z51" s="111" t="s">
        <v>383</v>
      </c>
      <c r="AA51" s="79">
        <f>SUM(AA31:AA50)</f>
        <v>60</v>
      </c>
      <c r="AB51" s="79">
        <f t="shared" ref="AB51:AL51" si="42">SUM(AB31:AB50)</f>
        <v>0</v>
      </c>
      <c r="AC51" s="79">
        <f t="shared" si="42"/>
        <v>11</v>
      </c>
      <c r="AD51" s="79">
        <f t="shared" si="42"/>
        <v>0</v>
      </c>
      <c r="AE51" s="79">
        <f t="shared" si="42"/>
        <v>37</v>
      </c>
      <c r="AF51" s="79">
        <f t="shared" si="42"/>
        <v>0</v>
      </c>
      <c r="AG51" s="79">
        <f t="shared" si="42"/>
        <v>0</v>
      </c>
      <c r="AH51" s="79">
        <f t="shared" si="42"/>
        <v>0</v>
      </c>
      <c r="AI51" s="79">
        <f t="shared" si="42"/>
        <v>10</v>
      </c>
      <c r="AJ51" s="79">
        <f t="shared" si="42"/>
        <v>0</v>
      </c>
      <c r="AK51" s="79">
        <f t="shared" si="42"/>
        <v>0</v>
      </c>
      <c r="AL51" s="79">
        <f t="shared" si="42"/>
        <v>0</v>
      </c>
    </row>
    <row r="52" spans="24:38" x14ac:dyDescent="0.3">
      <c r="X52" s="79"/>
      <c r="Y52" s="79"/>
      <c r="Z52" s="111" t="s">
        <v>384</v>
      </c>
      <c r="AA52" s="112" t="e">
        <f>#REF!+I106-AA51</f>
        <v>#REF!</v>
      </c>
      <c r="AB52" s="112" t="e">
        <f>#REF!+K106-AB51</f>
        <v>#REF!</v>
      </c>
      <c r="AC52" s="112" t="e">
        <f>#REF!+L106-AC51</f>
        <v>#REF!</v>
      </c>
      <c r="AD52" s="112" t="e">
        <f>#REF!+M106-AD51</f>
        <v>#REF!</v>
      </c>
      <c r="AE52" s="112" t="e">
        <f>#REF!+N106-AE51</f>
        <v>#REF!</v>
      </c>
      <c r="AF52" s="112" t="e">
        <f>#REF!+P106-AF51</f>
        <v>#REF!</v>
      </c>
      <c r="AG52" s="112" t="e">
        <f>#REF!+Q106-AG51</f>
        <v>#REF!</v>
      </c>
      <c r="AH52" s="112" t="e">
        <f>#REF!+R106-AH51</f>
        <v>#REF!</v>
      </c>
      <c r="AI52" s="112" t="e">
        <f>#REF!+S106-AI51</f>
        <v>#REF!</v>
      </c>
      <c r="AJ52" s="112" t="e">
        <f>#REF!+U106-AJ51</f>
        <v>#REF!</v>
      </c>
      <c r="AK52" s="112" t="e">
        <f>#REF!+V106-AK51</f>
        <v>#REF!</v>
      </c>
      <c r="AL52" s="112" t="e">
        <f>#REF!+W106-AL51</f>
        <v>#REF!</v>
      </c>
    </row>
    <row r="53" spans="24:38" x14ac:dyDescent="0.3">
      <c r="X53" s="79"/>
    </row>
    <row r="54" spans="24:38" x14ac:dyDescent="0.3">
      <c r="X54" s="79"/>
    </row>
    <row r="55" spans="24:38" x14ac:dyDescent="0.3">
      <c r="X55" s="79"/>
    </row>
    <row r="56" spans="24:38" x14ac:dyDescent="0.3">
      <c r="X56" s="79"/>
    </row>
    <row r="57" spans="24:38" x14ac:dyDescent="0.3">
      <c r="X57" s="79"/>
    </row>
    <row r="58" spans="24:38" x14ac:dyDescent="0.3">
      <c r="X58" s="79"/>
    </row>
    <row r="59" spans="24:38" x14ac:dyDescent="0.3">
      <c r="X59" s="79"/>
    </row>
    <row r="60" spans="24:38" x14ac:dyDescent="0.3">
      <c r="X60" s="79"/>
    </row>
    <row r="61" spans="24:38" x14ac:dyDescent="0.3">
      <c r="X61" s="79"/>
    </row>
    <row r="62" spans="24:38" x14ac:dyDescent="0.3">
      <c r="X62" s="79"/>
    </row>
    <row r="63" spans="24:38" x14ac:dyDescent="0.3">
      <c r="X63" s="79"/>
    </row>
    <row r="64" spans="24:38" x14ac:dyDescent="0.3">
      <c r="X64" s="79"/>
    </row>
    <row r="65" spans="24:24" x14ac:dyDescent="0.3">
      <c r="X65" s="79"/>
    </row>
    <row r="66" spans="24:24" x14ac:dyDescent="0.3">
      <c r="X66" s="79"/>
    </row>
    <row r="67" spans="24:24" x14ac:dyDescent="0.3">
      <c r="X67" s="79"/>
    </row>
    <row r="68" spans="24:24" x14ac:dyDescent="0.3">
      <c r="X68" s="79"/>
    </row>
    <row r="69" spans="24:24" x14ac:dyDescent="0.3">
      <c r="X69" s="79"/>
    </row>
    <row r="70" spans="24:24" x14ac:dyDescent="0.3">
      <c r="X70" s="79"/>
    </row>
    <row r="71" spans="24:24" x14ac:dyDescent="0.3">
      <c r="X71" s="79"/>
    </row>
    <row r="72" spans="24:24" x14ac:dyDescent="0.3">
      <c r="X72" s="79"/>
    </row>
    <row r="73" spans="24:24" x14ac:dyDescent="0.3">
      <c r="X73" s="79"/>
    </row>
    <row r="74" spans="24:24" x14ac:dyDescent="0.3">
      <c r="X74" s="79"/>
    </row>
    <row r="75" spans="24:24" x14ac:dyDescent="0.3">
      <c r="X75" s="79"/>
    </row>
    <row r="76" spans="24:24" x14ac:dyDescent="0.3">
      <c r="X76" s="79"/>
    </row>
    <row r="77" spans="24:24" x14ac:dyDescent="0.3">
      <c r="X77" s="79"/>
    </row>
    <row r="78" spans="24:24" x14ac:dyDescent="0.3">
      <c r="X78" s="79"/>
    </row>
    <row r="79" spans="24:24" x14ac:dyDescent="0.3">
      <c r="X79" s="79"/>
    </row>
    <row r="80" spans="24:24" x14ac:dyDescent="0.3">
      <c r="X80" s="79"/>
    </row>
    <row r="81" spans="24:24" x14ac:dyDescent="0.3">
      <c r="X81" s="79"/>
    </row>
    <row r="82" spans="24:24" x14ac:dyDescent="0.3">
      <c r="X82" s="79"/>
    </row>
    <row r="83" spans="24:24" x14ac:dyDescent="0.3">
      <c r="X83" s="79"/>
    </row>
    <row r="84" spans="24:24" x14ac:dyDescent="0.3">
      <c r="X84" s="79"/>
    </row>
    <row r="85" spans="24:24" x14ac:dyDescent="0.3">
      <c r="X85" s="79"/>
    </row>
    <row r="86" spans="24:24" x14ac:dyDescent="0.3">
      <c r="X86" s="79"/>
    </row>
    <row r="87" spans="24:24" x14ac:dyDescent="0.3">
      <c r="X87" s="79"/>
    </row>
    <row r="88" spans="24:24" x14ac:dyDescent="0.3">
      <c r="X88" s="79"/>
    </row>
    <row r="89" spans="24:24" x14ac:dyDescent="0.3">
      <c r="X89" s="79"/>
    </row>
    <row r="90" spans="24:24" x14ac:dyDescent="0.3">
      <c r="X90" s="79"/>
    </row>
    <row r="91" spans="24:24" x14ac:dyDescent="0.3">
      <c r="X91" s="79"/>
    </row>
    <row r="92" spans="24:24" x14ac:dyDescent="0.3">
      <c r="X92" s="79"/>
    </row>
    <row r="93" spans="24:24" x14ac:dyDescent="0.3">
      <c r="X93" s="79"/>
    </row>
    <row r="94" spans="24:24" x14ac:dyDescent="0.3">
      <c r="X94" s="79"/>
    </row>
    <row r="95" spans="24:24" x14ac:dyDescent="0.3">
      <c r="X95" s="79"/>
    </row>
    <row r="96" spans="24:24" x14ac:dyDescent="0.3">
      <c r="X96" s="79"/>
    </row>
    <row r="97" spans="24:24" x14ac:dyDescent="0.3">
      <c r="X97" s="79"/>
    </row>
    <row r="98" spans="24:24" x14ac:dyDescent="0.3">
      <c r="X98" s="79"/>
    </row>
    <row r="99" spans="24:24" x14ac:dyDescent="0.3">
      <c r="X99" s="79"/>
    </row>
    <row r="100" spans="24:24" x14ac:dyDescent="0.3">
      <c r="X100" s="79"/>
    </row>
    <row r="101" spans="24:24" x14ac:dyDescent="0.3">
      <c r="X101" s="79"/>
    </row>
    <row r="102" spans="24:24" x14ac:dyDescent="0.3">
      <c r="X102" s="79"/>
    </row>
    <row r="103" spans="24:24" x14ac:dyDescent="0.3">
      <c r="X103" s="79"/>
    </row>
    <row r="104" spans="24:24" x14ac:dyDescent="0.3">
      <c r="X104" s="79"/>
    </row>
    <row r="105" spans="24:24" x14ac:dyDescent="0.3">
      <c r="X105" s="79"/>
    </row>
    <row r="106" spans="24:24" x14ac:dyDescent="0.3">
      <c r="X106" s="79"/>
    </row>
    <row r="107" spans="24:24" x14ac:dyDescent="0.3">
      <c r="X107" s="79"/>
    </row>
  </sheetData>
  <mergeCells count="4">
    <mergeCell ref="C1:G1"/>
    <mergeCell ref="H1:L1"/>
    <mergeCell ref="M1:Q1"/>
    <mergeCell ref="R1:V1"/>
  </mergeCells>
  <dataValidations count="1">
    <dataValidation type="list" allowBlank="1" showInputMessage="1" showErrorMessage="1" sqref="Y51:Y1052 Y1:Y4" xr:uid="{DCAE6A82-7BE0-4C4E-A8DC-91242BF08B54}">
      <formula1>$A$4:$A$457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Roman,thường"&amp;12&amp;Kffffff&amp;A</oddHeader>
    <oddFooter>&amp;C&amp;"Times New Roman,thường"&amp;12&amp;KffffffTrang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BA2E9-C323-41E9-986E-93A3DDC3FB46}">
  <dimension ref="A1:AH125"/>
  <sheetViews>
    <sheetView workbookViewId="0">
      <selection activeCell="J16" sqref="J16"/>
    </sheetView>
  </sheetViews>
  <sheetFormatPr defaultColWidth="10.109375" defaultRowHeight="14.4" x14ac:dyDescent="0.3"/>
  <cols>
    <col min="1" max="1" width="5.5546875" customWidth="1"/>
    <col min="2" max="2" width="13.109375" style="81" customWidth="1"/>
    <col min="3" max="3" width="13.109375" customWidth="1"/>
    <col min="4" max="4" width="11.109375" customWidth="1"/>
    <col min="16" max="16" width="11.6640625" customWidth="1"/>
    <col min="20" max="21" width="26.6640625" customWidth="1"/>
    <col min="22" max="22" width="14.33203125" customWidth="1"/>
    <col min="24" max="24" width="7.88671875" customWidth="1"/>
    <col min="25" max="25" width="7.33203125" customWidth="1"/>
    <col min="26" max="26" width="9.33203125" customWidth="1"/>
    <col min="27" max="27" width="8" customWidth="1"/>
    <col min="28" max="29" width="8.109375" customWidth="1"/>
    <col min="30" max="30" width="7.88671875" customWidth="1"/>
    <col min="31" max="31" width="7.109375" customWidth="1"/>
    <col min="32" max="32" width="8.109375" customWidth="1"/>
    <col min="33" max="33" width="7.44140625" customWidth="1"/>
    <col min="34" max="34" width="7.6640625" customWidth="1"/>
  </cols>
  <sheetData>
    <row r="1" spans="1:34" ht="30.6" customHeight="1" x14ac:dyDescent="0.3">
      <c r="A1" s="80" t="s">
        <v>3</v>
      </c>
      <c r="B1" s="80" t="s">
        <v>345</v>
      </c>
      <c r="C1" s="395" t="s">
        <v>346</v>
      </c>
      <c r="D1" s="395"/>
      <c r="E1" s="395"/>
      <c r="F1" s="395"/>
      <c r="G1" s="396" t="s">
        <v>347</v>
      </c>
      <c r="H1" s="396"/>
      <c r="I1" s="396"/>
      <c r="J1" s="396"/>
      <c r="K1" s="397" t="s">
        <v>348</v>
      </c>
      <c r="L1" s="397"/>
      <c r="M1" s="397"/>
      <c r="N1" s="397"/>
      <c r="O1" s="398" t="s">
        <v>349</v>
      </c>
      <c r="P1" s="398"/>
      <c r="Q1" s="398"/>
      <c r="R1" s="398"/>
      <c r="S1" s="79"/>
      <c r="T1" s="114"/>
      <c r="U1" s="113" t="s">
        <v>348</v>
      </c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</row>
    <row r="2" spans="1:34" ht="32.85" customHeight="1" x14ac:dyDescent="0.3">
      <c r="A2" s="79"/>
      <c r="B2" s="82"/>
      <c r="C2" s="83" t="s">
        <v>350</v>
      </c>
      <c r="D2" s="83" t="s">
        <v>351</v>
      </c>
      <c r="E2" s="83" t="s">
        <v>352</v>
      </c>
      <c r="F2" s="83" t="s">
        <v>353</v>
      </c>
      <c r="G2" s="84" t="s">
        <v>350</v>
      </c>
      <c r="H2" s="84" t="s">
        <v>351</v>
      </c>
      <c r="I2" s="84" t="s">
        <v>352</v>
      </c>
      <c r="J2" s="84" t="s">
        <v>353</v>
      </c>
      <c r="K2" s="85" t="s">
        <v>350</v>
      </c>
      <c r="L2" s="85" t="s">
        <v>351</v>
      </c>
      <c r="M2" s="85" t="s">
        <v>352</v>
      </c>
      <c r="N2" s="85" t="s">
        <v>353</v>
      </c>
      <c r="O2" s="86" t="s">
        <v>350</v>
      </c>
      <c r="P2" s="86" t="s">
        <v>351</v>
      </c>
      <c r="Q2" s="86" t="s">
        <v>352</v>
      </c>
      <c r="R2" s="86" t="s">
        <v>353</v>
      </c>
      <c r="S2" s="79"/>
      <c r="T2" s="115"/>
      <c r="U2" s="107" t="s">
        <v>296</v>
      </c>
      <c r="V2" s="107" t="s">
        <v>363</v>
      </c>
      <c r="W2" s="108" t="s">
        <v>25</v>
      </c>
      <c r="X2" s="106" t="s">
        <v>364</v>
      </c>
      <c r="Y2" s="106" t="s">
        <v>365</v>
      </c>
      <c r="Z2" s="106" t="s">
        <v>366</v>
      </c>
      <c r="AA2" s="106" t="s">
        <v>28</v>
      </c>
      <c r="AB2" s="106" t="s">
        <v>367</v>
      </c>
      <c r="AC2" s="106" t="s">
        <v>368</v>
      </c>
      <c r="AD2" s="106" t="s">
        <v>369</v>
      </c>
      <c r="AE2" s="106" t="s">
        <v>370</v>
      </c>
      <c r="AF2" s="106" t="s">
        <v>371</v>
      </c>
      <c r="AG2" s="106" t="s">
        <v>38</v>
      </c>
      <c r="AH2" s="106" t="s">
        <v>372</v>
      </c>
    </row>
    <row r="3" spans="1:34" ht="32.85" hidden="1" customHeight="1" x14ac:dyDescent="0.35">
      <c r="A3" s="79"/>
      <c r="B3" s="82">
        <v>46273</v>
      </c>
      <c r="C3" s="79"/>
      <c r="D3" s="79"/>
      <c r="E3" s="79">
        <v>11</v>
      </c>
      <c r="F3" s="79"/>
      <c r="G3" s="79"/>
      <c r="H3" s="79"/>
      <c r="I3" s="79"/>
      <c r="J3" s="79"/>
      <c r="K3" s="79"/>
      <c r="L3" s="79"/>
      <c r="M3" s="79">
        <v>11</v>
      </c>
      <c r="N3" s="79"/>
      <c r="O3" s="79">
        <f>C3+G3-K3</f>
        <v>0</v>
      </c>
      <c r="P3" s="79">
        <f>D3+H3-L3</f>
        <v>0</v>
      </c>
      <c r="Q3" s="79">
        <f>E3+I3-M3</f>
        <v>0</v>
      </c>
      <c r="R3" s="79">
        <f>F3+J3-N3</f>
        <v>0</v>
      </c>
      <c r="S3" s="79"/>
      <c r="T3" s="116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</row>
    <row r="4" spans="1:34" ht="32.85" hidden="1" customHeight="1" x14ac:dyDescent="0.3">
      <c r="A4" s="79"/>
      <c r="B4" s="82">
        <v>46274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>
        <f t="shared" ref="O4:O5" si="0">C4+G4-K4</f>
        <v>0</v>
      </c>
      <c r="P4" s="79">
        <f t="shared" ref="P4:P5" si="1">D4+H4-L4</f>
        <v>0</v>
      </c>
      <c r="Q4" s="79">
        <f t="shared" ref="Q4:Q5" si="2">E4+I4-M4</f>
        <v>0</v>
      </c>
      <c r="R4" s="79">
        <f t="shared" ref="R4:R5" si="3">F4+J4-N4</f>
        <v>0</v>
      </c>
      <c r="S4" s="126"/>
      <c r="T4" s="125">
        <v>46243</v>
      </c>
      <c r="U4" s="88" t="s">
        <v>47</v>
      </c>
      <c r="V4" s="79"/>
      <c r="W4" s="79">
        <v>11</v>
      </c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</row>
    <row r="5" spans="1:34" ht="32.85" hidden="1" customHeight="1" x14ac:dyDescent="0.3">
      <c r="A5" s="79"/>
      <c r="B5" s="87" t="s">
        <v>439</v>
      </c>
      <c r="C5" s="79"/>
      <c r="D5" s="79"/>
      <c r="E5" s="79"/>
      <c r="F5" s="79"/>
      <c r="G5" s="79"/>
      <c r="H5" s="79"/>
      <c r="I5" s="79">
        <f>49+8</f>
        <v>57</v>
      </c>
      <c r="J5" s="79"/>
      <c r="K5" s="79"/>
      <c r="L5" s="79"/>
      <c r="M5" s="79">
        <f>22+24</f>
        <v>46</v>
      </c>
      <c r="N5" s="79"/>
      <c r="O5" s="79">
        <f t="shared" si="0"/>
        <v>0</v>
      </c>
      <c r="P5" s="79">
        <f t="shared" si="1"/>
        <v>0</v>
      </c>
      <c r="Q5" s="79">
        <f t="shared" si="2"/>
        <v>11</v>
      </c>
      <c r="R5" s="79">
        <f t="shared" si="3"/>
        <v>0</v>
      </c>
      <c r="S5" s="126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</row>
    <row r="6" spans="1:34" ht="32.85" hidden="1" customHeight="1" x14ac:dyDescent="0.3">
      <c r="A6" s="79"/>
      <c r="B6" s="87" t="s">
        <v>441</v>
      </c>
      <c r="C6" s="79">
        <f>O5</f>
        <v>0</v>
      </c>
      <c r="D6" s="79">
        <f t="shared" ref="D6:F6" si="4">P5</f>
        <v>0</v>
      </c>
      <c r="E6" s="79">
        <f t="shared" si="4"/>
        <v>11</v>
      </c>
      <c r="F6" s="79">
        <f t="shared" si="4"/>
        <v>0</v>
      </c>
      <c r="G6" s="79"/>
      <c r="H6" s="79"/>
      <c r="I6" s="79"/>
      <c r="J6" s="79"/>
      <c r="K6" s="79"/>
      <c r="L6" s="79"/>
      <c r="M6" s="79">
        <v>11</v>
      </c>
      <c r="N6" s="79"/>
      <c r="O6" s="79">
        <f t="shared" ref="O6" si="5">C6+G6-K6</f>
        <v>0</v>
      </c>
      <c r="P6" s="79">
        <f t="shared" ref="P6" si="6">D6+H6-L6</f>
        <v>0</v>
      </c>
      <c r="Q6" s="79">
        <f t="shared" ref="Q6" si="7">E6+I6-M6</f>
        <v>0</v>
      </c>
      <c r="R6" s="79">
        <f t="shared" ref="R6" si="8">F6+J6-N6</f>
        <v>0</v>
      </c>
      <c r="S6" s="126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</row>
    <row r="7" spans="1:34" ht="32.85" hidden="1" customHeight="1" x14ac:dyDescent="0.3">
      <c r="A7" s="79"/>
      <c r="B7" s="87" t="s">
        <v>446</v>
      </c>
      <c r="C7" s="79">
        <f>O6</f>
        <v>0</v>
      </c>
      <c r="D7" s="79">
        <f t="shared" ref="D7" si="9">P6</f>
        <v>0</v>
      </c>
      <c r="E7" s="79">
        <f t="shared" ref="E7" si="10">Q6</f>
        <v>0</v>
      </c>
      <c r="F7" s="79">
        <f t="shared" ref="F7" si="11">R6</f>
        <v>0</v>
      </c>
      <c r="G7" s="79"/>
      <c r="H7" s="79"/>
      <c r="I7" s="79">
        <v>33</v>
      </c>
      <c r="J7" s="79"/>
      <c r="K7" s="79"/>
      <c r="L7" s="79"/>
      <c r="M7" s="79">
        <f>22+11</f>
        <v>33</v>
      </c>
      <c r="N7" s="79"/>
      <c r="O7" s="79">
        <f t="shared" ref="O7" si="12">C7+G7-K7</f>
        <v>0</v>
      </c>
      <c r="P7" s="79">
        <f t="shared" ref="P7" si="13">D7+H7-L7</f>
        <v>0</v>
      </c>
      <c r="Q7" s="79">
        <f t="shared" ref="Q7" si="14">E7+I7-M7</f>
        <v>0</v>
      </c>
      <c r="R7" s="79">
        <f t="shared" ref="R7" si="15">F7+J7-N7</f>
        <v>0</v>
      </c>
      <c r="S7" s="126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</row>
    <row r="8" spans="1:34" ht="35.1" hidden="1" customHeight="1" x14ac:dyDescent="0.3">
      <c r="A8" s="79"/>
      <c r="B8" s="87" t="s">
        <v>447</v>
      </c>
      <c r="C8" s="79">
        <f t="shared" ref="C8:C9" si="16">O7</f>
        <v>0</v>
      </c>
      <c r="D8" s="79">
        <f t="shared" ref="D8:D9" si="17">P7</f>
        <v>0</v>
      </c>
      <c r="E8" s="79">
        <f t="shared" ref="E8:E9" si="18">Q7</f>
        <v>0</v>
      </c>
      <c r="F8" s="79">
        <f t="shared" ref="F8:F9" si="19">R7</f>
        <v>0</v>
      </c>
      <c r="G8" s="79"/>
      <c r="H8" s="79"/>
      <c r="I8" s="79"/>
      <c r="J8" s="79"/>
      <c r="K8" s="79"/>
      <c r="L8" s="79"/>
      <c r="M8" s="79"/>
      <c r="N8" s="79"/>
      <c r="O8" s="79">
        <f t="shared" ref="O8:O9" si="20">C8+G8-K8</f>
        <v>0</v>
      </c>
      <c r="P8" s="79">
        <f t="shared" ref="P8:P9" si="21">D8+H8-L8</f>
        <v>0</v>
      </c>
      <c r="Q8" s="79">
        <f t="shared" ref="Q8:Q9" si="22">E8+I8-M8</f>
        <v>0</v>
      </c>
      <c r="R8" s="79">
        <f t="shared" ref="R8:R9" si="23">F8+J8-N8</f>
        <v>0</v>
      </c>
      <c r="S8" s="126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</row>
    <row r="9" spans="1:34" ht="35.1" hidden="1" customHeight="1" x14ac:dyDescent="0.3">
      <c r="A9" s="79"/>
      <c r="B9" s="87" t="s">
        <v>449</v>
      </c>
      <c r="C9" s="79">
        <f t="shared" si="16"/>
        <v>0</v>
      </c>
      <c r="D9" s="79">
        <f t="shared" si="17"/>
        <v>0</v>
      </c>
      <c r="E9" s="79">
        <f t="shared" si="18"/>
        <v>0</v>
      </c>
      <c r="F9" s="79">
        <f t="shared" si="19"/>
        <v>0</v>
      </c>
      <c r="G9" s="79"/>
      <c r="H9" s="79"/>
      <c r="I9" s="79"/>
      <c r="J9" s="79"/>
      <c r="K9" s="79"/>
      <c r="L9" s="79"/>
      <c r="M9" s="79"/>
      <c r="N9" s="79"/>
      <c r="O9" s="79">
        <f t="shared" si="20"/>
        <v>0</v>
      </c>
      <c r="P9" s="79">
        <f t="shared" si="21"/>
        <v>0</v>
      </c>
      <c r="Q9" s="79">
        <f t="shared" si="22"/>
        <v>0</v>
      </c>
      <c r="R9" s="79">
        <f t="shared" si="23"/>
        <v>0</v>
      </c>
      <c r="S9" s="126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</row>
    <row r="10" spans="1:34" ht="35.1" hidden="1" customHeight="1" x14ac:dyDescent="0.3">
      <c r="A10" s="79"/>
      <c r="B10" s="87" t="s">
        <v>451</v>
      </c>
      <c r="C10" s="79">
        <f t="shared" ref="C10" si="24">O9</f>
        <v>0</v>
      </c>
      <c r="D10" s="79">
        <f t="shared" ref="D10" si="25">P9</f>
        <v>0</v>
      </c>
      <c r="E10" s="79">
        <f t="shared" ref="E10" si="26">Q9</f>
        <v>0</v>
      </c>
      <c r="F10" s="79">
        <f t="shared" ref="F10" si="27">R9</f>
        <v>0</v>
      </c>
      <c r="G10" s="79"/>
      <c r="H10" s="79"/>
      <c r="I10" s="79"/>
      <c r="J10" s="79"/>
      <c r="K10" s="79"/>
      <c r="L10" s="79"/>
      <c r="M10" s="79"/>
      <c r="N10" s="79"/>
      <c r="O10" s="79">
        <f t="shared" ref="O10" si="28">C10+G10-K10</f>
        <v>0</v>
      </c>
      <c r="P10" s="79">
        <f t="shared" ref="P10" si="29">D10+H10-L10</f>
        <v>0</v>
      </c>
      <c r="Q10" s="79">
        <f t="shared" ref="Q10" si="30">E10+I10-M10</f>
        <v>0</v>
      </c>
      <c r="R10" s="79">
        <f t="shared" ref="R10" si="31">F10+J10-N10</f>
        <v>0</v>
      </c>
      <c r="S10" s="126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</row>
    <row r="11" spans="1:34" ht="35.1" hidden="1" customHeight="1" x14ac:dyDescent="0.3">
      <c r="A11" s="79"/>
      <c r="B11" s="87" t="s">
        <v>461</v>
      </c>
      <c r="C11" s="79">
        <f t="shared" ref="C11" si="32">O10</f>
        <v>0</v>
      </c>
      <c r="D11" s="79">
        <f t="shared" ref="D11" si="33">P10</f>
        <v>0</v>
      </c>
      <c r="E11" s="79">
        <f t="shared" ref="E11" si="34">Q10</f>
        <v>0</v>
      </c>
      <c r="F11" s="79">
        <f t="shared" ref="F11" si="35">R10</f>
        <v>0</v>
      </c>
      <c r="G11" s="79"/>
      <c r="H11" s="79"/>
      <c r="I11" s="79"/>
      <c r="J11" s="79"/>
      <c r="K11" s="79"/>
      <c r="L11" s="79"/>
      <c r="M11" s="79"/>
      <c r="N11" s="79"/>
      <c r="O11" s="79">
        <f t="shared" ref="O11" si="36">C11+G11-K11</f>
        <v>0</v>
      </c>
      <c r="P11" s="79">
        <f t="shared" ref="P11" si="37">D11+H11-L11</f>
        <v>0</v>
      </c>
      <c r="Q11" s="79">
        <f t="shared" ref="Q11" si="38">E11+I11-M11</f>
        <v>0</v>
      </c>
      <c r="R11" s="79">
        <f t="shared" ref="R11" si="39">F11+J11-N11</f>
        <v>0</v>
      </c>
      <c r="S11" s="126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</row>
    <row r="12" spans="1:34" ht="35.1" hidden="1" customHeight="1" x14ac:dyDescent="0.3">
      <c r="A12" s="79"/>
      <c r="B12" s="87" t="s">
        <v>469</v>
      </c>
      <c r="C12" s="79">
        <f t="shared" ref="C12" si="40">O11</f>
        <v>0</v>
      </c>
      <c r="D12" s="79">
        <f t="shared" ref="D12" si="41">P11</f>
        <v>0</v>
      </c>
      <c r="E12" s="79">
        <f t="shared" ref="E12" si="42">Q11</f>
        <v>0</v>
      </c>
      <c r="F12" s="79">
        <f t="shared" ref="F12" si="43">R11</f>
        <v>0</v>
      </c>
      <c r="G12" s="79"/>
      <c r="H12" s="79"/>
      <c r="I12" s="79"/>
      <c r="J12" s="79"/>
      <c r="K12" s="79"/>
      <c r="L12" s="79"/>
      <c r="M12" s="79"/>
      <c r="N12" s="79"/>
      <c r="O12" s="79">
        <f t="shared" ref="O12" si="44">C12+G12-K12</f>
        <v>0</v>
      </c>
      <c r="P12" s="79">
        <f t="shared" ref="P12" si="45">D12+H12-L12</f>
        <v>0</v>
      </c>
      <c r="Q12" s="79">
        <f t="shared" ref="Q12" si="46">E12+I12-M12</f>
        <v>0</v>
      </c>
      <c r="R12" s="79">
        <f t="shared" ref="R12" si="47">F12+J12-N12</f>
        <v>0</v>
      </c>
      <c r="S12" s="126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</row>
    <row r="13" spans="1:34" ht="35.1" hidden="1" customHeight="1" x14ac:dyDescent="0.3">
      <c r="A13" s="79"/>
      <c r="B13" s="87" t="s">
        <v>480</v>
      </c>
      <c r="C13" s="79">
        <f t="shared" ref="C13" si="48">O12</f>
        <v>0</v>
      </c>
      <c r="D13" s="79">
        <f t="shared" ref="D13" si="49">P12</f>
        <v>0</v>
      </c>
      <c r="E13" s="79">
        <f t="shared" ref="E13" si="50">Q12</f>
        <v>0</v>
      </c>
      <c r="F13" s="79">
        <f t="shared" ref="F13" si="51">R12</f>
        <v>0</v>
      </c>
      <c r="G13" s="79"/>
      <c r="H13" s="79"/>
      <c r="I13" s="79">
        <v>22</v>
      </c>
      <c r="J13" s="79"/>
      <c r="K13" s="79"/>
      <c r="L13" s="79"/>
      <c r="M13" s="79"/>
      <c r="N13" s="79"/>
      <c r="O13" s="79">
        <f t="shared" ref="O13" si="52">C13+G13-K13</f>
        <v>0</v>
      </c>
      <c r="P13" s="79">
        <f t="shared" ref="P13" si="53">D13+H13-L13</f>
        <v>0</v>
      </c>
      <c r="Q13" s="79">
        <f t="shared" ref="Q13" si="54">E13+I13-M13</f>
        <v>22</v>
      </c>
      <c r="R13" s="79">
        <f t="shared" ref="R13" si="55">F13+J13-N13</f>
        <v>0</v>
      </c>
      <c r="S13" s="126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</row>
    <row r="14" spans="1:34" ht="35.1" customHeight="1" x14ac:dyDescent="0.3">
      <c r="A14" s="79"/>
      <c r="B14" s="87" t="s">
        <v>482</v>
      </c>
      <c r="C14" s="79">
        <f t="shared" ref="C14" si="56">O13</f>
        <v>0</v>
      </c>
      <c r="D14" s="79">
        <f t="shared" ref="D14" si="57">P13</f>
        <v>0</v>
      </c>
      <c r="E14" s="79">
        <f t="shared" ref="E14" si="58">Q13</f>
        <v>22</v>
      </c>
      <c r="F14" s="79">
        <f t="shared" ref="F14" si="59">R13</f>
        <v>0</v>
      </c>
      <c r="G14" s="79"/>
      <c r="H14" s="79"/>
      <c r="I14" s="79"/>
      <c r="J14" s="79"/>
      <c r="K14" s="79"/>
      <c r="L14" s="79"/>
      <c r="M14" s="79">
        <f>12+10</f>
        <v>22</v>
      </c>
      <c r="N14" s="79"/>
      <c r="O14" s="79">
        <f t="shared" ref="O14" si="60">C14+G14-K14</f>
        <v>0</v>
      </c>
      <c r="P14" s="79">
        <f t="shared" ref="P14" si="61">D14+H14-L14</f>
        <v>0</v>
      </c>
      <c r="Q14" s="79">
        <f t="shared" ref="Q14" si="62">E14+I14-M14</f>
        <v>0</v>
      </c>
      <c r="R14" s="79">
        <f t="shared" ref="R14" si="63">F14+J14-N14</f>
        <v>0</v>
      </c>
      <c r="S14" s="126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</row>
    <row r="15" spans="1:34" ht="35.1" customHeight="1" x14ac:dyDescent="0.3">
      <c r="A15" s="79"/>
      <c r="B15" s="87" t="s">
        <v>505</v>
      </c>
      <c r="C15" s="79">
        <f t="shared" ref="C15" si="64">O14</f>
        <v>0</v>
      </c>
      <c r="D15" s="79">
        <f t="shared" ref="D15" si="65">P14</f>
        <v>0</v>
      </c>
      <c r="E15" s="79">
        <f t="shared" ref="E15" si="66">Q14</f>
        <v>0</v>
      </c>
      <c r="F15" s="79">
        <f t="shared" ref="F15" si="67">R14</f>
        <v>0</v>
      </c>
      <c r="G15" s="79"/>
      <c r="H15" s="79"/>
      <c r="I15" s="79">
        <v>22</v>
      </c>
      <c r="J15" s="79"/>
      <c r="K15" s="79"/>
      <c r="L15" s="79"/>
      <c r="M15" s="79">
        <v>16</v>
      </c>
      <c r="N15" s="79"/>
      <c r="O15" s="79">
        <f t="shared" ref="O15" si="68">C15+G15-K15</f>
        <v>0</v>
      </c>
      <c r="P15" s="79">
        <f t="shared" ref="P15" si="69">D15+H15-L15</f>
        <v>0</v>
      </c>
      <c r="Q15" s="79">
        <f t="shared" ref="Q15" si="70">E15+I15-M15</f>
        <v>6</v>
      </c>
      <c r="R15" s="79">
        <f t="shared" ref="R15" si="71">F15+J15-N15</f>
        <v>0</v>
      </c>
      <c r="S15" s="126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</row>
    <row r="16" spans="1:34" ht="35.1" customHeight="1" x14ac:dyDescent="0.3">
      <c r="A16" s="79"/>
      <c r="B16" s="186">
        <v>46032</v>
      </c>
      <c r="C16" s="79">
        <f t="shared" ref="C16" si="72">O15</f>
        <v>0</v>
      </c>
      <c r="D16" s="79">
        <f t="shared" ref="D16" si="73">P15</f>
        <v>0</v>
      </c>
      <c r="E16" s="79">
        <f t="shared" ref="E16" si="74">Q15</f>
        <v>6</v>
      </c>
      <c r="F16" s="79">
        <f t="shared" ref="F16" si="75">R15</f>
        <v>0</v>
      </c>
      <c r="G16" s="79"/>
      <c r="H16" s="79"/>
      <c r="I16" s="79">
        <v>5</v>
      </c>
      <c r="J16" s="79"/>
      <c r="K16" s="79"/>
      <c r="L16" s="79"/>
      <c r="M16" s="79"/>
      <c r="N16" s="79"/>
      <c r="O16" s="79">
        <f t="shared" ref="O16" si="76">C16+G16-K16</f>
        <v>0</v>
      </c>
      <c r="P16" s="79">
        <f t="shared" ref="P16" si="77">D16+H16-L16</f>
        <v>0</v>
      </c>
      <c r="Q16" s="79">
        <f t="shared" ref="Q16" si="78">E16+I16-M16</f>
        <v>11</v>
      </c>
      <c r="R16" s="79">
        <f t="shared" ref="R16" si="79">F16+J16-N16</f>
        <v>0</v>
      </c>
      <c r="S16" s="126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</row>
    <row r="17" spans="1:34" ht="35.1" customHeight="1" x14ac:dyDescent="0.3">
      <c r="A17" s="79"/>
      <c r="B17" s="87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126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</row>
    <row r="18" spans="1:34" ht="35.1" customHeight="1" x14ac:dyDescent="0.3">
      <c r="A18" s="79"/>
      <c r="B18" s="87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126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</row>
    <row r="19" spans="1:34" ht="35.1" customHeight="1" x14ac:dyDescent="0.3">
      <c r="A19" s="79"/>
      <c r="B19" s="87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126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</row>
    <row r="20" spans="1:34" ht="35.1" customHeight="1" x14ac:dyDescent="0.3">
      <c r="A20" s="79"/>
      <c r="B20" s="87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126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</row>
    <row r="21" spans="1:34" ht="35.1" customHeight="1" x14ac:dyDescent="0.3">
      <c r="A21" s="79"/>
      <c r="B21" s="87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126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</row>
    <row r="22" spans="1:34" ht="35.1" customHeight="1" x14ac:dyDescent="0.3">
      <c r="A22" s="79"/>
      <c r="B22" s="87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126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</row>
    <row r="23" spans="1:34" ht="35.1" customHeight="1" x14ac:dyDescent="0.3">
      <c r="A23" s="79"/>
      <c r="B23" s="87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126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</row>
    <row r="24" spans="1:34" ht="35.1" customHeight="1" x14ac:dyDescent="0.3">
      <c r="A24" s="79"/>
      <c r="B24" s="87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126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</row>
    <row r="25" spans="1:34" ht="35.1" customHeight="1" x14ac:dyDescent="0.3">
      <c r="O25" s="79"/>
      <c r="P25" s="79"/>
      <c r="Q25" s="79"/>
      <c r="R25" s="79"/>
      <c r="S25" s="126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</row>
    <row r="26" spans="1:34" ht="35.1" customHeight="1" x14ac:dyDescent="0.3">
      <c r="O26" s="79"/>
      <c r="P26" s="79"/>
      <c r="Q26" s="79"/>
      <c r="R26" s="79"/>
      <c r="S26" s="126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</row>
    <row r="27" spans="1:34" ht="35.1" customHeight="1" x14ac:dyDescent="0.3">
      <c r="O27" s="79"/>
      <c r="P27" s="79"/>
      <c r="Q27" s="79"/>
      <c r="R27" s="79"/>
      <c r="S27" s="126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</row>
    <row r="28" spans="1:34" ht="35.1" customHeight="1" x14ac:dyDescent="0.3">
      <c r="O28" s="79"/>
      <c r="P28" s="79"/>
      <c r="Q28" s="79"/>
      <c r="R28" s="79"/>
      <c r="S28" s="126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</row>
    <row r="29" spans="1:34" ht="35.1" customHeight="1" x14ac:dyDescent="0.3">
      <c r="O29" s="79"/>
      <c r="P29" s="79"/>
      <c r="Q29" s="79"/>
      <c r="R29" s="79"/>
      <c r="S29" s="126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</row>
    <row r="30" spans="1:34" ht="35.1" customHeight="1" x14ac:dyDescent="0.3">
      <c r="O30" s="79"/>
      <c r="P30" s="79"/>
      <c r="Q30" s="79"/>
      <c r="R30" s="79"/>
      <c r="S30" s="126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</row>
    <row r="31" spans="1:34" ht="35.1" customHeight="1" x14ac:dyDescent="0.3"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</row>
    <row r="32" spans="1:34" ht="35.1" customHeight="1" x14ac:dyDescent="0.3"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</row>
    <row r="33" spans="20:34" ht="35.1" customHeight="1" x14ac:dyDescent="0.3"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</row>
    <row r="34" spans="20:34" ht="35.1" customHeight="1" x14ac:dyDescent="0.3"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</row>
    <row r="35" spans="20:34" x14ac:dyDescent="0.3"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</row>
    <row r="36" spans="20:34" x14ac:dyDescent="0.3"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</row>
    <row r="37" spans="20:34" x14ac:dyDescent="0.3"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</row>
    <row r="38" spans="20:34" x14ac:dyDescent="0.3">
      <c r="T38" s="79"/>
      <c r="U38" s="79" t="s">
        <v>389</v>
      </c>
      <c r="V38" s="79"/>
      <c r="W38" s="79">
        <v>2</v>
      </c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</row>
    <row r="39" spans="20:34" x14ac:dyDescent="0.3">
      <c r="T39" s="79"/>
      <c r="U39" s="79" t="s">
        <v>374</v>
      </c>
      <c r="V39" s="79"/>
      <c r="W39" s="79">
        <v>36</v>
      </c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</row>
    <row r="40" spans="20:34" x14ac:dyDescent="0.3">
      <c r="T40" s="79"/>
      <c r="U40" s="79" t="s">
        <v>399</v>
      </c>
      <c r="V40" s="79"/>
      <c r="W40" s="79">
        <v>6</v>
      </c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</row>
    <row r="41" spans="20:34" x14ac:dyDescent="0.3">
      <c r="T41" s="79"/>
      <c r="U41" s="79" t="s">
        <v>400</v>
      </c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>
        <v>10</v>
      </c>
      <c r="AH41" s="79">
        <v>1</v>
      </c>
    </row>
    <row r="42" spans="20:34" x14ac:dyDescent="0.3">
      <c r="T42" s="79"/>
      <c r="U42" s="79" t="s">
        <v>401</v>
      </c>
      <c r="V42" s="79"/>
      <c r="W42" s="79">
        <v>2</v>
      </c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</row>
    <row r="43" spans="20:34" x14ac:dyDescent="0.3">
      <c r="T43" s="79"/>
      <c r="U43" s="79" t="s">
        <v>402</v>
      </c>
      <c r="V43" s="79"/>
      <c r="W43" s="79">
        <v>6</v>
      </c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</row>
    <row r="44" spans="20:34" x14ac:dyDescent="0.3">
      <c r="T44" s="79"/>
      <c r="U44" s="79" t="s">
        <v>403</v>
      </c>
      <c r="V44" s="79"/>
      <c r="W44" s="79">
        <v>2</v>
      </c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</row>
    <row r="45" spans="20:34" x14ac:dyDescent="0.3">
      <c r="T45" s="79"/>
      <c r="U45" s="79" t="s">
        <v>404</v>
      </c>
      <c r="V45" s="79"/>
      <c r="W45" s="79"/>
      <c r="X45" s="79"/>
      <c r="Y45" s="79"/>
      <c r="Z45" s="79"/>
      <c r="AA45" s="79"/>
      <c r="AB45" s="79"/>
      <c r="AC45" s="79"/>
      <c r="AD45" s="79"/>
      <c r="AE45" s="79">
        <v>4</v>
      </c>
      <c r="AF45" s="79"/>
      <c r="AG45" s="79"/>
      <c r="AH45" s="79"/>
    </row>
    <row r="46" spans="20:34" x14ac:dyDescent="0.3">
      <c r="T46" s="79"/>
      <c r="U46" s="79" t="s">
        <v>374</v>
      </c>
      <c r="V46" s="79"/>
      <c r="W46" s="79">
        <v>11</v>
      </c>
      <c r="X46" s="79"/>
      <c r="Y46" s="79"/>
      <c r="Z46" s="79"/>
      <c r="AA46" s="79">
        <v>33</v>
      </c>
      <c r="AB46" s="79"/>
      <c r="AC46" s="79"/>
      <c r="AD46" s="79"/>
      <c r="AE46" s="79">
        <v>2</v>
      </c>
      <c r="AF46" s="79"/>
      <c r="AG46" s="79"/>
      <c r="AH46" s="79"/>
    </row>
    <row r="47" spans="20:34" x14ac:dyDescent="0.3">
      <c r="T47" s="79"/>
      <c r="U47" s="79" t="s">
        <v>405</v>
      </c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>
        <v>8</v>
      </c>
      <c r="AH47" s="79"/>
    </row>
    <row r="48" spans="20:34" x14ac:dyDescent="0.3">
      <c r="T48" s="79"/>
      <c r="U48" s="79" t="s">
        <v>394</v>
      </c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>
        <v>4</v>
      </c>
      <c r="AH48" s="79"/>
    </row>
    <row r="49" spans="20:34" x14ac:dyDescent="0.3">
      <c r="T49" s="125">
        <v>46243</v>
      </c>
      <c r="U49" s="79" t="s">
        <v>406</v>
      </c>
      <c r="V49" s="79"/>
      <c r="W49" s="79">
        <v>22</v>
      </c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</row>
    <row r="50" spans="20:34" x14ac:dyDescent="0.3">
      <c r="T50" s="79"/>
      <c r="U50" s="79" t="s">
        <v>406</v>
      </c>
      <c r="V50" s="79"/>
      <c r="W50" s="79">
        <v>22</v>
      </c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</row>
    <row r="51" spans="20:34" x14ac:dyDescent="0.3">
      <c r="T51" s="79"/>
      <c r="U51" s="79" t="s">
        <v>406</v>
      </c>
      <c r="V51" s="79"/>
      <c r="W51" s="79"/>
      <c r="X51" s="79"/>
      <c r="Y51" s="79"/>
      <c r="Z51" s="79"/>
      <c r="AA51" s="79">
        <v>11</v>
      </c>
      <c r="AB51" s="79"/>
      <c r="AC51" s="79"/>
      <c r="AD51" s="79"/>
      <c r="AE51" s="79">
        <v>4</v>
      </c>
      <c r="AF51" s="79"/>
      <c r="AG51" s="79"/>
      <c r="AH51" s="79"/>
    </row>
    <row r="52" spans="20:34" x14ac:dyDescent="0.3">
      <c r="T52" s="79"/>
      <c r="U52" s="79" t="s">
        <v>50</v>
      </c>
      <c r="V52" s="79"/>
      <c r="W52" s="79">
        <v>3</v>
      </c>
      <c r="X52" s="79"/>
      <c r="Y52" s="79"/>
      <c r="Z52" s="79"/>
      <c r="AA52" s="79">
        <v>3</v>
      </c>
      <c r="AB52" s="79"/>
      <c r="AC52" s="79"/>
      <c r="AD52" s="79"/>
      <c r="AE52" s="79"/>
      <c r="AF52" s="79"/>
      <c r="AG52" s="79"/>
      <c r="AH52" s="79"/>
    </row>
    <row r="53" spans="20:34" x14ac:dyDescent="0.3">
      <c r="T53" s="79"/>
      <c r="U53" s="79" t="s">
        <v>407</v>
      </c>
      <c r="V53" s="79"/>
      <c r="W53" s="79">
        <v>2</v>
      </c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</row>
    <row r="54" spans="20:34" x14ac:dyDescent="0.3">
      <c r="T54" s="79"/>
      <c r="U54" s="79" t="s">
        <v>399</v>
      </c>
      <c r="V54" s="79"/>
      <c r="W54" s="79">
        <v>4</v>
      </c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</row>
    <row r="55" spans="20:34" x14ac:dyDescent="0.3">
      <c r="T55" s="79"/>
      <c r="U55" s="79" t="s">
        <v>406</v>
      </c>
      <c r="V55" s="79"/>
      <c r="W55" s="79"/>
      <c r="X55" s="79"/>
      <c r="Y55" s="79"/>
      <c r="Z55" s="79"/>
      <c r="AA55" s="79">
        <v>22</v>
      </c>
      <c r="AB55" s="79"/>
      <c r="AC55" s="79"/>
      <c r="AD55" s="79"/>
      <c r="AE55" s="79"/>
      <c r="AF55" s="79"/>
      <c r="AG55" s="79"/>
      <c r="AH55" s="79"/>
    </row>
    <row r="56" spans="20:34" x14ac:dyDescent="0.3">
      <c r="T56" s="79"/>
      <c r="U56" s="79" t="s">
        <v>408</v>
      </c>
      <c r="V56" s="79"/>
      <c r="W56" s="79"/>
      <c r="X56" s="79"/>
      <c r="Y56" s="79"/>
      <c r="Z56" s="79"/>
      <c r="AA56" s="79"/>
      <c r="AB56" s="79"/>
      <c r="AC56" s="79"/>
      <c r="AD56" s="79"/>
      <c r="AE56" s="79">
        <v>3</v>
      </c>
      <c r="AF56" s="79"/>
      <c r="AG56" s="79"/>
      <c r="AH56" s="79"/>
    </row>
    <row r="57" spans="20:34" x14ac:dyDescent="0.3"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</row>
    <row r="58" spans="20:34" x14ac:dyDescent="0.3"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</row>
    <row r="59" spans="20:34" x14ac:dyDescent="0.3"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</row>
    <row r="60" spans="20:34" x14ac:dyDescent="0.3"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</row>
    <row r="61" spans="20:34" x14ac:dyDescent="0.3"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</row>
    <row r="62" spans="20:34" x14ac:dyDescent="0.3"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</row>
    <row r="63" spans="20:34" x14ac:dyDescent="0.3"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</row>
    <row r="64" spans="20:34" x14ac:dyDescent="0.3"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</row>
    <row r="65" spans="20:34" x14ac:dyDescent="0.3"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</row>
    <row r="66" spans="20:34" x14ac:dyDescent="0.3">
      <c r="T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</row>
    <row r="67" spans="20:34" x14ac:dyDescent="0.3"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</row>
    <row r="68" spans="20:34" x14ac:dyDescent="0.3"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</row>
    <row r="69" spans="20:34" x14ac:dyDescent="0.3">
      <c r="T69" s="79"/>
      <c r="U69" s="79"/>
      <c r="V69" s="111" t="s">
        <v>383</v>
      </c>
      <c r="W69" s="79">
        <f t="shared" ref="W69:AH69" si="80">SUM(W38:W65)</f>
        <v>118</v>
      </c>
      <c r="X69" s="79">
        <f t="shared" si="80"/>
        <v>0</v>
      </c>
      <c r="Y69" s="79">
        <f t="shared" si="80"/>
        <v>0</v>
      </c>
      <c r="Z69" s="79">
        <f t="shared" si="80"/>
        <v>0</v>
      </c>
      <c r="AA69" s="79">
        <f t="shared" si="80"/>
        <v>69</v>
      </c>
      <c r="AB69" s="79">
        <f t="shared" si="80"/>
        <v>0</v>
      </c>
      <c r="AC69" s="79">
        <f t="shared" si="80"/>
        <v>0</v>
      </c>
      <c r="AD69" s="79">
        <f t="shared" si="80"/>
        <v>0</v>
      </c>
      <c r="AE69" s="79">
        <f t="shared" si="80"/>
        <v>13</v>
      </c>
      <c r="AF69" s="79">
        <f t="shared" si="80"/>
        <v>0</v>
      </c>
      <c r="AG69" s="79">
        <f t="shared" si="80"/>
        <v>22</v>
      </c>
      <c r="AH69" s="79">
        <f t="shared" si="80"/>
        <v>1</v>
      </c>
    </row>
    <row r="70" spans="20:34" x14ac:dyDescent="0.3">
      <c r="T70" s="79"/>
      <c r="U70" s="79"/>
      <c r="V70" s="111" t="s">
        <v>384</v>
      </c>
      <c r="W70" s="112">
        <f t="shared" ref="W70:AH70" si="81">H4+H124-W69</f>
        <v>-118</v>
      </c>
      <c r="X70" s="112">
        <f t="shared" si="81"/>
        <v>0</v>
      </c>
      <c r="Y70" s="112">
        <f t="shared" si="81"/>
        <v>0</v>
      </c>
      <c r="Z70" s="112">
        <f t="shared" si="81"/>
        <v>0</v>
      </c>
      <c r="AA70" s="112">
        <f t="shared" si="81"/>
        <v>-69</v>
      </c>
      <c r="AB70" s="112">
        <f t="shared" si="81"/>
        <v>0</v>
      </c>
      <c r="AC70" s="112">
        <f t="shared" si="81"/>
        <v>0</v>
      </c>
      <c r="AD70" s="112">
        <f t="shared" si="81"/>
        <v>0</v>
      </c>
      <c r="AE70" s="112">
        <f t="shared" si="81"/>
        <v>-13</v>
      </c>
      <c r="AF70" s="112">
        <f t="shared" si="81"/>
        <v>0</v>
      </c>
      <c r="AG70" s="112">
        <f t="shared" si="81"/>
        <v>-22</v>
      </c>
      <c r="AH70" s="112">
        <f t="shared" si="81"/>
        <v>-1</v>
      </c>
    </row>
    <row r="71" spans="20:34" x14ac:dyDescent="0.3">
      <c r="T71" s="79"/>
    </row>
    <row r="72" spans="20:34" x14ac:dyDescent="0.3">
      <c r="T72" s="79"/>
    </row>
    <row r="73" spans="20:34" x14ac:dyDescent="0.3">
      <c r="T73" s="79"/>
    </row>
    <row r="74" spans="20:34" x14ac:dyDescent="0.3">
      <c r="T74" s="79"/>
    </row>
    <row r="75" spans="20:34" x14ac:dyDescent="0.3">
      <c r="T75" s="79"/>
    </row>
    <row r="76" spans="20:34" x14ac:dyDescent="0.3">
      <c r="T76" s="79"/>
    </row>
    <row r="77" spans="20:34" x14ac:dyDescent="0.3">
      <c r="T77" s="79"/>
    </row>
    <row r="78" spans="20:34" x14ac:dyDescent="0.3">
      <c r="T78" s="79"/>
    </row>
    <row r="79" spans="20:34" x14ac:dyDescent="0.3">
      <c r="T79" s="79"/>
    </row>
    <row r="80" spans="20:34" x14ac:dyDescent="0.3">
      <c r="T80" s="79"/>
    </row>
    <row r="81" spans="20:20" x14ac:dyDescent="0.3">
      <c r="T81" s="79"/>
    </row>
    <row r="82" spans="20:20" x14ac:dyDescent="0.3">
      <c r="T82" s="79"/>
    </row>
    <row r="83" spans="20:20" x14ac:dyDescent="0.3">
      <c r="T83" s="79"/>
    </row>
    <row r="84" spans="20:20" x14ac:dyDescent="0.3">
      <c r="T84" s="79"/>
    </row>
    <row r="85" spans="20:20" x14ac:dyDescent="0.3">
      <c r="T85" s="79"/>
    </row>
    <row r="86" spans="20:20" x14ac:dyDescent="0.3">
      <c r="T86" s="79"/>
    </row>
    <row r="87" spans="20:20" x14ac:dyDescent="0.3">
      <c r="T87" s="79"/>
    </row>
    <row r="88" spans="20:20" x14ac:dyDescent="0.3">
      <c r="T88" s="79"/>
    </row>
    <row r="89" spans="20:20" x14ac:dyDescent="0.3">
      <c r="T89" s="79"/>
    </row>
    <row r="90" spans="20:20" x14ac:dyDescent="0.3">
      <c r="T90" s="79"/>
    </row>
    <row r="91" spans="20:20" x14ac:dyDescent="0.3">
      <c r="T91" s="79"/>
    </row>
    <row r="92" spans="20:20" x14ac:dyDescent="0.3">
      <c r="T92" s="79"/>
    </row>
    <row r="93" spans="20:20" x14ac:dyDescent="0.3">
      <c r="T93" s="79"/>
    </row>
    <row r="94" spans="20:20" x14ac:dyDescent="0.3">
      <c r="T94" s="79"/>
    </row>
    <row r="95" spans="20:20" x14ac:dyDescent="0.3">
      <c r="T95" s="79"/>
    </row>
    <row r="96" spans="20:20" x14ac:dyDescent="0.3">
      <c r="T96" s="79"/>
    </row>
    <row r="97" spans="20:20" x14ac:dyDescent="0.3">
      <c r="T97" s="79"/>
    </row>
    <row r="98" spans="20:20" x14ac:dyDescent="0.3">
      <c r="T98" s="79"/>
    </row>
    <row r="99" spans="20:20" x14ac:dyDescent="0.3">
      <c r="T99" s="79"/>
    </row>
    <row r="100" spans="20:20" x14ac:dyDescent="0.3">
      <c r="T100" s="79"/>
    </row>
    <row r="101" spans="20:20" x14ac:dyDescent="0.3">
      <c r="T101" s="79"/>
    </row>
    <row r="102" spans="20:20" x14ac:dyDescent="0.3">
      <c r="T102" s="79"/>
    </row>
    <row r="103" spans="20:20" x14ac:dyDescent="0.3">
      <c r="T103" s="79"/>
    </row>
    <row r="104" spans="20:20" x14ac:dyDescent="0.3">
      <c r="T104" s="79"/>
    </row>
    <row r="105" spans="20:20" x14ac:dyDescent="0.3">
      <c r="T105" s="79"/>
    </row>
    <row r="106" spans="20:20" x14ac:dyDescent="0.3">
      <c r="T106" s="79"/>
    </row>
    <row r="107" spans="20:20" x14ac:dyDescent="0.3">
      <c r="T107" s="79"/>
    </row>
    <row r="108" spans="20:20" x14ac:dyDescent="0.3">
      <c r="T108" s="79"/>
    </row>
    <row r="109" spans="20:20" x14ac:dyDescent="0.3">
      <c r="T109" s="79"/>
    </row>
    <row r="110" spans="20:20" x14ac:dyDescent="0.3">
      <c r="T110" s="79"/>
    </row>
    <row r="111" spans="20:20" x14ac:dyDescent="0.3">
      <c r="T111" s="79"/>
    </row>
    <row r="112" spans="20:20" x14ac:dyDescent="0.3">
      <c r="T112" s="79"/>
    </row>
    <row r="113" spans="20:20" x14ac:dyDescent="0.3">
      <c r="T113" s="79"/>
    </row>
    <row r="114" spans="20:20" x14ac:dyDescent="0.3">
      <c r="T114" s="79"/>
    </row>
    <row r="115" spans="20:20" x14ac:dyDescent="0.3">
      <c r="T115" s="79"/>
    </row>
    <row r="116" spans="20:20" x14ac:dyDescent="0.3">
      <c r="T116" s="79"/>
    </row>
    <row r="117" spans="20:20" x14ac:dyDescent="0.3">
      <c r="T117" s="79"/>
    </row>
    <row r="118" spans="20:20" x14ac:dyDescent="0.3">
      <c r="T118" s="79"/>
    </row>
    <row r="119" spans="20:20" x14ac:dyDescent="0.3">
      <c r="T119" s="79"/>
    </row>
    <row r="120" spans="20:20" x14ac:dyDescent="0.3">
      <c r="T120" s="79"/>
    </row>
    <row r="121" spans="20:20" x14ac:dyDescent="0.3">
      <c r="T121" s="79"/>
    </row>
    <row r="122" spans="20:20" x14ac:dyDescent="0.3">
      <c r="T122" s="79"/>
    </row>
    <row r="123" spans="20:20" x14ac:dyDescent="0.3">
      <c r="T123" s="79"/>
    </row>
    <row r="124" spans="20:20" x14ac:dyDescent="0.3">
      <c r="T124" s="79"/>
    </row>
    <row r="125" spans="20:20" x14ac:dyDescent="0.3">
      <c r="T125" s="79"/>
    </row>
  </sheetData>
  <mergeCells count="4">
    <mergeCell ref="C1:F1"/>
    <mergeCell ref="G1:J1"/>
    <mergeCell ref="K1:N1"/>
    <mergeCell ref="O1:R1"/>
  </mergeCells>
  <dataValidations count="1">
    <dataValidation type="list" allowBlank="1" showInputMessage="1" showErrorMessage="1" sqref="U69:U1070 U1:U3" xr:uid="{9CB99B33-2F28-47AA-ADCC-D423528D1254}">
      <formula1>$A$3:$A$475</formula1>
      <formula2>0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2D82-A132-4EA9-B13F-7E4050A3300F}">
  <dimension ref="A1:AL125"/>
  <sheetViews>
    <sheetView topLeftCell="H1" workbookViewId="0">
      <selection activeCell="R23" sqref="R23:V24"/>
    </sheetView>
  </sheetViews>
  <sheetFormatPr defaultColWidth="10.109375" defaultRowHeight="14.4" x14ac:dyDescent="0.3"/>
  <cols>
    <col min="1" max="1" width="5.5546875" customWidth="1"/>
    <col min="2" max="2" width="13.109375" style="81" customWidth="1"/>
    <col min="3" max="3" width="13.109375" customWidth="1"/>
    <col min="4" max="5" width="11.109375" customWidth="1"/>
    <col min="19" max="20" width="11.6640625" customWidth="1"/>
    <col min="24" max="25" width="26.6640625" customWidth="1"/>
    <col min="26" max="26" width="23.6640625" customWidth="1"/>
    <col min="28" max="28" width="7.88671875" customWidth="1"/>
    <col min="29" max="29" width="7.33203125" customWidth="1"/>
    <col min="30" max="30" width="9.33203125" customWidth="1"/>
    <col min="31" max="31" width="8" customWidth="1"/>
    <col min="32" max="33" width="8.109375" customWidth="1"/>
    <col min="34" max="34" width="7.88671875" customWidth="1"/>
    <col min="35" max="35" width="7.109375" customWidth="1"/>
    <col min="36" max="36" width="8.109375" customWidth="1"/>
    <col min="37" max="37" width="7.44140625" customWidth="1"/>
    <col min="38" max="38" width="7.6640625" customWidth="1"/>
  </cols>
  <sheetData>
    <row r="1" spans="1:38" ht="30.6" customHeight="1" x14ac:dyDescent="0.3">
      <c r="A1" s="80" t="s">
        <v>3</v>
      </c>
      <c r="B1" s="80" t="s">
        <v>345</v>
      </c>
      <c r="C1" s="395" t="s">
        <v>346</v>
      </c>
      <c r="D1" s="395"/>
      <c r="E1" s="395"/>
      <c r="F1" s="395"/>
      <c r="G1" s="395"/>
      <c r="H1" s="396" t="s">
        <v>347</v>
      </c>
      <c r="I1" s="396"/>
      <c r="J1" s="396"/>
      <c r="K1" s="396"/>
      <c r="L1" s="396"/>
      <c r="M1" s="397" t="s">
        <v>348</v>
      </c>
      <c r="N1" s="397"/>
      <c r="O1" s="397"/>
      <c r="P1" s="397"/>
      <c r="Q1" s="397"/>
      <c r="R1" s="398" t="s">
        <v>349</v>
      </c>
      <c r="S1" s="398"/>
      <c r="T1" s="398"/>
      <c r="U1" s="398"/>
      <c r="V1" s="398"/>
      <c r="W1" s="79"/>
      <c r="X1" s="114"/>
      <c r="Y1" s="113" t="s">
        <v>348</v>
      </c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</row>
    <row r="2" spans="1:38" ht="32.85" customHeight="1" x14ac:dyDescent="0.3">
      <c r="A2" s="79"/>
      <c r="B2" s="82"/>
      <c r="C2" s="83" t="s">
        <v>350</v>
      </c>
      <c r="D2" s="83" t="s">
        <v>351</v>
      </c>
      <c r="E2" s="83" t="s">
        <v>426</v>
      </c>
      <c r="F2" s="83" t="s">
        <v>352</v>
      </c>
      <c r="G2" s="83" t="s">
        <v>353</v>
      </c>
      <c r="H2" s="84" t="s">
        <v>350</v>
      </c>
      <c r="I2" s="84" t="s">
        <v>351</v>
      </c>
      <c r="J2" s="188" t="s">
        <v>426</v>
      </c>
      <c r="K2" s="84" t="s">
        <v>352</v>
      </c>
      <c r="L2" s="84" t="s">
        <v>353</v>
      </c>
      <c r="M2" s="85" t="s">
        <v>350</v>
      </c>
      <c r="N2" s="85" t="s">
        <v>351</v>
      </c>
      <c r="O2" s="85" t="s">
        <v>414</v>
      </c>
      <c r="P2" s="85" t="s">
        <v>352</v>
      </c>
      <c r="Q2" s="85" t="s">
        <v>353</v>
      </c>
      <c r="R2" s="86" t="s">
        <v>350</v>
      </c>
      <c r="S2" s="86" t="s">
        <v>351</v>
      </c>
      <c r="T2" s="86" t="s">
        <v>414</v>
      </c>
      <c r="U2" s="86" t="s">
        <v>352</v>
      </c>
      <c r="V2" s="86" t="s">
        <v>353</v>
      </c>
      <c r="W2" s="79"/>
      <c r="X2" s="115"/>
      <c r="Y2" s="107" t="s">
        <v>296</v>
      </c>
      <c r="Z2" s="107" t="s">
        <v>363</v>
      </c>
      <c r="AA2" s="108" t="s">
        <v>25</v>
      </c>
      <c r="AB2" s="106" t="s">
        <v>364</v>
      </c>
      <c r="AC2" s="106" t="s">
        <v>365</v>
      </c>
      <c r="AD2" s="106" t="s">
        <v>366</v>
      </c>
      <c r="AE2" s="106" t="s">
        <v>28</v>
      </c>
      <c r="AF2" s="106" t="s">
        <v>367</v>
      </c>
      <c r="AG2" s="106" t="s">
        <v>368</v>
      </c>
      <c r="AH2" s="106" t="s">
        <v>369</v>
      </c>
      <c r="AI2" s="106" t="s">
        <v>370</v>
      </c>
      <c r="AJ2" s="106" t="s">
        <v>371</v>
      </c>
      <c r="AK2" s="106" t="s">
        <v>38</v>
      </c>
      <c r="AL2" s="106" t="s">
        <v>372</v>
      </c>
    </row>
    <row r="3" spans="1:38" ht="32.85" hidden="1" customHeight="1" x14ac:dyDescent="0.35">
      <c r="A3" s="79"/>
      <c r="B3" s="82">
        <v>46273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>
        <f>C3+H3-M3</f>
        <v>0</v>
      </c>
      <c r="S3" s="79">
        <f>D3+I3-N3</f>
        <v>0</v>
      </c>
      <c r="T3" s="79"/>
      <c r="U3" s="79">
        <f>F3+K3-P3</f>
        <v>0</v>
      </c>
      <c r="V3" s="79">
        <f>G3+L3-Q3</f>
        <v>0</v>
      </c>
      <c r="W3" s="79"/>
      <c r="X3" s="116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</row>
    <row r="4" spans="1:38" ht="32.85" hidden="1" customHeight="1" x14ac:dyDescent="0.3">
      <c r="A4" s="79"/>
      <c r="B4" s="82">
        <v>46274</v>
      </c>
      <c r="C4" s="79"/>
      <c r="D4" s="79"/>
      <c r="E4" s="79"/>
      <c r="F4" s="79"/>
      <c r="G4" s="79"/>
      <c r="H4" s="79"/>
      <c r="I4" s="79"/>
      <c r="J4" s="79"/>
      <c r="K4" s="79">
        <v>50</v>
      </c>
      <c r="L4" s="79"/>
      <c r="M4" s="79"/>
      <c r="N4" s="79"/>
      <c r="O4" s="79"/>
      <c r="P4" s="79">
        <v>2</v>
      </c>
      <c r="Q4" s="79"/>
      <c r="R4" s="79">
        <f t="shared" ref="R4:R9" si="0">C4+H4-M4</f>
        <v>0</v>
      </c>
      <c r="S4" s="79">
        <f t="shared" ref="S4:S9" si="1">D4+I4-N4</f>
        <v>0</v>
      </c>
      <c r="T4" s="79"/>
      <c r="U4" s="79">
        <f t="shared" ref="U4:U9" si="2">F4+K4-P4</f>
        <v>48</v>
      </c>
      <c r="V4" s="79">
        <f t="shared" ref="V4:V9" si="3">G4+L4-Q4</f>
        <v>0</v>
      </c>
      <c r="W4" s="126"/>
      <c r="X4" s="125"/>
      <c r="Y4" s="88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</row>
    <row r="5" spans="1:38" ht="32.85" hidden="1" customHeight="1" x14ac:dyDescent="0.3">
      <c r="A5" s="79"/>
      <c r="B5" s="186">
        <v>46304</v>
      </c>
      <c r="C5" s="79">
        <f t="shared" ref="C5:D7" si="4">R4</f>
        <v>0</v>
      </c>
      <c r="D5" s="79">
        <f t="shared" si="4"/>
        <v>0</v>
      </c>
      <c r="E5" s="79"/>
      <c r="F5" s="79">
        <f t="shared" ref="F5:G5" si="5">U4</f>
        <v>48</v>
      </c>
      <c r="G5" s="79">
        <f t="shared" si="5"/>
        <v>0</v>
      </c>
      <c r="H5" s="79"/>
      <c r="I5" s="79"/>
      <c r="J5" s="79"/>
      <c r="K5" s="79">
        <v>40</v>
      </c>
      <c r="L5" s="79"/>
      <c r="M5" s="79"/>
      <c r="N5" s="79"/>
      <c r="O5" s="79"/>
      <c r="P5" s="79">
        <f>20+40+13</f>
        <v>73</v>
      </c>
      <c r="Q5" s="79"/>
      <c r="R5" s="79">
        <f t="shared" si="0"/>
        <v>0</v>
      </c>
      <c r="S5" s="79">
        <f t="shared" si="1"/>
        <v>0</v>
      </c>
      <c r="T5" s="79"/>
      <c r="U5" s="79">
        <f t="shared" si="2"/>
        <v>15</v>
      </c>
      <c r="V5" s="79">
        <f t="shared" si="3"/>
        <v>0</v>
      </c>
      <c r="W5" s="126"/>
      <c r="X5" s="79"/>
      <c r="Y5" s="175" t="s">
        <v>421</v>
      </c>
      <c r="Z5" s="79" t="s">
        <v>422</v>
      </c>
      <c r="AA5" s="79">
        <v>2</v>
      </c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</row>
    <row r="6" spans="1:38" ht="32.85" hidden="1" customHeight="1" x14ac:dyDescent="0.3">
      <c r="A6" s="79"/>
      <c r="B6" s="97" t="s">
        <v>431</v>
      </c>
      <c r="C6" s="79">
        <f t="shared" si="4"/>
        <v>0</v>
      </c>
      <c r="D6" s="79">
        <f t="shared" si="4"/>
        <v>0</v>
      </c>
      <c r="E6" s="79"/>
      <c r="F6" s="79">
        <f t="shared" ref="F6" si="6">U5</f>
        <v>15</v>
      </c>
      <c r="G6" s="79">
        <f t="shared" ref="G6" si="7">V5</f>
        <v>0</v>
      </c>
      <c r="H6" s="79"/>
      <c r="I6" s="79"/>
      <c r="J6" s="79"/>
      <c r="K6" s="79">
        <v>40</v>
      </c>
      <c r="L6" s="79"/>
      <c r="M6" s="79"/>
      <c r="N6" s="79"/>
      <c r="O6" s="79"/>
      <c r="P6" s="79">
        <v>4</v>
      </c>
      <c r="Q6" s="79"/>
      <c r="R6" s="79">
        <f t="shared" si="0"/>
        <v>0</v>
      </c>
      <c r="S6" s="79">
        <f t="shared" si="1"/>
        <v>0</v>
      </c>
      <c r="T6" s="79"/>
      <c r="U6" s="79">
        <f t="shared" si="2"/>
        <v>51</v>
      </c>
      <c r="V6" s="79">
        <f t="shared" si="3"/>
        <v>0</v>
      </c>
      <c r="W6" s="126"/>
      <c r="X6" s="79"/>
      <c r="Y6" s="187" t="s">
        <v>423</v>
      </c>
      <c r="Z6" s="79" t="s">
        <v>424</v>
      </c>
      <c r="AA6" s="79">
        <v>60</v>
      </c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</row>
    <row r="7" spans="1:38" ht="32.85" hidden="1" customHeight="1" x14ac:dyDescent="0.3">
      <c r="A7" s="79"/>
      <c r="B7" s="97" t="s">
        <v>438</v>
      </c>
      <c r="C7" s="79">
        <f t="shared" si="4"/>
        <v>0</v>
      </c>
      <c r="D7" s="79">
        <f t="shared" si="4"/>
        <v>0</v>
      </c>
      <c r="E7" s="79"/>
      <c r="F7" s="79">
        <f t="shared" ref="F7" si="8">U6</f>
        <v>51</v>
      </c>
      <c r="G7" s="79">
        <f t="shared" ref="G7" si="9">V6</f>
        <v>0</v>
      </c>
      <c r="H7" s="79"/>
      <c r="I7" s="79"/>
      <c r="J7" s="79"/>
      <c r="K7" s="79"/>
      <c r="L7" s="79"/>
      <c r="M7" s="79"/>
      <c r="N7" s="79"/>
      <c r="O7" s="79"/>
      <c r="P7" s="79">
        <v>4</v>
      </c>
      <c r="Q7" s="79"/>
      <c r="R7" s="79">
        <f t="shared" si="0"/>
        <v>0</v>
      </c>
      <c r="S7" s="79">
        <f t="shared" si="1"/>
        <v>0</v>
      </c>
      <c r="T7" s="79"/>
      <c r="U7" s="79">
        <f t="shared" si="2"/>
        <v>47</v>
      </c>
      <c r="V7" s="79">
        <f t="shared" si="3"/>
        <v>0</v>
      </c>
      <c r="W7" s="126"/>
      <c r="X7" s="79"/>
      <c r="Y7" s="187" t="s">
        <v>423</v>
      </c>
      <c r="Z7" s="79" t="s">
        <v>429</v>
      </c>
      <c r="AA7" s="79">
        <v>2</v>
      </c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</row>
    <row r="8" spans="1:38" ht="35.1" hidden="1" customHeight="1" x14ac:dyDescent="0.3">
      <c r="A8" s="79"/>
      <c r="B8" s="87" t="s">
        <v>439</v>
      </c>
      <c r="C8" s="79">
        <f t="shared" ref="C8" si="10">R7</f>
        <v>0</v>
      </c>
      <c r="D8" s="79">
        <f t="shared" ref="D8" si="11">S7</f>
        <v>0</v>
      </c>
      <c r="E8" s="79"/>
      <c r="F8" s="79">
        <f t="shared" ref="F8" si="12">U7</f>
        <v>47</v>
      </c>
      <c r="G8" s="79">
        <f t="shared" ref="G8" si="13">V7</f>
        <v>0</v>
      </c>
      <c r="H8" s="79"/>
      <c r="I8" s="79"/>
      <c r="J8" s="79"/>
      <c r="K8" s="79"/>
      <c r="L8" s="79"/>
      <c r="M8" s="79"/>
      <c r="N8" s="79"/>
      <c r="O8" s="79"/>
      <c r="P8" s="79">
        <f>11+7</f>
        <v>18</v>
      </c>
      <c r="Q8" s="79"/>
      <c r="R8" s="79">
        <f t="shared" si="0"/>
        <v>0</v>
      </c>
      <c r="S8" s="79">
        <f t="shared" si="1"/>
        <v>0</v>
      </c>
      <c r="T8" s="79"/>
      <c r="U8" s="79">
        <f t="shared" si="2"/>
        <v>29</v>
      </c>
      <c r="V8" s="79">
        <f t="shared" si="3"/>
        <v>0</v>
      </c>
      <c r="W8" s="126"/>
      <c r="X8" s="79"/>
      <c r="Y8" s="187" t="s">
        <v>423</v>
      </c>
      <c r="Z8" s="79" t="s">
        <v>430</v>
      </c>
      <c r="AA8" s="79">
        <v>11</v>
      </c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</row>
    <row r="9" spans="1:38" ht="35.1" hidden="1" customHeight="1" x14ac:dyDescent="0.3">
      <c r="A9" s="79"/>
      <c r="B9" s="87" t="s">
        <v>441</v>
      </c>
      <c r="C9" s="79">
        <f t="shared" ref="C9" si="14">R8</f>
        <v>0</v>
      </c>
      <c r="D9" s="79">
        <f t="shared" ref="D9" si="15">S8</f>
        <v>0</v>
      </c>
      <c r="E9" s="79"/>
      <c r="F9" s="79">
        <f t="shared" ref="F9" si="16">U8</f>
        <v>29</v>
      </c>
      <c r="G9" s="79">
        <f t="shared" ref="G9" si="17">V8</f>
        <v>0</v>
      </c>
      <c r="H9" s="79"/>
      <c r="I9" s="79"/>
      <c r="J9" s="79"/>
      <c r="K9" s="79">
        <v>40</v>
      </c>
      <c r="L9" s="79"/>
      <c r="M9" s="79"/>
      <c r="N9" s="79"/>
      <c r="O9" s="79"/>
      <c r="P9" s="79">
        <v>40</v>
      </c>
      <c r="Q9" s="79"/>
      <c r="R9" s="79">
        <f t="shared" si="0"/>
        <v>0</v>
      </c>
      <c r="S9" s="79">
        <f t="shared" si="1"/>
        <v>0</v>
      </c>
      <c r="T9" s="79"/>
      <c r="U9" s="79">
        <f t="shared" si="2"/>
        <v>29</v>
      </c>
      <c r="V9" s="79">
        <f t="shared" si="3"/>
        <v>0</v>
      </c>
      <c r="W9" s="126"/>
      <c r="X9" s="79" t="s">
        <v>445</v>
      </c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</row>
    <row r="10" spans="1:38" ht="35.1" hidden="1" customHeight="1" x14ac:dyDescent="0.3">
      <c r="A10" s="79"/>
      <c r="B10" s="87" t="s">
        <v>446</v>
      </c>
      <c r="C10" s="79">
        <f t="shared" ref="C10" si="18">R9</f>
        <v>0</v>
      </c>
      <c r="D10" s="79">
        <f t="shared" ref="D10" si="19">S9</f>
        <v>0</v>
      </c>
      <c r="E10" s="79"/>
      <c r="F10" s="79">
        <f t="shared" ref="F10" si="20">U9</f>
        <v>29</v>
      </c>
      <c r="G10" s="79">
        <f t="shared" ref="G10" si="21">V9</f>
        <v>0</v>
      </c>
      <c r="H10" s="79"/>
      <c r="I10" s="79">
        <v>11</v>
      </c>
      <c r="J10" s="79"/>
      <c r="K10" s="79"/>
      <c r="L10" s="79"/>
      <c r="M10" s="79"/>
      <c r="N10" s="79">
        <v>11</v>
      </c>
      <c r="O10" s="79"/>
      <c r="P10" s="79">
        <v>1</v>
      </c>
      <c r="Q10" s="79"/>
      <c r="R10" s="79">
        <f t="shared" ref="R10" si="22">C10+H10-M10</f>
        <v>0</v>
      </c>
      <c r="S10" s="79">
        <f t="shared" ref="S10" si="23">D10+I10-N10</f>
        <v>0</v>
      </c>
      <c r="T10" s="79"/>
      <c r="U10" s="79">
        <f t="shared" ref="U10" si="24">F10+K10-P10</f>
        <v>28</v>
      </c>
      <c r="V10" s="79">
        <f t="shared" ref="V10" si="25">G10+L10-Q10</f>
        <v>0</v>
      </c>
      <c r="W10" s="126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</row>
    <row r="11" spans="1:38" ht="35.1" hidden="1" customHeight="1" x14ac:dyDescent="0.3">
      <c r="A11" s="79"/>
      <c r="B11" s="87" t="s">
        <v>447</v>
      </c>
      <c r="C11" s="79">
        <f t="shared" ref="C11" si="26">R10</f>
        <v>0</v>
      </c>
      <c r="D11" s="79">
        <f t="shared" ref="D11" si="27">S10</f>
        <v>0</v>
      </c>
      <c r="E11" s="79"/>
      <c r="F11" s="79">
        <f t="shared" ref="F11" si="28">U10</f>
        <v>28</v>
      </c>
      <c r="G11" s="79">
        <f t="shared" ref="G11" si="29">V10</f>
        <v>0</v>
      </c>
      <c r="H11" s="79"/>
      <c r="I11" s="79"/>
      <c r="J11" s="79"/>
      <c r="K11" s="79"/>
      <c r="L11" s="79"/>
      <c r="M11" s="79"/>
      <c r="N11" s="79"/>
      <c r="O11" s="79"/>
      <c r="P11" s="79">
        <v>4</v>
      </c>
      <c r="Q11" s="79"/>
      <c r="R11" s="79">
        <f t="shared" ref="R11" si="30">C11+H11-M11</f>
        <v>0</v>
      </c>
      <c r="S11" s="79">
        <f t="shared" ref="S11" si="31">D11+I11-N11</f>
        <v>0</v>
      </c>
      <c r="T11" s="79"/>
      <c r="U11" s="79">
        <f t="shared" ref="U11" si="32">F11+K11-P11</f>
        <v>24</v>
      </c>
      <c r="V11" s="79">
        <f t="shared" ref="V11" si="33">G11+L11-Q11</f>
        <v>0</v>
      </c>
      <c r="W11" s="126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</row>
    <row r="12" spans="1:38" ht="35.1" hidden="1" customHeight="1" x14ac:dyDescent="0.3">
      <c r="A12" s="79"/>
      <c r="B12" s="87" t="s">
        <v>449</v>
      </c>
      <c r="C12" s="79">
        <f t="shared" ref="C12" si="34">R11</f>
        <v>0</v>
      </c>
      <c r="D12" s="79">
        <f t="shared" ref="D12" si="35">S11</f>
        <v>0</v>
      </c>
      <c r="E12" s="79"/>
      <c r="F12" s="79">
        <f t="shared" ref="F12" si="36">U11</f>
        <v>24</v>
      </c>
      <c r="G12" s="79">
        <f t="shared" ref="G12" si="37">V11</f>
        <v>0</v>
      </c>
      <c r="H12" s="79"/>
      <c r="I12" s="79"/>
      <c r="J12" s="79"/>
      <c r="K12" s="79"/>
      <c r="L12" s="79"/>
      <c r="M12" s="79"/>
      <c r="N12" s="79"/>
      <c r="O12" s="79"/>
      <c r="P12" s="79">
        <v>2</v>
      </c>
      <c r="Q12" s="79"/>
      <c r="R12" s="79">
        <f t="shared" ref="R12" si="38">C12+H12-M12</f>
        <v>0</v>
      </c>
      <c r="S12" s="79">
        <f t="shared" ref="S12" si="39">D12+I12-N12</f>
        <v>0</v>
      </c>
      <c r="T12" s="79"/>
      <c r="U12" s="79">
        <f t="shared" ref="U12" si="40">F12+K12-P12</f>
        <v>22</v>
      </c>
      <c r="V12" s="79">
        <f t="shared" ref="V12" si="41">G12+L12-Q12</f>
        <v>0</v>
      </c>
      <c r="W12" s="126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</row>
    <row r="13" spans="1:38" ht="35.1" hidden="1" customHeight="1" x14ac:dyDescent="0.3">
      <c r="A13" s="79"/>
      <c r="B13" s="87" t="s">
        <v>451</v>
      </c>
      <c r="C13" s="79">
        <f t="shared" ref="C13" si="42">R12</f>
        <v>0</v>
      </c>
      <c r="D13" s="79">
        <f t="shared" ref="D13" si="43">S12</f>
        <v>0</v>
      </c>
      <c r="E13" s="79"/>
      <c r="F13" s="79">
        <f t="shared" ref="F13" si="44">U12</f>
        <v>22</v>
      </c>
      <c r="G13" s="79">
        <f t="shared" ref="G13" si="45">V12</f>
        <v>0</v>
      </c>
      <c r="H13" s="79"/>
      <c r="I13" s="79"/>
      <c r="J13" s="79"/>
      <c r="K13" s="79"/>
      <c r="L13" s="79"/>
      <c r="M13" s="79"/>
      <c r="N13" s="79"/>
      <c r="O13" s="79"/>
      <c r="P13" s="79">
        <v>4</v>
      </c>
      <c r="Q13" s="79"/>
      <c r="R13" s="79">
        <f t="shared" ref="R13" si="46">C13+H13-M13</f>
        <v>0</v>
      </c>
      <c r="S13" s="79">
        <f t="shared" ref="S13" si="47">D13+I13-N13</f>
        <v>0</v>
      </c>
      <c r="T13" s="79"/>
      <c r="U13" s="79">
        <f t="shared" ref="U13" si="48">F13+K13-P13</f>
        <v>18</v>
      </c>
      <c r="V13" s="79">
        <f t="shared" ref="V13" si="49">G13+L13-Q13</f>
        <v>0</v>
      </c>
      <c r="W13" s="126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</row>
    <row r="14" spans="1:38" ht="35.1" hidden="1" customHeight="1" x14ac:dyDescent="0.3">
      <c r="A14" s="79"/>
      <c r="B14" s="87" t="s">
        <v>461</v>
      </c>
      <c r="C14" s="79">
        <f t="shared" ref="C14" si="50">R13</f>
        <v>0</v>
      </c>
      <c r="D14" s="79">
        <f t="shared" ref="D14" si="51">S13</f>
        <v>0</v>
      </c>
      <c r="E14" s="79"/>
      <c r="F14" s="79">
        <f t="shared" ref="F14" si="52">U13</f>
        <v>18</v>
      </c>
      <c r="G14" s="79">
        <f t="shared" ref="G14" si="53">V13</f>
        <v>0</v>
      </c>
      <c r="H14" s="79"/>
      <c r="I14" s="79"/>
      <c r="J14" s="79"/>
      <c r="K14" s="79"/>
      <c r="L14" s="79"/>
      <c r="M14" s="79"/>
      <c r="N14" s="79"/>
      <c r="O14" s="79"/>
      <c r="P14" s="79">
        <v>1</v>
      </c>
      <c r="Q14" s="79"/>
      <c r="R14" s="79">
        <f t="shared" ref="R14" si="54">C14+H14-M14</f>
        <v>0</v>
      </c>
      <c r="S14" s="79">
        <f t="shared" ref="S14" si="55">D14+I14-N14</f>
        <v>0</v>
      </c>
      <c r="T14" s="79"/>
      <c r="U14" s="79">
        <f t="shared" ref="U14" si="56">F14+K14-P14</f>
        <v>17</v>
      </c>
      <c r="V14" s="79">
        <f t="shared" ref="V14" si="57">G14+L14-Q14</f>
        <v>0</v>
      </c>
      <c r="W14" s="126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</row>
    <row r="15" spans="1:38" ht="35.1" hidden="1" customHeight="1" x14ac:dyDescent="0.3">
      <c r="A15" s="79"/>
      <c r="B15" s="87" t="s">
        <v>469</v>
      </c>
      <c r="C15" s="79">
        <f t="shared" ref="C15" si="58">R14</f>
        <v>0</v>
      </c>
      <c r="D15" s="79">
        <f t="shared" ref="D15" si="59">S14</f>
        <v>0</v>
      </c>
      <c r="E15" s="79"/>
      <c r="F15" s="79">
        <f t="shared" ref="F15" si="60">U14</f>
        <v>17</v>
      </c>
      <c r="G15" s="79">
        <f t="shared" ref="G15" si="61">V14</f>
        <v>0</v>
      </c>
      <c r="H15" s="79"/>
      <c r="I15" s="79"/>
      <c r="J15" s="79"/>
      <c r="K15" s="79"/>
      <c r="L15" s="79"/>
      <c r="M15" s="79"/>
      <c r="N15" s="79"/>
      <c r="O15" s="79"/>
      <c r="P15" s="79">
        <v>1</v>
      </c>
      <c r="Q15" s="79"/>
      <c r="R15" s="79">
        <f t="shared" ref="R15" si="62">C15+H15-M15</f>
        <v>0</v>
      </c>
      <c r="S15" s="79">
        <f t="shared" ref="S15" si="63">D15+I15-N15</f>
        <v>0</v>
      </c>
      <c r="T15" s="79"/>
      <c r="U15" s="79">
        <f t="shared" ref="U15" si="64">F15+K15-P15</f>
        <v>16</v>
      </c>
      <c r="V15" s="79">
        <f t="shared" ref="V15" si="65">G15+L15-Q15</f>
        <v>0</v>
      </c>
      <c r="W15" s="126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</row>
    <row r="16" spans="1:38" ht="35.1" hidden="1" customHeight="1" x14ac:dyDescent="0.3">
      <c r="A16" s="79"/>
      <c r="B16" s="87" t="s">
        <v>464</v>
      </c>
      <c r="C16" s="79">
        <f t="shared" ref="C16" si="66">R15</f>
        <v>0</v>
      </c>
      <c r="D16" s="79">
        <f t="shared" ref="D16" si="67">S15</f>
        <v>0</v>
      </c>
      <c r="E16" s="79"/>
      <c r="F16" s="79">
        <f t="shared" ref="F16" si="68">U15</f>
        <v>16</v>
      </c>
      <c r="G16" s="79">
        <f t="shared" ref="G16" si="69">V15</f>
        <v>0</v>
      </c>
      <c r="H16" s="79"/>
      <c r="I16" s="79">
        <v>11</v>
      </c>
      <c r="J16" s="79"/>
      <c r="K16" s="79">
        <f>4+40</f>
        <v>44</v>
      </c>
      <c r="L16" s="79"/>
      <c r="M16" s="79"/>
      <c r="N16" s="79">
        <v>10</v>
      </c>
      <c r="O16" s="79"/>
      <c r="P16" s="79">
        <v>11</v>
      </c>
      <c r="Q16" s="79"/>
      <c r="R16" s="79">
        <f t="shared" ref="R16" si="70">C16+H16-M16</f>
        <v>0</v>
      </c>
      <c r="S16" s="79">
        <f t="shared" ref="S16" si="71">D16+I16-N16</f>
        <v>1</v>
      </c>
      <c r="T16" s="79"/>
      <c r="U16" s="79">
        <f t="shared" ref="U16" si="72">F16+K16-P16</f>
        <v>49</v>
      </c>
      <c r="V16" s="79">
        <f t="shared" ref="V16" si="73">G16+L16-Q16</f>
        <v>0</v>
      </c>
      <c r="W16" s="126"/>
      <c r="X16" s="79" t="s">
        <v>471</v>
      </c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</row>
    <row r="17" spans="1:38" ht="35.1" hidden="1" customHeight="1" x14ac:dyDescent="0.3">
      <c r="A17" s="79"/>
      <c r="B17" s="87" t="s">
        <v>474</v>
      </c>
      <c r="C17" s="79">
        <f t="shared" ref="C17" si="74">R16</f>
        <v>0</v>
      </c>
      <c r="D17" s="79">
        <f t="shared" ref="D17" si="75">S16</f>
        <v>1</v>
      </c>
      <c r="E17" s="79"/>
      <c r="F17" s="79">
        <f t="shared" ref="F17" si="76">U16</f>
        <v>49</v>
      </c>
      <c r="G17" s="79">
        <f t="shared" ref="G17" si="77">V16</f>
        <v>0</v>
      </c>
      <c r="H17" s="79">
        <f>44+20</f>
        <v>64</v>
      </c>
      <c r="I17" s="79"/>
      <c r="J17" s="79"/>
      <c r="K17" s="79"/>
      <c r="L17" s="79"/>
      <c r="M17" s="79">
        <f>44+20</f>
        <v>64</v>
      </c>
      <c r="N17" s="79"/>
      <c r="O17" s="79"/>
      <c r="P17" s="79">
        <f>5+2+5</f>
        <v>12</v>
      </c>
      <c r="Q17" s="79"/>
      <c r="R17" s="79">
        <f t="shared" ref="R17" si="78">C17+H17-M17</f>
        <v>0</v>
      </c>
      <c r="S17" s="79">
        <f t="shared" ref="S17" si="79">D17+I17-N17</f>
        <v>1</v>
      </c>
      <c r="T17" s="79"/>
      <c r="U17" s="79">
        <f t="shared" ref="U17" si="80">F17+K17-P17</f>
        <v>37</v>
      </c>
      <c r="V17" s="79">
        <f t="shared" ref="V17" si="81">G17+L17-Q17</f>
        <v>0</v>
      </c>
      <c r="W17" s="126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</row>
    <row r="18" spans="1:38" ht="35.1" hidden="1" customHeight="1" x14ac:dyDescent="0.3">
      <c r="A18" s="79"/>
      <c r="B18" s="87" t="s">
        <v>479</v>
      </c>
      <c r="C18" s="79">
        <f t="shared" ref="C18" si="82">R17</f>
        <v>0</v>
      </c>
      <c r="D18" s="79">
        <f t="shared" ref="D18" si="83">S17</f>
        <v>1</v>
      </c>
      <c r="E18" s="79"/>
      <c r="F18" s="79">
        <f t="shared" ref="F18" si="84">U17</f>
        <v>37</v>
      </c>
      <c r="G18" s="79">
        <f t="shared" ref="G18" si="85">V17</f>
        <v>0</v>
      </c>
      <c r="H18" s="79"/>
      <c r="I18" s="79"/>
      <c r="J18" s="79"/>
      <c r="K18" s="79"/>
      <c r="L18" s="79"/>
      <c r="M18" s="79"/>
      <c r="N18" s="79"/>
      <c r="O18" s="79"/>
      <c r="P18" s="79">
        <v>10</v>
      </c>
      <c r="Q18" s="79"/>
      <c r="R18" s="79">
        <f t="shared" ref="R18" si="86">C18+H18-M18</f>
        <v>0</v>
      </c>
      <c r="S18" s="79">
        <f t="shared" ref="S18" si="87">D18+I18-N18</f>
        <v>1</v>
      </c>
      <c r="T18" s="79"/>
      <c r="U18" s="79">
        <f t="shared" ref="U18" si="88">F18+K18-P18</f>
        <v>27</v>
      </c>
      <c r="V18" s="79">
        <f t="shared" ref="V18" si="89">G18+L18-Q18</f>
        <v>0</v>
      </c>
      <c r="W18" s="126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</row>
    <row r="19" spans="1:38" ht="35.1" hidden="1" customHeight="1" x14ac:dyDescent="0.3">
      <c r="A19" s="79"/>
      <c r="B19" s="87" t="s">
        <v>478</v>
      </c>
      <c r="C19" s="79">
        <f t="shared" ref="C19" si="90">R18</f>
        <v>0</v>
      </c>
      <c r="D19" s="79">
        <f t="shared" ref="D19" si="91">S18</f>
        <v>1</v>
      </c>
      <c r="E19" s="79"/>
      <c r="F19" s="79">
        <f t="shared" ref="F19" si="92">U18</f>
        <v>27</v>
      </c>
      <c r="G19" s="79">
        <f t="shared" ref="G19" si="93">V18</f>
        <v>0</v>
      </c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>
        <f t="shared" ref="R19" si="94">C19+H19-M19</f>
        <v>0</v>
      </c>
      <c r="S19" s="79">
        <f t="shared" ref="S19" si="95">D19+I19-N19</f>
        <v>1</v>
      </c>
      <c r="T19" s="79"/>
      <c r="U19" s="79">
        <f t="shared" ref="U19" si="96">F19+K19-P19</f>
        <v>27</v>
      </c>
      <c r="V19" s="79">
        <f t="shared" ref="V19" si="97">G19+L19-Q19</f>
        <v>0</v>
      </c>
      <c r="W19" s="126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</row>
    <row r="20" spans="1:38" ht="35.1" hidden="1" customHeight="1" x14ac:dyDescent="0.3">
      <c r="A20" s="79"/>
      <c r="B20" s="87" t="s">
        <v>480</v>
      </c>
      <c r="C20" s="79">
        <f t="shared" ref="C20" si="98">R19</f>
        <v>0</v>
      </c>
      <c r="D20" s="79">
        <f t="shared" ref="D20" si="99">S19</f>
        <v>1</v>
      </c>
      <c r="E20" s="79"/>
      <c r="F20" s="79">
        <f t="shared" ref="F20" si="100">U19</f>
        <v>27</v>
      </c>
      <c r="G20" s="79">
        <f t="shared" ref="G20" si="101">V19</f>
        <v>0</v>
      </c>
      <c r="H20" s="79"/>
      <c r="I20" s="79"/>
      <c r="J20" s="79"/>
      <c r="K20" s="79"/>
      <c r="L20" s="79"/>
      <c r="M20" s="79"/>
      <c r="N20" s="79"/>
      <c r="O20" s="79"/>
      <c r="P20" s="79">
        <v>2</v>
      </c>
      <c r="Q20" s="79"/>
      <c r="R20" s="79">
        <f t="shared" ref="R20" si="102">C20+H20-M20</f>
        <v>0</v>
      </c>
      <c r="S20" s="79">
        <f t="shared" ref="S20" si="103">D20+I20-N20</f>
        <v>1</v>
      </c>
      <c r="T20" s="79"/>
      <c r="U20" s="79">
        <f t="shared" ref="U20" si="104">F20+K20-P20</f>
        <v>25</v>
      </c>
      <c r="V20" s="79">
        <f t="shared" ref="V20" si="105">G20+L20-Q20</f>
        <v>0</v>
      </c>
      <c r="W20" s="126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</row>
    <row r="21" spans="1:38" ht="35.1" customHeight="1" x14ac:dyDescent="0.3">
      <c r="A21" s="79"/>
      <c r="B21" s="87" t="s">
        <v>482</v>
      </c>
      <c r="C21" s="79">
        <f t="shared" ref="C21" si="106">R20</f>
        <v>0</v>
      </c>
      <c r="D21" s="79">
        <f t="shared" ref="D21" si="107">S20</f>
        <v>1</v>
      </c>
      <c r="E21" s="79"/>
      <c r="F21" s="79">
        <f t="shared" ref="F21" si="108">U20</f>
        <v>25</v>
      </c>
      <c r="G21" s="79">
        <f t="shared" ref="G21" si="109">V20</f>
        <v>0</v>
      </c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>
        <f t="shared" ref="R21" si="110">C21+H21-M21</f>
        <v>0</v>
      </c>
      <c r="S21" s="79">
        <f t="shared" ref="S21" si="111">D21+I21-N21</f>
        <v>1</v>
      </c>
      <c r="T21" s="79"/>
      <c r="U21" s="79">
        <f t="shared" ref="U21" si="112">F21+K21-P21</f>
        <v>25</v>
      </c>
      <c r="V21" s="79">
        <f t="shared" ref="V21" si="113">G21+L21-Q21</f>
        <v>0</v>
      </c>
      <c r="W21" s="126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</row>
    <row r="22" spans="1:38" ht="35.1" customHeight="1" x14ac:dyDescent="0.3">
      <c r="A22" s="79"/>
      <c r="B22" s="87" t="s">
        <v>483</v>
      </c>
      <c r="C22" s="79">
        <f t="shared" ref="C22" si="114">R21</f>
        <v>0</v>
      </c>
      <c r="D22" s="79">
        <f t="shared" ref="D22" si="115">S21</f>
        <v>1</v>
      </c>
      <c r="E22" s="79"/>
      <c r="F22" s="79">
        <f t="shared" ref="F22" si="116">U21</f>
        <v>25</v>
      </c>
      <c r="G22" s="79">
        <f t="shared" ref="G22" si="117">V21</f>
        <v>0</v>
      </c>
      <c r="H22" s="79"/>
      <c r="I22" s="79"/>
      <c r="J22" s="79"/>
      <c r="K22" s="79"/>
      <c r="L22" s="79"/>
      <c r="M22" s="79"/>
      <c r="N22" s="79"/>
      <c r="O22" s="79"/>
      <c r="P22" s="79">
        <v>1</v>
      </c>
      <c r="Q22" s="79"/>
      <c r="R22" s="79">
        <f t="shared" ref="R22" si="118">C22+H22-M22</f>
        <v>0</v>
      </c>
      <c r="S22" s="79">
        <f t="shared" ref="S22" si="119">D22+I22-N22</f>
        <v>1</v>
      </c>
      <c r="T22" s="79"/>
      <c r="U22" s="79">
        <f t="shared" ref="U22" si="120">F22+K22-P22</f>
        <v>24</v>
      </c>
      <c r="V22" s="79">
        <f t="shared" ref="V22" si="121">G22+L22-Q22</f>
        <v>0</v>
      </c>
      <c r="W22" s="126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</row>
    <row r="23" spans="1:38" ht="35.1" customHeight="1" x14ac:dyDescent="0.3">
      <c r="A23" s="79"/>
      <c r="B23" s="186">
        <v>46032</v>
      </c>
      <c r="C23" s="79">
        <f t="shared" ref="C23" si="122">R22</f>
        <v>0</v>
      </c>
      <c r="D23" s="79">
        <f t="shared" ref="D23" si="123">S22</f>
        <v>1</v>
      </c>
      <c r="E23" s="79"/>
      <c r="F23" s="79">
        <f t="shared" ref="F23" si="124">U22</f>
        <v>24</v>
      </c>
      <c r="G23" s="79">
        <f t="shared" ref="G23" si="125">V22</f>
        <v>0</v>
      </c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>
        <f t="shared" ref="R23" si="126">C23+H23-M23</f>
        <v>0</v>
      </c>
      <c r="S23" s="79">
        <f t="shared" ref="S23" si="127">D23+I23-N23</f>
        <v>1</v>
      </c>
      <c r="T23" s="79"/>
      <c r="U23" s="79">
        <f t="shared" ref="U23" si="128">F23+K23-P23</f>
        <v>24</v>
      </c>
      <c r="V23" s="79">
        <f t="shared" ref="V23" si="129">G23+L23-Q23</f>
        <v>0</v>
      </c>
      <c r="W23" s="126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</row>
    <row r="24" spans="1:38" ht="35.1" customHeight="1" x14ac:dyDescent="0.3">
      <c r="A24" s="79"/>
      <c r="B24" s="186">
        <v>46063</v>
      </c>
      <c r="C24" s="79">
        <f t="shared" ref="C24" si="130">R23</f>
        <v>0</v>
      </c>
      <c r="D24" s="79">
        <f t="shared" ref="D24" si="131">S23</f>
        <v>1</v>
      </c>
      <c r="E24" s="79"/>
      <c r="F24" s="79">
        <f t="shared" ref="F24" si="132">U23</f>
        <v>24</v>
      </c>
      <c r="G24" s="79">
        <f t="shared" ref="G24" si="133">V23</f>
        <v>0</v>
      </c>
      <c r="H24" s="79"/>
      <c r="I24" s="79"/>
      <c r="J24" s="79"/>
      <c r="K24" s="79"/>
      <c r="L24" s="79"/>
      <c r="M24" s="79"/>
      <c r="N24" s="79"/>
      <c r="O24" s="79"/>
      <c r="P24" s="79">
        <v>3</v>
      </c>
      <c r="Q24" s="79"/>
      <c r="R24" s="79">
        <f t="shared" ref="R24" si="134">C24+H24-M24</f>
        <v>0</v>
      </c>
      <c r="S24" s="79">
        <f t="shared" ref="S24" si="135">D24+I24-N24</f>
        <v>1</v>
      </c>
      <c r="T24" s="79"/>
      <c r="U24" s="79">
        <f t="shared" ref="U24" si="136">F24+K24-P24</f>
        <v>21</v>
      </c>
      <c r="V24" s="79">
        <f t="shared" ref="V24" si="137">G24+L24-Q24</f>
        <v>0</v>
      </c>
      <c r="W24" s="126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</row>
    <row r="25" spans="1:38" ht="35.1" customHeight="1" x14ac:dyDescent="0.3">
      <c r="R25" s="79"/>
      <c r="S25" s="79"/>
      <c r="T25" s="79"/>
      <c r="U25" s="79"/>
      <c r="V25" s="79"/>
      <c r="W25" s="126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</row>
    <row r="26" spans="1:38" ht="35.1" customHeight="1" x14ac:dyDescent="0.3">
      <c r="R26" s="79"/>
      <c r="S26" s="79"/>
      <c r="T26" s="79"/>
      <c r="U26" s="79"/>
      <c r="V26" s="79"/>
      <c r="W26" s="126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</row>
    <row r="27" spans="1:38" ht="35.1" customHeight="1" x14ac:dyDescent="0.3">
      <c r="R27" s="79"/>
      <c r="S27" s="79"/>
      <c r="T27" s="79"/>
      <c r="U27" s="79"/>
      <c r="V27" s="79"/>
      <c r="W27" s="126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</row>
    <row r="28" spans="1:38" ht="35.1" customHeight="1" x14ac:dyDescent="0.3">
      <c r="R28" s="79"/>
      <c r="S28" s="79"/>
      <c r="T28" s="79"/>
      <c r="U28" s="79"/>
      <c r="V28" s="79"/>
      <c r="W28" s="126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</row>
    <row r="29" spans="1:38" ht="35.1" customHeight="1" x14ac:dyDescent="0.3">
      <c r="R29" s="79"/>
      <c r="S29" s="79"/>
      <c r="T29" s="79"/>
      <c r="U29" s="79"/>
      <c r="V29" s="79"/>
      <c r="W29" s="126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</row>
    <row r="30" spans="1:38" ht="35.1" customHeight="1" x14ac:dyDescent="0.3">
      <c r="R30" s="79"/>
      <c r="S30" s="79"/>
      <c r="T30" s="79"/>
      <c r="U30" s="79"/>
      <c r="V30" s="79"/>
      <c r="W30" s="126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</row>
    <row r="31" spans="1:38" ht="35.1" customHeight="1" x14ac:dyDescent="0.3"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</row>
    <row r="32" spans="1:38" ht="35.1" customHeight="1" x14ac:dyDescent="0.3"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</row>
    <row r="33" spans="24:38" ht="35.1" customHeight="1" x14ac:dyDescent="0.3"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</row>
    <row r="34" spans="24:38" ht="35.1" customHeight="1" x14ac:dyDescent="0.3"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</row>
    <row r="35" spans="24:38" x14ac:dyDescent="0.3"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</row>
    <row r="36" spans="24:38" x14ac:dyDescent="0.3"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</row>
    <row r="37" spans="24:38" x14ac:dyDescent="0.3"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</row>
    <row r="38" spans="24:38" x14ac:dyDescent="0.3">
      <c r="X38" s="79"/>
      <c r="Y38" s="79" t="s">
        <v>389</v>
      </c>
      <c r="Z38" s="79"/>
      <c r="AA38" s="79">
        <v>2</v>
      </c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</row>
    <row r="39" spans="24:38" x14ac:dyDescent="0.3">
      <c r="X39" s="79"/>
      <c r="Y39" s="79" t="s">
        <v>374</v>
      </c>
      <c r="Z39" s="79"/>
      <c r="AA39" s="79">
        <v>36</v>
      </c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</row>
    <row r="40" spans="24:38" x14ac:dyDescent="0.3">
      <c r="X40" s="79"/>
      <c r="Y40" s="79" t="s">
        <v>399</v>
      </c>
      <c r="Z40" s="79"/>
      <c r="AA40" s="79">
        <v>6</v>
      </c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</row>
    <row r="41" spans="24:38" x14ac:dyDescent="0.3">
      <c r="X41" s="79"/>
      <c r="Y41" s="79" t="s">
        <v>400</v>
      </c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>
        <v>10</v>
      </c>
      <c r="AL41" s="79">
        <v>1</v>
      </c>
    </row>
    <row r="42" spans="24:38" x14ac:dyDescent="0.3">
      <c r="X42" s="79"/>
      <c r="Y42" s="79" t="s">
        <v>401</v>
      </c>
      <c r="Z42" s="79"/>
      <c r="AA42" s="79">
        <v>2</v>
      </c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</row>
    <row r="43" spans="24:38" x14ac:dyDescent="0.3">
      <c r="X43" s="79"/>
      <c r="Y43" s="79" t="s">
        <v>402</v>
      </c>
      <c r="Z43" s="79"/>
      <c r="AA43" s="79">
        <v>6</v>
      </c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</row>
    <row r="44" spans="24:38" x14ac:dyDescent="0.3">
      <c r="X44" s="79"/>
      <c r="Y44" s="79" t="s">
        <v>403</v>
      </c>
      <c r="Z44" s="79"/>
      <c r="AA44" s="79">
        <v>2</v>
      </c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</row>
    <row r="45" spans="24:38" x14ac:dyDescent="0.3">
      <c r="X45" s="79"/>
      <c r="Y45" s="79" t="s">
        <v>404</v>
      </c>
      <c r="Z45" s="79"/>
      <c r="AA45" s="79"/>
      <c r="AB45" s="79"/>
      <c r="AC45" s="79"/>
      <c r="AD45" s="79"/>
      <c r="AE45" s="79"/>
      <c r="AF45" s="79"/>
      <c r="AG45" s="79"/>
      <c r="AH45" s="79"/>
      <c r="AI45" s="79">
        <v>4</v>
      </c>
      <c r="AJ45" s="79"/>
      <c r="AK45" s="79"/>
      <c r="AL45" s="79"/>
    </row>
    <row r="46" spans="24:38" x14ac:dyDescent="0.3">
      <c r="X46" s="79"/>
      <c r="Y46" s="79" t="s">
        <v>374</v>
      </c>
      <c r="Z46" s="79"/>
      <c r="AA46" s="79">
        <v>11</v>
      </c>
      <c r="AB46" s="79"/>
      <c r="AC46" s="79"/>
      <c r="AD46" s="79"/>
      <c r="AE46" s="79">
        <v>33</v>
      </c>
      <c r="AF46" s="79"/>
      <c r="AG46" s="79"/>
      <c r="AH46" s="79"/>
      <c r="AI46" s="79">
        <v>2</v>
      </c>
      <c r="AJ46" s="79"/>
      <c r="AK46" s="79"/>
      <c r="AL46" s="79"/>
    </row>
    <row r="47" spans="24:38" x14ac:dyDescent="0.3">
      <c r="X47" s="79"/>
      <c r="Y47" s="79" t="s">
        <v>405</v>
      </c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>
        <v>8</v>
      </c>
      <c r="AL47" s="79"/>
    </row>
    <row r="48" spans="24:38" x14ac:dyDescent="0.3">
      <c r="X48" s="79"/>
      <c r="Y48" s="79" t="s">
        <v>394</v>
      </c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>
        <v>4</v>
      </c>
      <c r="AL48" s="79"/>
    </row>
    <row r="49" spans="24:38" x14ac:dyDescent="0.3">
      <c r="X49" s="125">
        <v>46243</v>
      </c>
      <c r="Y49" s="79" t="s">
        <v>406</v>
      </c>
      <c r="Z49" s="79"/>
      <c r="AA49" s="79">
        <v>22</v>
      </c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</row>
    <row r="50" spans="24:38" x14ac:dyDescent="0.3">
      <c r="X50" s="79"/>
      <c r="Y50" s="79" t="s">
        <v>406</v>
      </c>
      <c r="Z50" s="79"/>
      <c r="AA50" s="79">
        <v>22</v>
      </c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</row>
    <row r="51" spans="24:38" x14ac:dyDescent="0.3">
      <c r="X51" s="79"/>
      <c r="Y51" s="79" t="s">
        <v>406</v>
      </c>
      <c r="Z51" s="79"/>
      <c r="AA51" s="79"/>
      <c r="AB51" s="79"/>
      <c r="AC51" s="79"/>
      <c r="AD51" s="79"/>
      <c r="AE51" s="79">
        <v>11</v>
      </c>
      <c r="AF51" s="79"/>
      <c r="AG51" s="79"/>
      <c r="AH51" s="79"/>
      <c r="AI51" s="79">
        <v>4</v>
      </c>
      <c r="AJ51" s="79"/>
      <c r="AK51" s="79"/>
      <c r="AL51" s="79"/>
    </row>
    <row r="52" spans="24:38" x14ac:dyDescent="0.3">
      <c r="X52" s="79"/>
      <c r="Y52" s="79" t="s">
        <v>50</v>
      </c>
      <c r="Z52" s="79"/>
      <c r="AA52" s="79">
        <v>3</v>
      </c>
      <c r="AB52" s="79"/>
      <c r="AC52" s="79"/>
      <c r="AD52" s="79"/>
      <c r="AE52" s="79">
        <v>3</v>
      </c>
      <c r="AF52" s="79"/>
      <c r="AG52" s="79"/>
      <c r="AH52" s="79"/>
      <c r="AI52" s="79"/>
      <c r="AJ52" s="79"/>
      <c r="AK52" s="79"/>
      <c r="AL52" s="79"/>
    </row>
    <row r="53" spans="24:38" x14ac:dyDescent="0.3">
      <c r="X53" s="79"/>
      <c r="Y53" s="79" t="s">
        <v>407</v>
      </c>
      <c r="Z53" s="79"/>
      <c r="AA53" s="79">
        <v>2</v>
      </c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</row>
    <row r="54" spans="24:38" x14ac:dyDescent="0.3">
      <c r="X54" s="79"/>
      <c r="Y54" s="79" t="s">
        <v>399</v>
      </c>
      <c r="Z54" s="79"/>
      <c r="AA54" s="79">
        <v>4</v>
      </c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</row>
    <row r="55" spans="24:38" x14ac:dyDescent="0.3">
      <c r="X55" s="79"/>
      <c r="Y55" s="79" t="s">
        <v>406</v>
      </c>
      <c r="Z55" s="79"/>
      <c r="AA55" s="79"/>
      <c r="AB55" s="79"/>
      <c r="AC55" s="79"/>
      <c r="AD55" s="79"/>
      <c r="AE55" s="79">
        <v>22</v>
      </c>
      <c r="AF55" s="79"/>
      <c r="AG55" s="79"/>
      <c r="AH55" s="79"/>
      <c r="AI55" s="79"/>
      <c r="AJ55" s="79"/>
      <c r="AK55" s="79"/>
      <c r="AL55" s="79"/>
    </row>
    <row r="56" spans="24:38" x14ac:dyDescent="0.3">
      <c r="X56" s="79"/>
      <c r="Y56" s="79" t="s">
        <v>408</v>
      </c>
      <c r="Z56" s="79"/>
      <c r="AA56" s="79"/>
      <c r="AB56" s="79"/>
      <c r="AC56" s="79"/>
      <c r="AD56" s="79"/>
      <c r="AE56" s="79"/>
      <c r="AF56" s="79"/>
      <c r="AG56" s="79"/>
      <c r="AH56" s="79"/>
      <c r="AI56" s="79">
        <v>3</v>
      </c>
      <c r="AJ56" s="79"/>
      <c r="AK56" s="79"/>
      <c r="AL56" s="79"/>
    </row>
    <row r="57" spans="24:38" x14ac:dyDescent="0.3"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</row>
    <row r="58" spans="24:38" x14ac:dyDescent="0.3"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</row>
    <row r="59" spans="24:38" x14ac:dyDescent="0.3"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</row>
    <row r="60" spans="24:38" x14ac:dyDescent="0.3"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</row>
    <row r="61" spans="24:38" x14ac:dyDescent="0.3"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</row>
    <row r="62" spans="24:38" x14ac:dyDescent="0.3"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</row>
    <row r="63" spans="24:38" x14ac:dyDescent="0.3"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</row>
    <row r="64" spans="24:38" x14ac:dyDescent="0.3"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</row>
    <row r="65" spans="24:38" x14ac:dyDescent="0.3"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</row>
    <row r="66" spans="24:38" x14ac:dyDescent="0.3">
      <c r="X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</row>
    <row r="67" spans="24:38" x14ac:dyDescent="0.3"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</row>
    <row r="68" spans="24:38" x14ac:dyDescent="0.3"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</row>
    <row r="69" spans="24:38" x14ac:dyDescent="0.3">
      <c r="X69" s="79"/>
      <c r="Y69" s="79"/>
      <c r="Z69" s="111" t="s">
        <v>383</v>
      </c>
      <c r="AA69" s="79">
        <f t="shared" ref="AA69:AL69" si="138">SUM(AA38:AA65)</f>
        <v>118</v>
      </c>
      <c r="AB69" s="79">
        <f t="shared" si="138"/>
        <v>0</v>
      </c>
      <c r="AC69" s="79">
        <f t="shared" si="138"/>
        <v>0</v>
      </c>
      <c r="AD69" s="79">
        <f t="shared" si="138"/>
        <v>0</v>
      </c>
      <c r="AE69" s="79">
        <f t="shared" si="138"/>
        <v>69</v>
      </c>
      <c r="AF69" s="79">
        <f t="shared" si="138"/>
        <v>0</v>
      </c>
      <c r="AG69" s="79">
        <f t="shared" si="138"/>
        <v>0</v>
      </c>
      <c r="AH69" s="79">
        <f t="shared" si="138"/>
        <v>0</v>
      </c>
      <c r="AI69" s="79">
        <f t="shared" si="138"/>
        <v>13</v>
      </c>
      <c r="AJ69" s="79">
        <f t="shared" si="138"/>
        <v>0</v>
      </c>
      <c r="AK69" s="79">
        <f t="shared" si="138"/>
        <v>22</v>
      </c>
      <c r="AL69" s="79">
        <f t="shared" si="138"/>
        <v>1</v>
      </c>
    </row>
    <row r="70" spans="24:38" x14ac:dyDescent="0.3">
      <c r="X70" s="79"/>
      <c r="Y70" s="79"/>
      <c r="Z70" s="111" t="s">
        <v>384</v>
      </c>
      <c r="AA70" s="112">
        <f>I4+I124-AA69</f>
        <v>-118</v>
      </c>
      <c r="AB70" s="112">
        <f>K4+K124-AB69</f>
        <v>50</v>
      </c>
      <c r="AC70" s="112">
        <f>L4+L124-AC69</f>
        <v>0</v>
      </c>
      <c r="AD70" s="112">
        <f>M4+M124-AD69</f>
        <v>0</v>
      </c>
      <c r="AE70" s="112">
        <f>N4+N124-AE69</f>
        <v>-69</v>
      </c>
      <c r="AF70" s="112">
        <f>P4+P124-AF69</f>
        <v>2</v>
      </c>
      <c r="AG70" s="112">
        <f>Q4+Q124-AG69</f>
        <v>0</v>
      </c>
      <c r="AH70" s="112">
        <f>R4+R124-AH69</f>
        <v>0</v>
      </c>
      <c r="AI70" s="112">
        <f>S4+S124-AI69</f>
        <v>-13</v>
      </c>
      <c r="AJ70" s="112">
        <f t="shared" ref="AJ70:AL70" si="139">U4+U124-AJ69</f>
        <v>48</v>
      </c>
      <c r="AK70" s="112">
        <f t="shared" si="139"/>
        <v>-22</v>
      </c>
      <c r="AL70" s="112">
        <f t="shared" si="139"/>
        <v>-1</v>
      </c>
    </row>
    <row r="71" spans="24:38" x14ac:dyDescent="0.3">
      <c r="X71" s="79"/>
    </row>
    <row r="72" spans="24:38" x14ac:dyDescent="0.3">
      <c r="X72" s="79"/>
    </row>
    <row r="73" spans="24:38" x14ac:dyDescent="0.3">
      <c r="X73" s="79"/>
    </row>
    <row r="74" spans="24:38" x14ac:dyDescent="0.3">
      <c r="X74" s="79"/>
    </row>
    <row r="75" spans="24:38" x14ac:dyDescent="0.3">
      <c r="X75" s="79"/>
    </row>
    <row r="76" spans="24:38" x14ac:dyDescent="0.3">
      <c r="X76" s="79"/>
    </row>
    <row r="77" spans="24:38" x14ac:dyDescent="0.3">
      <c r="X77" s="79"/>
    </row>
    <row r="78" spans="24:38" x14ac:dyDescent="0.3">
      <c r="X78" s="79"/>
    </row>
    <row r="79" spans="24:38" x14ac:dyDescent="0.3">
      <c r="X79" s="79"/>
    </row>
    <row r="80" spans="24:38" x14ac:dyDescent="0.3">
      <c r="X80" s="79"/>
    </row>
    <row r="81" spans="24:24" x14ac:dyDescent="0.3">
      <c r="X81" s="79"/>
    </row>
    <row r="82" spans="24:24" x14ac:dyDescent="0.3">
      <c r="X82" s="79"/>
    </row>
    <row r="83" spans="24:24" x14ac:dyDescent="0.3">
      <c r="X83" s="79"/>
    </row>
    <row r="84" spans="24:24" x14ac:dyDescent="0.3">
      <c r="X84" s="79"/>
    </row>
    <row r="85" spans="24:24" x14ac:dyDescent="0.3">
      <c r="X85" s="79"/>
    </row>
    <row r="86" spans="24:24" x14ac:dyDescent="0.3">
      <c r="X86" s="79"/>
    </row>
    <row r="87" spans="24:24" x14ac:dyDescent="0.3">
      <c r="X87" s="79"/>
    </row>
    <row r="88" spans="24:24" x14ac:dyDescent="0.3">
      <c r="X88" s="79"/>
    </row>
    <row r="89" spans="24:24" x14ac:dyDescent="0.3">
      <c r="X89" s="79"/>
    </row>
    <row r="90" spans="24:24" x14ac:dyDescent="0.3">
      <c r="X90" s="79"/>
    </row>
    <row r="91" spans="24:24" x14ac:dyDescent="0.3">
      <c r="X91" s="79"/>
    </row>
    <row r="92" spans="24:24" x14ac:dyDescent="0.3">
      <c r="X92" s="79"/>
    </row>
    <row r="93" spans="24:24" x14ac:dyDescent="0.3">
      <c r="X93" s="79"/>
    </row>
    <row r="94" spans="24:24" x14ac:dyDescent="0.3">
      <c r="X94" s="79"/>
    </row>
    <row r="95" spans="24:24" x14ac:dyDescent="0.3">
      <c r="X95" s="79"/>
    </row>
    <row r="96" spans="24:24" x14ac:dyDescent="0.3">
      <c r="X96" s="79"/>
    </row>
    <row r="97" spans="24:24" x14ac:dyDescent="0.3">
      <c r="X97" s="79"/>
    </row>
    <row r="98" spans="24:24" x14ac:dyDescent="0.3">
      <c r="X98" s="79"/>
    </row>
    <row r="99" spans="24:24" x14ac:dyDescent="0.3">
      <c r="X99" s="79"/>
    </row>
    <row r="100" spans="24:24" x14ac:dyDescent="0.3">
      <c r="X100" s="79"/>
    </row>
    <row r="101" spans="24:24" x14ac:dyDescent="0.3">
      <c r="X101" s="79"/>
    </row>
    <row r="102" spans="24:24" x14ac:dyDescent="0.3">
      <c r="X102" s="79"/>
    </row>
    <row r="103" spans="24:24" x14ac:dyDescent="0.3">
      <c r="X103" s="79"/>
    </row>
    <row r="104" spans="24:24" x14ac:dyDescent="0.3">
      <c r="X104" s="79"/>
    </row>
    <row r="105" spans="24:24" x14ac:dyDescent="0.3">
      <c r="X105" s="79"/>
    </row>
    <row r="106" spans="24:24" x14ac:dyDescent="0.3">
      <c r="X106" s="79"/>
    </row>
    <row r="107" spans="24:24" x14ac:dyDescent="0.3">
      <c r="X107" s="79"/>
    </row>
    <row r="108" spans="24:24" x14ac:dyDescent="0.3">
      <c r="X108" s="79"/>
    </row>
    <row r="109" spans="24:24" x14ac:dyDescent="0.3">
      <c r="X109" s="79"/>
    </row>
    <row r="110" spans="24:24" x14ac:dyDescent="0.3">
      <c r="X110" s="79"/>
    </row>
    <row r="111" spans="24:24" x14ac:dyDescent="0.3">
      <c r="X111" s="79"/>
    </row>
    <row r="112" spans="24:24" x14ac:dyDescent="0.3">
      <c r="X112" s="79"/>
    </row>
    <row r="113" spans="24:24" x14ac:dyDescent="0.3">
      <c r="X113" s="79"/>
    </row>
    <row r="114" spans="24:24" x14ac:dyDescent="0.3">
      <c r="X114" s="79"/>
    </row>
    <row r="115" spans="24:24" x14ac:dyDescent="0.3">
      <c r="X115" s="79"/>
    </row>
    <row r="116" spans="24:24" x14ac:dyDescent="0.3">
      <c r="X116" s="79"/>
    </row>
    <row r="117" spans="24:24" x14ac:dyDescent="0.3">
      <c r="X117" s="79"/>
    </row>
    <row r="118" spans="24:24" x14ac:dyDescent="0.3">
      <c r="X118" s="79"/>
    </row>
    <row r="119" spans="24:24" x14ac:dyDescent="0.3">
      <c r="X119" s="79"/>
    </row>
    <row r="120" spans="24:24" x14ac:dyDescent="0.3">
      <c r="X120" s="79"/>
    </row>
    <row r="121" spans="24:24" x14ac:dyDescent="0.3">
      <c r="X121" s="79"/>
    </row>
    <row r="122" spans="24:24" x14ac:dyDescent="0.3">
      <c r="X122" s="79"/>
    </row>
    <row r="123" spans="24:24" x14ac:dyDescent="0.3">
      <c r="X123" s="79"/>
    </row>
    <row r="124" spans="24:24" x14ac:dyDescent="0.3">
      <c r="X124" s="79"/>
    </row>
    <row r="125" spans="24:24" x14ac:dyDescent="0.3">
      <c r="X125" s="79"/>
    </row>
  </sheetData>
  <mergeCells count="4">
    <mergeCell ref="C1:G1"/>
    <mergeCell ref="H1:L1"/>
    <mergeCell ref="M1:Q1"/>
    <mergeCell ref="R1:V1"/>
  </mergeCells>
  <dataValidations count="1">
    <dataValidation type="list" allowBlank="1" showInputMessage="1" showErrorMessage="1" sqref="Y69:Y1070 Y1:Y3" xr:uid="{4D1969D8-6AC5-4AE6-B529-BF5D06478DAE}">
      <formula1>$A$3:$A$475</formula1>
      <formula2>0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9BB20-E06D-4FDA-8AA1-20C06565DD5E}">
  <dimension ref="A1:AL123"/>
  <sheetViews>
    <sheetView workbookViewId="0">
      <selection activeCell="R22" sqref="R22:V23"/>
    </sheetView>
  </sheetViews>
  <sheetFormatPr defaultColWidth="10.109375" defaultRowHeight="14.4" x14ac:dyDescent="0.3"/>
  <cols>
    <col min="1" max="1" width="5.5546875" customWidth="1"/>
    <col min="2" max="2" width="13.109375" style="81" customWidth="1"/>
    <col min="3" max="3" width="13.109375" customWidth="1"/>
    <col min="4" max="5" width="11.109375" customWidth="1"/>
    <col min="19" max="20" width="11.6640625" customWidth="1"/>
    <col min="24" max="25" width="26.6640625" customWidth="1"/>
    <col min="26" max="26" width="23.6640625" customWidth="1"/>
    <col min="28" max="28" width="7.88671875" customWidth="1"/>
    <col min="29" max="29" width="7.33203125" customWidth="1"/>
    <col min="30" max="30" width="9.33203125" customWidth="1"/>
    <col min="31" max="31" width="8" customWidth="1"/>
    <col min="32" max="33" width="8.109375" customWidth="1"/>
    <col min="34" max="34" width="7.88671875" customWidth="1"/>
    <col min="35" max="35" width="7.109375" customWidth="1"/>
    <col min="36" max="36" width="8.109375" customWidth="1"/>
    <col min="37" max="37" width="7.44140625" customWidth="1"/>
    <col min="38" max="38" width="7.6640625" customWidth="1"/>
  </cols>
  <sheetData>
    <row r="1" spans="1:38" ht="30.6" customHeight="1" x14ac:dyDescent="0.3">
      <c r="A1" s="80" t="s">
        <v>3</v>
      </c>
      <c r="B1" s="80" t="s">
        <v>345</v>
      </c>
      <c r="C1" s="395" t="s">
        <v>346</v>
      </c>
      <c r="D1" s="395"/>
      <c r="E1" s="395"/>
      <c r="F1" s="395"/>
      <c r="G1" s="395"/>
      <c r="H1" s="396" t="s">
        <v>347</v>
      </c>
      <c r="I1" s="396"/>
      <c r="J1" s="396"/>
      <c r="K1" s="396"/>
      <c r="L1" s="396"/>
      <c r="M1" s="397" t="s">
        <v>348</v>
      </c>
      <c r="N1" s="397"/>
      <c r="O1" s="397"/>
      <c r="P1" s="397"/>
      <c r="Q1" s="397"/>
      <c r="R1" s="398" t="s">
        <v>349</v>
      </c>
      <c r="S1" s="398"/>
      <c r="T1" s="398"/>
      <c r="U1" s="398"/>
      <c r="V1" s="398"/>
      <c r="W1" s="79"/>
      <c r="X1" s="114"/>
      <c r="Y1" s="113" t="s">
        <v>348</v>
      </c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</row>
    <row r="2" spans="1:38" ht="32.85" customHeight="1" x14ac:dyDescent="0.3">
      <c r="A2" s="79"/>
      <c r="B2" s="82"/>
      <c r="C2" s="83" t="s">
        <v>350</v>
      </c>
      <c r="D2" s="83" t="s">
        <v>351</v>
      </c>
      <c r="E2" s="83" t="s">
        <v>426</v>
      </c>
      <c r="F2" s="83" t="s">
        <v>352</v>
      </c>
      <c r="G2" s="83" t="s">
        <v>353</v>
      </c>
      <c r="H2" s="84" t="s">
        <v>350</v>
      </c>
      <c r="I2" s="84" t="s">
        <v>351</v>
      </c>
      <c r="J2" s="188" t="s">
        <v>426</v>
      </c>
      <c r="K2" s="84" t="s">
        <v>352</v>
      </c>
      <c r="L2" s="84" t="s">
        <v>353</v>
      </c>
      <c r="M2" s="85" t="s">
        <v>350</v>
      </c>
      <c r="N2" s="85" t="s">
        <v>351</v>
      </c>
      <c r="O2" s="85" t="s">
        <v>414</v>
      </c>
      <c r="P2" s="85" t="s">
        <v>352</v>
      </c>
      <c r="Q2" s="85" t="s">
        <v>353</v>
      </c>
      <c r="R2" s="86" t="s">
        <v>350</v>
      </c>
      <c r="S2" s="86" t="s">
        <v>351</v>
      </c>
      <c r="T2" s="86" t="s">
        <v>414</v>
      </c>
      <c r="U2" s="86" t="s">
        <v>352</v>
      </c>
      <c r="V2" s="86" t="s">
        <v>353</v>
      </c>
      <c r="W2" s="79"/>
      <c r="X2" s="115"/>
      <c r="Y2" s="107" t="s">
        <v>296</v>
      </c>
      <c r="Z2" s="107" t="s">
        <v>363</v>
      </c>
      <c r="AA2" s="108" t="s">
        <v>25</v>
      </c>
      <c r="AB2" s="106" t="s">
        <v>364</v>
      </c>
      <c r="AC2" s="106" t="s">
        <v>365</v>
      </c>
      <c r="AD2" s="106" t="s">
        <v>366</v>
      </c>
      <c r="AE2" s="106" t="s">
        <v>28</v>
      </c>
      <c r="AF2" s="106" t="s">
        <v>367</v>
      </c>
      <c r="AG2" s="106" t="s">
        <v>368</v>
      </c>
      <c r="AH2" s="106" t="s">
        <v>369</v>
      </c>
      <c r="AI2" s="106" t="s">
        <v>370</v>
      </c>
      <c r="AJ2" s="106" t="s">
        <v>371</v>
      </c>
      <c r="AK2" s="106" t="s">
        <v>38</v>
      </c>
      <c r="AL2" s="106" t="s">
        <v>372</v>
      </c>
    </row>
    <row r="3" spans="1:38" ht="32.85" hidden="1" customHeight="1" x14ac:dyDescent="0.35">
      <c r="A3" s="79"/>
      <c r="B3" s="82">
        <v>46273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>
        <f>C3+H3-M3</f>
        <v>0</v>
      </c>
      <c r="S3" s="79">
        <f>D3+I3-N3</f>
        <v>0</v>
      </c>
      <c r="T3" s="79"/>
      <c r="U3" s="79">
        <f>F3+K3-P3</f>
        <v>0</v>
      </c>
      <c r="V3" s="79">
        <f>G3+L3-Q3</f>
        <v>0</v>
      </c>
      <c r="W3" s="79"/>
      <c r="X3" s="116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</row>
    <row r="4" spans="1:38" ht="32.85" hidden="1" customHeight="1" x14ac:dyDescent="0.3">
      <c r="A4" s="79"/>
      <c r="B4" s="82">
        <v>46274</v>
      </c>
      <c r="C4" s="79"/>
      <c r="D4" s="79"/>
      <c r="E4" s="79"/>
      <c r="F4" s="79"/>
      <c r="G4" s="79"/>
      <c r="H4" s="79"/>
      <c r="I4" s="79"/>
      <c r="J4" s="79"/>
      <c r="K4" s="79">
        <v>50</v>
      </c>
      <c r="L4" s="79"/>
      <c r="M4" s="79"/>
      <c r="N4" s="79"/>
      <c r="O4" s="79"/>
      <c r="P4" s="79">
        <v>2</v>
      </c>
      <c r="Q4" s="79"/>
      <c r="R4" s="79">
        <f t="shared" ref="R4:S7" si="0">C4+H4-M4</f>
        <v>0</v>
      </c>
      <c r="S4" s="79">
        <f t="shared" si="0"/>
        <v>0</v>
      </c>
      <c r="T4" s="79"/>
      <c r="U4" s="79">
        <f t="shared" ref="U4:V7" si="1">F4+K4-P4</f>
        <v>48</v>
      </c>
      <c r="V4" s="79">
        <f t="shared" si="1"/>
        <v>0</v>
      </c>
      <c r="W4" s="126"/>
      <c r="X4" s="125"/>
      <c r="Y4" s="88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</row>
    <row r="5" spans="1:38" ht="32.85" hidden="1" customHeight="1" x14ac:dyDescent="0.3">
      <c r="A5" s="79"/>
      <c r="B5" s="186">
        <v>46304</v>
      </c>
      <c r="C5" s="79">
        <f t="shared" ref="C5:D6" si="2">R4</f>
        <v>0</v>
      </c>
      <c r="D5" s="79">
        <f t="shared" si="2"/>
        <v>0</v>
      </c>
      <c r="E5" s="79"/>
      <c r="F5" s="79">
        <f t="shared" ref="F5:G6" si="3">U4</f>
        <v>48</v>
      </c>
      <c r="G5" s="79">
        <f t="shared" si="3"/>
        <v>0</v>
      </c>
      <c r="H5" s="79"/>
      <c r="I5" s="79"/>
      <c r="J5" s="79"/>
      <c r="K5" s="79">
        <v>40</v>
      </c>
      <c r="L5" s="79"/>
      <c r="M5" s="79"/>
      <c r="N5" s="79"/>
      <c r="O5" s="79"/>
      <c r="P5" s="79">
        <f>20+40+13</f>
        <v>73</v>
      </c>
      <c r="Q5" s="79"/>
      <c r="R5" s="79">
        <f t="shared" si="0"/>
        <v>0</v>
      </c>
      <c r="S5" s="79">
        <f t="shared" si="0"/>
        <v>0</v>
      </c>
      <c r="T5" s="79"/>
      <c r="U5" s="79">
        <f t="shared" si="1"/>
        <v>15</v>
      </c>
      <c r="V5" s="79">
        <f t="shared" si="1"/>
        <v>0</v>
      </c>
      <c r="W5" s="126"/>
      <c r="X5" s="79"/>
      <c r="Y5" s="175" t="s">
        <v>421</v>
      </c>
      <c r="Z5" s="79" t="s">
        <v>422</v>
      </c>
      <c r="AA5" s="79">
        <v>2</v>
      </c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</row>
    <row r="6" spans="1:38" ht="32.85" hidden="1" customHeight="1" x14ac:dyDescent="0.3">
      <c r="A6" s="79"/>
      <c r="B6" s="97" t="s">
        <v>431</v>
      </c>
      <c r="C6" s="79">
        <f t="shared" si="2"/>
        <v>0</v>
      </c>
      <c r="D6" s="79">
        <f t="shared" si="2"/>
        <v>0</v>
      </c>
      <c r="E6" s="79"/>
      <c r="F6" s="79">
        <f t="shared" si="3"/>
        <v>15</v>
      </c>
      <c r="G6" s="79">
        <f t="shared" si="3"/>
        <v>0</v>
      </c>
      <c r="H6" s="79"/>
      <c r="I6" s="79"/>
      <c r="J6" s="79"/>
      <c r="K6" s="79">
        <v>40</v>
      </c>
      <c r="L6" s="79"/>
      <c r="M6" s="79"/>
      <c r="N6" s="79"/>
      <c r="O6" s="79"/>
      <c r="P6" s="79">
        <v>4</v>
      </c>
      <c r="Q6" s="79"/>
      <c r="R6" s="79">
        <f t="shared" si="0"/>
        <v>0</v>
      </c>
      <c r="S6" s="79">
        <f t="shared" si="0"/>
        <v>0</v>
      </c>
      <c r="T6" s="79"/>
      <c r="U6" s="79">
        <f t="shared" si="1"/>
        <v>51</v>
      </c>
      <c r="V6" s="79">
        <f t="shared" si="1"/>
        <v>0</v>
      </c>
      <c r="W6" s="126"/>
      <c r="X6" s="79"/>
      <c r="Y6" s="187" t="s">
        <v>423</v>
      </c>
      <c r="Z6" s="79" t="s">
        <v>424</v>
      </c>
      <c r="AA6" s="79">
        <v>60</v>
      </c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</row>
    <row r="7" spans="1:38" ht="35.1" hidden="1" customHeight="1" x14ac:dyDescent="0.3">
      <c r="A7" s="79"/>
      <c r="B7" s="87" t="s">
        <v>441</v>
      </c>
      <c r="C7" s="79"/>
      <c r="D7" s="79"/>
      <c r="E7" s="79"/>
      <c r="F7" s="79"/>
      <c r="G7" s="79"/>
      <c r="H7" s="79"/>
      <c r="I7" s="79"/>
      <c r="J7" s="79"/>
      <c r="K7" s="79">
        <v>17</v>
      </c>
      <c r="L7" s="79">
        <v>30</v>
      </c>
      <c r="M7" s="79"/>
      <c r="N7" s="79"/>
      <c r="O7" s="79"/>
      <c r="P7" s="79"/>
      <c r="Q7" s="79"/>
      <c r="R7" s="79">
        <f>C7+H7-M7</f>
        <v>0</v>
      </c>
      <c r="S7" s="79">
        <f t="shared" si="0"/>
        <v>0</v>
      </c>
      <c r="T7" s="79">
        <f t="shared" ref="T7" si="4">E7+J7-O7</f>
        <v>0</v>
      </c>
      <c r="U7" s="79">
        <f t="shared" si="1"/>
        <v>17</v>
      </c>
      <c r="V7" s="79">
        <f t="shared" si="1"/>
        <v>30</v>
      </c>
      <c r="W7" s="126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</row>
    <row r="8" spans="1:38" ht="35.1" hidden="1" customHeight="1" x14ac:dyDescent="0.3">
      <c r="A8" s="79"/>
      <c r="B8" s="87" t="s">
        <v>446</v>
      </c>
      <c r="C8" s="79">
        <f>R7</f>
        <v>0</v>
      </c>
      <c r="D8" s="79">
        <f t="shared" ref="D8:G8" si="5">S7</f>
        <v>0</v>
      </c>
      <c r="E8" s="79">
        <f t="shared" si="5"/>
        <v>0</v>
      </c>
      <c r="F8" s="79">
        <f t="shared" si="5"/>
        <v>17</v>
      </c>
      <c r="G8" s="79">
        <f t="shared" si="5"/>
        <v>30</v>
      </c>
      <c r="H8" s="79"/>
      <c r="I8" s="79"/>
      <c r="J8" s="79"/>
      <c r="K8" s="79"/>
      <c r="L8" s="79"/>
      <c r="M8" s="79"/>
      <c r="N8" s="79"/>
      <c r="O8" s="79"/>
      <c r="P8" s="79"/>
      <c r="Q8" s="79"/>
      <c r="R8" s="79">
        <f>C8+H8-M8</f>
        <v>0</v>
      </c>
      <c r="S8" s="79">
        <f t="shared" ref="S8" si="6">D8+I8-N8</f>
        <v>0</v>
      </c>
      <c r="T8" s="79">
        <f t="shared" ref="T8" si="7">E8+J8-O8</f>
        <v>0</v>
      </c>
      <c r="U8" s="79">
        <f t="shared" ref="U8" si="8">F8+K8-P8</f>
        <v>17</v>
      </c>
      <c r="V8" s="79">
        <f t="shared" ref="V8" si="9">G8+L8-Q8</f>
        <v>30</v>
      </c>
      <c r="W8" s="126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</row>
    <row r="9" spans="1:38" ht="35.1" hidden="1" customHeight="1" x14ac:dyDescent="0.3">
      <c r="A9" s="79"/>
      <c r="B9" s="87" t="s">
        <v>447</v>
      </c>
      <c r="C9" s="79">
        <f t="shared" ref="C9:C10" si="10">R8</f>
        <v>0</v>
      </c>
      <c r="D9" s="79">
        <f t="shared" ref="D9:D10" si="11">S8</f>
        <v>0</v>
      </c>
      <c r="E9" s="79">
        <f t="shared" ref="E9:E10" si="12">T8</f>
        <v>0</v>
      </c>
      <c r="F9" s="79">
        <f t="shared" ref="F9:F10" si="13">U8</f>
        <v>17</v>
      </c>
      <c r="G9" s="79">
        <f t="shared" ref="G9:G10" si="14">V8</f>
        <v>30</v>
      </c>
      <c r="H9" s="79"/>
      <c r="I9" s="79"/>
      <c r="J9" s="79"/>
      <c r="K9" s="79"/>
      <c r="L9" s="79"/>
      <c r="M9" s="79"/>
      <c r="N9" s="79"/>
      <c r="O9" s="79"/>
      <c r="P9" s="79"/>
      <c r="Q9" s="79"/>
      <c r="R9" s="79">
        <f t="shared" ref="R9:R10" si="15">C9+H9-M9</f>
        <v>0</v>
      </c>
      <c r="S9" s="79">
        <f t="shared" ref="S9:S10" si="16">D9+I9-N9</f>
        <v>0</v>
      </c>
      <c r="T9" s="79">
        <f t="shared" ref="T9:T10" si="17">E9+J9-O9</f>
        <v>0</v>
      </c>
      <c r="U9" s="79">
        <f t="shared" ref="U9:U10" si="18">F9+K9-P9</f>
        <v>17</v>
      </c>
      <c r="V9" s="79">
        <f t="shared" ref="V9:V10" si="19">G9+L9-Q9</f>
        <v>30</v>
      </c>
      <c r="W9" s="126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</row>
    <row r="10" spans="1:38" ht="35.1" hidden="1" customHeight="1" x14ac:dyDescent="0.3">
      <c r="A10" s="79"/>
      <c r="B10" s="87" t="s">
        <v>449</v>
      </c>
      <c r="C10" s="79">
        <f t="shared" si="10"/>
        <v>0</v>
      </c>
      <c r="D10" s="79">
        <f t="shared" si="11"/>
        <v>0</v>
      </c>
      <c r="E10" s="79">
        <f t="shared" si="12"/>
        <v>0</v>
      </c>
      <c r="F10" s="79">
        <f t="shared" si="13"/>
        <v>17</v>
      </c>
      <c r="G10" s="79">
        <f t="shared" si="14"/>
        <v>30</v>
      </c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>
        <f t="shared" si="15"/>
        <v>0</v>
      </c>
      <c r="S10" s="79">
        <f t="shared" si="16"/>
        <v>0</v>
      </c>
      <c r="T10" s="79">
        <f t="shared" si="17"/>
        <v>0</v>
      </c>
      <c r="U10" s="79">
        <f t="shared" si="18"/>
        <v>17</v>
      </c>
      <c r="V10" s="79">
        <f t="shared" si="19"/>
        <v>30</v>
      </c>
      <c r="W10" s="126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</row>
    <row r="11" spans="1:38" ht="35.1" hidden="1" customHeight="1" x14ac:dyDescent="0.3">
      <c r="A11" s="79"/>
      <c r="B11" s="87" t="s">
        <v>451</v>
      </c>
      <c r="C11" s="79">
        <f t="shared" ref="C11" si="20">R10</f>
        <v>0</v>
      </c>
      <c r="D11" s="79">
        <f t="shared" ref="D11" si="21">S10</f>
        <v>0</v>
      </c>
      <c r="E11" s="79">
        <f t="shared" ref="E11" si="22">T10</f>
        <v>0</v>
      </c>
      <c r="F11" s="79">
        <f t="shared" ref="F11" si="23">U10</f>
        <v>17</v>
      </c>
      <c r="G11" s="79">
        <f t="shared" ref="G11" si="24">V10</f>
        <v>30</v>
      </c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>
        <f t="shared" ref="R11" si="25">C11+H11-M11</f>
        <v>0</v>
      </c>
      <c r="S11" s="79">
        <f t="shared" ref="S11" si="26">D11+I11-N11</f>
        <v>0</v>
      </c>
      <c r="T11" s="79">
        <f t="shared" ref="T11" si="27">E11+J11-O11</f>
        <v>0</v>
      </c>
      <c r="U11" s="79">
        <f t="shared" ref="U11" si="28">F11+K11-P11</f>
        <v>17</v>
      </c>
      <c r="V11" s="79">
        <f t="shared" ref="V11" si="29">G11+L11-Q11</f>
        <v>30</v>
      </c>
      <c r="W11" s="126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</row>
    <row r="12" spans="1:38" ht="35.1" hidden="1" customHeight="1" x14ac:dyDescent="0.3">
      <c r="A12" s="79"/>
      <c r="B12" s="87" t="s">
        <v>461</v>
      </c>
      <c r="C12" s="79">
        <f t="shared" ref="C12" si="30">R11</f>
        <v>0</v>
      </c>
      <c r="D12" s="79">
        <f t="shared" ref="D12" si="31">S11</f>
        <v>0</v>
      </c>
      <c r="E12" s="79">
        <f t="shared" ref="E12" si="32">T11</f>
        <v>0</v>
      </c>
      <c r="F12" s="79">
        <f t="shared" ref="F12" si="33">U11</f>
        <v>17</v>
      </c>
      <c r="G12" s="79">
        <f t="shared" ref="G12" si="34">V11</f>
        <v>30</v>
      </c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>
        <f t="shared" ref="R12" si="35">C12+H12-M12</f>
        <v>0</v>
      </c>
      <c r="S12" s="79">
        <f t="shared" ref="S12" si="36">D12+I12-N12</f>
        <v>0</v>
      </c>
      <c r="T12" s="79">
        <f t="shared" ref="T12" si="37">E12+J12-O12</f>
        <v>0</v>
      </c>
      <c r="U12" s="79">
        <f t="shared" ref="U12" si="38">F12+K12-P12</f>
        <v>17</v>
      </c>
      <c r="V12" s="79">
        <f t="shared" ref="V12" si="39">G12+L12-Q12</f>
        <v>30</v>
      </c>
      <c r="W12" s="126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</row>
    <row r="13" spans="1:38" ht="35.1" hidden="1" customHeight="1" x14ac:dyDescent="0.3">
      <c r="A13" s="79"/>
      <c r="B13" s="87" t="s">
        <v>469</v>
      </c>
      <c r="C13" s="79">
        <f t="shared" ref="C13" si="40">R12</f>
        <v>0</v>
      </c>
      <c r="D13" s="79">
        <f t="shared" ref="D13" si="41">S12</f>
        <v>0</v>
      </c>
      <c r="E13" s="79">
        <f t="shared" ref="E13" si="42">T12</f>
        <v>0</v>
      </c>
      <c r="F13" s="79">
        <f t="shared" ref="F13" si="43">U12</f>
        <v>17</v>
      </c>
      <c r="G13" s="79">
        <f t="shared" ref="G13" si="44">V12</f>
        <v>30</v>
      </c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>
        <f t="shared" ref="R13" si="45">C13+H13-M13</f>
        <v>0</v>
      </c>
      <c r="S13" s="79">
        <f t="shared" ref="S13" si="46">D13+I13-N13</f>
        <v>0</v>
      </c>
      <c r="T13" s="79">
        <f t="shared" ref="T13" si="47">E13+J13-O13</f>
        <v>0</v>
      </c>
      <c r="U13" s="79">
        <f t="shared" ref="U13" si="48">F13+K13-P13</f>
        <v>17</v>
      </c>
      <c r="V13" s="79">
        <f t="shared" ref="V13" si="49">G13+L13-Q13</f>
        <v>30</v>
      </c>
      <c r="W13" s="126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</row>
    <row r="14" spans="1:38" ht="35.1" hidden="1" customHeight="1" x14ac:dyDescent="0.3">
      <c r="A14" s="79"/>
      <c r="B14" s="87" t="s">
        <v>464</v>
      </c>
      <c r="C14" s="79">
        <f t="shared" ref="C14" si="50">R13</f>
        <v>0</v>
      </c>
      <c r="D14" s="79">
        <f t="shared" ref="D14" si="51">S13</f>
        <v>0</v>
      </c>
      <c r="E14" s="79">
        <f t="shared" ref="E14" si="52">T13</f>
        <v>0</v>
      </c>
      <c r="F14" s="79">
        <f t="shared" ref="F14" si="53">U13</f>
        <v>17</v>
      </c>
      <c r="G14" s="79">
        <f t="shared" ref="G14" si="54">V13</f>
        <v>30</v>
      </c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>
        <f t="shared" ref="R14" si="55">C14+H14-M14</f>
        <v>0</v>
      </c>
      <c r="S14" s="79">
        <f t="shared" ref="S14" si="56">D14+I14-N14</f>
        <v>0</v>
      </c>
      <c r="T14" s="79">
        <f t="shared" ref="T14" si="57">E14+J14-O14</f>
        <v>0</v>
      </c>
      <c r="U14" s="79">
        <f t="shared" ref="U14" si="58">F14+K14-P14</f>
        <v>17</v>
      </c>
      <c r="V14" s="79">
        <f t="shared" ref="V14" si="59">G14+L14-Q14</f>
        <v>30</v>
      </c>
      <c r="W14" s="126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</row>
    <row r="15" spans="1:38" ht="35.1" hidden="1" customHeight="1" x14ac:dyDescent="0.3">
      <c r="A15" s="79"/>
      <c r="B15" s="87" t="s">
        <v>474</v>
      </c>
      <c r="C15" s="79">
        <f t="shared" ref="C15:C16" si="60">R14</f>
        <v>0</v>
      </c>
      <c r="D15" s="79">
        <f t="shared" ref="D15:D16" si="61">S14</f>
        <v>0</v>
      </c>
      <c r="E15" s="79">
        <f t="shared" ref="E15:E16" si="62">T14</f>
        <v>0</v>
      </c>
      <c r="F15" s="79">
        <f t="shared" ref="F15:F16" si="63">U14</f>
        <v>17</v>
      </c>
      <c r="G15" s="79">
        <f t="shared" ref="G15:G16" si="64">V14</f>
        <v>30</v>
      </c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>
        <f t="shared" ref="R15:R16" si="65">C15+H15-M15</f>
        <v>0</v>
      </c>
      <c r="S15" s="79">
        <f t="shared" ref="S15:S16" si="66">D15+I15-N15</f>
        <v>0</v>
      </c>
      <c r="T15" s="79">
        <f t="shared" ref="T15:T16" si="67">E15+J15-O15</f>
        <v>0</v>
      </c>
      <c r="U15" s="79">
        <f t="shared" ref="U15:U16" si="68">F15+K15-P15</f>
        <v>17</v>
      </c>
      <c r="V15" s="79">
        <f t="shared" ref="V15:V16" si="69">G15+L15-Q15</f>
        <v>30</v>
      </c>
      <c r="W15" s="126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</row>
    <row r="16" spans="1:38" ht="35.1" hidden="1" customHeight="1" x14ac:dyDescent="0.3">
      <c r="A16" s="79"/>
      <c r="B16" s="87" t="s">
        <v>477</v>
      </c>
      <c r="C16" s="79">
        <f t="shared" si="60"/>
        <v>0</v>
      </c>
      <c r="D16" s="79">
        <f t="shared" si="61"/>
        <v>0</v>
      </c>
      <c r="E16" s="79">
        <f t="shared" si="62"/>
        <v>0</v>
      </c>
      <c r="F16" s="79">
        <f t="shared" si="63"/>
        <v>17</v>
      </c>
      <c r="G16" s="79">
        <f t="shared" si="64"/>
        <v>30</v>
      </c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>
        <f t="shared" si="65"/>
        <v>0</v>
      </c>
      <c r="S16" s="79">
        <f t="shared" si="66"/>
        <v>0</v>
      </c>
      <c r="T16" s="79">
        <f t="shared" si="67"/>
        <v>0</v>
      </c>
      <c r="U16" s="79">
        <f t="shared" si="68"/>
        <v>17</v>
      </c>
      <c r="V16" s="79">
        <f t="shared" si="69"/>
        <v>30</v>
      </c>
      <c r="W16" s="126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</row>
    <row r="17" spans="1:38" ht="35.1" hidden="1" customHeight="1" x14ac:dyDescent="0.3">
      <c r="A17" s="79"/>
      <c r="B17" s="87" t="s">
        <v>478</v>
      </c>
      <c r="C17" s="79">
        <f t="shared" ref="C17" si="70">R16</f>
        <v>0</v>
      </c>
      <c r="D17" s="79">
        <f t="shared" ref="D17" si="71">S16</f>
        <v>0</v>
      </c>
      <c r="E17" s="79">
        <f t="shared" ref="E17" si="72">T16</f>
        <v>0</v>
      </c>
      <c r="F17" s="79">
        <f t="shared" ref="F17" si="73">U16</f>
        <v>17</v>
      </c>
      <c r="G17" s="79">
        <f t="shared" ref="G17" si="74">V16</f>
        <v>30</v>
      </c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>
        <f t="shared" ref="R17" si="75">C17+H17-M17</f>
        <v>0</v>
      </c>
      <c r="S17" s="79">
        <f t="shared" ref="S17" si="76">D17+I17-N17</f>
        <v>0</v>
      </c>
      <c r="T17" s="79">
        <f t="shared" ref="T17" si="77">E17+J17-O17</f>
        <v>0</v>
      </c>
      <c r="U17" s="79">
        <f t="shared" ref="U17" si="78">F17+K17-P17</f>
        <v>17</v>
      </c>
      <c r="V17" s="79">
        <f t="shared" ref="V17" si="79">G17+L17-Q17</f>
        <v>30</v>
      </c>
      <c r="W17" s="126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</row>
    <row r="18" spans="1:38" ht="35.1" hidden="1" customHeight="1" x14ac:dyDescent="0.3">
      <c r="A18" s="79"/>
      <c r="B18" s="87" t="s">
        <v>480</v>
      </c>
      <c r="C18" s="79">
        <f t="shared" ref="C18" si="80">R17</f>
        <v>0</v>
      </c>
      <c r="D18" s="79">
        <f t="shared" ref="D18" si="81">S17</f>
        <v>0</v>
      </c>
      <c r="E18" s="79">
        <f t="shared" ref="E18" si="82">T17</f>
        <v>0</v>
      </c>
      <c r="F18" s="79">
        <f t="shared" ref="F18" si="83">U17</f>
        <v>17</v>
      </c>
      <c r="G18" s="79">
        <f t="shared" ref="G18" si="84">V17</f>
        <v>30</v>
      </c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>
        <f t="shared" ref="R18" si="85">C18+H18-M18</f>
        <v>0</v>
      </c>
      <c r="S18" s="79">
        <f t="shared" ref="S18" si="86">D18+I18-N18</f>
        <v>0</v>
      </c>
      <c r="T18" s="79">
        <f t="shared" ref="T18" si="87">E18+J18-O18</f>
        <v>0</v>
      </c>
      <c r="U18" s="79">
        <f t="shared" ref="U18" si="88">F18+K18-P18</f>
        <v>17</v>
      </c>
      <c r="V18" s="79">
        <f t="shared" ref="V18" si="89">G18+L18-Q18</f>
        <v>30</v>
      </c>
      <c r="W18" s="126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</row>
    <row r="19" spans="1:38" ht="35.1" customHeight="1" x14ac:dyDescent="0.3">
      <c r="A19" s="79"/>
      <c r="B19" s="87" t="s">
        <v>482</v>
      </c>
      <c r="C19" s="79">
        <f t="shared" ref="C19" si="90">R18</f>
        <v>0</v>
      </c>
      <c r="D19" s="79">
        <f t="shared" ref="D19" si="91">S18</f>
        <v>0</v>
      </c>
      <c r="E19" s="79">
        <f t="shared" ref="E19" si="92">T18</f>
        <v>0</v>
      </c>
      <c r="F19" s="79">
        <f t="shared" ref="F19" si="93">U18</f>
        <v>17</v>
      </c>
      <c r="G19" s="79">
        <f t="shared" ref="G19" si="94">V18</f>
        <v>30</v>
      </c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>
        <f t="shared" ref="R19" si="95">C19+H19-M19</f>
        <v>0</v>
      </c>
      <c r="S19" s="79">
        <f t="shared" ref="S19" si="96">D19+I19-N19</f>
        <v>0</v>
      </c>
      <c r="T19" s="79">
        <f t="shared" ref="T19" si="97">E19+J19-O19</f>
        <v>0</v>
      </c>
      <c r="U19" s="79">
        <f t="shared" ref="U19" si="98">F19+K19-P19</f>
        <v>17</v>
      </c>
      <c r="V19" s="79">
        <f t="shared" ref="V19" si="99">G19+L19-Q19</f>
        <v>30</v>
      </c>
      <c r="W19" s="126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</row>
    <row r="20" spans="1:38" ht="35.1" customHeight="1" x14ac:dyDescent="0.3">
      <c r="A20" s="79"/>
      <c r="B20" s="87" t="s">
        <v>486</v>
      </c>
      <c r="C20" s="79">
        <f t="shared" ref="C20" si="100">R19</f>
        <v>0</v>
      </c>
      <c r="D20" s="79">
        <f t="shared" ref="D20" si="101">S19</f>
        <v>0</v>
      </c>
      <c r="E20" s="79">
        <f t="shared" ref="E20" si="102">T19</f>
        <v>0</v>
      </c>
      <c r="F20" s="79">
        <f t="shared" ref="F20" si="103">U19</f>
        <v>17</v>
      </c>
      <c r="G20" s="79">
        <f t="shared" ref="G20" si="104">V19</f>
        <v>30</v>
      </c>
      <c r="H20" s="79"/>
      <c r="I20" s="79"/>
      <c r="J20" s="79"/>
      <c r="K20" s="79"/>
      <c r="L20" s="79"/>
      <c r="M20" s="79"/>
      <c r="N20" s="79"/>
      <c r="O20" s="79"/>
      <c r="P20" s="79"/>
      <c r="Q20" s="79">
        <v>11</v>
      </c>
      <c r="R20" s="79">
        <f t="shared" ref="R20" si="105">C20+H20-M20</f>
        <v>0</v>
      </c>
      <c r="S20" s="79">
        <f t="shared" ref="S20" si="106">D20+I20-N20</f>
        <v>0</v>
      </c>
      <c r="T20" s="79">
        <f t="shared" ref="T20" si="107">E20+J20-O20</f>
        <v>0</v>
      </c>
      <c r="U20" s="79">
        <f t="shared" ref="U20" si="108">F20+K20-P20</f>
        <v>17</v>
      </c>
      <c r="V20" s="79">
        <f t="shared" ref="V20" si="109">G20+L20-Q20</f>
        <v>19</v>
      </c>
      <c r="W20" s="126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</row>
    <row r="21" spans="1:38" ht="35.1" customHeight="1" x14ac:dyDescent="0.3">
      <c r="A21" s="79"/>
      <c r="B21" s="87" t="s">
        <v>505</v>
      </c>
      <c r="C21" s="79">
        <f t="shared" ref="C21" si="110">R20</f>
        <v>0</v>
      </c>
      <c r="D21" s="79">
        <f t="shared" ref="D21" si="111">S20</f>
        <v>0</v>
      </c>
      <c r="E21" s="79">
        <f t="shared" ref="E21" si="112">T20</f>
        <v>0</v>
      </c>
      <c r="F21" s="79">
        <f t="shared" ref="F21" si="113">U20</f>
        <v>17</v>
      </c>
      <c r="G21" s="79">
        <f t="shared" ref="G21" si="114">V20</f>
        <v>19</v>
      </c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>
        <f t="shared" ref="R21" si="115">C21+H21-M21</f>
        <v>0</v>
      </c>
      <c r="S21" s="79">
        <f t="shared" ref="S21" si="116">D21+I21-N21</f>
        <v>0</v>
      </c>
      <c r="T21" s="79">
        <f t="shared" ref="T21" si="117">E21+J21-O21</f>
        <v>0</v>
      </c>
      <c r="U21" s="79">
        <f t="shared" ref="U21" si="118">F21+K21-P21</f>
        <v>17</v>
      </c>
      <c r="V21" s="79">
        <f t="shared" ref="V21" si="119">G21+L21-Q21</f>
        <v>19</v>
      </c>
      <c r="W21" s="126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</row>
    <row r="22" spans="1:38" ht="35.1" customHeight="1" x14ac:dyDescent="0.3">
      <c r="A22" s="79"/>
      <c r="B22" s="186">
        <v>46032</v>
      </c>
      <c r="C22" s="79">
        <f t="shared" ref="C22" si="120">R21</f>
        <v>0</v>
      </c>
      <c r="D22" s="79">
        <f t="shared" ref="D22" si="121">S21</f>
        <v>0</v>
      </c>
      <c r="E22" s="79">
        <f t="shared" ref="E22" si="122">T21</f>
        <v>0</v>
      </c>
      <c r="F22" s="79">
        <f t="shared" ref="F22" si="123">U21</f>
        <v>17</v>
      </c>
      <c r="G22" s="79">
        <f t="shared" ref="G22" si="124">V21</f>
        <v>19</v>
      </c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>
        <f t="shared" ref="R22" si="125">C22+H22-M22</f>
        <v>0</v>
      </c>
      <c r="S22" s="79">
        <f t="shared" ref="S22" si="126">D22+I22-N22</f>
        <v>0</v>
      </c>
      <c r="T22" s="79">
        <f t="shared" ref="T22" si="127">E22+J22-O22</f>
        <v>0</v>
      </c>
      <c r="U22" s="79">
        <f t="shared" ref="U22" si="128">F22+K22-P22</f>
        <v>17</v>
      </c>
      <c r="V22" s="79">
        <f t="shared" ref="V22" si="129">G22+L22-Q22</f>
        <v>19</v>
      </c>
      <c r="W22" s="126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</row>
    <row r="23" spans="1:38" ht="35.1" customHeight="1" x14ac:dyDescent="0.3">
      <c r="B23" s="342">
        <v>46063</v>
      </c>
      <c r="C23" s="79">
        <f t="shared" ref="C23" si="130">R22</f>
        <v>0</v>
      </c>
      <c r="D23" s="79">
        <f t="shared" ref="D23" si="131">S22</f>
        <v>0</v>
      </c>
      <c r="E23" s="79">
        <f t="shared" ref="E23" si="132">T22</f>
        <v>0</v>
      </c>
      <c r="F23" s="79">
        <f t="shared" ref="F23" si="133">U22</f>
        <v>17</v>
      </c>
      <c r="G23" s="79">
        <f t="shared" ref="G23" si="134">V22</f>
        <v>19</v>
      </c>
      <c r="R23" s="79">
        <f t="shared" ref="R23" si="135">C23+H23-M23</f>
        <v>0</v>
      </c>
      <c r="S23" s="79">
        <f t="shared" ref="S23" si="136">D23+I23-N23</f>
        <v>0</v>
      </c>
      <c r="T23" s="79">
        <f t="shared" ref="T23" si="137">E23+J23-O23</f>
        <v>0</v>
      </c>
      <c r="U23" s="79">
        <f t="shared" ref="U23" si="138">F23+K23-P23</f>
        <v>17</v>
      </c>
      <c r="V23" s="79">
        <f t="shared" ref="V23" si="139">G23+L23-Q23</f>
        <v>19</v>
      </c>
      <c r="W23" s="126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</row>
    <row r="24" spans="1:38" ht="35.1" customHeight="1" x14ac:dyDescent="0.3">
      <c r="R24" s="79"/>
      <c r="S24" s="79"/>
      <c r="T24" s="79"/>
      <c r="U24" s="79"/>
      <c r="V24" s="79"/>
      <c r="W24" s="126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</row>
    <row r="25" spans="1:38" ht="35.1" customHeight="1" x14ac:dyDescent="0.3">
      <c r="R25" s="79"/>
      <c r="S25" s="79"/>
      <c r="T25" s="79"/>
      <c r="U25" s="79"/>
      <c r="V25" s="79"/>
      <c r="W25" s="126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</row>
    <row r="26" spans="1:38" ht="35.1" customHeight="1" x14ac:dyDescent="0.3">
      <c r="R26" s="79"/>
      <c r="S26" s="79"/>
      <c r="T26" s="79"/>
      <c r="U26" s="79"/>
      <c r="V26" s="79"/>
      <c r="W26" s="126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</row>
    <row r="27" spans="1:38" ht="35.1" customHeight="1" x14ac:dyDescent="0.3">
      <c r="R27" s="79"/>
      <c r="S27" s="79"/>
      <c r="T27" s="79"/>
      <c r="U27" s="79"/>
      <c r="V27" s="79"/>
      <c r="W27" s="126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</row>
    <row r="28" spans="1:38" ht="35.1" customHeight="1" x14ac:dyDescent="0.3">
      <c r="R28" s="79"/>
      <c r="S28" s="79"/>
      <c r="T28" s="79"/>
      <c r="U28" s="79"/>
      <c r="V28" s="79"/>
      <c r="W28" s="126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</row>
    <row r="29" spans="1:38" ht="35.1" customHeight="1" x14ac:dyDescent="0.3"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</row>
    <row r="30" spans="1:38" ht="35.1" customHeight="1" x14ac:dyDescent="0.3"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</row>
    <row r="31" spans="1:38" ht="35.1" customHeight="1" x14ac:dyDescent="0.3"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</row>
    <row r="32" spans="1:38" ht="35.1" customHeight="1" x14ac:dyDescent="0.3"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</row>
    <row r="33" spans="24:38" x14ac:dyDescent="0.3"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</row>
    <row r="34" spans="24:38" x14ac:dyDescent="0.3"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</row>
    <row r="35" spans="24:38" x14ac:dyDescent="0.3"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</row>
    <row r="36" spans="24:38" x14ac:dyDescent="0.3">
      <c r="X36" s="79"/>
      <c r="Y36" s="79" t="s">
        <v>389</v>
      </c>
      <c r="Z36" s="79"/>
      <c r="AA36" s="79">
        <v>2</v>
      </c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</row>
    <row r="37" spans="24:38" x14ac:dyDescent="0.3">
      <c r="X37" s="79"/>
      <c r="Y37" s="79" t="s">
        <v>374</v>
      </c>
      <c r="Z37" s="79"/>
      <c r="AA37" s="79">
        <v>36</v>
      </c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</row>
    <row r="38" spans="24:38" x14ac:dyDescent="0.3">
      <c r="X38" s="79"/>
      <c r="Y38" s="79" t="s">
        <v>399</v>
      </c>
      <c r="Z38" s="79"/>
      <c r="AA38" s="79">
        <v>6</v>
      </c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</row>
    <row r="39" spans="24:38" x14ac:dyDescent="0.3">
      <c r="X39" s="79"/>
      <c r="Y39" s="79" t="s">
        <v>400</v>
      </c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>
        <v>10</v>
      </c>
      <c r="AL39" s="79">
        <v>1</v>
      </c>
    </row>
    <row r="40" spans="24:38" x14ac:dyDescent="0.3">
      <c r="X40" s="79"/>
      <c r="Y40" s="79" t="s">
        <v>401</v>
      </c>
      <c r="Z40" s="79"/>
      <c r="AA40" s="79">
        <v>2</v>
      </c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</row>
    <row r="41" spans="24:38" x14ac:dyDescent="0.3">
      <c r="X41" s="79"/>
      <c r="Y41" s="79" t="s">
        <v>402</v>
      </c>
      <c r="Z41" s="79"/>
      <c r="AA41" s="79">
        <v>6</v>
      </c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</row>
    <row r="42" spans="24:38" x14ac:dyDescent="0.3">
      <c r="X42" s="79"/>
      <c r="Y42" s="79" t="s">
        <v>403</v>
      </c>
      <c r="Z42" s="79"/>
      <c r="AA42" s="79">
        <v>2</v>
      </c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</row>
    <row r="43" spans="24:38" x14ac:dyDescent="0.3">
      <c r="X43" s="79"/>
      <c r="Y43" s="79" t="s">
        <v>404</v>
      </c>
      <c r="Z43" s="79"/>
      <c r="AA43" s="79"/>
      <c r="AB43" s="79"/>
      <c r="AC43" s="79"/>
      <c r="AD43" s="79"/>
      <c r="AE43" s="79"/>
      <c r="AF43" s="79"/>
      <c r="AG43" s="79"/>
      <c r="AH43" s="79"/>
      <c r="AI43" s="79">
        <v>4</v>
      </c>
      <c r="AJ43" s="79"/>
      <c r="AK43" s="79"/>
      <c r="AL43" s="79"/>
    </row>
    <row r="44" spans="24:38" x14ac:dyDescent="0.3">
      <c r="X44" s="79"/>
      <c r="Y44" s="79" t="s">
        <v>374</v>
      </c>
      <c r="Z44" s="79"/>
      <c r="AA44" s="79">
        <v>11</v>
      </c>
      <c r="AB44" s="79"/>
      <c r="AC44" s="79"/>
      <c r="AD44" s="79"/>
      <c r="AE44" s="79">
        <v>33</v>
      </c>
      <c r="AF44" s="79"/>
      <c r="AG44" s="79"/>
      <c r="AH44" s="79"/>
      <c r="AI44" s="79">
        <v>2</v>
      </c>
      <c r="AJ44" s="79"/>
      <c r="AK44" s="79"/>
      <c r="AL44" s="79"/>
    </row>
    <row r="45" spans="24:38" x14ac:dyDescent="0.3">
      <c r="X45" s="79"/>
      <c r="Y45" s="79" t="s">
        <v>405</v>
      </c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>
        <v>8</v>
      </c>
      <c r="AL45" s="79"/>
    </row>
    <row r="46" spans="24:38" x14ac:dyDescent="0.3">
      <c r="X46" s="79"/>
      <c r="Y46" s="79" t="s">
        <v>394</v>
      </c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>
        <v>4</v>
      </c>
      <c r="AL46" s="79"/>
    </row>
    <row r="47" spans="24:38" x14ac:dyDescent="0.3">
      <c r="X47" s="125">
        <v>46243</v>
      </c>
      <c r="Y47" s="79" t="s">
        <v>406</v>
      </c>
      <c r="Z47" s="79"/>
      <c r="AA47" s="79">
        <v>22</v>
      </c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</row>
    <row r="48" spans="24:38" x14ac:dyDescent="0.3">
      <c r="X48" s="79"/>
      <c r="Y48" s="79" t="s">
        <v>406</v>
      </c>
      <c r="Z48" s="79"/>
      <c r="AA48" s="79">
        <v>22</v>
      </c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</row>
    <row r="49" spans="24:38" x14ac:dyDescent="0.3">
      <c r="X49" s="79"/>
      <c r="Y49" s="79" t="s">
        <v>406</v>
      </c>
      <c r="Z49" s="79"/>
      <c r="AA49" s="79"/>
      <c r="AB49" s="79"/>
      <c r="AC49" s="79"/>
      <c r="AD49" s="79"/>
      <c r="AE49" s="79">
        <v>11</v>
      </c>
      <c r="AF49" s="79"/>
      <c r="AG49" s="79"/>
      <c r="AH49" s="79"/>
      <c r="AI49" s="79">
        <v>4</v>
      </c>
      <c r="AJ49" s="79"/>
      <c r="AK49" s="79"/>
      <c r="AL49" s="79"/>
    </row>
    <row r="50" spans="24:38" x14ac:dyDescent="0.3">
      <c r="X50" s="79"/>
      <c r="Y50" s="79" t="s">
        <v>50</v>
      </c>
      <c r="Z50" s="79"/>
      <c r="AA50" s="79">
        <v>3</v>
      </c>
      <c r="AB50" s="79"/>
      <c r="AC50" s="79"/>
      <c r="AD50" s="79"/>
      <c r="AE50" s="79">
        <v>3</v>
      </c>
      <c r="AF50" s="79"/>
      <c r="AG50" s="79"/>
      <c r="AH50" s="79"/>
      <c r="AI50" s="79"/>
      <c r="AJ50" s="79"/>
      <c r="AK50" s="79"/>
      <c r="AL50" s="79"/>
    </row>
    <row r="51" spans="24:38" x14ac:dyDescent="0.3">
      <c r="X51" s="79"/>
      <c r="Y51" s="79" t="s">
        <v>407</v>
      </c>
      <c r="Z51" s="79"/>
      <c r="AA51" s="79">
        <v>2</v>
      </c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</row>
    <row r="52" spans="24:38" x14ac:dyDescent="0.3">
      <c r="X52" s="79"/>
      <c r="Y52" s="79" t="s">
        <v>399</v>
      </c>
      <c r="Z52" s="79"/>
      <c r="AA52" s="79">
        <v>4</v>
      </c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</row>
    <row r="53" spans="24:38" x14ac:dyDescent="0.3">
      <c r="X53" s="79"/>
      <c r="Y53" s="79" t="s">
        <v>406</v>
      </c>
      <c r="Z53" s="79"/>
      <c r="AA53" s="79"/>
      <c r="AB53" s="79"/>
      <c r="AC53" s="79"/>
      <c r="AD53" s="79"/>
      <c r="AE53" s="79">
        <v>22</v>
      </c>
      <c r="AF53" s="79"/>
      <c r="AG53" s="79"/>
      <c r="AH53" s="79"/>
      <c r="AI53" s="79"/>
      <c r="AJ53" s="79"/>
      <c r="AK53" s="79"/>
      <c r="AL53" s="79"/>
    </row>
    <row r="54" spans="24:38" x14ac:dyDescent="0.3">
      <c r="X54" s="79"/>
      <c r="Y54" s="79" t="s">
        <v>408</v>
      </c>
      <c r="Z54" s="79"/>
      <c r="AA54" s="79"/>
      <c r="AB54" s="79"/>
      <c r="AC54" s="79"/>
      <c r="AD54" s="79"/>
      <c r="AE54" s="79"/>
      <c r="AF54" s="79"/>
      <c r="AG54" s="79"/>
      <c r="AH54" s="79"/>
      <c r="AI54" s="79">
        <v>3</v>
      </c>
      <c r="AJ54" s="79"/>
      <c r="AK54" s="79"/>
      <c r="AL54" s="79"/>
    </row>
    <row r="55" spans="24:38" x14ac:dyDescent="0.3"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</row>
    <row r="56" spans="24:38" x14ac:dyDescent="0.3"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</row>
    <row r="57" spans="24:38" x14ac:dyDescent="0.3"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</row>
    <row r="58" spans="24:38" x14ac:dyDescent="0.3"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</row>
    <row r="59" spans="24:38" x14ac:dyDescent="0.3"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</row>
    <row r="60" spans="24:38" x14ac:dyDescent="0.3"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</row>
    <row r="61" spans="24:38" x14ac:dyDescent="0.3"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</row>
    <row r="62" spans="24:38" x14ac:dyDescent="0.3"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</row>
    <row r="63" spans="24:38" x14ac:dyDescent="0.3"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</row>
    <row r="64" spans="24:38" x14ac:dyDescent="0.3">
      <c r="X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</row>
    <row r="65" spans="24:38" x14ac:dyDescent="0.3"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</row>
    <row r="66" spans="24:38" x14ac:dyDescent="0.3"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</row>
    <row r="67" spans="24:38" x14ac:dyDescent="0.3">
      <c r="X67" s="79"/>
      <c r="Y67" s="79"/>
      <c r="Z67" s="111" t="s">
        <v>383</v>
      </c>
      <c r="AA67" s="79">
        <f t="shared" ref="AA67:AL67" si="140">SUM(AA36:AA63)</f>
        <v>118</v>
      </c>
      <c r="AB67" s="79">
        <f t="shared" si="140"/>
        <v>0</v>
      </c>
      <c r="AC67" s="79">
        <f t="shared" si="140"/>
        <v>0</v>
      </c>
      <c r="AD67" s="79">
        <f t="shared" si="140"/>
        <v>0</v>
      </c>
      <c r="AE67" s="79">
        <f t="shared" si="140"/>
        <v>69</v>
      </c>
      <c r="AF67" s="79">
        <f t="shared" si="140"/>
        <v>0</v>
      </c>
      <c r="AG67" s="79">
        <f t="shared" si="140"/>
        <v>0</v>
      </c>
      <c r="AH67" s="79">
        <f t="shared" si="140"/>
        <v>0</v>
      </c>
      <c r="AI67" s="79">
        <f t="shared" si="140"/>
        <v>13</v>
      </c>
      <c r="AJ67" s="79">
        <f t="shared" si="140"/>
        <v>0</v>
      </c>
      <c r="AK67" s="79">
        <f t="shared" si="140"/>
        <v>22</v>
      </c>
      <c r="AL67" s="79">
        <f t="shared" si="140"/>
        <v>1</v>
      </c>
    </row>
    <row r="68" spans="24:38" x14ac:dyDescent="0.3">
      <c r="X68" s="79"/>
      <c r="Y68" s="79"/>
      <c r="Z68" s="111" t="s">
        <v>384</v>
      </c>
      <c r="AA68" s="112">
        <f>I4+I122-AA67</f>
        <v>-118</v>
      </c>
      <c r="AB68" s="112">
        <f>K4+K122-AB67</f>
        <v>50</v>
      </c>
      <c r="AC68" s="112">
        <f>L4+L122-AC67</f>
        <v>0</v>
      </c>
      <c r="AD68" s="112">
        <f>M4+M122-AD67</f>
        <v>0</v>
      </c>
      <c r="AE68" s="112">
        <f>N4+N122-AE67</f>
        <v>-69</v>
      </c>
      <c r="AF68" s="112">
        <f>P4+P122-AF67</f>
        <v>2</v>
      </c>
      <c r="AG68" s="112">
        <f>Q4+Q122-AG67</f>
        <v>0</v>
      </c>
      <c r="AH68" s="112">
        <f>R4+R122-AH67</f>
        <v>0</v>
      </c>
      <c r="AI68" s="112">
        <f>S4+S122-AI67</f>
        <v>-13</v>
      </c>
      <c r="AJ68" s="112">
        <f>U4+U122-AJ67</f>
        <v>48</v>
      </c>
      <c r="AK68" s="112">
        <f>V4+V122-AK67</f>
        <v>-22</v>
      </c>
      <c r="AL68" s="112">
        <f>W4+W122-AL67</f>
        <v>-1</v>
      </c>
    </row>
    <row r="69" spans="24:38" x14ac:dyDescent="0.3">
      <c r="X69" s="79"/>
    </row>
    <row r="70" spans="24:38" x14ac:dyDescent="0.3">
      <c r="X70" s="79"/>
    </row>
    <row r="71" spans="24:38" x14ac:dyDescent="0.3">
      <c r="X71" s="79"/>
    </row>
    <row r="72" spans="24:38" x14ac:dyDescent="0.3">
      <c r="X72" s="79"/>
    </row>
    <row r="73" spans="24:38" x14ac:dyDescent="0.3">
      <c r="X73" s="79"/>
    </row>
    <row r="74" spans="24:38" x14ac:dyDescent="0.3">
      <c r="X74" s="79"/>
    </row>
    <row r="75" spans="24:38" x14ac:dyDescent="0.3">
      <c r="X75" s="79"/>
    </row>
    <row r="76" spans="24:38" x14ac:dyDescent="0.3">
      <c r="X76" s="79"/>
    </row>
    <row r="77" spans="24:38" x14ac:dyDescent="0.3">
      <c r="X77" s="79"/>
    </row>
    <row r="78" spans="24:38" x14ac:dyDescent="0.3">
      <c r="X78" s="79"/>
    </row>
    <row r="79" spans="24:38" x14ac:dyDescent="0.3">
      <c r="X79" s="79"/>
    </row>
    <row r="80" spans="24:38" x14ac:dyDescent="0.3">
      <c r="X80" s="79"/>
    </row>
    <row r="81" spans="24:24" x14ac:dyDescent="0.3">
      <c r="X81" s="79"/>
    </row>
    <row r="82" spans="24:24" x14ac:dyDescent="0.3">
      <c r="X82" s="79"/>
    </row>
    <row r="83" spans="24:24" x14ac:dyDescent="0.3">
      <c r="X83" s="79"/>
    </row>
    <row r="84" spans="24:24" x14ac:dyDescent="0.3">
      <c r="X84" s="79"/>
    </row>
    <row r="85" spans="24:24" x14ac:dyDescent="0.3">
      <c r="X85" s="79"/>
    </row>
    <row r="86" spans="24:24" x14ac:dyDescent="0.3">
      <c r="X86" s="79"/>
    </row>
    <row r="87" spans="24:24" x14ac:dyDescent="0.3">
      <c r="X87" s="79"/>
    </row>
    <row r="88" spans="24:24" x14ac:dyDescent="0.3">
      <c r="X88" s="79"/>
    </row>
    <row r="89" spans="24:24" x14ac:dyDescent="0.3">
      <c r="X89" s="79"/>
    </row>
    <row r="90" spans="24:24" x14ac:dyDescent="0.3">
      <c r="X90" s="79"/>
    </row>
    <row r="91" spans="24:24" x14ac:dyDescent="0.3">
      <c r="X91" s="79"/>
    </row>
    <row r="92" spans="24:24" x14ac:dyDescent="0.3">
      <c r="X92" s="79"/>
    </row>
    <row r="93" spans="24:24" x14ac:dyDescent="0.3">
      <c r="X93" s="79"/>
    </row>
    <row r="94" spans="24:24" x14ac:dyDescent="0.3">
      <c r="X94" s="79"/>
    </row>
    <row r="95" spans="24:24" x14ac:dyDescent="0.3">
      <c r="X95" s="79"/>
    </row>
    <row r="96" spans="24:24" x14ac:dyDescent="0.3">
      <c r="X96" s="79"/>
    </row>
    <row r="97" spans="24:24" x14ac:dyDescent="0.3">
      <c r="X97" s="79"/>
    </row>
    <row r="98" spans="24:24" x14ac:dyDescent="0.3">
      <c r="X98" s="79"/>
    </row>
    <row r="99" spans="24:24" x14ac:dyDescent="0.3">
      <c r="X99" s="79"/>
    </row>
    <row r="100" spans="24:24" x14ac:dyDescent="0.3">
      <c r="X100" s="79"/>
    </row>
    <row r="101" spans="24:24" x14ac:dyDescent="0.3">
      <c r="X101" s="79"/>
    </row>
    <row r="102" spans="24:24" x14ac:dyDescent="0.3">
      <c r="X102" s="79"/>
    </row>
    <row r="103" spans="24:24" x14ac:dyDescent="0.3">
      <c r="X103" s="79"/>
    </row>
    <row r="104" spans="24:24" x14ac:dyDescent="0.3">
      <c r="X104" s="79"/>
    </row>
    <row r="105" spans="24:24" x14ac:dyDescent="0.3">
      <c r="X105" s="79"/>
    </row>
    <row r="106" spans="24:24" x14ac:dyDescent="0.3">
      <c r="X106" s="79"/>
    </row>
    <row r="107" spans="24:24" x14ac:dyDescent="0.3">
      <c r="X107" s="79"/>
    </row>
    <row r="108" spans="24:24" x14ac:dyDescent="0.3">
      <c r="X108" s="79"/>
    </row>
    <row r="109" spans="24:24" x14ac:dyDescent="0.3">
      <c r="X109" s="79"/>
    </row>
    <row r="110" spans="24:24" x14ac:dyDescent="0.3">
      <c r="X110" s="79"/>
    </row>
    <row r="111" spans="24:24" x14ac:dyDescent="0.3">
      <c r="X111" s="79"/>
    </row>
    <row r="112" spans="24:24" x14ac:dyDescent="0.3">
      <c r="X112" s="79"/>
    </row>
    <row r="113" spans="24:24" x14ac:dyDescent="0.3">
      <c r="X113" s="79"/>
    </row>
    <row r="114" spans="24:24" x14ac:dyDescent="0.3">
      <c r="X114" s="79"/>
    </row>
    <row r="115" spans="24:24" x14ac:dyDescent="0.3">
      <c r="X115" s="79"/>
    </row>
    <row r="116" spans="24:24" x14ac:dyDescent="0.3">
      <c r="X116" s="79"/>
    </row>
    <row r="117" spans="24:24" x14ac:dyDescent="0.3">
      <c r="X117" s="79"/>
    </row>
    <row r="118" spans="24:24" x14ac:dyDescent="0.3">
      <c r="X118" s="79"/>
    </row>
    <row r="119" spans="24:24" x14ac:dyDescent="0.3">
      <c r="X119" s="79"/>
    </row>
    <row r="120" spans="24:24" x14ac:dyDescent="0.3">
      <c r="X120" s="79"/>
    </row>
    <row r="121" spans="24:24" x14ac:dyDescent="0.3">
      <c r="X121" s="79"/>
    </row>
    <row r="122" spans="24:24" x14ac:dyDescent="0.3">
      <c r="X122" s="79"/>
    </row>
    <row r="123" spans="24:24" x14ac:dyDescent="0.3">
      <c r="X123" s="79"/>
    </row>
  </sheetData>
  <mergeCells count="4">
    <mergeCell ref="C1:G1"/>
    <mergeCell ref="H1:L1"/>
    <mergeCell ref="M1:Q1"/>
    <mergeCell ref="R1:V1"/>
  </mergeCells>
  <dataValidations count="1">
    <dataValidation type="list" allowBlank="1" showInputMessage="1" showErrorMessage="1" sqref="Y67:Y1068 Y1:Y3" xr:uid="{B96D943A-84BD-4808-A877-33DB660F9EA6}">
      <formula1>$A$3:$A$473</formula1>
      <formula2>0</formula2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CB3F9-E62E-480C-8EED-496EE4B761FD}">
  <dimension ref="A1:AK41"/>
  <sheetViews>
    <sheetView topLeftCell="U1" workbookViewId="0">
      <pane ySplit="3" topLeftCell="A18" activePane="bottomLeft" state="frozen"/>
      <selection pane="bottomLeft" activeCell="A31" sqref="A31:XFD31"/>
    </sheetView>
  </sheetViews>
  <sheetFormatPr defaultColWidth="9.109375" defaultRowHeight="13.8" x14ac:dyDescent="0.25"/>
  <cols>
    <col min="1" max="1" width="4.21875" style="165" customWidth="1"/>
    <col min="2" max="2" width="9.44140625" style="160" customWidth="1"/>
    <col min="3" max="3" width="10.77734375" style="160" customWidth="1"/>
    <col min="4" max="17" width="13.33203125" style="160" customWidth="1"/>
    <col min="18" max="19" width="17.77734375" style="160" customWidth="1"/>
    <col min="20" max="31" width="13.33203125" style="160" customWidth="1"/>
    <col min="32" max="16384" width="9.109375" style="160"/>
  </cols>
  <sheetData>
    <row r="1" spans="1:37" s="167" customFormat="1" ht="18" customHeight="1" x14ac:dyDescent="0.25">
      <c r="A1" s="409" t="s">
        <v>3</v>
      </c>
      <c r="B1" s="409" t="s">
        <v>356</v>
      </c>
      <c r="C1" s="405" t="s">
        <v>361</v>
      </c>
      <c r="D1" s="411"/>
      <c r="E1" s="411"/>
      <c r="F1" s="411"/>
      <c r="G1" s="411"/>
      <c r="H1" s="406"/>
      <c r="I1" s="245"/>
      <c r="J1" s="412" t="s">
        <v>362</v>
      </c>
      <c r="K1" s="413"/>
      <c r="L1" s="413"/>
      <c r="M1" s="413"/>
      <c r="N1" s="413"/>
      <c r="O1" s="414"/>
      <c r="P1" s="241"/>
      <c r="Q1" s="415" t="s">
        <v>442</v>
      </c>
      <c r="R1" s="416"/>
      <c r="S1" s="416"/>
      <c r="T1" s="416"/>
      <c r="U1" s="416"/>
      <c r="V1" s="417"/>
      <c r="W1" s="239"/>
      <c r="X1" s="418" t="s">
        <v>443</v>
      </c>
      <c r="Y1" s="419"/>
      <c r="Z1" s="419"/>
      <c r="AA1" s="419"/>
      <c r="AB1" s="419"/>
      <c r="AC1" s="420"/>
      <c r="AD1" s="242"/>
      <c r="AE1" s="401" t="s">
        <v>488</v>
      </c>
      <c r="AF1" s="421"/>
      <c r="AG1" s="421"/>
      <c r="AH1" s="421"/>
      <c r="AI1" s="421"/>
      <c r="AJ1" s="421"/>
      <c r="AK1" s="402"/>
    </row>
    <row r="2" spans="1:37" s="167" customFormat="1" ht="21.6" customHeight="1" x14ac:dyDescent="0.25">
      <c r="A2" s="410"/>
      <c r="B2" s="410"/>
      <c r="C2" s="168" t="s">
        <v>358</v>
      </c>
      <c r="D2" s="405" t="s">
        <v>359</v>
      </c>
      <c r="E2" s="406"/>
      <c r="F2" s="405" t="s">
        <v>490</v>
      </c>
      <c r="G2" s="406"/>
      <c r="H2" s="405" t="s">
        <v>491</v>
      </c>
      <c r="I2" s="406"/>
      <c r="J2" s="169" t="s">
        <v>358</v>
      </c>
      <c r="K2" s="401" t="s">
        <v>359</v>
      </c>
      <c r="L2" s="402"/>
      <c r="M2" s="401" t="s">
        <v>490</v>
      </c>
      <c r="N2" s="402"/>
      <c r="O2" s="401" t="s">
        <v>491</v>
      </c>
      <c r="P2" s="402"/>
      <c r="Q2" s="210" t="s">
        <v>358</v>
      </c>
      <c r="R2" s="407" t="s">
        <v>359</v>
      </c>
      <c r="S2" s="408"/>
      <c r="T2" s="407" t="s">
        <v>493</v>
      </c>
      <c r="U2" s="408"/>
      <c r="V2" s="407" t="s">
        <v>360</v>
      </c>
      <c r="W2" s="408"/>
      <c r="X2" s="211" t="s">
        <v>358</v>
      </c>
      <c r="Y2" s="211" t="s">
        <v>359</v>
      </c>
      <c r="Z2" s="211"/>
      <c r="AA2" s="403" t="s">
        <v>490</v>
      </c>
      <c r="AB2" s="404"/>
      <c r="AC2" s="403" t="s">
        <v>360</v>
      </c>
      <c r="AD2" s="404"/>
      <c r="AE2" s="169" t="s">
        <v>358</v>
      </c>
      <c r="AF2" s="401" t="s">
        <v>359</v>
      </c>
      <c r="AG2" s="402"/>
      <c r="AH2" s="401" t="s">
        <v>490</v>
      </c>
      <c r="AI2" s="402"/>
      <c r="AJ2" s="401" t="s">
        <v>491</v>
      </c>
      <c r="AK2" s="402"/>
    </row>
    <row r="3" spans="1:37" s="167" customFormat="1" ht="21.6" customHeight="1" x14ac:dyDescent="0.25">
      <c r="A3" s="208"/>
      <c r="B3" s="208"/>
      <c r="C3" s="168"/>
      <c r="D3" s="210" t="s">
        <v>485</v>
      </c>
      <c r="E3" s="210" t="s">
        <v>494</v>
      </c>
      <c r="F3" s="168" t="s">
        <v>21</v>
      </c>
      <c r="G3" s="168" t="s">
        <v>492</v>
      </c>
      <c r="H3" s="168" t="s">
        <v>21</v>
      </c>
      <c r="I3" s="168" t="s">
        <v>492</v>
      </c>
      <c r="J3" s="169"/>
      <c r="K3" s="210" t="s">
        <v>485</v>
      </c>
      <c r="L3" s="210" t="s">
        <v>494</v>
      </c>
      <c r="M3" s="168" t="s">
        <v>21</v>
      </c>
      <c r="N3" s="168" t="s">
        <v>492</v>
      </c>
      <c r="O3" s="168" t="s">
        <v>21</v>
      </c>
      <c r="P3" s="168" t="s">
        <v>492</v>
      </c>
      <c r="Q3" s="210"/>
      <c r="R3" s="210" t="s">
        <v>485</v>
      </c>
      <c r="S3" s="210" t="s">
        <v>484</v>
      </c>
      <c r="T3" s="168" t="s">
        <v>21</v>
      </c>
      <c r="U3" s="168" t="s">
        <v>492</v>
      </c>
      <c r="V3" s="168" t="s">
        <v>21</v>
      </c>
      <c r="W3" s="168" t="s">
        <v>492</v>
      </c>
      <c r="X3" s="211"/>
      <c r="Y3" s="210" t="s">
        <v>485</v>
      </c>
      <c r="Z3" s="210" t="s">
        <v>484</v>
      </c>
      <c r="AA3" s="211" t="s">
        <v>495</v>
      </c>
      <c r="AB3" s="211" t="s">
        <v>492</v>
      </c>
      <c r="AC3" s="168" t="s">
        <v>21</v>
      </c>
      <c r="AD3" s="168" t="s">
        <v>492</v>
      </c>
      <c r="AE3" s="169"/>
      <c r="AF3" s="169" t="s">
        <v>485</v>
      </c>
      <c r="AG3" s="169" t="s">
        <v>484</v>
      </c>
      <c r="AH3" s="169" t="s">
        <v>21</v>
      </c>
      <c r="AI3" s="169" t="s">
        <v>492</v>
      </c>
      <c r="AJ3" s="169" t="s">
        <v>21</v>
      </c>
      <c r="AK3" s="169" t="s">
        <v>492</v>
      </c>
    </row>
    <row r="4" spans="1:37" s="167" customFormat="1" ht="21.6" customHeight="1" x14ac:dyDescent="0.25">
      <c r="A4" s="208"/>
      <c r="B4" s="208"/>
      <c r="C4" s="168"/>
      <c r="D4" s="168"/>
      <c r="E4" s="168"/>
      <c r="F4" s="168"/>
      <c r="G4" s="168"/>
      <c r="H4" s="168"/>
      <c r="I4" s="168"/>
      <c r="J4" s="169"/>
      <c r="K4" s="169"/>
      <c r="L4" s="169"/>
      <c r="M4" s="169"/>
      <c r="N4" s="169"/>
      <c r="O4" s="169"/>
      <c r="P4" s="169"/>
      <c r="Q4" s="210"/>
      <c r="R4" s="210"/>
      <c r="S4" s="210"/>
      <c r="T4" s="210"/>
      <c r="U4" s="210"/>
      <c r="V4" s="210"/>
      <c r="W4" s="210"/>
      <c r="X4" s="211"/>
      <c r="Y4" s="211"/>
      <c r="Z4" s="211"/>
      <c r="AA4" s="211"/>
      <c r="AB4" s="211"/>
      <c r="AC4" s="211"/>
      <c r="AD4" s="246"/>
      <c r="AE4" s="208"/>
      <c r="AF4" s="244"/>
      <c r="AG4" s="244"/>
      <c r="AH4" s="244"/>
      <c r="AI4" s="244"/>
      <c r="AJ4" s="244"/>
      <c r="AK4" s="244"/>
    </row>
    <row r="5" spans="1:37" ht="28.2" customHeight="1" x14ac:dyDescent="0.25">
      <c r="A5" s="164">
        <v>1</v>
      </c>
      <c r="B5" s="166">
        <v>46273</v>
      </c>
      <c r="C5" s="170"/>
      <c r="D5" s="170"/>
      <c r="E5" s="170"/>
      <c r="F5" s="170">
        <f>60</f>
        <v>60</v>
      </c>
      <c r="G5" s="170"/>
      <c r="H5" s="170"/>
      <c r="I5" s="170"/>
      <c r="J5" s="170"/>
      <c r="K5" s="170"/>
      <c r="L5" s="170"/>
      <c r="M5" s="170">
        <v>120</v>
      </c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247"/>
      <c r="AE5" s="208">
        <f>C5+J5+Q5+X5</f>
        <v>0</v>
      </c>
      <c r="AF5" s="208">
        <f>D5+K5+R5+Y5</f>
        <v>0</v>
      </c>
      <c r="AG5" s="208">
        <f>E5+L5+S5+Z5</f>
        <v>0</v>
      </c>
      <c r="AH5" s="208">
        <f>F5+M5+T5+AA5</f>
        <v>180</v>
      </c>
      <c r="AI5" s="208">
        <f>G5+N5+U5</f>
        <v>0</v>
      </c>
      <c r="AJ5" s="208">
        <f>H5+O5+V5+AD5</f>
        <v>0</v>
      </c>
      <c r="AK5" s="208">
        <f>I5+P5+W5+AD5</f>
        <v>0</v>
      </c>
    </row>
    <row r="6" spans="1:37" ht="28.2" customHeight="1" x14ac:dyDescent="0.25">
      <c r="A6" s="164">
        <v>2</v>
      </c>
      <c r="B6" s="166">
        <v>46274</v>
      </c>
      <c r="C6" s="170"/>
      <c r="D6" s="170">
        <v>20</v>
      </c>
      <c r="E6" s="170"/>
      <c r="F6" s="170"/>
      <c r="G6" s="170">
        <v>11</v>
      </c>
      <c r="H6" s="170">
        <v>40</v>
      </c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>
        <v>50</v>
      </c>
      <c r="U6" s="170"/>
      <c r="V6" s="170"/>
      <c r="W6" s="170"/>
      <c r="X6" s="170"/>
      <c r="Y6" s="170"/>
      <c r="Z6" s="170"/>
      <c r="AA6" s="170"/>
      <c r="AB6" s="170"/>
      <c r="AC6" s="170"/>
      <c r="AD6" s="247"/>
      <c r="AE6" s="208">
        <f t="shared" ref="AE6:AE21" si="0">C6+J6+Q6+X6</f>
        <v>0</v>
      </c>
      <c r="AF6" s="208">
        <f t="shared" ref="AF6:AF21" si="1">D6+K6+R6+Y6</f>
        <v>20</v>
      </c>
      <c r="AG6" s="208">
        <f t="shared" ref="AG6:AG21" si="2">E6+L6+S6+Z6</f>
        <v>0</v>
      </c>
      <c r="AH6" s="208">
        <f t="shared" ref="AH6:AH21" si="3">F6+M6+T6+AA6</f>
        <v>50</v>
      </c>
      <c r="AI6" s="208">
        <f>G6+N6+U6+AB6</f>
        <v>11</v>
      </c>
      <c r="AJ6" s="208">
        <f t="shared" ref="AJ6:AJ21" si="4">H6+O6+V6+AD6</f>
        <v>40</v>
      </c>
      <c r="AK6" s="208">
        <f t="shared" ref="AK6:AK21" si="5">I6+P6+W6+AD6</f>
        <v>0</v>
      </c>
    </row>
    <row r="7" spans="1:37" ht="28.2" customHeight="1" x14ac:dyDescent="0.25">
      <c r="A7" s="164">
        <v>3</v>
      </c>
      <c r="B7" s="166">
        <v>46275</v>
      </c>
      <c r="C7" s="170"/>
      <c r="D7" s="170">
        <v>22</v>
      </c>
      <c r="E7" s="170"/>
      <c r="F7" s="170">
        <v>66</v>
      </c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>
        <v>40</v>
      </c>
      <c r="U7" s="170"/>
      <c r="V7" s="170"/>
      <c r="W7" s="170"/>
      <c r="X7" s="170"/>
      <c r="Y7" s="170"/>
      <c r="Z7" s="170"/>
      <c r="AA7" s="170"/>
      <c r="AB7" s="170"/>
      <c r="AC7" s="170"/>
      <c r="AD7" s="247"/>
      <c r="AE7" s="208">
        <f t="shared" si="0"/>
        <v>0</v>
      </c>
      <c r="AF7" s="208">
        <f t="shared" si="1"/>
        <v>22</v>
      </c>
      <c r="AG7" s="208">
        <f t="shared" si="2"/>
        <v>0</v>
      </c>
      <c r="AH7" s="208">
        <f t="shared" si="3"/>
        <v>106</v>
      </c>
      <c r="AI7" s="208">
        <f t="shared" ref="AI7:AI21" si="6">G7+N7+U7+AB7</f>
        <v>0</v>
      </c>
      <c r="AJ7" s="208">
        <f t="shared" si="4"/>
        <v>0</v>
      </c>
      <c r="AK7" s="208">
        <f t="shared" si="5"/>
        <v>0</v>
      </c>
    </row>
    <row r="8" spans="1:37" ht="28.2" customHeight="1" x14ac:dyDescent="0.25">
      <c r="A8" s="164">
        <v>4</v>
      </c>
      <c r="B8" s="166">
        <v>46276</v>
      </c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>
        <v>40</v>
      </c>
      <c r="U8" s="170"/>
      <c r="V8" s="170"/>
      <c r="W8" s="170"/>
      <c r="X8" s="170"/>
      <c r="Y8" s="170"/>
      <c r="Z8" s="170"/>
      <c r="AA8" s="170"/>
      <c r="AB8" s="170"/>
      <c r="AC8" s="170"/>
      <c r="AD8" s="247"/>
      <c r="AE8" s="208">
        <f t="shared" si="0"/>
        <v>0</v>
      </c>
      <c r="AF8" s="208">
        <f t="shared" si="1"/>
        <v>0</v>
      </c>
      <c r="AG8" s="208">
        <f t="shared" si="2"/>
        <v>0</v>
      </c>
      <c r="AH8" s="208">
        <f t="shared" si="3"/>
        <v>40</v>
      </c>
      <c r="AI8" s="208">
        <f t="shared" si="6"/>
        <v>0</v>
      </c>
      <c r="AJ8" s="208">
        <f t="shared" si="4"/>
        <v>0</v>
      </c>
      <c r="AK8" s="208">
        <f t="shared" si="5"/>
        <v>0</v>
      </c>
    </row>
    <row r="9" spans="1:37" ht="28.2" customHeight="1" x14ac:dyDescent="0.25">
      <c r="A9" s="164">
        <v>5</v>
      </c>
      <c r="B9" s="166">
        <v>46277</v>
      </c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247"/>
      <c r="AE9" s="208">
        <f t="shared" si="0"/>
        <v>0</v>
      </c>
      <c r="AF9" s="208">
        <f t="shared" si="1"/>
        <v>0</v>
      </c>
      <c r="AG9" s="208">
        <f t="shared" si="2"/>
        <v>0</v>
      </c>
      <c r="AH9" s="208">
        <f t="shared" si="3"/>
        <v>0</v>
      </c>
      <c r="AI9" s="208">
        <f t="shared" si="6"/>
        <v>0</v>
      </c>
      <c r="AJ9" s="208">
        <f t="shared" si="4"/>
        <v>0</v>
      </c>
      <c r="AK9" s="208">
        <f t="shared" si="5"/>
        <v>0</v>
      </c>
    </row>
    <row r="10" spans="1:37" ht="28.2" customHeight="1" x14ac:dyDescent="0.25">
      <c r="A10" s="164">
        <v>6</v>
      </c>
      <c r="B10" s="166">
        <v>46278</v>
      </c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247"/>
      <c r="AE10" s="208">
        <f t="shared" si="0"/>
        <v>0</v>
      </c>
      <c r="AF10" s="208">
        <f t="shared" si="1"/>
        <v>0</v>
      </c>
      <c r="AG10" s="208">
        <f t="shared" si="2"/>
        <v>0</v>
      </c>
      <c r="AH10" s="208">
        <f t="shared" si="3"/>
        <v>0</v>
      </c>
      <c r="AI10" s="208">
        <f t="shared" si="6"/>
        <v>0</v>
      </c>
      <c r="AJ10" s="208">
        <f t="shared" si="4"/>
        <v>0</v>
      </c>
      <c r="AK10" s="208">
        <f t="shared" si="5"/>
        <v>0</v>
      </c>
    </row>
    <row r="11" spans="1:37" s="215" customFormat="1" ht="28.2" customHeight="1" x14ac:dyDescent="0.25">
      <c r="A11" s="212">
        <v>7</v>
      </c>
      <c r="B11" s="213">
        <v>46279</v>
      </c>
      <c r="C11" s="214"/>
      <c r="D11" s="214"/>
      <c r="E11" s="214"/>
      <c r="F11" s="214">
        <v>90</v>
      </c>
      <c r="G11" s="214"/>
      <c r="H11" s="214"/>
      <c r="I11" s="214"/>
      <c r="J11" s="214"/>
      <c r="K11" s="214"/>
      <c r="L11" s="214"/>
      <c r="M11" s="214">
        <v>38</v>
      </c>
      <c r="N11" s="214"/>
      <c r="O11" s="214">
        <v>50</v>
      </c>
      <c r="P11" s="214"/>
      <c r="Q11" s="214"/>
      <c r="R11" s="214">
        <v>15</v>
      </c>
      <c r="S11" s="214"/>
      <c r="T11" s="214"/>
      <c r="U11" s="214"/>
      <c r="V11" s="214"/>
      <c r="W11" s="214">
        <v>2</v>
      </c>
      <c r="X11" s="214"/>
      <c r="Y11" s="214"/>
      <c r="Z11" s="214"/>
      <c r="AA11" s="214">
        <v>17</v>
      </c>
      <c r="AB11" s="214"/>
      <c r="AC11" s="214">
        <v>30</v>
      </c>
      <c r="AD11" s="248"/>
      <c r="AE11" s="208">
        <f t="shared" si="0"/>
        <v>0</v>
      </c>
      <c r="AF11" s="208">
        <f t="shared" si="1"/>
        <v>15</v>
      </c>
      <c r="AG11" s="208">
        <f t="shared" si="2"/>
        <v>0</v>
      </c>
      <c r="AH11" s="208">
        <f t="shared" si="3"/>
        <v>145</v>
      </c>
      <c r="AI11" s="208">
        <f t="shared" si="6"/>
        <v>0</v>
      </c>
      <c r="AJ11" s="208">
        <f t="shared" si="4"/>
        <v>50</v>
      </c>
      <c r="AK11" s="208">
        <f t="shared" si="5"/>
        <v>2</v>
      </c>
    </row>
    <row r="12" spans="1:37" ht="28.2" customHeight="1" x14ac:dyDescent="0.25">
      <c r="A12" s="164">
        <v>8</v>
      </c>
      <c r="B12" s="166">
        <v>46280</v>
      </c>
      <c r="C12" s="170">
        <v>4</v>
      </c>
      <c r="D12" s="170">
        <v>10</v>
      </c>
      <c r="E12" s="170"/>
      <c r="F12" s="170">
        <v>54</v>
      </c>
      <c r="G12" s="170"/>
      <c r="H12" s="170"/>
      <c r="I12" s="170"/>
      <c r="J12" s="170"/>
      <c r="K12" s="170"/>
      <c r="L12" s="170"/>
      <c r="M12" s="170">
        <v>50</v>
      </c>
      <c r="N12" s="170"/>
      <c r="O12" s="170"/>
      <c r="P12" s="170"/>
      <c r="Q12" s="170"/>
      <c r="R12" s="170"/>
      <c r="S12" s="170">
        <v>11</v>
      </c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247"/>
      <c r="AE12" s="208">
        <f t="shared" si="0"/>
        <v>4</v>
      </c>
      <c r="AF12" s="208">
        <v>21</v>
      </c>
      <c r="AG12" s="208"/>
      <c r="AH12" s="208">
        <f t="shared" si="3"/>
        <v>104</v>
      </c>
      <c r="AI12" s="208">
        <f t="shared" si="6"/>
        <v>0</v>
      </c>
      <c r="AJ12" s="208">
        <f t="shared" si="4"/>
        <v>0</v>
      </c>
      <c r="AK12" s="208">
        <f t="shared" si="5"/>
        <v>0</v>
      </c>
    </row>
    <row r="13" spans="1:37" ht="28.2" customHeight="1" x14ac:dyDescent="0.25">
      <c r="A13" s="164">
        <v>9</v>
      </c>
      <c r="B13" s="166">
        <v>46281</v>
      </c>
      <c r="C13" s="170"/>
      <c r="D13" s="170"/>
      <c r="E13" s="170"/>
      <c r="F13" s="170">
        <v>58</v>
      </c>
      <c r="G13" s="170"/>
      <c r="H13" s="170"/>
      <c r="I13" s="170"/>
      <c r="J13" s="170">
        <f>17+13</f>
        <v>30</v>
      </c>
      <c r="K13" s="170">
        <v>22</v>
      </c>
      <c r="L13" s="170"/>
      <c r="M13" s="170">
        <v>8</v>
      </c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247"/>
      <c r="AE13" s="208">
        <f t="shared" si="0"/>
        <v>30</v>
      </c>
      <c r="AF13" s="208">
        <f t="shared" si="1"/>
        <v>22</v>
      </c>
      <c r="AG13" s="208">
        <f t="shared" si="2"/>
        <v>0</v>
      </c>
      <c r="AH13" s="208">
        <f t="shared" si="3"/>
        <v>66</v>
      </c>
      <c r="AI13" s="208">
        <f t="shared" si="6"/>
        <v>0</v>
      </c>
      <c r="AJ13" s="208">
        <f t="shared" si="4"/>
        <v>0</v>
      </c>
      <c r="AK13" s="208">
        <f t="shared" si="5"/>
        <v>0</v>
      </c>
    </row>
    <row r="14" spans="1:37" ht="28.2" customHeight="1" x14ac:dyDescent="0.25">
      <c r="A14" s="164">
        <v>10</v>
      </c>
      <c r="B14" s="166">
        <v>46282</v>
      </c>
      <c r="C14" s="170"/>
      <c r="D14" s="170"/>
      <c r="E14" s="170"/>
      <c r="F14" s="170">
        <v>85</v>
      </c>
      <c r="G14" s="170"/>
      <c r="H14" s="170"/>
      <c r="I14" s="170"/>
      <c r="J14" s="170">
        <v>29</v>
      </c>
      <c r="K14" s="170">
        <v>26</v>
      </c>
      <c r="L14" s="170"/>
      <c r="M14" s="170">
        <v>55</v>
      </c>
      <c r="N14" s="170"/>
      <c r="O14" s="170"/>
      <c r="P14" s="170"/>
      <c r="Q14" s="170"/>
      <c r="R14" s="170"/>
      <c r="S14" s="170"/>
      <c r="T14" s="170"/>
      <c r="U14" s="170"/>
      <c r="V14" s="170">
        <v>3</v>
      </c>
      <c r="W14" s="170">
        <v>3</v>
      </c>
      <c r="X14" s="170"/>
      <c r="Y14" s="170"/>
      <c r="Z14" s="170"/>
      <c r="AA14" s="170"/>
      <c r="AB14" s="170"/>
      <c r="AC14" s="170"/>
      <c r="AD14" s="247"/>
      <c r="AE14" s="208">
        <f t="shared" si="0"/>
        <v>29</v>
      </c>
      <c r="AF14" s="208">
        <f t="shared" si="1"/>
        <v>26</v>
      </c>
      <c r="AG14" s="208">
        <f t="shared" si="2"/>
        <v>0</v>
      </c>
      <c r="AH14" s="208">
        <f t="shared" si="3"/>
        <v>140</v>
      </c>
      <c r="AI14" s="208">
        <f t="shared" si="6"/>
        <v>0</v>
      </c>
      <c r="AJ14" s="208">
        <f t="shared" si="4"/>
        <v>3</v>
      </c>
      <c r="AK14" s="208">
        <f t="shared" si="5"/>
        <v>3</v>
      </c>
    </row>
    <row r="15" spans="1:37" ht="28.2" customHeight="1" x14ac:dyDescent="0.25">
      <c r="A15" s="164">
        <v>11</v>
      </c>
      <c r="B15" s="166">
        <v>46283</v>
      </c>
      <c r="C15" s="170"/>
      <c r="D15" s="170"/>
      <c r="E15" s="170"/>
      <c r="F15" s="170">
        <v>70</v>
      </c>
      <c r="G15" s="170"/>
      <c r="H15" s="170"/>
      <c r="I15" s="170"/>
      <c r="J15" s="170"/>
      <c r="K15" s="170"/>
      <c r="L15" s="170"/>
      <c r="M15" s="170">
        <v>50</v>
      </c>
      <c r="N15" s="170"/>
      <c r="O15" s="170"/>
      <c r="P15" s="170"/>
      <c r="Q15" s="170">
        <v>2</v>
      </c>
      <c r="R15" s="170"/>
      <c r="S15" s="170"/>
      <c r="T15" s="170">
        <v>11</v>
      </c>
      <c r="U15" s="170"/>
      <c r="V15" s="170">
        <v>2</v>
      </c>
      <c r="W15" s="170">
        <v>2</v>
      </c>
      <c r="X15" s="170"/>
      <c r="Y15" s="170"/>
      <c r="Z15" s="170"/>
      <c r="AA15" s="170"/>
      <c r="AB15" s="170"/>
      <c r="AC15" s="170"/>
      <c r="AD15" s="247"/>
      <c r="AE15" s="208">
        <f t="shared" si="0"/>
        <v>2</v>
      </c>
      <c r="AF15" s="208">
        <v>0</v>
      </c>
      <c r="AG15" s="208">
        <f t="shared" si="2"/>
        <v>0</v>
      </c>
      <c r="AH15" s="208">
        <f t="shared" si="3"/>
        <v>131</v>
      </c>
      <c r="AI15" s="208">
        <f t="shared" si="6"/>
        <v>0</v>
      </c>
      <c r="AJ15" s="208">
        <f t="shared" si="4"/>
        <v>2</v>
      </c>
      <c r="AK15" s="208">
        <f t="shared" si="5"/>
        <v>2</v>
      </c>
    </row>
    <row r="16" spans="1:37" ht="28.2" customHeight="1" x14ac:dyDescent="0.25">
      <c r="A16" s="164">
        <v>12</v>
      </c>
      <c r="B16" s="166">
        <v>46284</v>
      </c>
      <c r="C16" s="170"/>
      <c r="D16" s="170">
        <v>30</v>
      </c>
      <c r="E16" s="170"/>
      <c r="F16" s="170">
        <v>72</v>
      </c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247"/>
      <c r="AE16" s="208">
        <f t="shared" si="0"/>
        <v>0</v>
      </c>
      <c r="AF16" s="208">
        <f t="shared" si="1"/>
        <v>30</v>
      </c>
      <c r="AG16" s="208">
        <f t="shared" si="2"/>
        <v>0</v>
      </c>
      <c r="AH16" s="208">
        <f t="shared" si="3"/>
        <v>72</v>
      </c>
      <c r="AI16" s="208">
        <f t="shared" si="6"/>
        <v>0</v>
      </c>
      <c r="AJ16" s="208">
        <f t="shared" si="4"/>
        <v>0</v>
      </c>
      <c r="AK16" s="208">
        <f t="shared" si="5"/>
        <v>0</v>
      </c>
    </row>
    <row r="17" spans="1:37" ht="22.8" customHeight="1" x14ac:dyDescent="0.25">
      <c r="A17" s="164">
        <v>13</v>
      </c>
      <c r="B17" s="166">
        <v>46285</v>
      </c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  <c r="AA17" s="161"/>
      <c r="AB17" s="161"/>
      <c r="AC17" s="161"/>
      <c r="AD17" s="249"/>
      <c r="AE17" s="208">
        <f t="shared" si="0"/>
        <v>0</v>
      </c>
      <c r="AF17" s="208">
        <f t="shared" si="1"/>
        <v>0</v>
      </c>
      <c r="AG17" s="208">
        <f t="shared" si="2"/>
        <v>0</v>
      </c>
      <c r="AH17" s="208">
        <f t="shared" si="3"/>
        <v>0</v>
      </c>
      <c r="AI17" s="208">
        <f t="shared" si="6"/>
        <v>0</v>
      </c>
      <c r="AJ17" s="208">
        <f t="shared" si="4"/>
        <v>0</v>
      </c>
      <c r="AK17" s="208">
        <f t="shared" si="5"/>
        <v>0</v>
      </c>
    </row>
    <row r="18" spans="1:37" s="234" customFormat="1" ht="22.8" customHeight="1" x14ac:dyDescent="0.25">
      <c r="A18" s="199">
        <v>14</v>
      </c>
      <c r="B18" s="232">
        <v>46286</v>
      </c>
      <c r="C18" s="233"/>
      <c r="D18" s="233"/>
      <c r="E18" s="233"/>
      <c r="F18" s="233"/>
      <c r="G18" s="233"/>
      <c r="H18" s="233"/>
      <c r="I18" s="233"/>
      <c r="J18" s="233">
        <v>10</v>
      </c>
      <c r="K18" s="233">
        <v>30</v>
      </c>
      <c r="L18" s="233"/>
      <c r="M18" s="233">
        <v>28</v>
      </c>
      <c r="N18" s="233"/>
      <c r="O18" s="233">
        <v>10</v>
      </c>
      <c r="P18" s="233"/>
      <c r="Q18" s="233"/>
      <c r="R18" s="233">
        <v>4</v>
      </c>
      <c r="S18" s="233">
        <v>7</v>
      </c>
      <c r="T18" s="233">
        <v>40</v>
      </c>
      <c r="U18" s="233"/>
      <c r="V18" s="233"/>
      <c r="W18" s="233"/>
      <c r="X18" s="233"/>
      <c r="Y18" s="233"/>
      <c r="Z18" s="233"/>
      <c r="AA18" s="233"/>
      <c r="AB18" s="233"/>
      <c r="AC18" s="233"/>
      <c r="AD18" s="250"/>
      <c r="AE18" s="208">
        <f t="shared" si="0"/>
        <v>10</v>
      </c>
      <c r="AF18" s="208">
        <f t="shared" si="1"/>
        <v>34</v>
      </c>
      <c r="AG18" s="208">
        <f t="shared" si="2"/>
        <v>7</v>
      </c>
      <c r="AH18" s="208">
        <f t="shared" si="3"/>
        <v>68</v>
      </c>
      <c r="AI18" s="208">
        <f t="shared" si="6"/>
        <v>0</v>
      </c>
      <c r="AJ18" s="208">
        <f t="shared" si="4"/>
        <v>10</v>
      </c>
      <c r="AK18" s="208">
        <f t="shared" si="5"/>
        <v>0</v>
      </c>
    </row>
    <row r="19" spans="1:37" s="234" customFormat="1" ht="22.8" customHeight="1" x14ac:dyDescent="0.25">
      <c r="A19" s="199">
        <v>15</v>
      </c>
      <c r="B19" s="232">
        <v>46287</v>
      </c>
      <c r="C19" s="233"/>
      <c r="D19" s="233"/>
      <c r="E19" s="233"/>
      <c r="F19" s="233"/>
      <c r="G19" s="233"/>
      <c r="H19" s="233"/>
      <c r="I19" s="233"/>
      <c r="J19" s="233"/>
      <c r="K19" s="233"/>
      <c r="L19" s="233"/>
      <c r="M19" s="233">
        <f>50+85</f>
        <v>135</v>
      </c>
      <c r="N19" s="233"/>
      <c r="O19" s="233"/>
      <c r="P19" s="233"/>
      <c r="Q19" s="233">
        <f>44+20</f>
        <v>64</v>
      </c>
      <c r="R19" s="233"/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50"/>
      <c r="AE19" s="208">
        <f t="shared" si="0"/>
        <v>64</v>
      </c>
      <c r="AF19" s="208">
        <f t="shared" si="1"/>
        <v>0</v>
      </c>
      <c r="AG19" s="208">
        <f t="shared" si="2"/>
        <v>0</v>
      </c>
      <c r="AH19" s="208">
        <f t="shared" si="3"/>
        <v>135</v>
      </c>
      <c r="AI19" s="208">
        <f t="shared" si="6"/>
        <v>0</v>
      </c>
      <c r="AJ19" s="208">
        <f t="shared" si="4"/>
        <v>0</v>
      </c>
      <c r="AK19" s="208">
        <f t="shared" si="5"/>
        <v>0</v>
      </c>
    </row>
    <row r="20" spans="1:37" s="234" customFormat="1" ht="22.8" customHeight="1" x14ac:dyDescent="0.25">
      <c r="A20" s="199">
        <v>16</v>
      </c>
      <c r="B20" s="232">
        <v>46288</v>
      </c>
      <c r="C20" s="233">
        <v>10</v>
      </c>
      <c r="D20" s="233">
        <v>31</v>
      </c>
      <c r="E20" s="233">
        <v>5</v>
      </c>
      <c r="F20" s="233">
        <v>67</v>
      </c>
      <c r="G20" s="233"/>
      <c r="H20" s="233">
        <v>30</v>
      </c>
      <c r="I20" s="233"/>
      <c r="J20" s="233">
        <v>20</v>
      </c>
      <c r="K20" s="233"/>
      <c r="L20" s="233"/>
      <c r="M20" s="233">
        <v>88</v>
      </c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  <c r="AA20" s="233"/>
      <c r="AB20" s="233"/>
      <c r="AC20" s="233"/>
      <c r="AD20" s="250"/>
      <c r="AE20" s="208">
        <f t="shared" si="0"/>
        <v>30</v>
      </c>
      <c r="AF20" s="208">
        <v>24</v>
      </c>
      <c r="AG20" s="208">
        <f t="shared" si="2"/>
        <v>5</v>
      </c>
      <c r="AH20" s="208">
        <v>145</v>
      </c>
      <c r="AI20" s="208">
        <f t="shared" si="6"/>
        <v>0</v>
      </c>
      <c r="AJ20" s="208">
        <f t="shared" si="4"/>
        <v>30</v>
      </c>
      <c r="AK20" s="208">
        <f t="shared" si="5"/>
        <v>0</v>
      </c>
    </row>
    <row r="21" spans="1:37" ht="22.8" customHeight="1" x14ac:dyDescent="0.25">
      <c r="A21" s="164">
        <v>17</v>
      </c>
      <c r="B21" s="166">
        <v>46289</v>
      </c>
      <c r="C21" s="161"/>
      <c r="D21" s="161"/>
      <c r="E21" s="161"/>
      <c r="F21" s="161">
        <v>104</v>
      </c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249"/>
      <c r="AE21" s="208">
        <f t="shared" si="0"/>
        <v>0</v>
      </c>
      <c r="AF21" s="208">
        <f t="shared" si="1"/>
        <v>0</v>
      </c>
      <c r="AG21" s="208">
        <f t="shared" si="2"/>
        <v>0</v>
      </c>
      <c r="AH21" s="208">
        <f t="shared" si="3"/>
        <v>104</v>
      </c>
      <c r="AI21" s="208">
        <f t="shared" si="6"/>
        <v>0</v>
      </c>
      <c r="AJ21" s="208">
        <f t="shared" si="4"/>
        <v>0</v>
      </c>
      <c r="AK21" s="208">
        <f t="shared" si="5"/>
        <v>0</v>
      </c>
    </row>
    <row r="22" spans="1:37" s="240" customFormat="1" ht="22.8" customHeight="1" x14ac:dyDescent="0.25">
      <c r="A22" s="399" t="s">
        <v>468</v>
      </c>
      <c r="B22" s="400"/>
      <c r="C22" s="243">
        <f>SUM(C5:C21)</f>
        <v>14</v>
      </c>
      <c r="D22" s="243">
        <f t="shared" ref="D22:AC22" si="7">SUM(D5:D21)</f>
        <v>113</v>
      </c>
      <c r="E22" s="243">
        <f t="shared" si="7"/>
        <v>5</v>
      </c>
      <c r="F22" s="243">
        <f t="shared" si="7"/>
        <v>726</v>
      </c>
      <c r="G22" s="243">
        <f t="shared" si="7"/>
        <v>11</v>
      </c>
      <c r="H22" s="243">
        <f t="shared" si="7"/>
        <v>70</v>
      </c>
      <c r="I22" s="243"/>
      <c r="J22" s="243">
        <f t="shared" si="7"/>
        <v>89</v>
      </c>
      <c r="K22" s="243">
        <f t="shared" si="7"/>
        <v>78</v>
      </c>
      <c r="L22" s="243"/>
      <c r="M22" s="243">
        <f t="shared" si="7"/>
        <v>572</v>
      </c>
      <c r="N22" s="243"/>
      <c r="O22" s="243">
        <f t="shared" si="7"/>
        <v>60</v>
      </c>
      <c r="P22" s="243"/>
      <c r="Q22" s="243">
        <f t="shared" si="7"/>
        <v>66</v>
      </c>
      <c r="R22" s="243">
        <f t="shared" si="7"/>
        <v>19</v>
      </c>
      <c r="S22" s="243">
        <f t="shared" ref="S22" si="8">SUM(S5:S21)</f>
        <v>18</v>
      </c>
      <c r="T22" s="243">
        <f t="shared" si="7"/>
        <v>181</v>
      </c>
      <c r="U22" s="243"/>
      <c r="V22" s="243">
        <f t="shared" si="7"/>
        <v>5</v>
      </c>
      <c r="W22" s="243">
        <f t="shared" ref="W22" si="9">SUM(W5:W21)</f>
        <v>7</v>
      </c>
      <c r="X22" s="243">
        <f t="shared" si="7"/>
        <v>0</v>
      </c>
      <c r="Y22" s="243">
        <f t="shared" si="7"/>
        <v>0</v>
      </c>
      <c r="Z22" s="243"/>
      <c r="AA22" s="243">
        <f t="shared" si="7"/>
        <v>17</v>
      </c>
      <c r="AB22" s="243"/>
      <c r="AC22" s="243">
        <f t="shared" si="7"/>
        <v>30</v>
      </c>
      <c r="AD22" s="251"/>
      <c r="AE22" s="252">
        <f>SUM(AE5:AE21)</f>
        <v>169</v>
      </c>
      <c r="AF22" s="252">
        <f t="shared" ref="AF22:AJ22" si="10">SUM(AF5:AF21)</f>
        <v>214</v>
      </c>
      <c r="AG22" s="252">
        <f t="shared" si="10"/>
        <v>12</v>
      </c>
      <c r="AH22" s="252">
        <f t="shared" si="10"/>
        <v>1486</v>
      </c>
      <c r="AI22" s="252">
        <f t="shared" si="10"/>
        <v>11</v>
      </c>
      <c r="AJ22" s="252">
        <f t="shared" si="10"/>
        <v>135</v>
      </c>
      <c r="AK22" s="252">
        <f>SUM(AK5:AK21)</f>
        <v>7</v>
      </c>
    </row>
    <row r="23" spans="1:37" s="234" customFormat="1" ht="22.8" customHeight="1" x14ac:dyDescent="0.25">
      <c r="A23" s="199">
        <v>18</v>
      </c>
      <c r="B23" s="232">
        <v>46290</v>
      </c>
      <c r="C23" s="233"/>
      <c r="D23" s="233"/>
      <c r="E23" s="233"/>
      <c r="F23" s="233"/>
      <c r="G23" s="233"/>
      <c r="H23" s="233"/>
      <c r="I23" s="233"/>
      <c r="J23" s="233">
        <v>10</v>
      </c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>
        <f>C23+J23+Q23+X23</f>
        <v>10</v>
      </c>
      <c r="AF23" s="233">
        <f t="shared" ref="AF23:AK23" si="11">D23+K23+R23+Y23</f>
        <v>0</v>
      </c>
      <c r="AG23" s="233">
        <f t="shared" si="11"/>
        <v>0</v>
      </c>
      <c r="AH23" s="233">
        <f t="shared" si="11"/>
        <v>0</v>
      </c>
      <c r="AI23" s="233">
        <f t="shared" si="11"/>
        <v>0</v>
      </c>
      <c r="AJ23" s="233">
        <f t="shared" si="11"/>
        <v>0</v>
      </c>
      <c r="AK23" s="233">
        <f t="shared" si="11"/>
        <v>0</v>
      </c>
    </row>
    <row r="24" spans="1:37" s="234" customFormat="1" ht="22.8" customHeight="1" x14ac:dyDescent="0.25">
      <c r="A24" s="199">
        <v>19</v>
      </c>
      <c r="B24" s="232">
        <v>46291</v>
      </c>
      <c r="C24" s="233">
        <v>10</v>
      </c>
      <c r="D24" s="233">
        <v>12</v>
      </c>
      <c r="E24" s="233"/>
      <c r="F24" s="233">
        <v>110</v>
      </c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>
        <f t="shared" ref="AE24:AE27" si="12">C24+J24+Q24+X24</f>
        <v>10</v>
      </c>
      <c r="AF24" s="233">
        <f t="shared" ref="AF24:AF27" si="13">D24+K24+R24+Y24</f>
        <v>12</v>
      </c>
      <c r="AG24" s="233">
        <f t="shared" ref="AG24:AG27" si="14">E24+L24+S24+Z24</f>
        <v>0</v>
      </c>
      <c r="AH24" s="233">
        <f t="shared" ref="AH24:AH27" si="15">F24+M24+T24+AA24</f>
        <v>110</v>
      </c>
      <c r="AI24" s="233">
        <f t="shared" ref="AI24:AI27" si="16">G24+N24+U24+AB24</f>
        <v>0</v>
      </c>
      <c r="AJ24" s="233">
        <f t="shared" ref="AJ24:AJ27" si="17">H24+O24+V24+AC24</f>
        <v>0</v>
      </c>
      <c r="AK24" s="233">
        <f t="shared" ref="AK24:AK27" si="18">I24+P24+W24+AD24</f>
        <v>0</v>
      </c>
    </row>
    <row r="25" spans="1:37" ht="22.8" customHeight="1" x14ac:dyDescent="0.25">
      <c r="A25" s="164">
        <v>20</v>
      </c>
      <c r="B25" s="166">
        <v>46292</v>
      </c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233">
        <f t="shared" si="12"/>
        <v>0</v>
      </c>
      <c r="AF25" s="233">
        <f t="shared" si="13"/>
        <v>0</v>
      </c>
      <c r="AG25" s="233">
        <f t="shared" si="14"/>
        <v>0</v>
      </c>
      <c r="AH25" s="233">
        <f t="shared" si="15"/>
        <v>0</v>
      </c>
      <c r="AI25" s="233">
        <f t="shared" si="16"/>
        <v>0</v>
      </c>
      <c r="AJ25" s="233">
        <f t="shared" si="17"/>
        <v>0</v>
      </c>
      <c r="AK25" s="233">
        <f t="shared" si="18"/>
        <v>0</v>
      </c>
    </row>
    <row r="26" spans="1:37" s="234" customFormat="1" ht="22.8" customHeight="1" x14ac:dyDescent="0.25">
      <c r="A26" s="199">
        <v>21</v>
      </c>
      <c r="B26" s="232">
        <v>46293</v>
      </c>
      <c r="C26" s="233"/>
      <c r="D26" s="233"/>
      <c r="E26" s="233"/>
      <c r="F26" s="233"/>
      <c r="G26" s="233"/>
      <c r="H26" s="233"/>
      <c r="I26" s="233"/>
      <c r="J26" s="233"/>
      <c r="K26" s="233"/>
      <c r="L26" s="233"/>
      <c r="M26" s="233">
        <v>108</v>
      </c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>
        <v>33</v>
      </c>
      <c r="Z26" s="233"/>
      <c r="AA26" s="233"/>
      <c r="AB26" s="233"/>
      <c r="AC26" s="233"/>
      <c r="AD26" s="233"/>
      <c r="AE26" s="233">
        <f t="shared" si="12"/>
        <v>0</v>
      </c>
      <c r="AF26" s="233">
        <f t="shared" si="13"/>
        <v>33</v>
      </c>
      <c r="AG26" s="233">
        <f t="shared" si="14"/>
        <v>0</v>
      </c>
      <c r="AH26" s="233">
        <f t="shared" si="15"/>
        <v>108</v>
      </c>
      <c r="AI26" s="233">
        <f t="shared" si="16"/>
        <v>0</v>
      </c>
      <c r="AJ26" s="233">
        <f t="shared" si="17"/>
        <v>0</v>
      </c>
      <c r="AK26" s="233">
        <f t="shared" si="18"/>
        <v>0</v>
      </c>
    </row>
    <row r="27" spans="1:37" s="234" customFormat="1" ht="22.8" customHeight="1" x14ac:dyDescent="0.25">
      <c r="A27" s="199">
        <v>22</v>
      </c>
      <c r="B27" s="232">
        <v>46294</v>
      </c>
      <c r="C27" s="233">
        <v>33</v>
      </c>
      <c r="D27" s="233">
        <v>40</v>
      </c>
      <c r="E27" s="233"/>
      <c r="F27" s="233">
        <f>34+11</f>
        <v>45</v>
      </c>
      <c r="G27" s="233"/>
      <c r="H27" s="233"/>
      <c r="I27" s="233"/>
      <c r="J27" s="233"/>
      <c r="K27" s="233">
        <v>20</v>
      </c>
      <c r="L27" s="233"/>
      <c r="M27" s="233">
        <v>32</v>
      </c>
      <c r="N27" s="233"/>
      <c r="O27" s="233">
        <v>30</v>
      </c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>
        <f t="shared" si="12"/>
        <v>33</v>
      </c>
      <c r="AF27" s="233">
        <f t="shared" si="13"/>
        <v>60</v>
      </c>
      <c r="AG27" s="233">
        <f t="shared" si="14"/>
        <v>0</v>
      </c>
      <c r="AH27" s="233">
        <f t="shared" si="15"/>
        <v>77</v>
      </c>
      <c r="AI27" s="233">
        <f t="shared" si="16"/>
        <v>0</v>
      </c>
      <c r="AJ27" s="233">
        <f t="shared" si="17"/>
        <v>30</v>
      </c>
      <c r="AK27" s="233">
        <f t="shared" si="18"/>
        <v>0</v>
      </c>
    </row>
    <row r="28" spans="1:37" s="234" customFormat="1" ht="22.8" customHeight="1" x14ac:dyDescent="0.25">
      <c r="A28" s="296">
        <v>23</v>
      </c>
      <c r="B28" s="297">
        <v>46295</v>
      </c>
      <c r="C28" s="298">
        <v>30</v>
      </c>
      <c r="D28" s="298"/>
      <c r="E28" s="298"/>
      <c r="F28" s="298">
        <v>78</v>
      </c>
      <c r="G28" s="298"/>
      <c r="H28" s="298">
        <v>50</v>
      </c>
      <c r="I28" s="298"/>
      <c r="J28" s="298">
        <v>10</v>
      </c>
      <c r="K28" s="298"/>
      <c r="L28" s="298"/>
      <c r="M28" s="298"/>
      <c r="N28" s="298"/>
      <c r="O28" s="298"/>
      <c r="P28" s="298"/>
      <c r="Q28" s="298"/>
      <c r="R28" s="298"/>
      <c r="S28" s="298"/>
      <c r="T28" s="298"/>
      <c r="U28" s="298"/>
      <c r="V28" s="298"/>
      <c r="W28" s="298"/>
      <c r="X28" s="298"/>
      <c r="Y28" s="298"/>
      <c r="Z28" s="298"/>
      <c r="AA28" s="298"/>
      <c r="AB28" s="298"/>
      <c r="AC28" s="298"/>
      <c r="AD28" s="298"/>
      <c r="AE28" s="233">
        <f t="shared" ref="AE28:AE35" si="19">C28+J28+Q28+X28</f>
        <v>40</v>
      </c>
      <c r="AF28" s="233">
        <f t="shared" ref="AF28:AF35" si="20">D28+K28+R28+Y28</f>
        <v>0</v>
      </c>
      <c r="AG28" s="233">
        <f t="shared" ref="AG28:AG35" si="21">E28+L28+S28+Z28</f>
        <v>0</v>
      </c>
      <c r="AH28" s="233">
        <f t="shared" ref="AH28:AH35" si="22">F28+M28+T28+AA28</f>
        <v>78</v>
      </c>
      <c r="AI28" s="233">
        <f t="shared" ref="AI28:AI35" si="23">G28+N28+U28+AB28</f>
        <v>0</v>
      </c>
      <c r="AJ28" s="233">
        <f t="shared" ref="AJ28:AJ35" si="24">H28+O28+V28+AC28</f>
        <v>50</v>
      </c>
      <c r="AK28" s="233">
        <f t="shared" ref="AK28:AK35" si="25">I28+P28+W28+AD28</f>
        <v>0</v>
      </c>
    </row>
    <row r="29" spans="1:37" s="162" customFormat="1" ht="28.8" customHeight="1" x14ac:dyDescent="0.25">
      <c r="A29" s="163">
        <v>24</v>
      </c>
      <c r="B29" s="235">
        <v>46032</v>
      </c>
      <c r="C29" s="163"/>
      <c r="D29" s="163"/>
      <c r="E29" s="163"/>
      <c r="F29" s="163"/>
      <c r="G29" s="163"/>
      <c r="H29" s="163"/>
      <c r="I29" s="163"/>
      <c r="J29" s="163">
        <v>17</v>
      </c>
      <c r="K29" s="163"/>
      <c r="L29" s="163"/>
      <c r="M29" s="163">
        <f>12+25</f>
        <v>37</v>
      </c>
      <c r="N29" s="163"/>
      <c r="O29" s="163">
        <f>2+50</f>
        <v>52</v>
      </c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233">
        <f t="shared" si="19"/>
        <v>17</v>
      </c>
      <c r="AF29" s="233">
        <f t="shared" si="20"/>
        <v>0</v>
      </c>
      <c r="AG29" s="233">
        <f t="shared" si="21"/>
        <v>0</v>
      </c>
      <c r="AH29" s="233">
        <f t="shared" si="22"/>
        <v>37</v>
      </c>
      <c r="AI29" s="233">
        <f t="shared" si="23"/>
        <v>0</v>
      </c>
      <c r="AJ29" s="233">
        <f t="shared" si="24"/>
        <v>52</v>
      </c>
      <c r="AK29" s="233">
        <f t="shared" si="25"/>
        <v>0</v>
      </c>
    </row>
    <row r="30" spans="1:37" ht="28.8" customHeight="1" x14ac:dyDescent="0.25">
      <c r="A30" s="296">
        <v>25</v>
      </c>
      <c r="B30" s="353">
        <v>46063</v>
      </c>
      <c r="C30" s="161"/>
      <c r="D30" s="161"/>
      <c r="E30" s="161"/>
      <c r="F30" s="161"/>
      <c r="G30" s="161"/>
      <c r="H30" s="161"/>
      <c r="I30" s="161"/>
      <c r="J30" s="161">
        <f>11+10</f>
        <v>21</v>
      </c>
      <c r="K30" s="161"/>
      <c r="L30" s="161"/>
      <c r="M30" s="161">
        <v>17</v>
      </c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233">
        <f t="shared" si="19"/>
        <v>21</v>
      </c>
      <c r="AF30" s="233">
        <f t="shared" si="20"/>
        <v>0</v>
      </c>
      <c r="AG30" s="233">
        <f t="shared" si="21"/>
        <v>0</v>
      </c>
      <c r="AH30" s="233">
        <f t="shared" si="22"/>
        <v>17</v>
      </c>
      <c r="AI30" s="233">
        <f t="shared" si="23"/>
        <v>0</v>
      </c>
      <c r="AJ30" s="233">
        <f t="shared" si="24"/>
        <v>0</v>
      </c>
      <c r="AK30" s="233">
        <f t="shared" si="25"/>
        <v>0</v>
      </c>
    </row>
    <row r="31" spans="1:37" ht="28.8" customHeight="1" x14ac:dyDescent="0.25">
      <c r="A31" s="163">
        <v>26</v>
      </c>
      <c r="B31" s="353">
        <v>46091</v>
      </c>
      <c r="C31" s="161"/>
      <c r="D31" s="161"/>
      <c r="E31" s="161"/>
      <c r="F31" s="161"/>
      <c r="G31" s="161"/>
      <c r="H31" s="161">
        <v>26</v>
      </c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233">
        <f t="shared" si="19"/>
        <v>0</v>
      </c>
      <c r="AF31" s="233">
        <f t="shared" si="20"/>
        <v>0</v>
      </c>
      <c r="AG31" s="233">
        <f t="shared" si="21"/>
        <v>0</v>
      </c>
      <c r="AH31" s="233">
        <f t="shared" si="22"/>
        <v>0</v>
      </c>
      <c r="AI31" s="233">
        <f t="shared" si="23"/>
        <v>0</v>
      </c>
      <c r="AJ31" s="233">
        <f t="shared" si="24"/>
        <v>26</v>
      </c>
      <c r="AK31" s="233">
        <f t="shared" si="25"/>
        <v>0</v>
      </c>
    </row>
    <row r="32" spans="1:37" ht="28.8" customHeight="1" x14ac:dyDescent="0.25">
      <c r="A32" s="164"/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233">
        <f t="shared" si="19"/>
        <v>0</v>
      </c>
      <c r="AF32" s="233">
        <f t="shared" si="20"/>
        <v>0</v>
      </c>
      <c r="AG32" s="233">
        <f t="shared" si="21"/>
        <v>0</v>
      </c>
      <c r="AH32" s="233">
        <f t="shared" si="22"/>
        <v>0</v>
      </c>
      <c r="AI32" s="233">
        <f t="shared" si="23"/>
        <v>0</v>
      </c>
      <c r="AJ32" s="233">
        <f t="shared" si="24"/>
        <v>0</v>
      </c>
      <c r="AK32" s="233">
        <f t="shared" si="25"/>
        <v>0</v>
      </c>
    </row>
    <row r="33" spans="1:37" ht="28.8" customHeight="1" x14ac:dyDescent="0.25">
      <c r="A33" s="164"/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233">
        <f t="shared" si="19"/>
        <v>0</v>
      </c>
      <c r="AF33" s="233">
        <f t="shared" si="20"/>
        <v>0</v>
      </c>
      <c r="AG33" s="233">
        <f t="shared" si="21"/>
        <v>0</v>
      </c>
      <c r="AH33" s="233">
        <f t="shared" si="22"/>
        <v>0</v>
      </c>
      <c r="AI33" s="233">
        <f t="shared" si="23"/>
        <v>0</v>
      </c>
      <c r="AJ33" s="233">
        <f t="shared" si="24"/>
        <v>0</v>
      </c>
      <c r="AK33" s="233">
        <f t="shared" si="25"/>
        <v>0</v>
      </c>
    </row>
    <row r="34" spans="1:37" ht="28.8" customHeight="1" x14ac:dyDescent="0.25">
      <c r="A34" s="164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233">
        <f t="shared" si="19"/>
        <v>0</v>
      </c>
      <c r="AF34" s="233">
        <f t="shared" si="20"/>
        <v>0</v>
      </c>
      <c r="AG34" s="233">
        <f t="shared" si="21"/>
        <v>0</v>
      </c>
      <c r="AH34" s="233">
        <f t="shared" si="22"/>
        <v>0</v>
      </c>
      <c r="AI34" s="233">
        <f t="shared" si="23"/>
        <v>0</v>
      </c>
      <c r="AJ34" s="233">
        <f t="shared" si="24"/>
        <v>0</v>
      </c>
      <c r="AK34" s="233">
        <f t="shared" si="25"/>
        <v>0</v>
      </c>
    </row>
    <row r="35" spans="1:37" ht="28.8" customHeight="1" x14ac:dyDescent="0.25">
      <c r="A35" s="164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233">
        <f t="shared" si="19"/>
        <v>0</v>
      </c>
      <c r="AF35" s="233">
        <f t="shared" si="20"/>
        <v>0</v>
      </c>
      <c r="AG35" s="233">
        <f t="shared" si="21"/>
        <v>0</v>
      </c>
      <c r="AH35" s="233">
        <f t="shared" si="22"/>
        <v>0</v>
      </c>
      <c r="AI35" s="233">
        <f t="shared" si="23"/>
        <v>0</v>
      </c>
      <c r="AJ35" s="233">
        <f t="shared" si="24"/>
        <v>0</v>
      </c>
      <c r="AK35" s="233">
        <f t="shared" si="25"/>
        <v>0</v>
      </c>
    </row>
    <row r="36" spans="1:37" ht="28.8" customHeight="1" x14ac:dyDescent="0.25">
      <c r="A36" s="164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</row>
    <row r="37" spans="1:37" ht="28.8" customHeight="1" x14ac:dyDescent="0.25">
      <c r="A37" s="164"/>
      <c r="B37" s="161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</row>
    <row r="38" spans="1:37" ht="28.8" customHeight="1" x14ac:dyDescent="0.25">
      <c r="A38" s="164"/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</row>
    <row r="39" spans="1:37" ht="28.8" customHeight="1" x14ac:dyDescent="0.25">
      <c r="A39" s="164"/>
      <c r="B39" s="16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</row>
    <row r="40" spans="1:37" ht="28.8" customHeight="1" x14ac:dyDescent="0.25">
      <c r="A40" s="164"/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</row>
    <row r="41" spans="1:37" ht="28.8" customHeight="1" x14ac:dyDescent="0.25">
      <c r="A41" s="164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</row>
  </sheetData>
  <mergeCells count="22">
    <mergeCell ref="R2:S2"/>
    <mergeCell ref="V2:W2"/>
    <mergeCell ref="AE1:AK1"/>
    <mergeCell ref="AF2:AG2"/>
    <mergeCell ref="AH2:AI2"/>
    <mergeCell ref="AJ2:AK2"/>
    <mergeCell ref="A22:B22"/>
    <mergeCell ref="K2:L2"/>
    <mergeCell ref="AC2:AD2"/>
    <mergeCell ref="M2:N2"/>
    <mergeCell ref="O2:P2"/>
    <mergeCell ref="F2:G2"/>
    <mergeCell ref="H2:I2"/>
    <mergeCell ref="T2:U2"/>
    <mergeCell ref="AA2:AB2"/>
    <mergeCell ref="A1:A2"/>
    <mergeCell ref="B1:B2"/>
    <mergeCell ref="C1:H1"/>
    <mergeCell ref="J1:O1"/>
    <mergeCell ref="D2:E2"/>
    <mergeCell ref="Q1:V1"/>
    <mergeCell ref="X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XUẤT</vt:lpstr>
      <vt:lpstr>CBCNV</vt:lpstr>
      <vt:lpstr>TỒN</vt:lpstr>
      <vt:lpstr>ĐIÈU PHỐI</vt:lpstr>
      <vt:lpstr>Vận chuyển</vt:lpstr>
      <vt:lpstr>Đơn giá</vt:lpstr>
      <vt:lpstr>TỒN TỔNG</vt:lpstr>
      <vt:lpstr>TỒN KHO HUẾ</vt:lpstr>
      <vt:lpstr>TỒN KHO TĂNG ÁP</vt:lpstr>
      <vt:lpstr>tồn xe</vt:lpstr>
      <vt:lpstr>Tồn kho VP</vt:lpstr>
      <vt:lpstr>TỒN KHO HÀ LẦM</vt:lpstr>
      <vt:lpstr>nhập từ 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Nhung Doan</cp:lastModifiedBy>
  <cp:revision>49</cp:revision>
  <cp:lastPrinted>2026-09-11T07:21:12Z</cp:lastPrinted>
  <dcterms:created xsi:type="dcterms:W3CDTF">2015-06-05T18:17:20Z</dcterms:created>
  <dcterms:modified xsi:type="dcterms:W3CDTF">2026-10-04T04:40:02Z</dcterms:modified>
  <dc:language>vi-VN</dc:language>
</cp:coreProperties>
</file>
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gentic-AI\Doing\QLBanHang-main\QLBanHang\excel\"/>
    </mc:Choice>
  </mc:AlternateContent>
  <xr:revisionPtr revIDLastSave="0" documentId="13_ncr:1_{8EDE9499-66D6-45D6-84FF-D4D58BD4E9EC}" xr6:coauthVersionLast="47" xr6:coauthVersionMax="47" xr10:uidLastSave="{00000000-0000-0000-0000-000000000000}"/>
  <bookViews>
    <workbookView xWindow="-108" yWindow="-108" windowWidth="23256" windowHeight="12576" tabRatio="657" xr2:uid="{00000000-000D-0000-FFFF-FFFF00000000}"/>
  </bookViews>
  <sheets>
    <sheet name="XUẤT" sheetId="1" r:id="rId1"/>
    <sheet name="CBCNV" sheetId="2" r:id="rId2"/>
    <sheet name="TỒN" sheetId="3" r:id="rId3"/>
    <sheet name="ĐIÈU PHỐI" sheetId="4" r:id="rId4"/>
    <sheet name="Vận chuyển" sheetId="5" r:id="rId5"/>
    <sheet name="Đơn giá" sheetId="6" r:id="rId6"/>
    <sheet name="TỒN TỔNG" sheetId="13" r:id="rId7"/>
    <sheet name="TỒN KHO HUẾ" sheetId="8" r:id="rId8"/>
    <sheet name="TỒN KHO TĂNG ÁP" sheetId="9" r:id="rId9"/>
    <sheet name="tồn xe" sheetId="10" r:id="rId10"/>
    <sheet name="Tồn kho VP" sheetId="12" r:id="rId11"/>
    <sheet name="TỒN KHO HÀ LẦM" sheetId="14" r:id="rId12"/>
    <sheet name="nhập từ CP" sheetId="11" r:id="rId13"/>
  </sheets>
  <definedNames>
    <definedName name="_xlnm._FilterDatabase" localSheetId="1" hidden="1">CBCNV!$A$6:$T$200</definedName>
    <definedName name="_xlnm._FilterDatabase" localSheetId="7" hidden="1">'TỒN KHO HUẾ'!$A$2:$AL$2</definedName>
    <definedName name="_xlnm._FilterDatabase" localSheetId="0" hidden="1">XUẤT!$A$4:$AF$90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1" i="13" l="1"/>
  <c r="F40" i="13"/>
  <c r="F38" i="13"/>
  <c r="H36" i="13"/>
  <c r="F35" i="13"/>
  <c r="W89" i="1"/>
  <c r="AB89" i="1" s="1"/>
  <c r="X89" i="1"/>
  <c r="Y89" i="1" s="1"/>
  <c r="F34" i="13"/>
  <c r="P12" i="8"/>
  <c r="T10" i="9"/>
  <c r="T11" i="9"/>
  <c r="F39" i="13" s="1"/>
  <c r="T11" i="8"/>
  <c r="F33" i="13" s="1"/>
  <c r="T12" i="8"/>
  <c r="W90" i="1"/>
  <c r="X90" i="1"/>
  <c r="Y90" i="1" s="1"/>
  <c r="D59" i="5" l="1"/>
  <c r="E59" i="5" s="1"/>
  <c r="AC89" i="1"/>
  <c r="W70" i="1"/>
  <c r="Y74" i="1"/>
  <c r="F30" i="13" l="1"/>
  <c r="J9" i="11"/>
  <c r="T10" i="8" l="1"/>
  <c r="F28" i="13" s="1"/>
  <c r="T9" i="9"/>
  <c r="F29" i="13" s="1"/>
  <c r="X58" i="1" l="1"/>
  <c r="Y58" i="1" s="1"/>
  <c r="W58" i="1"/>
  <c r="AB58" i="1" s="1"/>
  <c r="AC58" i="1" s="1"/>
  <c r="X49" i="1"/>
  <c r="Y49" i="1" s="1"/>
  <c r="W49" i="1"/>
  <c r="AB49" i="1" s="1"/>
  <c r="AC49" i="1" s="1"/>
  <c r="W52" i="1"/>
  <c r="AB52" i="1" s="1"/>
  <c r="AC52" i="1" s="1"/>
  <c r="X52" i="1"/>
  <c r="Y52" i="1" s="1"/>
  <c r="X53" i="1"/>
  <c r="Y53" i="1" s="1"/>
  <c r="W53" i="1"/>
  <c r="AB53" i="1" s="1"/>
  <c r="AC53" i="1" s="1"/>
  <c r="W55" i="1"/>
  <c r="X55" i="1"/>
  <c r="W56" i="1"/>
  <c r="X56" i="1"/>
  <c r="Y56" i="1" s="1"/>
  <c r="W57" i="1"/>
  <c r="X57" i="1"/>
  <c r="W59" i="1"/>
  <c r="X59" i="1"/>
  <c r="Y59" i="1" s="1"/>
  <c r="W60" i="1"/>
  <c r="X60" i="1"/>
  <c r="Y60" i="1" s="1"/>
  <c r="W61" i="1"/>
  <c r="X61" i="1"/>
  <c r="Y61" i="1" s="1"/>
  <c r="W51" i="1" l="1"/>
  <c r="AB51" i="1" s="1"/>
  <c r="AC51" i="1" s="1"/>
  <c r="X51" i="1"/>
  <c r="Y51" i="1" s="1"/>
  <c r="F25" i="13"/>
  <c r="H9" i="8"/>
  <c r="T9" i="8"/>
  <c r="F23" i="13" s="1"/>
  <c r="T8" i="9"/>
  <c r="F24" i="13" s="1"/>
  <c r="W50" i="1"/>
  <c r="AB50" i="1" s="1"/>
  <c r="AC50" i="1" s="1"/>
  <c r="X50" i="1"/>
  <c r="Y50" i="1" s="1"/>
  <c r="X39" i="1"/>
  <c r="Y39" i="1" s="1"/>
  <c r="W39" i="1"/>
  <c r="X31" i="1"/>
  <c r="Y31" i="1" s="1"/>
  <c r="W31" i="1"/>
  <c r="W37" i="1"/>
  <c r="AB37" i="1" s="1"/>
  <c r="AC37" i="1" s="1"/>
  <c r="X37" i="1"/>
  <c r="Y37" i="1" s="1"/>
  <c r="Y29" i="1" l="1"/>
  <c r="W30" i="1" l="1"/>
  <c r="P8" i="8"/>
  <c r="M8" i="8"/>
  <c r="H21" i="13"/>
  <c r="F20" i="13"/>
  <c r="AE7" i="11"/>
  <c r="AF7" i="11"/>
  <c r="AG7" i="11"/>
  <c r="AH7" i="11"/>
  <c r="AI7" i="11"/>
  <c r="AJ7" i="11"/>
  <c r="AK7" i="11"/>
  <c r="AE8" i="11"/>
  <c r="AF8" i="11"/>
  <c r="AG8" i="11"/>
  <c r="AI8" i="11"/>
  <c r="AK8" i="11"/>
  <c r="AE9" i="11"/>
  <c r="AF9" i="11"/>
  <c r="AG9" i="11"/>
  <c r="AH9" i="11"/>
  <c r="AI9" i="11"/>
  <c r="AJ9" i="11"/>
  <c r="AK9" i="11"/>
  <c r="AE10" i="11"/>
  <c r="AF10" i="11"/>
  <c r="AG10" i="11"/>
  <c r="AH10" i="11"/>
  <c r="AI10" i="11"/>
  <c r="AJ10" i="11"/>
  <c r="AK10" i="11"/>
  <c r="AE11" i="11"/>
  <c r="AF11" i="11"/>
  <c r="AG11" i="11"/>
  <c r="AH11" i="11"/>
  <c r="AI11" i="11"/>
  <c r="AJ11" i="11"/>
  <c r="AK11" i="11"/>
  <c r="AE12" i="11"/>
  <c r="AF12" i="11"/>
  <c r="AG12" i="11"/>
  <c r="AH12" i="11"/>
  <c r="AI12" i="11"/>
  <c r="AJ12" i="11"/>
  <c r="AK12" i="11"/>
  <c r="AE13" i="11"/>
  <c r="AF13" i="11"/>
  <c r="AG13" i="11"/>
  <c r="AH13" i="11"/>
  <c r="AI13" i="11"/>
  <c r="AJ13" i="11"/>
  <c r="AK13" i="11"/>
  <c r="AE14" i="11"/>
  <c r="AF14" i="11"/>
  <c r="AG14" i="11"/>
  <c r="AH14" i="11"/>
  <c r="AI14" i="11"/>
  <c r="AJ14" i="11"/>
  <c r="AK14" i="11"/>
  <c r="AE5" i="11"/>
  <c r="AF5" i="11"/>
  <c r="AG5" i="11"/>
  <c r="AH5" i="11"/>
  <c r="AI5" i="11"/>
  <c r="AJ5" i="11"/>
  <c r="AK5" i="11"/>
  <c r="AE6" i="11"/>
  <c r="AF6" i="11"/>
  <c r="AG6" i="11"/>
  <c r="AI6" i="11"/>
  <c r="AJ6" i="11"/>
  <c r="AK6" i="11"/>
  <c r="M8" i="11"/>
  <c r="AH8" i="11" s="1"/>
  <c r="O8" i="11"/>
  <c r="AJ8" i="11" s="1"/>
  <c r="K8" i="8"/>
  <c r="T8" i="8"/>
  <c r="F18" i="13" s="1"/>
  <c r="Y32" i="1"/>
  <c r="Y33" i="1"/>
  <c r="D5" i="8"/>
  <c r="E5" i="8"/>
  <c r="F5" i="8"/>
  <c r="G5" i="8"/>
  <c r="C5" i="8"/>
  <c r="T7" i="9"/>
  <c r="F19" i="13" s="1"/>
  <c r="D5" i="9"/>
  <c r="E5" i="9"/>
  <c r="F5" i="9"/>
  <c r="G5" i="9"/>
  <c r="C5" i="9"/>
  <c r="X27" i="1" l="1"/>
  <c r="Y27" i="1" s="1"/>
  <c r="W27" i="1"/>
  <c r="AB27" i="1" s="1"/>
  <c r="AC27" i="1" s="1"/>
  <c r="X21" i="1" l="1"/>
  <c r="Y21" i="1" s="1"/>
  <c r="W21" i="1"/>
  <c r="AB21" i="1" s="1"/>
  <c r="AC21" i="1" s="1"/>
  <c r="X20" i="1"/>
  <c r="Y20" i="1" s="1"/>
  <c r="W20" i="1"/>
  <c r="AB20" i="1" s="1"/>
  <c r="AC20" i="1" s="1"/>
  <c r="X19" i="1"/>
  <c r="Y19" i="1" s="1"/>
  <c r="W19" i="1"/>
  <c r="AB19" i="1" s="1"/>
  <c r="AC19" i="1" s="1"/>
  <c r="X18" i="1"/>
  <c r="Y18" i="1" s="1"/>
  <c r="W18" i="1"/>
  <c r="AB18" i="1" s="1"/>
  <c r="AC18" i="1" s="1"/>
  <c r="X17" i="1"/>
  <c r="Y17" i="1" s="1"/>
  <c r="W17" i="1"/>
  <c r="AB17" i="1" s="1"/>
  <c r="AC17" i="1" s="1"/>
  <c r="X16" i="1"/>
  <c r="Y16" i="1" s="1"/>
  <c r="W16" i="1"/>
  <c r="AB16" i="1" s="1"/>
  <c r="AC16" i="1" s="1"/>
  <c r="X15" i="1"/>
  <c r="Y15" i="1" s="1"/>
  <c r="W15" i="1"/>
  <c r="AB15" i="1" s="1"/>
  <c r="AC15" i="1" s="1"/>
  <c r="X14" i="1"/>
  <c r="Y14" i="1" s="1"/>
  <c r="W14" i="1"/>
  <c r="AB14" i="1" s="1"/>
  <c r="AC14" i="1" s="1"/>
  <c r="X13" i="1"/>
  <c r="Y13" i="1" s="1"/>
  <c r="W13" i="1"/>
  <c r="AB13" i="1" s="1"/>
  <c r="AC13" i="1" s="1"/>
  <c r="X12" i="1"/>
  <c r="Y12" i="1" s="1"/>
  <c r="W12" i="1"/>
  <c r="AB12" i="1" s="1"/>
  <c r="AC12" i="1" s="1"/>
  <c r="X11" i="1"/>
  <c r="Y11" i="1" s="1"/>
  <c r="W11" i="1"/>
  <c r="AB11" i="1" s="1"/>
  <c r="AC11" i="1" s="1"/>
  <c r="X10" i="1"/>
  <c r="Y10" i="1" s="1"/>
  <c r="W10" i="1"/>
  <c r="AB10" i="1" s="1"/>
  <c r="AC10" i="1" s="1"/>
  <c r="X9" i="1"/>
  <c r="Y9" i="1" s="1"/>
  <c r="W9" i="1"/>
  <c r="AB9" i="1" s="1"/>
  <c r="AC9" i="1" s="1"/>
  <c r="X8" i="1"/>
  <c r="Y8" i="1" s="1"/>
  <c r="W8" i="1"/>
  <c r="AB8" i="1" s="1"/>
  <c r="AC8" i="1" s="1"/>
  <c r="X7" i="1"/>
  <c r="Y7" i="1" s="1"/>
  <c r="W7" i="1"/>
  <c r="AB7" i="1" s="1"/>
  <c r="AC7" i="1" s="1"/>
  <c r="X6" i="1"/>
  <c r="Y6" i="1" s="1"/>
  <c r="W6" i="1"/>
  <c r="AB6" i="1" s="1"/>
  <c r="AC6" i="1" s="1"/>
  <c r="H16" i="13"/>
  <c r="T7" i="8"/>
  <c r="F13" i="13" s="1"/>
  <c r="T6" i="8"/>
  <c r="K6" i="9"/>
  <c r="T6" i="9"/>
  <c r="F14" i="13" s="1"/>
  <c r="Q5" i="1" l="1"/>
  <c r="R5" i="1"/>
  <c r="S5" i="1"/>
  <c r="T5" i="1"/>
  <c r="U5" i="1"/>
  <c r="P5" i="1"/>
  <c r="F10" i="13" l="1"/>
  <c r="F6" i="11" l="1"/>
  <c r="AH6" i="11" s="1"/>
  <c r="T5" i="8"/>
  <c r="F8" i="13" s="1"/>
  <c r="P5" i="9"/>
  <c r="K5" i="9"/>
  <c r="T5" i="9"/>
  <c r="F9" i="13" s="1"/>
  <c r="F5" i="13" l="1"/>
  <c r="M14" i="10" l="1"/>
  <c r="W47" i="1" l="1"/>
  <c r="AB47" i="1" s="1"/>
  <c r="AC47" i="1" s="1"/>
  <c r="W46" i="1"/>
  <c r="AB46" i="1" s="1"/>
  <c r="AC46" i="1" s="1"/>
  <c r="W42" i="1"/>
  <c r="AB42" i="1" s="1"/>
  <c r="AC42" i="1" s="1"/>
  <c r="W41" i="1"/>
  <c r="AB41" i="1" s="1"/>
  <c r="AC41" i="1" s="1"/>
  <c r="X47" i="1"/>
  <c r="Y47" i="1" s="1"/>
  <c r="X46" i="1"/>
  <c r="Y46" i="1" s="1"/>
  <c r="X42" i="1"/>
  <c r="Y42" i="1" s="1"/>
  <c r="X41" i="1"/>
  <c r="Y41" i="1" s="1"/>
  <c r="V5" i="1" l="1"/>
  <c r="D57" i="5"/>
  <c r="E57" i="5" s="1"/>
  <c r="D56" i="5"/>
  <c r="E56" i="5" s="1"/>
  <c r="P17" i="12" l="1"/>
  <c r="H17" i="12"/>
  <c r="M17" i="12"/>
  <c r="D55" i="5" l="1"/>
  <c r="E55" i="5" s="1"/>
  <c r="R5" i="9" l="1"/>
  <c r="C6" i="9" l="1"/>
  <c r="R6" i="9" s="1"/>
  <c r="D9" i="13"/>
  <c r="D52" i="5"/>
  <c r="E52" i="5" s="1"/>
  <c r="D50" i="5"/>
  <c r="E50" i="5" s="1"/>
  <c r="K16" i="12"/>
  <c r="D46" i="5"/>
  <c r="E46" i="5" s="1"/>
  <c r="D14" i="13" l="1"/>
  <c r="C7" i="9"/>
  <c r="R7" i="9" s="1"/>
  <c r="D49" i="5"/>
  <c r="E49" i="5" s="1"/>
  <c r="D47" i="5"/>
  <c r="E47" i="5" s="1"/>
  <c r="K5" i="6"/>
  <c r="K6" i="6"/>
  <c r="K7" i="6"/>
  <c r="K8" i="6"/>
  <c r="K4" i="6"/>
  <c r="C8" i="9" l="1"/>
  <c r="R8" i="9" s="1"/>
  <c r="D19" i="13"/>
  <c r="K9" i="6"/>
  <c r="X36" i="1"/>
  <c r="Y36" i="1" s="1"/>
  <c r="X48" i="1"/>
  <c r="E26" i="2"/>
  <c r="F26" i="2" s="1"/>
  <c r="G26" i="2"/>
  <c r="H26" i="2" s="1"/>
  <c r="I26" i="2"/>
  <c r="J26" i="2" s="1"/>
  <c r="K26" i="2"/>
  <c r="L26" i="2" s="1"/>
  <c r="M26" i="2"/>
  <c r="N26" i="2" s="1"/>
  <c r="O26" i="2"/>
  <c r="P26" i="2" s="1"/>
  <c r="C9" i="9" l="1"/>
  <c r="R9" i="9" s="1"/>
  <c r="D24" i="13"/>
  <c r="C10" i="9" l="1"/>
  <c r="R10" i="9" s="1"/>
  <c r="D29" i="13"/>
  <c r="D43" i="5"/>
  <c r="E43" i="5" s="1"/>
  <c r="C11" i="9" l="1"/>
  <c r="R11" i="9" s="1"/>
  <c r="D39" i="13" s="1"/>
  <c r="D34" i="13"/>
  <c r="D8" i="5" l="1"/>
  <c r="D9" i="5"/>
  <c r="D14" i="5"/>
  <c r="D19" i="5"/>
  <c r="D21" i="5"/>
  <c r="D37" i="5"/>
  <c r="E37" i="5" s="1"/>
  <c r="D11" i="5" l="1"/>
  <c r="D32" i="5"/>
  <c r="E32" i="5" s="1"/>
  <c r="M7" i="10" l="1"/>
  <c r="I5" i="10"/>
  <c r="S7" i="14"/>
  <c r="D8" i="14" s="1"/>
  <c r="S8" i="14" s="1"/>
  <c r="T7" i="14"/>
  <c r="E8" i="14" s="1"/>
  <c r="T8" i="14" s="1"/>
  <c r="U7" i="14"/>
  <c r="F8" i="14" s="1"/>
  <c r="U8" i="14" s="1"/>
  <c r="V7" i="14"/>
  <c r="G8" i="14" s="1"/>
  <c r="V8" i="14" s="1"/>
  <c r="R7" i="14"/>
  <c r="C8" i="14" s="1"/>
  <c r="R8" i="14" s="1"/>
  <c r="AL67" i="14"/>
  <c r="AL68" i="14" s="1"/>
  <c r="AK67" i="14"/>
  <c r="AJ67" i="14"/>
  <c r="AI67" i="14"/>
  <c r="AH67" i="14"/>
  <c r="AG67" i="14"/>
  <c r="AG68" i="14" s="1"/>
  <c r="AF67" i="14"/>
  <c r="AF68" i="14" s="1"/>
  <c r="AE67" i="14"/>
  <c r="AE68" i="14" s="1"/>
  <c r="AD67" i="14"/>
  <c r="AD68" i="14" s="1"/>
  <c r="AC67" i="14"/>
  <c r="AC68" i="14" s="1"/>
  <c r="AB67" i="14"/>
  <c r="AB68" i="14" s="1"/>
  <c r="AA67" i="14"/>
  <c r="AA68" i="14" s="1"/>
  <c r="P5" i="14"/>
  <c r="V4" i="14"/>
  <c r="G5" i="14" s="1"/>
  <c r="V5" i="14" s="1"/>
  <c r="G6" i="14" s="1"/>
  <c r="V6" i="14" s="1"/>
  <c r="U4" i="14"/>
  <c r="F5" i="14" s="1"/>
  <c r="S4" i="14"/>
  <c r="D5" i="14" s="1"/>
  <c r="S5" i="14" s="1"/>
  <c r="D6" i="14" s="1"/>
  <c r="S6" i="14" s="1"/>
  <c r="R4" i="14"/>
  <c r="V3" i="14"/>
  <c r="U3" i="14"/>
  <c r="S3" i="14"/>
  <c r="R3" i="14"/>
  <c r="AH68" i="14" l="1"/>
  <c r="U5" i="14"/>
  <c r="F6" i="14" s="1"/>
  <c r="U6" i="14" s="1"/>
  <c r="C9" i="14"/>
  <c r="R9" i="14" s="1"/>
  <c r="G9" i="14"/>
  <c r="V9" i="14" s="1"/>
  <c r="F9" i="14"/>
  <c r="U9" i="14" s="1"/>
  <c r="E9" i="14"/>
  <c r="T9" i="14" s="1"/>
  <c r="D9" i="14"/>
  <c r="S9" i="14" s="1"/>
  <c r="AJ68" i="14"/>
  <c r="AI68" i="14"/>
  <c r="AK68" i="14"/>
  <c r="C5" i="14"/>
  <c r="R5" i="14" s="1"/>
  <c r="C6" i="14" s="1"/>
  <c r="R6" i="14" s="1"/>
  <c r="E10" i="14" l="1"/>
  <c r="T10" i="14" s="1"/>
  <c r="E11" i="14" s="1"/>
  <c r="T11" i="14" s="1"/>
  <c r="F10" i="14"/>
  <c r="U10" i="14" s="1"/>
  <c r="F11" i="14" s="1"/>
  <c r="U11" i="14" s="1"/>
  <c r="C10" i="14"/>
  <c r="R10" i="14" s="1"/>
  <c r="C11" i="14" s="1"/>
  <c r="R11" i="14" s="1"/>
  <c r="G10" i="14"/>
  <c r="V10" i="14" s="1"/>
  <c r="G11" i="14" s="1"/>
  <c r="V11" i="14" s="1"/>
  <c r="D10" i="14"/>
  <c r="S10" i="14" s="1"/>
  <c r="D11" i="14" s="1"/>
  <c r="S11" i="14" s="1"/>
  <c r="AB90" i="1"/>
  <c r="AC90" i="1" s="1"/>
  <c r="P8" i="12"/>
  <c r="M5" i="10"/>
  <c r="Q5" i="10"/>
  <c r="O4" i="10"/>
  <c r="P4" i="10"/>
  <c r="Q4" i="10"/>
  <c r="R4" i="10"/>
  <c r="O5" i="10"/>
  <c r="C6" i="10" s="1"/>
  <c r="O6" i="10" s="1"/>
  <c r="P5" i="10"/>
  <c r="D6" i="10" s="1"/>
  <c r="P6" i="10" s="1"/>
  <c r="R5" i="10"/>
  <c r="F6" i="10" s="1"/>
  <c r="R6" i="10" s="1"/>
  <c r="D12" i="14" l="1"/>
  <c r="S12" i="14" s="1"/>
  <c r="F12" i="14"/>
  <c r="U12" i="14" s="1"/>
  <c r="G12" i="14"/>
  <c r="V12" i="14" s="1"/>
  <c r="C12" i="14"/>
  <c r="R12" i="14" s="1"/>
  <c r="E12" i="14"/>
  <c r="T12" i="14" s="1"/>
  <c r="F7" i="10"/>
  <c r="R7" i="10" s="1"/>
  <c r="C7" i="10"/>
  <c r="O7" i="10" s="1"/>
  <c r="D7" i="10"/>
  <c r="P7" i="10" s="1"/>
  <c r="E6" i="10"/>
  <c r="Q6" i="10" s="1"/>
  <c r="AB60" i="1"/>
  <c r="AB56" i="1"/>
  <c r="AC56" i="1" s="1"/>
  <c r="P5" i="12"/>
  <c r="E13" i="14" l="1"/>
  <c r="T13" i="14" s="1"/>
  <c r="C13" i="14"/>
  <c r="R13" i="14" s="1"/>
  <c r="G13" i="14"/>
  <c r="V13" i="14" s="1"/>
  <c r="F13" i="14"/>
  <c r="U13" i="14" s="1"/>
  <c r="D13" i="14"/>
  <c r="S13" i="14" s="1"/>
  <c r="F8" i="10"/>
  <c r="R8" i="10" s="1"/>
  <c r="F9" i="10" s="1"/>
  <c r="R9" i="10" s="1"/>
  <c r="D8" i="10"/>
  <c r="P8" i="10" s="1"/>
  <c r="D9" i="10" s="1"/>
  <c r="P9" i="10" s="1"/>
  <c r="C8" i="10"/>
  <c r="O8" i="10" s="1"/>
  <c r="C9" i="10" s="1"/>
  <c r="O9" i="10" s="1"/>
  <c r="AC60" i="1"/>
  <c r="E7" i="10"/>
  <c r="Q7" i="10" s="1"/>
  <c r="R4" i="12"/>
  <c r="C5" i="12" s="1"/>
  <c r="R5" i="12" s="1"/>
  <c r="C6" i="12" s="1"/>
  <c r="R6" i="12" s="1"/>
  <c r="S4" i="12"/>
  <c r="D5" i="12" s="1"/>
  <c r="S5" i="12" s="1"/>
  <c r="D6" i="12" s="1"/>
  <c r="S6" i="12" s="1"/>
  <c r="U4" i="12"/>
  <c r="F5" i="12" s="1"/>
  <c r="V4" i="12"/>
  <c r="G5" i="12" s="1"/>
  <c r="V5" i="12" s="1"/>
  <c r="G6" i="12" s="1"/>
  <c r="V6" i="12" s="1"/>
  <c r="AB70" i="12"/>
  <c r="AL69" i="12"/>
  <c r="AL70" i="12" s="1"/>
  <c r="AK69" i="12"/>
  <c r="AJ69" i="12"/>
  <c r="AI69" i="12"/>
  <c r="AH69" i="12"/>
  <c r="AG69" i="12"/>
  <c r="AG70" i="12" s="1"/>
  <c r="AF69" i="12"/>
  <c r="AF70" i="12" s="1"/>
  <c r="AE69" i="12"/>
  <c r="AE70" i="12" s="1"/>
  <c r="AD69" i="12"/>
  <c r="AD70" i="12" s="1"/>
  <c r="AC69" i="12"/>
  <c r="AC70" i="12" s="1"/>
  <c r="AB69" i="12"/>
  <c r="AA69" i="12"/>
  <c r="AA70" i="12" s="1"/>
  <c r="V3" i="12"/>
  <c r="U3" i="12"/>
  <c r="S3" i="12"/>
  <c r="R3" i="12"/>
  <c r="E21" i="5"/>
  <c r="AB51" i="9"/>
  <c r="AC51" i="9"/>
  <c r="AD51" i="9"/>
  <c r="AE51" i="9"/>
  <c r="AF51" i="9"/>
  <c r="AG51" i="9"/>
  <c r="AH51" i="9"/>
  <c r="AI51" i="9"/>
  <c r="AJ51" i="9"/>
  <c r="AK51" i="9"/>
  <c r="AL51" i="9"/>
  <c r="AA51" i="9"/>
  <c r="D14" i="14" l="1"/>
  <c r="S14" i="14" s="1"/>
  <c r="F14" i="14"/>
  <c r="U14" i="14" s="1"/>
  <c r="G14" i="14"/>
  <c r="V14" i="14" s="1"/>
  <c r="C14" i="14"/>
  <c r="R14" i="14" s="1"/>
  <c r="E14" i="14"/>
  <c r="T14" i="14" s="1"/>
  <c r="C10" i="10"/>
  <c r="O10" i="10" s="1"/>
  <c r="D10" i="10"/>
  <c r="P10" i="10" s="1"/>
  <c r="F10" i="10"/>
  <c r="R10" i="10" s="1"/>
  <c r="E8" i="10"/>
  <c r="Q8" i="10" s="1"/>
  <c r="E9" i="10" s="1"/>
  <c r="Q9" i="10" s="1"/>
  <c r="G7" i="12"/>
  <c r="V7" i="12" s="1"/>
  <c r="D7" i="12"/>
  <c r="S7" i="12" s="1"/>
  <c r="C7" i="12"/>
  <c r="R7" i="12" s="1"/>
  <c r="C8" i="12" s="1"/>
  <c r="R8" i="12" s="1"/>
  <c r="AI70" i="12"/>
  <c r="AH70" i="12"/>
  <c r="AJ70" i="12"/>
  <c r="U5" i="12"/>
  <c r="F6" i="12" s="1"/>
  <c r="U6" i="12" s="1"/>
  <c r="AK70" i="12"/>
  <c r="D15" i="14" l="1"/>
  <c r="S15" i="14" s="1"/>
  <c r="D16" i="14" s="1"/>
  <c r="S16" i="14" s="1"/>
  <c r="E15" i="14"/>
  <c r="T15" i="14" s="1"/>
  <c r="E16" i="14" s="1"/>
  <c r="T16" i="14" s="1"/>
  <c r="C15" i="14"/>
  <c r="R15" i="14" s="1"/>
  <c r="C16" i="14" s="1"/>
  <c r="R16" i="14" s="1"/>
  <c r="G15" i="14"/>
  <c r="V15" i="14" s="1"/>
  <c r="G16" i="14" s="1"/>
  <c r="V16" i="14" s="1"/>
  <c r="F15" i="14"/>
  <c r="U15" i="14" s="1"/>
  <c r="F16" i="14" s="1"/>
  <c r="U16" i="14" s="1"/>
  <c r="E10" i="10"/>
  <c r="Q10" i="10" s="1"/>
  <c r="D11" i="10"/>
  <c r="P11" i="10" s="1"/>
  <c r="D12" i="10" s="1"/>
  <c r="P12" i="10" s="1"/>
  <c r="D13" i="10" s="1"/>
  <c r="P13" i="10" s="1"/>
  <c r="D14" i="10" s="1"/>
  <c r="P14" i="10" s="1"/>
  <c r="C11" i="10"/>
  <c r="O11" i="10" s="1"/>
  <c r="C12" i="10" s="1"/>
  <c r="O12" i="10" s="1"/>
  <c r="C13" i="10" s="1"/>
  <c r="O13" i="10" s="1"/>
  <c r="C14" i="10" s="1"/>
  <c r="O14" i="10" s="1"/>
  <c r="F11" i="10"/>
  <c r="R11" i="10" s="1"/>
  <c r="F12" i="10" s="1"/>
  <c r="R12" i="10" s="1"/>
  <c r="F13" i="10" s="1"/>
  <c r="R13" i="10" s="1"/>
  <c r="F14" i="10" s="1"/>
  <c r="R14" i="10" s="1"/>
  <c r="C9" i="12"/>
  <c r="R9" i="12" s="1"/>
  <c r="G8" i="12"/>
  <c r="V8" i="12" s="1"/>
  <c r="D8" i="12"/>
  <c r="S8" i="12" s="1"/>
  <c r="F7" i="12"/>
  <c r="U7" i="12" s="1"/>
  <c r="W29" i="1"/>
  <c r="AB29" i="1" s="1"/>
  <c r="AC29" i="1" s="1"/>
  <c r="X43" i="1"/>
  <c r="Y43" i="1" s="1"/>
  <c r="X44" i="1"/>
  <c r="Y44" i="1" s="1"/>
  <c r="X45" i="1"/>
  <c r="Y45" i="1" s="1"/>
  <c r="Y48" i="1"/>
  <c r="X54" i="1"/>
  <c r="Y54" i="1" s="1"/>
  <c r="Y55" i="1"/>
  <c r="Y57" i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W43" i="1"/>
  <c r="AB43" i="1" s="1"/>
  <c r="AC43" i="1" s="1"/>
  <c r="W44" i="1"/>
  <c r="AB44" i="1" s="1"/>
  <c r="AC44" i="1" s="1"/>
  <c r="W45" i="1"/>
  <c r="AB45" i="1" s="1"/>
  <c r="W48" i="1"/>
  <c r="AB48" i="1" s="1"/>
  <c r="AC48" i="1" s="1"/>
  <c r="W54" i="1"/>
  <c r="AB54" i="1" s="1"/>
  <c r="AC54" i="1" s="1"/>
  <c r="AB55" i="1"/>
  <c r="AB57" i="1"/>
  <c r="AB59" i="1"/>
  <c r="AC59" i="1" s="1"/>
  <c r="AB61" i="1"/>
  <c r="W62" i="1"/>
  <c r="AB62" i="1" s="1"/>
  <c r="W63" i="1"/>
  <c r="AB63" i="1" s="1"/>
  <c r="AC63" i="1" s="1"/>
  <c r="W64" i="1"/>
  <c r="AB64" i="1" s="1"/>
  <c r="W65" i="1"/>
  <c r="AB65" i="1" s="1"/>
  <c r="W66" i="1"/>
  <c r="AB66" i="1" s="1"/>
  <c r="W67" i="1"/>
  <c r="AB67" i="1" s="1"/>
  <c r="W68" i="1"/>
  <c r="AB68" i="1" s="1"/>
  <c r="AC68" i="1" s="1"/>
  <c r="W69" i="1"/>
  <c r="AB69" i="1" s="1"/>
  <c r="AB70" i="1"/>
  <c r="AC70" i="1" s="1"/>
  <c r="W71" i="1"/>
  <c r="AB71" i="1" s="1"/>
  <c r="AC71" i="1" s="1"/>
  <c r="W72" i="1"/>
  <c r="AB72" i="1" s="1"/>
  <c r="AC72" i="1" s="1"/>
  <c r="W73" i="1"/>
  <c r="AB73" i="1" s="1"/>
  <c r="AC73" i="1" s="1"/>
  <c r="W74" i="1"/>
  <c r="AB74" i="1" s="1"/>
  <c r="AC74" i="1" s="1"/>
  <c r="W75" i="1"/>
  <c r="AB75" i="1" s="1"/>
  <c r="W76" i="1"/>
  <c r="AB76" i="1" s="1"/>
  <c r="AC76" i="1" s="1"/>
  <c r="W77" i="1"/>
  <c r="AB77" i="1" s="1"/>
  <c r="W78" i="1"/>
  <c r="AB78" i="1" s="1"/>
  <c r="AC78" i="1" s="1"/>
  <c r="W79" i="1"/>
  <c r="AB79" i="1" s="1"/>
  <c r="AC79" i="1" s="1"/>
  <c r="W80" i="1"/>
  <c r="AB80" i="1" s="1"/>
  <c r="AC80" i="1" s="1"/>
  <c r="W81" i="1"/>
  <c r="AB81" i="1" s="1"/>
  <c r="AC81" i="1" s="1"/>
  <c r="W82" i="1"/>
  <c r="AB82" i="1" s="1"/>
  <c r="AC82" i="1" s="1"/>
  <c r="W83" i="1"/>
  <c r="AB83" i="1" s="1"/>
  <c r="W84" i="1"/>
  <c r="AB84" i="1" s="1"/>
  <c r="AC84" i="1" s="1"/>
  <c r="W85" i="1"/>
  <c r="AB85" i="1" s="1"/>
  <c r="W86" i="1"/>
  <c r="AB86" i="1" s="1"/>
  <c r="W87" i="1"/>
  <c r="AB87" i="1" s="1"/>
  <c r="AC87" i="1" s="1"/>
  <c r="W88" i="1"/>
  <c r="AB88" i="1" s="1"/>
  <c r="O8" i="2"/>
  <c r="O9" i="2"/>
  <c r="O10" i="2"/>
  <c r="O11" i="2"/>
  <c r="O12" i="2"/>
  <c r="O13" i="2"/>
  <c r="O14" i="2"/>
  <c r="O15" i="2"/>
  <c r="O16" i="2"/>
  <c r="O17" i="2"/>
  <c r="O18" i="2"/>
  <c r="P18" i="2" s="1"/>
  <c r="O19" i="2"/>
  <c r="O20" i="2"/>
  <c r="O21" i="2"/>
  <c r="O22" i="2"/>
  <c r="O23" i="2"/>
  <c r="O24" i="2"/>
  <c r="O2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7" i="2"/>
  <c r="X40" i="1"/>
  <c r="Y40" i="1" s="1"/>
  <c r="X26" i="1"/>
  <c r="Y26" i="1" s="1"/>
  <c r="W26" i="1"/>
  <c r="AB26" i="1" s="1"/>
  <c r="AC26" i="1" s="1"/>
  <c r="X22" i="1"/>
  <c r="Y22" i="1" s="1"/>
  <c r="X23" i="1"/>
  <c r="Y23" i="1" s="1"/>
  <c r="X24" i="1"/>
  <c r="Y24" i="1" s="1"/>
  <c r="X25" i="1"/>
  <c r="Y25" i="1" s="1"/>
  <c r="X28" i="1"/>
  <c r="Y28" i="1" s="1"/>
  <c r="X34" i="1"/>
  <c r="Y34" i="1" s="1"/>
  <c r="X35" i="1"/>
  <c r="Y35" i="1" s="1"/>
  <c r="X38" i="1"/>
  <c r="Y38" i="1" s="1"/>
  <c r="W22" i="1"/>
  <c r="AB22" i="1" s="1"/>
  <c r="AC22" i="1" s="1"/>
  <c r="W23" i="1"/>
  <c r="AB23" i="1" s="1"/>
  <c r="AC23" i="1" s="1"/>
  <c r="W24" i="1"/>
  <c r="AB24" i="1" s="1"/>
  <c r="AC24" i="1" s="1"/>
  <c r="W25" i="1"/>
  <c r="AB25" i="1" s="1"/>
  <c r="AC25" i="1" s="1"/>
  <c r="W28" i="1"/>
  <c r="AB28" i="1" s="1"/>
  <c r="AC28" i="1" s="1"/>
  <c r="AB31" i="1"/>
  <c r="W32" i="1"/>
  <c r="AB32" i="1" s="1"/>
  <c r="AC32" i="1" s="1"/>
  <c r="W33" i="1"/>
  <c r="AB33" i="1" s="1"/>
  <c r="AC33" i="1" s="1"/>
  <c r="W34" i="1"/>
  <c r="AB34" i="1" s="1"/>
  <c r="W35" i="1"/>
  <c r="AB35" i="1" s="1"/>
  <c r="AC35" i="1" s="1"/>
  <c r="W36" i="1"/>
  <c r="AB36" i="1" s="1"/>
  <c r="W38" i="1"/>
  <c r="AB38" i="1" s="1"/>
  <c r="AB39" i="1"/>
  <c r="W40" i="1"/>
  <c r="AB40" i="1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34" i="2"/>
  <c r="E85" i="2"/>
  <c r="E57" i="2"/>
  <c r="AH69" i="10"/>
  <c r="AH70" i="10" s="1"/>
  <c r="AG69" i="10"/>
  <c r="AG70" i="10" s="1"/>
  <c r="AF69" i="10"/>
  <c r="AF70" i="10" s="1"/>
  <c r="AE69" i="10"/>
  <c r="AE70" i="10" s="1"/>
  <c r="AD69" i="10"/>
  <c r="AD70" i="10" s="1"/>
  <c r="AC69" i="10"/>
  <c r="AC70" i="10" s="1"/>
  <c r="AB69" i="10"/>
  <c r="AB70" i="10" s="1"/>
  <c r="AA69" i="10"/>
  <c r="AA70" i="10" s="1"/>
  <c r="Z69" i="10"/>
  <c r="Z70" i="10" s="1"/>
  <c r="Y69" i="10"/>
  <c r="Y70" i="10" s="1"/>
  <c r="X69" i="10"/>
  <c r="X70" i="10" s="1"/>
  <c r="W69" i="10"/>
  <c r="W70" i="10" s="1"/>
  <c r="AA52" i="9"/>
  <c r="AL52" i="9"/>
  <c r="AG52" i="9"/>
  <c r="AF52" i="9"/>
  <c r="AE52" i="9"/>
  <c r="AD52" i="9"/>
  <c r="AC52" i="9"/>
  <c r="AB52" i="9"/>
  <c r="F15" i="10" l="1"/>
  <c r="R15" i="10" s="1"/>
  <c r="C15" i="10"/>
  <c r="O15" i="10" s="1"/>
  <c r="D15" i="10"/>
  <c r="P15" i="10" s="1"/>
  <c r="D58" i="5"/>
  <c r="E58" i="5" s="1"/>
  <c r="AC88" i="1"/>
  <c r="D45" i="5"/>
  <c r="E45" i="5" s="1"/>
  <c r="AC83" i="1"/>
  <c r="D42" i="5"/>
  <c r="E42" i="5" s="1"/>
  <c r="AC65" i="1"/>
  <c r="D12" i="5"/>
  <c r="D48" i="5"/>
  <c r="E48" i="5" s="1"/>
  <c r="C17" i="14"/>
  <c r="R17" i="14" s="1"/>
  <c r="E17" i="14"/>
  <c r="T17" i="14" s="1"/>
  <c r="G17" i="14"/>
  <c r="V17" i="14" s="1"/>
  <c r="F17" i="14"/>
  <c r="U17" i="14" s="1"/>
  <c r="D17" i="14"/>
  <c r="S17" i="14" s="1"/>
  <c r="D53" i="5"/>
  <c r="E53" i="5" s="1"/>
  <c r="D54" i="5"/>
  <c r="E54" i="5" s="1"/>
  <c r="D51" i="5"/>
  <c r="E51" i="5" s="1"/>
  <c r="D44" i="5"/>
  <c r="E44" i="5" s="1"/>
  <c r="E11" i="10"/>
  <c r="Q11" i="10" s="1"/>
  <c r="E12" i="10" s="1"/>
  <c r="Q12" i="10" s="1"/>
  <c r="E13" i="10" s="1"/>
  <c r="Q13" i="10" s="1"/>
  <c r="E14" i="10" s="1"/>
  <c r="Q14" i="10" s="1"/>
  <c r="D41" i="5"/>
  <c r="E41" i="5" s="1"/>
  <c r="D40" i="5"/>
  <c r="E40" i="5" s="1"/>
  <c r="AC77" i="1"/>
  <c r="D39" i="5"/>
  <c r="E39" i="5" s="1"/>
  <c r="D7" i="5"/>
  <c r="D34" i="5"/>
  <c r="E34" i="5" s="1"/>
  <c r="AC34" i="1"/>
  <c r="D38" i="5"/>
  <c r="E38" i="5" s="1"/>
  <c r="D5" i="5"/>
  <c r="AC40" i="1"/>
  <c r="AC39" i="1"/>
  <c r="D33" i="5"/>
  <c r="E33" i="5" s="1"/>
  <c r="AC38" i="1"/>
  <c r="AC36" i="1"/>
  <c r="AC31" i="1"/>
  <c r="D20" i="5"/>
  <c r="D17" i="5"/>
  <c r="D18" i="5"/>
  <c r="D16" i="5"/>
  <c r="D6" i="5"/>
  <c r="D31" i="5"/>
  <c r="E31" i="5" s="1"/>
  <c r="AC86" i="1"/>
  <c r="D36" i="5"/>
  <c r="E36" i="5" s="1"/>
  <c r="AC85" i="1"/>
  <c r="AC75" i="1"/>
  <c r="D30" i="5"/>
  <c r="E30" i="5" s="1"/>
  <c r="D10" i="5"/>
  <c r="AC69" i="1"/>
  <c r="D29" i="5"/>
  <c r="E29" i="5" s="1"/>
  <c r="AC67" i="1"/>
  <c r="D13" i="5"/>
  <c r="AC66" i="1"/>
  <c r="D28" i="5"/>
  <c r="E28" i="5" s="1"/>
  <c r="D27" i="5"/>
  <c r="E27" i="5" s="1"/>
  <c r="AC64" i="1"/>
  <c r="D26" i="5"/>
  <c r="E26" i="5" s="1"/>
  <c r="AC62" i="1"/>
  <c r="AC61" i="1"/>
  <c r="D24" i="5"/>
  <c r="E24" i="5" s="1"/>
  <c r="AC57" i="1"/>
  <c r="D23" i="5"/>
  <c r="E23" i="5" s="1"/>
  <c r="AC55" i="1"/>
  <c r="AC45" i="1"/>
  <c r="D22" i="5"/>
  <c r="E22" i="5" s="1"/>
  <c r="D15" i="5"/>
  <c r="C10" i="12"/>
  <c r="R10" i="12" s="1"/>
  <c r="F8" i="12"/>
  <c r="U8" i="12" s="1"/>
  <c r="D9" i="12"/>
  <c r="S9" i="12" s="1"/>
  <c r="G9" i="12"/>
  <c r="V9" i="12" s="1"/>
  <c r="K4" i="2"/>
  <c r="K5" i="2" s="1"/>
  <c r="AL84" i="8"/>
  <c r="AL85" i="8" s="1"/>
  <c r="AK84" i="8"/>
  <c r="AJ84" i="8"/>
  <c r="AI84" i="8"/>
  <c r="AH84" i="8"/>
  <c r="AG84" i="8"/>
  <c r="AG85" i="8" s="1"/>
  <c r="AF84" i="8"/>
  <c r="AF85" i="8" s="1"/>
  <c r="AE84" i="8"/>
  <c r="AE85" i="8" s="1"/>
  <c r="AD84" i="8"/>
  <c r="AD85" i="8" s="1"/>
  <c r="AC84" i="8"/>
  <c r="AC85" i="8" s="1"/>
  <c r="AB84" i="8"/>
  <c r="AB85" i="8" s="1"/>
  <c r="AA84" i="8"/>
  <c r="AA85" i="8" s="1"/>
  <c r="E15" i="10" l="1"/>
  <c r="Q15" i="10" s="1"/>
  <c r="D16" i="10"/>
  <c r="P16" i="10" s="1"/>
  <c r="E16" i="13"/>
  <c r="C16" i="10"/>
  <c r="O16" i="10" s="1"/>
  <c r="D16" i="13"/>
  <c r="F16" i="10"/>
  <c r="R16" i="10" s="1"/>
  <c r="G16" i="13"/>
  <c r="G18" i="14"/>
  <c r="V18" i="14" s="1"/>
  <c r="D18" i="14"/>
  <c r="S18" i="14" s="1"/>
  <c r="F18" i="14"/>
  <c r="U18" i="14" s="1"/>
  <c r="E18" i="14"/>
  <c r="T18" i="14" s="1"/>
  <c r="C18" i="14"/>
  <c r="R18" i="14" s="1"/>
  <c r="W5" i="1"/>
  <c r="D35" i="5"/>
  <c r="E35" i="5" s="1"/>
  <c r="D25" i="5"/>
  <c r="E25" i="5" s="1"/>
  <c r="AB5" i="1"/>
  <c r="AC5" i="1"/>
  <c r="C11" i="12"/>
  <c r="R11" i="12" s="1"/>
  <c r="G10" i="12"/>
  <c r="V10" i="12" s="1"/>
  <c r="D10" i="12"/>
  <c r="S10" i="12" s="1"/>
  <c r="F9" i="12"/>
  <c r="U9" i="12" s="1"/>
  <c r="J22" i="2"/>
  <c r="O3" i="10"/>
  <c r="R3" i="10"/>
  <c r="P3" i="10"/>
  <c r="Q3" i="10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M10" i="4"/>
  <c r="M9" i="4"/>
  <c r="M8" i="4"/>
  <c r="M7" i="4"/>
  <c r="M6" i="4"/>
  <c r="M5" i="4"/>
  <c r="M4" i="4"/>
  <c r="W36" i="3"/>
  <c r="V36" i="3"/>
  <c r="U36" i="3"/>
  <c r="T36" i="3"/>
  <c r="S36" i="3"/>
  <c r="R36" i="3"/>
  <c r="Q36" i="3"/>
  <c r="I36" i="3"/>
  <c r="H36" i="3"/>
  <c r="G36" i="3"/>
  <c r="F36" i="3"/>
  <c r="E36" i="3"/>
  <c r="D36" i="3"/>
  <c r="C36" i="3"/>
  <c r="M12" i="3"/>
  <c r="K12" i="3"/>
  <c r="O11" i="3"/>
  <c r="N11" i="3"/>
  <c r="M11" i="3"/>
  <c r="L11" i="3"/>
  <c r="K11" i="3"/>
  <c r="J11" i="3"/>
  <c r="O10" i="3"/>
  <c r="N10" i="3"/>
  <c r="M10" i="3"/>
  <c r="L10" i="3"/>
  <c r="K10" i="3"/>
  <c r="J10" i="3"/>
  <c r="O9" i="3"/>
  <c r="N9" i="3"/>
  <c r="M9" i="3"/>
  <c r="L9" i="3"/>
  <c r="K9" i="3"/>
  <c r="J9" i="3"/>
  <c r="O8" i="3"/>
  <c r="N8" i="3"/>
  <c r="M8" i="3"/>
  <c r="L8" i="3"/>
  <c r="K8" i="3"/>
  <c r="J8" i="3"/>
  <c r="O7" i="3"/>
  <c r="N7" i="3"/>
  <c r="M7" i="3"/>
  <c r="L7" i="3"/>
  <c r="K7" i="3"/>
  <c r="J7" i="3"/>
  <c r="O6" i="3"/>
  <c r="N6" i="3"/>
  <c r="M6" i="3"/>
  <c r="L6" i="3"/>
  <c r="K6" i="3"/>
  <c r="J6" i="3"/>
  <c r="P200" i="2"/>
  <c r="N200" i="2"/>
  <c r="L200" i="2"/>
  <c r="E200" i="2"/>
  <c r="F200" i="2" s="1"/>
  <c r="J200" i="2"/>
  <c r="H200" i="2"/>
  <c r="P199" i="2"/>
  <c r="N199" i="2"/>
  <c r="L199" i="2"/>
  <c r="E199" i="2"/>
  <c r="F199" i="2" s="1"/>
  <c r="J199" i="2"/>
  <c r="H199" i="2"/>
  <c r="P198" i="2"/>
  <c r="N198" i="2"/>
  <c r="L198" i="2"/>
  <c r="E198" i="2"/>
  <c r="F198" i="2" s="1"/>
  <c r="J198" i="2"/>
  <c r="H198" i="2"/>
  <c r="P197" i="2"/>
  <c r="N197" i="2"/>
  <c r="L197" i="2"/>
  <c r="E197" i="2"/>
  <c r="F197" i="2" s="1"/>
  <c r="J197" i="2"/>
  <c r="H197" i="2"/>
  <c r="P196" i="2"/>
  <c r="N196" i="2"/>
  <c r="L196" i="2"/>
  <c r="E196" i="2"/>
  <c r="F196" i="2" s="1"/>
  <c r="J196" i="2"/>
  <c r="H196" i="2"/>
  <c r="P195" i="2"/>
  <c r="N195" i="2"/>
  <c r="L195" i="2"/>
  <c r="E195" i="2"/>
  <c r="F195" i="2" s="1"/>
  <c r="J195" i="2"/>
  <c r="H195" i="2"/>
  <c r="P194" i="2"/>
  <c r="N194" i="2"/>
  <c r="L194" i="2"/>
  <c r="E194" i="2"/>
  <c r="F194" i="2" s="1"/>
  <c r="J194" i="2"/>
  <c r="H194" i="2"/>
  <c r="P193" i="2"/>
  <c r="N193" i="2"/>
  <c r="L193" i="2"/>
  <c r="E193" i="2"/>
  <c r="F193" i="2" s="1"/>
  <c r="J193" i="2"/>
  <c r="H193" i="2"/>
  <c r="P192" i="2"/>
  <c r="N192" i="2"/>
  <c r="L192" i="2"/>
  <c r="E192" i="2"/>
  <c r="F192" i="2" s="1"/>
  <c r="J192" i="2"/>
  <c r="H192" i="2"/>
  <c r="P191" i="2"/>
  <c r="N191" i="2"/>
  <c r="L191" i="2"/>
  <c r="E191" i="2"/>
  <c r="F191" i="2" s="1"/>
  <c r="J191" i="2"/>
  <c r="H191" i="2"/>
  <c r="P190" i="2"/>
  <c r="N190" i="2"/>
  <c r="L190" i="2"/>
  <c r="E190" i="2"/>
  <c r="F190" i="2" s="1"/>
  <c r="J190" i="2"/>
  <c r="H190" i="2"/>
  <c r="P189" i="2"/>
  <c r="N189" i="2"/>
  <c r="L189" i="2"/>
  <c r="E189" i="2"/>
  <c r="F189" i="2" s="1"/>
  <c r="J189" i="2"/>
  <c r="H189" i="2"/>
  <c r="P188" i="2"/>
  <c r="N188" i="2"/>
  <c r="L188" i="2"/>
  <c r="E188" i="2"/>
  <c r="F188" i="2" s="1"/>
  <c r="J188" i="2"/>
  <c r="H188" i="2"/>
  <c r="P187" i="2"/>
  <c r="N187" i="2"/>
  <c r="L187" i="2"/>
  <c r="E187" i="2"/>
  <c r="F187" i="2" s="1"/>
  <c r="J187" i="2"/>
  <c r="H187" i="2"/>
  <c r="P186" i="2"/>
  <c r="N186" i="2"/>
  <c r="L186" i="2"/>
  <c r="E186" i="2"/>
  <c r="F186" i="2" s="1"/>
  <c r="J186" i="2"/>
  <c r="H186" i="2"/>
  <c r="P185" i="2"/>
  <c r="N185" i="2"/>
  <c r="L185" i="2"/>
  <c r="E185" i="2"/>
  <c r="F185" i="2" s="1"/>
  <c r="J185" i="2"/>
  <c r="H185" i="2"/>
  <c r="P184" i="2"/>
  <c r="N184" i="2"/>
  <c r="L184" i="2"/>
  <c r="E184" i="2"/>
  <c r="F184" i="2" s="1"/>
  <c r="J184" i="2"/>
  <c r="H184" i="2"/>
  <c r="P183" i="2"/>
  <c r="N183" i="2"/>
  <c r="L183" i="2"/>
  <c r="E183" i="2"/>
  <c r="F183" i="2" s="1"/>
  <c r="J183" i="2"/>
  <c r="H183" i="2"/>
  <c r="P182" i="2"/>
  <c r="N182" i="2"/>
  <c r="L182" i="2"/>
  <c r="E182" i="2"/>
  <c r="F182" i="2" s="1"/>
  <c r="J182" i="2"/>
  <c r="H182" i="2"/>
  <c r="P181" i="2"/>
  <c r="N181" i="2"/>
  <c r="L181" i="2"/>
  <c r="E181" i="2"/>
  <c r="F181" i="2" s="1"/>
  <c r="J181" i="2"/>
  <c r="H181" i="2"/>
  <c r="P180" i="2"/>
  <c r="N180" i="2"/>
  <c r="L180" i="2"/>
  <c r="E180" i="2"/>
  <c r="F180" i="2" s="1"/>
  <c r="J180" i="2"/>
  <c r="H180" i="2"/>
  <c r="P179" i="2"/>
  <c r="N179" i="2"/>
  <c r="L179" i="2"/>
  <c r="E179" i="2"/>
  <c r="F179" i="2" s="1"/>
  <c r="J179" i="2"/>
  <c r="H179" i="2"/>
  <c r="P178" i="2"/>
  <c r="N178" i="2"/>
  <c r="L178" i="2"/>
  <c r="E178" i="2"/>
  <c r="F178" i="2" s="1"/>
  <c r="J178" i="2"/>
  <c r="H178" i="2"/>
  <c r="P177" i="2"/>
  <c r="N177" i="2"/>
  <c r="L177" i="2"/>
  <c r="E177" i="2"/>
  <c r="F177" i="2" s="1"/>
  <c r="J177" i="2"/>
  <c r="H177" i="2"/>
  <c r="P176" i="2"/>
  <c r="N176" i="2"/>
  <c r="L176" i="2"/>
  <c r="E176" i="2"/>
  <c r="F176" i="2" s="1"/>
  <c r="J176" i="2"/>
  <c r="H176" i="2"/>
  <c r="P175" i="2"/>
  <c r="N175" i="2"/>
  <c r="L175" i="2"/>
  <c r="E175" i="2"/>
  <c r="F175" i="2" s="1"/>
  <c r="J175" i="2"/>
  <c r="H175" i="2"/>
  <c r="P174" i="2"/>
  <c r="N174" i="2"/>
  <c r="L174" i="2"/>
  <c r="E174" i="2"/>
  <c r="F174" i="2" s="1"/>
  <c r="J174" i="2"/>
  <c r="H174" i="2"/>
  <c r="P173" i="2"/>
  <c r="N173" i="2"/>
  <c r="L173" i="2"/>
  <c r="E173" i="2"/>
  <c r="F173" i="2" s="1"/>
  <c r="J173" i="2"/>
  <c r="H173" i="2"/>
  <c r="P172" i="2"/>
  <c r="N172" i="2"/>
  <c r="L172" i="2"/>
  <c r="E172" i="2"/>
  <c r="F172" i="2" s="1"/>
  <c r="J172" i="2"/>
  <c r="H172" i="2"/>
  <c r="P171" i="2"/>
  <c r="N171" i="2"/>
  <c r="L171" i="2"/>
  <c r="E171" i="2"/>
  <c r="F171" i="2" s="1"/>
  <c r="J171" i="2"/>
  <c r="H171" i="2"/>
  <c r="P170" i="2"/>
  <c r="N170" i="2"/>
  <c r="L170" i="2"/>
  <c r="E170" i="2"/>
  <c r="F170" i="2" s="1"/>
  <c r="J170" i="2"/>
  <c r="H170" i="2"/>
  <c r="P169" i="2"/>
  <c r="N169" i="2"/>
  <c r="L169" i="2"/>
  <c r="E169" i="2"/>
  <c r="F169" i="2" s="1"/>
  <c r="J169" i="2"/>
  <c r="H169" i="2"/>
  <c r="P168" i="2"/>
  <c r="N168" i="2"/>
  <c r="L168" i="2"/>
  <c r="E168" i="2"/>
  <c r="F168" i="2" s="1"/>
  <c r="J168" i="2"/>
  <c r="H168" i="2"/>
  <c r="P167" i="2"/>
  <c r="N167" i="2"/>
  <c r="L167" i="2"/>
  <c r="E167" i="2"/>
  <c r="F167" i="2" s="1"/>
  <c r="J167" i="2"/>
  <c r="H167" i="2"/>
  <c r="P166" i="2"/>
  <c r="N166" i="2"/>
  <c r="L166" i="2"/>
  <c r="E166" i="2"/>
  <c r="F166" i="2" s="1"/>
  <c r="J166" i="2"/>
  <c r="H166" i="2"/>
  <c r="P165" i="2"/>
  <c r="N165" i="2"/>
  <c r="L165" i="2"/>
  <c r="E165" i="2"/>
  <c r="F165" i="2" s="1"/>
  <c r="J165" i="2"/>
  <c r="H165" i="2"/>
  <c r="P164" i="2"/>
  <c r="N164" i="2"/>
  <c r="L164" i="2"/>
  <c r="E164" i="2"/>
  <c r="F164" i="2" s="1"/>
  <c r="J164" i="2"/>
  <c r="H164" i="2"/>
  <c r="P163" i="2"/>
  <c r="N163" i="2"/>
  <c r="L163" i="2"/>
  <c r="E163" i="2"/>
  <c r="F163" i="2" s="1"/>
  <c r="J163" i="2"/>
  <c r="H163" i="2"/>
  <c r="P162" i="2"/>
  <c r="N162" i="2"/>
  <c r="L162" i="2"/>
  <c r="E162" i="2"/>
  <c r="F162" i="2" s="1"/>
  <c r="J162" i="2"/>
  <c r="H162" i="2"/>
  <c r="P161" i="2"/>
  <c r="N161" i="2"/>
  <c r="L161" i="2"/>
  <c r="E161" i="2"/>
  <c r="F161" i="2" s="1"/>
  <c r="J161" i="2"/>
  <c r="H161" i="2"/>
  <c r="P160" i="2"/>
  <c r="N160" i="2"/>
  <c r="L160" i="2"/>
  <c r="E160" i="2"/>
  <c r="F160" i="2" s="1"/>
  <c r="J160" i="2"/>
  <c r="H160" i="2"/>
  <c r="P159" i="2"/>
  <c r="N159" i="2"/>
  <c r="L159" i="2"/>
  <c r="E159" i="2"/>
  <c r="F159" i="2" s="1"/>
  <c r="J159" i="2"/>
  <c r="H159" i="2"/>
  <c r="P158" i="2"/>
  <c r="N158" i="2"/>
  <c r="L158" i="2"/>
  <c r="E158" i="2"/>
  <c r="F158" i="2" s="1"/>
  <c r="J158" i="2"/>
  <c r="H158" i="2"/>
  <c r="P157" i="2"/>
  <c r="N157" i="2"/>
  <c r="L157" i="2"/>
  <c r="E157" i="2"/>
  <c r="F157" i="2" s="1"/>
  <c r="J157" i="2"/>
  <c r="H157" i="2"/>
  <c r="P156" i="2"/>
  <c r="N156" i="2"/>
  <c r="L156" i="2"/>
  <c r="E156" i="2"/>
  <c r="F156" i="2" s="1"/>
  <c r="J156" i="2"/>
  <c r="H156" i="2"/>
  <c r="P155" i="2"/>
  <c r="N155" i="2"/>
  <c r="L155" i="2"/>
  <c r="E155" i="2"/>
  <c r="F155" i="2" s="1"/>
  <c r="J155" i="2"/>
  <c r="H155" i="2"/>
  <c r="P154" i="2"/>
  <c r="N154" i="2"/>
  <c r="L154" i="2"/>
  <c r="E154" i="2"/>
  <c r="F154" i="2" s="1"/>
  <c r="J154" i="2"/>
  <c r="H154" i="2"/>
  <c r="P153" i="2"/>
  <c r="N153" i="2"/>
  <c r="L153" i="2"/>
  <c r="E153" i="2"/>
  <c r="F153" i="2" s="1"/>
  <c r="J153" i="2"/>
  <c r="H153" i="2"/>
  <c r="P152" i="2"/>
  <c r="N152" i="2"/>
  <c r="L152" i="2"/>
  <c r="E152" i="2"/>
  <c r="F152" i="2" s="1"/>
  <c r="J152" i="2"/>
  <c r="H152" i="2"/>
  <c r="P151" i="2"/>
  <c r="N151" i="2"/>
  <c r="L151" i="2"/>
  <c r="E151" i="2"/>
  <c r="F151" i="2" s="1"/>
  <c r="J151" i="2"/>
  <c r="H151" i="2"/>
  <c r="P150" i="2"/>
  <c r="N150" i="2"/>
  <c r="L150" i="2"/>
  <c r="E150" i="2"/>
  <c r="F150" i="2" s="1"/>
  <c r="J150" i="2"/>
  <c r="H150" i="2"/>
  <c r="P149" i="2"/>
  <c r="N149" i="2"/>
  <c r="L149" i="2"/>
  <c r="E149" i="2"/>
  <c r="F149" i="2" s="1"/>
  <c r="J149" i="2"/>
  <c r="H149" i="2"/>
  <c r="P148" i="2"/>
  <c r="N148" i="2"/>
  <c r="L148" i="2"/>
  <c r="E148" i="2"/>
  <c r="F148" i="2" s="1"/>
  <c r="J148" i="2"/>
  <c r="H148" i="2"/>
  <c r="P147" i="2"/>
  <c r="N147" i="2"/>
  <c r="L147" i="2"/>
  <c r="E147" i="2"/>
  <c r="F147" i="2" s="1"/>
  <c r="J147" i="2"/>
  <c r="H147" i="2"/>
  <c r="P146" i="2"/>
  <c r="N146" i="2"/>
  <c r="L146" i="2"/>
  <c r="E146" i="2"/>
  <c r="F146" i="2" s="1"/>
  <c r="J146" i="2"/>
  <c r="H146" i="2"/>
  <c r="P145" i="2"/>
  <c r="N145" i="2"/>
  <c r="L145" i="2"/>
  <c r="E145" i="2"/>
  <c r="F145" i="2" s="1"/>
  <c r="J145" i="2"/>
  <c r="H145" i="2"/>
  <c r="P144" i="2"/>
  <c r="N144" i="2"/>
  <c r="L144" i="2"/>
  <c r="E144" i="2"/>
  <c r="F144" i="2" s="1"/>
  <c r="J144" i="2"/>
  <c r="H144" i="2"/>
  <c r="P143" i="2"/>
  <c r="N143" i="2"/>
  <c r="L143" i="2"/>
  <c r="E143" i="2"/>
  <c r="F143" i="2" s="1"/>
  <c r="J143" i="2"/>
  <c r="H143" i="2"/>
  <c r="P142" i="2"/>
  <c r="N142" i="2"/>
  <c r="L142" i="2"/>
  <c r="E142" i="2"/>
  <c r="F142" i="2" s="1"/>
  <c r="J142" i="2"/>
  <c r="H142" i="2"/>
  <c r="P141" i="2"/>
  <c r="N141" i="2"/>
  <c r="L141" i="2"/>
  <c r="E141" i="2"/>
  <c r="F141" i="2" s="1"/>
  <c r="J141" i="2"/>
  <c r="H141" i="2"/>
  <c r="P140" i="2"/>
  <c r="N140" i="2"/>
  <c r="L140" i="2"/>
  <c r="E140" i="2"/>
  <c r="F140" i="2" s="1"/>
  <c r="J140" i="2"/>
  <c r="H140" i="2"/>
  <c r="P139" i="2"/>
  <c r="N139" i="2"/>
  <c r="L139" i="2"/>
  <c r="E139" i="2"/>
  <c r="F139" i="2" s="1"/>
  <c r="J139" i="2"/>
  <c r="H139" i="2"/>
  <c r="P138" i="2"/>
  <c r="N138" i="2"/>
  <c r="L138" i="2"/>
  <c r="E138" i="2"/>
  <c r="F138" i="2" s="1"/>
  <c r="J138" i="2"/>
  <c r="H138" i="2"/>
  <c r="P137" i="2"/>
  <c r="N137" i="2"/>
  <c r="L137" i="2"/>
  <c r="E137" i="2"/>
  <c r="F137" i="2" s="1"/>
  <c r="J137" i="2"/>
  <c r="H137" i="2"/>
  <c r="P136" i="2"/>
  <c r="N136" i="2"/>
  <c r="L136" i="2"/>
  <c r="E136" i="2"/>
  <c r="F136" i="2" s="1"/>
  <c r="J136" i="2"/>
  <c r="H136" i="2"/>
  <c r="P135" i="2"/>
  <c r="N135" i="2"/>
  <c r="L135" i="2"/>
  <c r="E135" i="2"/>
  <c r="F135" i="2" s="1"/>
  <c r="J135" i="2"/>
  <c r="H135" i="2"/>
  <c r="P134" i="2"/>
  <c r="N134" i="2"/>
  <c r="L134" i="2"/>
  <c r="E134" i="2"/>
  <c r="F134" i="2" s="1"/>
  <c r="J134" i="2"/>
  <c r="H134" i="2"/>
  <c r="P133" i="2"/>
  <c r="N133" i="2"/>
  <c r="L133" i="2"/>
  <c r="E133" i="2"/>
  <c r="F133" i="2" s="1"/>
  <c r="J133" i="2"/>
  <c r="H133" i="2"/>
  <c r="P132" i="2"/>
  <c r="N132" i="2"/>
  <c r="L132" i="2"/>
  <c r="E132" i="2"/>
  <c r="F132" i="2" s="1"/>
  <c r="J132" i="2"/>
  <c r="H132" i="2"/>
  <c r="P131" i="2"/>
  <c r="N131" i="2"/>
  <c r="L131" i="2"/>
  <c r="E131" i="2"/>
  <c r="F131" i="2" s="1"/>
  <c r="J131" i="2"/>
  <c r="H131" i="2"/>
  <c r="P130" i="2"/>
  <c r="N130" i="2"/>
  <c r="L130" i="2"/>
  <c r="E130" i="2"/>
  <c r="F130" i="2" s="1"/>
  <c r="J130" i="2"/>
  <c r="H130" i="2"/>
  <c r="P129" i="2"/>
  <c r="N129" i="2"/>
  <c r="L129" i="2"/>
  <c r="E129" i="2"/>
  <c r="F129" i="2" s="1"/>
  <c r="J129" i="2"/>
  <c r="H129" i="2"/>
  <c r="P128" i="2"/>
  <c r="N128" i="2"/>
  <c r="L128" i="2"/>
  <c r="E128" i="2"/>
  <c r="F128" i="2" s="1"/>
  <c r="J128" i="2"/>
  <c r="H128" i="2"/>
  <c r="P127" i="2"/>
  <c r="N127" i="2"/>
  <c r="L127" i="2"/>
  <c r="E127" i="2"/>
  <c r="F127" i="2" s="1"/>
  <c r="J127" i="2"/>
  <c r="H127" i="2"/>
  <c r="P126" i="2"/>
  <c r="N126" i="2"/>
  <c r="L126" i="2"/>
  <c r="E126" i="2"/>
  <c r="F126" i="2" s="1"/>
  <c r="J126" i="2"/>
  <c r="H126" i="2"/>
  <c r="P125" i="2"/>
  <c r="N125" i="2"/>
  <c r="L125" i="2"/>
  <c r="E125" i="2"/>
  <c r="F125" i="2" s="1"/>
  <c r="J125" i="2"/>
  <c r="H125" i="2"/>
  <c r="P124" i="2"/>
  <c r="N124" i="2"/>
  <c r="L124" i="2"/>
  <c r="E124" i="2"/>
  <c r="F124" i="2" s="1"/>
  <c r="J124" i="2"/>
  <c r="H124" i="2"/>
  <c r="P123" i="2"/>
  <c r="N123" i="2"/>
  <c r="L123" i="2"/>
  <c r="E123" i="2"/>
  <c r="F123" i="2" s="1"/>
  <c r="J123" i="2"/>
  <c r="H123" i="2"/>
  <c r="P122" i="2"/>
  <c r="N122" i="2"/>
  <c r="L122" i="2"/>
  <c r="E122" i="2"/>
  <c r="F122" i="2" s="1"/>
  <c r="J122" i="2"/>
  <c r="H122" i="2"/>
  <c r="P121" i="2"/>
  <c r="N121" i="2"/>
  <c r="L121" i="2"/>
  <c r="E121" i="2"/>
  <c r="F121" i="2" s="1"/>
  <c r="J121" i="2"/>
  <c r="H121" i="2"/>
  <c r="P120" i="2"/>
  <c r="N120" i="2"/>
  <c r="L120" i="2"/>
  <c r="E120" i="2"/>
  <c r="F120" i="2" s="1"/>
  <c r="J120" i="2"/>
  <c r="H120" i="2"/>
  <c r="P119" i="2"/>
  <c r="N119" i="2"/>
  <c r="L119" i="2"/>
  <c r="E119" i="2"/>
  <c r="F119" i="2" s="1"/>
  <c r="J119" i="2"/>
  <c r="H119" i="2"/>
  <c r="P118" i="2"/>
  <c r="N118" i="2"/>
  <c r="L118" i="2"/>
  <c r="E118" i="2"/>
  <c r="F118" i="2" s="1"/>
  <c r="J118" i="2"/>
  <c r="H118" i="2"/>
  <c r="P117" i="2"/>
  <c r="N117" i="2"/>
  <c r="L117" i="2"/>
  <c r="E117" i="2"/>
  <c r="F117" i="2" s="1"/>
  <c r="J117" i="2"/>
  <c r="H117" i="2"/>
  <c r="P116" i="2"/>
  <c r="N116" i="2"/>
  <c r="L116" i="2"/>
  <c r="E116" i="2"/>
  <c r="F116" i="2" s="1"/>
  <c r="J116" i="2"/>
  <c r="H116" i="2"/>
  <c r="P115" i="2"/>
  <c r="N115" i="2"/>
  <c r="L115" i="2"/>
  <c r="E115" i="2"/>
  <c r="F115" i="2" s="1"/>
  <c r="J115" i="2"/>
  <c r="H115" i="2"/>
  <c r="P114" i="2"/>
  <c r="N114" i="2"/>
  <c r="L114" i="2"/>
  <c r="E114" i="2"/>
  <c r="F114" i="2" s="1"/>
  <c r="J114" i="2"/>
  <c r="H114" i="2"/>
  <c r="P113" i="2"/>
  <c r="N113" i="2"/>
  <c r="L113" i="2"/>
  <c r="E113" i="2"/>
  <c r="F113" i="2" s="1"/>
  <c r="J113" i="2"/>
  <c r="H113" i="2"/>
  <c r="P112" i="2"/>
  <c r="N112" i="2"/>
  <c r="L112" i="2"/>
  <c r="E112" i="2"/>
  <c r="F112" i="2" s="1"/>
  <c r="J112" i="2"/>
  <c r="H112" i="2"/>
  <c r="P111" i="2"/>
  <c r="N111" i="2"/>
  <c r="L111" i="2"/>
  <c r="E111" i="2"/>
  <c r="F111" i="2" s="1"/>
  <c r="J111" i="2"/>
  <c r="H111" i="2"/>
  <c r="P110" i="2"/>
  <c r="N110" i="2"/>
  <c r="L110" i="2"/>
  <c r="E110" i="2"/>
  <c r="F110" i="2" s="1"/>
  <c r="J110" i="2"/>
  <c r="H110" i="2"/>
  <c r="P109" i="2"/>
  <c r="N109" i="2"/>
  <c r="L109" i="2"/>
  <c r="E109" i="2"/>
  <c r="F109" i="2" s="1"/>
  <c r="J109" i="2"/>
  <c r="H109" i="2"/>
  <c r="P108" i="2"/>
  <c r="N108" i="2"/>
  <c r="L108" i="2"/>
  <c r="E108" i="2"/>
  <c r="F108" i="2" s="1"/>
  <c r="J108" i="2"/>
  <c r="H108" i="2"/>
  <c r="P107" i="2"/>
  <c r="N107" i="2"/>
  <c r="L107" i="2"/>
  <c r="E107" i="2"/>
  <c r="F107" i="2" s="1"/>
  <c r="J107" i="2"/>
  <c r="H107" i="2"/>
  <c r="P106" i="2"/>
  <c r="N106" i="2"/>
  <c r="L106" i="2"/>
  <c r="E106" i="2"/>
  <c r="F106" i="2" s="1"/>
  <c r="J106" i="2"/>
  <c r="H106" i="2"/>
  <c r="P105" i="2"/>
  <c r="N105" i="2"/>
  <c r="L105" i="2"/>
  <c r="E105" i="2"/>
  <c r="F105" i="2" s="1"/>
  <c r="J105" i="2"/>
  <c r="H105" i="2"/>
  <c r="P104" i="2"/>
  <c r="N104" i="2"/>
  <c r="L104" i="2"/>
  <c r="E104" i="2"/>
  <c r="F104" i="2" s="1"/>
  <c r="J104" i="2"/>
  <c r="H104" i="2"/>
  <c r="P103" i="2"/>
  <c r="N103" i="2"/>
  <c r="L103" i="2"/>
  <c r="E103" i="2"/>
  <c r="F103" i="2" s="1"/>
  <c r="J103" i="2"/>
  <c r="H103" i="2"/>
  <c r="P102" i="2"/>
  <c r="N102" i="2"/>
  <c r="L102" i="2"/>
  <c r="E102" i="2"/>
  <c r="F102" i="2" s="1"/>
  <c r="J102" i="2"/>
  <c r="H102" i="2"/>
  <c r="P101" i="2"/>
  <c r="N101" i="2"/>
  <c r="L101" i="2"/>
  <c r="E101" i="2"/>
  <c r="F101" i="2" s="1"/>
  <c r="J101" i="2"/>
  <c r="H101" i="2"/>
  <c r="P100" i="2"/>
  <c r="N100" i="2"/>
  <c r="L100" i="2"/>
  <c r="E100" i="2"/>
  <c r="F100" i="2" s="1"/>
  <c r="J100" i="2"/>
  <c r="H100" i="2"/>
  <c r="P99" i="2"/>
  <c r="N99" i="2"/>
  <c r="L99" i="2"/>
  <c r="E99" i="2"/>
  <c r="F99" i="2" s="1"/>
  <c r="J99" i="2"/>
  <c r="H99" i="2"/>
  <c r="P98" i="2"/>
  <c r="N98" i="2"/>
  <c r="L98" i="2"/>
  <c r="E98" i="2"/>
  <c r="F98" i="2" s="1"/>
  <c r="J98" i="2"/>
  <c r="H98" i="2"/>
  <c r="P97" i="2"/>
  <c r="N97" i="2"/>
  <c r="L97" i="2"/>
  <c r="E97" i="2"/>
  <c r="F97" i="2" s="1"/>
  <c r="J97" i="2"/>
  <c r="H97" i="2"/>
  <c r="P96" i="2"/>
  <c r="N96" i="2"/>
  <c r="L96" i="2"/>
  <c r="E96" i="2"/>
  <c r="F96" i="2" s="1"/>
  <c r="J96" i="2"/>
  <c r="H96" i="2"/>
  <c r="P95" i="2"/>
  <c r="N95" i="2"/>
  <c r="L95" i="2"/>
  <c r="E95" i="2"/>
  <c r="F95" i="2" s="1"/>
  <c r="J95" i="2"/>
  <c r="H95" i="2"/>
  <c r="P94" i="2"/>
  <c r="N94" i="2"/>
  <c r="L94" i="2"/>
  <c r="E94" i="2"/>
  <c r="F94" i="2" s="1"/>
  <c r="J94" i="2"/>
  <c r="H94" i="2"/>
  <c r="P93" i="2"/>
  <c r="N93" i="2"/>
  <c r="L93" i="2"/>
  <c r="E93" i="2"/>
  <c r="F93" i="2" s="1"/>
  <c r="J93" i="2"/>
  <c r="H93" i="2"/>
  <c r="P92" i="2"/>
  <c r="N92" i="2"/>
  <c r="L92" i="2"/>
  <c r="E92" i="2"/>
  <c r="F92" i="2" s="1"/>
  <c r="J92" i="2"/>
  <c r="H92" i="2"/>
  <c r="P91" i="2"/>
  <c r="N91" i="2"/>
  <c r="L91" i="2"/>
  <c r="E91" i="2"/>
  <c r="F91" i="2" s="1"/>
  <c r="J91" i="2"/>
  <c r="H91" i="2"/>
  <c r="P90" i="2"/>
  <c r="N90" i="2"/>
  <c r="L90" i="2"/>
  <c r="E90" i="2"/>
  <c r="F90" i="2" s="1"/>
  <c r="J90" i="2"/>
  <c r="H90" i="2"/>
  <c r="P89" i="2"/>
  <c r="N89" i="2"/>
  <c r="L89" i="2"/>
  <c r="E89" i="2"/>
  <c r="F89" i="2" s="1"/>
  <c r="J89" i="2"/>
  <c r="H89" i="2"/>
  <c r="P88" i="2"/>
  <c r="N88" i="2"/>
  <c r="L88" i="2"/>
  <c r="E88" i="2"/>
  <c r="F88" i="2" s="1"/>
  <c r="J88" i="2"/>
  <c r="H88" i="2"/>
  <c r="P87" i="2"/>
  <c r="N87" i="2"/>
  <c r="L87" i="2"/>
  <c r="E87" i="2"/>
  <c r="F87" i="2" s="1"/>
  <c r="J87" i="2"/>
  <c r="H87" i="2"/>
  <c r="P86" i="2"/>
  <c r="N86" i="2"/>
  <c r="L86" i="2"/>
  <c r="E86" i="2"/>
  <c r="F86" i="2" s="1"/>
  <c r="J86" i="2"/>
  <c r="H86" i="2"/>
  <c r="P85" i="2"/>
  <c r="N85" i="2"/>
  <c r="L85" i="2"/>
  <c r="F85" i="2"/>
  <c r="J85" i="2"/>
  <c r="H85" i="2"/>
  <c r="P84" i="2"/>
  <c r="N84" i="2"/>
  <c r="L84" i="2"/>
  <c r="E84" i="2"/>
  <c r="F84" i="2" s="1"/>
  <c r="J84" i="2"/>
  <c r="H84" i="2"/>
  <c r="P83" i="2"/>
  <c r="N83" i="2"/>
  <c r="L83" i="2"/>
  <c r="E83" i="2"/>
  <c r="F83" i="2" s="1"/>
  <c r="J83" i="2"/>
  <c r="H83" i="2"/>
  <c r="P82" i="2"/>
  <c r="N82" i="2"/>
  <c r="L82" i="2"/>
  <c r="E82" i="2"/>
  <c r="F82" i="2" s="1"/>
  <c r="J82" i="2"/>
  <c r="H82" i="2"/>
  <c r="P81" i="2"/>
  <c r="N81" i="2"/>
  <c r="L81" i="2"/>
  <c r="E81" i="2"/>
  <c r="F81" i="2" s="1"/>
  <c r="J81" i="2"/>
  <c r="H81" i="2"/>
  <c r="P80" i="2"/>
  <c r="N80" i="2"/>
  <c r="L80" i="2"/>
  <c r="E80" i="2"/>
  <c r="F80" i="2" s="1"/>
  <c r="J80" i="2"/>
  <c r="H80" i="2"/>
  <c r="P79" i="2"/>
  <c r="N79" i="2"/>
  <c r="L79" i="2"/>
  <c r="E79" i="2"/>
  <c r="F79" i="2" s="1"/>
  <c r="J79" i="2"/>
  <c r="H79" i="2"/>
  <c r="P78" i="2"/>
  <c r="N78" i="2"/>
  <c r="L78" i="2"/>
  <c r="E78" i="2"/>
  <c r="F78" i="2" s="1"/>
  <c r="J78" i="2"/>
  <c r="H78" i="2"/>
  <c r="P77" i="2"/>
  <c r="N77" i="2"/>
  <c r="L77" i="2"/>
  <c r="E77" i="2"/>
  <c r="F77" i="2" s="1"/>
  <c r="J77" i="2"/>
  <c r="H77" i="2"/>
  <c r="P76" i="2"/>
  <c r="N76" i="2"/>
  <c r="L76" i="2"/>
  <c r="E76" i="2"/>
  <c r="F76" i="2" s="1"/>
  <c r="J76" i="2"/>
  <c r="H76" i="2"/>
  <c r="P75" i="2"/>
  <c r="N75" i="2"/>
  <c r="L75" i="2"/>
  <c r="E75" i="2"/>
  <c r="F75" i="2" s="1"/>
  <c r="J75" i="2"/>
  <c r="H75" i="2"/>
  <c r="P74" i="2"/>
  <c r="N74" i="2"/>
  <c r="L74" i="2"/>
  <c r="E74" i="2"/>
  <c r="F74" i="2" s="1"/>
  <c r="J74" i="2"/>
  <c r="H74" i="2"/>
  <c r="P73" i="2"/>
  <c r="N73" i="2"/>
  <c r="L73" i="2"/>
  <c r="E73" i="2"/>
  <c r="F73" i="2" s="1"/>
  <c r="J73" i="2"/>
  <c r="H73" i="2"/>
  <c r="P72" i="2"/>
  <c r="N72" i="2"/>
  <c r="L72" i="2"/>
  <c r="E72" i="2"/>
  <c r="F72" i="2" s="1"/>
  <c r="J72" i="2"/>
  <c r="H72" i="2"/>
  <c r="P71" i="2"/>
  <c r="N71" i="2"/>
  <c r="L71" i="2"/>
  <c r="E71" i="2"/>
  <c r="F71" i="2" s="1"/>
  <c r="J71" i="2"/>
  <c r="H71" i="2"/>
  <c r="P70" i="2"/>
  <c r="N70" i="2"/>
  <c r="L70" i="2"/>
  <c r="E70" i="2"/>
  <c r="F70" i="2" s="1"/>
  <c r="J70" i="2"/>
  <c r="H70" i="2"/>
  <c r="P69" i="2"/>
  <c r="N69" i="2"/>
  <c r="L69" i="2"/>
  <c r="E69" i="2"/>
  <c r="F69" i="2" s="1"/>
  <c r="J69" i="2"/>
  <c r="H69" i="2"/>
  <c r="P68" i="2"/>
  <c r="N68" i="2"/>
  <c r="L68" i="2"/>
  <c r="E68" i="2"/>
  <c r="F68" i="2" s="1"/>
  <c r="J68" i="2"/>
  <c r="H68" i="2"/>
  <c r="P67" i="2"/>
  <c r="N67" i="2"/>
  <c r="L67" i="2"/>
  <c r="E67" i="2"/>
  <c r="F67" i="2" s="1"/>
  <c r="J67" i="2"/>
  <c r="H67" i="2"/>
  <c r="P66" i="2"/>
  <c r="N66" i="2"/>
  <c r="L66" i="2"/>
  <c r="E66" i="2"/>
  <c r="F66" i="2" s="1"/>
  <c r="J66" i="2"/>
  <c r="H66" i="2"/>
  <c r="P65" i="2"/>
  <c r="N65" i="2"/>
  <c r="L65" i="2"/>
  <c r="E65" i="2"/>
  <c r="F65" i="2" s="1"/>
  <c r="J65" i="2"/>
  <c r="H65" i="2"/>
  <c r="P64" i="2"/>
  <c r="N64" i="2"/>
  <c r="L64" i="2"/>
  <c r="E64" i="2"/>
  <c r="F64" i="2" s="1"/>
  <c r="J64" i="2"/>
  <c r="H64" i="2"/>
  <c r="P63" i="2"/>
  <c r="N63" i="2"/>
  <c r="L63" i="2"/>
  <c r="E63" i="2"/>
  <c r="F63" i="2" s="1"/>
  <c r="J63" i="2"/>
  <c r="H63" i="2"/>
  <c r="P62" i="2"/>
  <c r="N62" i="2"/>
  <c r="L62" i="2"/>
  <c r="E62" i="2"/>
  <c r="F62" i="2" s="1"/>
  <c r="J62" i="2"/>
  <c r="H62" i="2"/>
  <c r="P61" i="2"/>
  <c r="N61" i="2"/>
  <c r="L61" i="2"/>
  <c r="E61" i="2"/>
  <c r="F61" i="2" s="1"/>
  <c r="J61" i="2"/>
  <c r="H61" i="2"/>
  <c r="P60" i="2"/>
  <c r="N60" i="2"/>
  <c r="L60" i="2"/>
  <c r="E60" i="2"/>
  <c r="F60" i="2" s="1"/>
  <c r="J60" i="2"/>
  <c r="H60" i="2"/>
  <c r="P59" i="2"/>
  <c r="N59" i="2"/>
  <c r="L59" i="2"/>
  <c r="E59" i="2"/>
  <c r="F59" i="2" s="1"/>
  <c r="J59" i="2"/>
  <c r="H59" i="2"/>
  <c r="P58" i="2"/>
  <c r="N58" i="2"/>
  <c r="L58" i="2"/>
  <c r="E58" i="2"/>
  <c r="F58" i="2" s="1"/>
  <c r="J58" i="2"/>
  <c r="H58" i="2"/>
  <c r="P57" i="2"/>
  <c r="N57" i="2"/>
  <c r="L57" i="2"/>
  <c r="F57" i="2"/>
  <c r="J57" i="2"/>
  <c r="H57" i="2"/>
  <c r="P56" i="2"/>
  <c r="N56" i="2"/>
  <c r="L56" i="2"/>
  <c r="E56" i="2"/>
  <c r="F56" i="2" s="1"/>
  <c r="J56" i="2"/>
  <c r="H56" i="2"/>
  <c r="P55" i="2"/>
  <c r="N55" i="2"/>
  <c r="L55" i="2"/>
  <c r="E55" i="2"/>
  <c r="F55" i="2" s="1"/>
  <c r="J55" i="2"/>
  <c r="H55" i="2"/>
  <c r="P54" i="2"/>
  <c r="N54" i="2"/>
  <c r="L54" i="2"/>
  <c r="E54" i="2"/>
  <c r="F54" i="2" s="1"/>
  <c r="J54" i="2"/>
  <c r="H54" i="2"/>
  <c r="P53" i="2"/>
  <c r="N53" i="2"/>
  <c r="L53" i="2"/>
  <c r="E53" i="2"/>
  <c r="F53" i="2" s="1"/>
  <c r="J53" i="2"/>
  <c r="H53" i="2"/>
  <c r="P52" i="2"/>
  <c r="N52" i="2"/>
  <c r="L52" i="2"/>
  <c r="E52" i="2"/>
  <c r="F52" i="2" s="1"/>
  <c r="J52" i="2"/>
  <c r="H52" i="2"/>
  <c r="P51" i="2"/>
  <c r="N51" i="2"/>
  <c r="L51" i="2"/>
  <c r="E51" i="2"/>
  <c r="F51" i="2" s="1"/>
  <c r="J51" i="2"/>
  <c r="H51" i="2"/>
  <c r="P50" i="2"/>
  <c r="N50" i="2"/>
  <c r="L50" i="2"/>
  <c r="E50" i="2"/>
  <c r="F50" i="2" s="1"/>
  <c r="J50" i="2"/>
  <c r="H50" i="2"/>
  <c r="P49" i="2"/>
  <c r="N49" i="2"/>
  <c r="L49" i="2"/>
  <c r="E49" i="2"/>
  <c r="F49" i="2" s="1"/>
  <c r="J49" i="2"/>
  <c r="H49" i="2"/>
  <c r="P48" i="2"/>
  <c r="N48" i="2"/>
  <c r="L48" i="2"/>
  <c r="E48" i="2"/>
  <c r="F48" i="2" s="1"/>
  <c r="J48" i="2"/>
  <c r="H48" i="2"/>
  <c r="P47" i="2"/>
  <c r="N47" i="2"/>
  <c r="L47" i="2"/>
  <c r="E47" i="2"/>
  <c r="F47" i="2" s="1"/>
  <c r="J47" i="2"/>
  <c r="H47" i="2"/>
  <c r="P46" i="2"/>
  <c r="N46" i="2"/>
  <c r="L46" i="2"/>
  <c r="E46" i="2"/>
  <c r="F46" i="2" s="1"/>
  <c r="J46" i="2"/>
  <c r="H46" i="2"/>
  <c r="P45" i="2"/>
  <c r="N45" i="2"/>
  <c r="L45" i="2"/>
  <c r="E45" i="2"/>
  <c r="F45" i="2" s="1"/>
  <c r="J45" i="2"/>
  <c r="H45" i="2"/>
  <c r="P44" i="2"/>
  <c r="N44" i="2"/>
  <c r="L44" i="2"/>
  <c r="E44" i="2"/>
  <c r="F44" i="2" s="1"/>
  <c r="J44" i="2"/>
  <c r="H44" i="2"/>
  <c r="P43" i="2"/>
  <c r="N43" i="2"/>
  <c r="L43" i="2"/>
  <c r="E43" i="2"/>
  <c r="F43" i="2" s="1"/>
  <c r="J43" i="2"/>
  <c r="H43" i="2"/>
  <c r="P42" i="2"/>
  <c r="N42" i="2"/>
  <c r="L42" i="2"/>
  <c r="E42" i="2"/>
  <c r="F42" i="2" s="1"/>
  <c r="J42" i="2"/>
  <c r="H42" i="2"/>
  <c r="P41" i="2"/>
  <c r="N41" i="2"/>
  <c r="L41" i="2"/>
  <c r="E41" i="2"/>
  <c r="F41" i="2" s="1"/>
  <c r="J41" i="2"/>
  <c r="H41" i="2"/>
  <c r="P40" i="2"/>
  <c r="N40" i="2"/>
  <c r="L40" i="2"/>
  <c r="E40" i="2"/>
  <c r="F40" i="2" s="1"/>
  <c r="J40" i="2"/>
  <c r="H40" i="2"/>
  <c r="P39" i="2"/>
  <c r="N39" i="2"/>
  <c r="L39" i="2"/>
  <c r="E39" i="2"/>
  <c r="F39" i="2" s="1"/>
  <c r="J39" i="2"/>
  <c r="H39" i="2"/>
  <c r="P38" i="2"/>
  <c r="N38" i="2"/>
  <c r="L38" i="2"/>
  <c r="E38" i="2"/>
  <c r="F38" i="2" s="1"/>
  <c r="J38" i="2"/>
  <c r="H38" i="2"/>
  <c r="P37" i="2"/>
  <c r="N37" i="2"/>
  <c r="L37" i="2"/>
  <c r="E37" i="2"/>
  <c r="F37" i="2" s="1"/>
  <c r="J37" i="2"/>
  <c r="H37" i="2"/>
  <c r="P36" i="2"/>
  <c r="N36" i="2"/>
  <c r="L36" i="2"/>
  <c r="E36" i="2"/>
  <c r="F36" i="2" s="1"/>
  <c r="J36" i="2"/>
  <c r="H36" i="2"/>
  <c r="P35" i="2"/>
  <c r="N35" i="2"/>
  <c r="L35" i="2"/>
  <c r="E35" i="2"/>
  <c r="F35" i="2" s="1"/>
  <c r="J35" i="2"/>
  <c r="H35" i="2"/>
  <c r="P34" i="2"/>
  <c r="N34" i="2"/>
  <c r="L34" i="2"/>
  <c r="E34" i="2"/>
  <c r="F34" i="2" s="1"/>
  <c r="J34" i="2"/>
  <c r="H34" i="2"/>
  <c r="P33" i="2"/>
  <c r="N33" i="2"/>
  <c r="L33" i="2"/>
  <c r="E33" i="2"/>
  <c r="F33" i="2" s="1"/>
  <c r="J33" i="2"/>
  <c r="H33" i="2"/>
  <c r="P32" i="2"/>
  <c r="N32" i="2"/>
  <c r="L32" i="2"/>
  <c r="E32" i="2"/>
  <c r="F32" i="2" s="1"/>
  <c r="J32" i="2"/>
  <c r="H32" i="2"/>
  <c r="P31" i="2"/>
  <c r="N31" i="2"/>
  <c r="L31" i="2"/>
  <c r="E31" i="2"/>
  <c r="F31" i="2" s="1"/>
  <c r="J31" i="2"/>
  <c r="H31" i="2"/>
  <c r="P30" i="2"/>
  <c r="N30" i="2"/>
  <c r="L30" i="2"/>
  <c r="E30" i="2"/>
  <c r="F30" i="2" s="1"/>
  <c r="J30" i="2"/>
  <c r="H30" i="2"/>
  <c r="P29" i="2"/>
  <c r="N29" i="2"/>
  <c r="L29" i="2"/>
  <c r="E29" i="2"/>
  <c r="F29" i="2" s="1"/>
  <c r="J29" i="2"/>
  <c r="H29" i="2"/>
  <c r="P28" i="2"/>
  <c r="N28" i="2"/>
  <c r="L28" i="2"/>
  <c r="E28" i="2"/>
  <c r="F28" i="2" s="1"/>
  <c r="J28" i="2"/>
  <c r="H28" i="2"/>
  <c r="P27" i="2"/>
  <c r="N27" i="2"/>
  <c r="L27" i="2"/>
  <c r="E27" i="2"/>
  <c r="F27" i="2" s="1"/>
  <c r="J27" i="2"/>
  <c r="H27" i="2"/>
  <c r="P25" i="2"/>
  <c r="N25" i="2"/>
  <c r="L25" i="2"/>
  <c r="E25" i="2"/>
  <c r="F25" i="2" s="1"/>
  <c r="J25" i="2"/>
  <c r="H25" i="2"/>
  <c r="P24" i="2"/>
  <c r="N24" i="2"/>
  <c r="L24" i="2"/>
  <c r="E24" i="2"/>
  <c r="F24" i="2" s="1"/>
  <c r="J24" i="2"/>
  <c r="H24" i="2"/>
  <c r="P23" i="2"/>
  <c r="N23" i="2"/>
  <c r="L23" i="2"/>
  <c r="E23" i="2"/>
  <c r="F23" i="2" s="1"/>
  <c r="J23" i="2"/>
  <c r="H23" i="2"/>
  <c r="P22" i="2"/>
  <c r="N22" i="2"/>
  <c r="L22" i="2"/>
  <c r="E22" i="2"/>
  <c r="F22" i="2" s="1"/>
  <c r="H22" i="2"/>
  <c r="P21" i="2"/>
  <c r="N21" i="2"/>
  <c r="L21" i="2"/>
  <c r="E21" i="2"/>
  <c r="F21" i="2" s="1"/>
  <c r="J21" i="2"/>
  <c r="H21" i="2"/>
  <c r="P20" i="2"/>
  <c r="N20" i="2"/>
  <c r="L20" i="2"/>
  <c r="E20" i="2"/>
  <c r="F20" i="2" s="1"/>
  <c r="J20" i="2"/>
  <c r="H20" i="2"/>
  <c r="P19" i="2"/>
  <c r="N19" i="2"/>
  <c r="L19" i="2"/>
  <c r="E19" i="2"/>
  <c r="F19" i="2" s="1"/>
  <c r="J19" i="2"/>
  <c r="H19" i="2"/>
  <c r="N18" i="2"/>
  <c r="L18" i="2"/>
  <c r="E18" i="2"/>
  <c r="F18" i="2" s="1"/>
  <c r="J18" i="2"/>
  <c r="H18" i="2"/>
  <c r="P17" i="2"/>
  <c r="N17" i="2"/>
  <c r="L17" i="2"/>
  <c r="E17" i="2"/>
  <c r="F17" i="2" s="1"/>
  <c r="J17" i="2"/>
  <c r="H17" i="2"/>
  <c r="P16" i="2"/>
  <c r="N16" i="2"/>
  <c r="L16" i="2"/>
  <c r="E16" i="2"/>
  <c r="F16" i="2" s="1"/>
  <c r="J16" i="2"/>
  <c r="H16" i="2"/>
  <c r="P15" i="2"/>
  <c r="N15" i="2"/>
  <c r="L15" i="2"/>
  <c r="E15" i="2"/>
  <c r="F15" i="2" s="1"/>
  <c r="J15" i="2"/>
  <c r="H15" i="2"/>
  <c r="P14" i="2"/>
  <c r="N14" i="2"/>
  <c r="L14" i="2"/>
  <c r="E14" i="2"/>
  <c r="F14" i="2" s="1"/>
  <c r="J14" i="2"/>
  <c r="H14" i="2"/>
  <c r="P13" i="2"/>
  <c r="N13" i="2"/>
  <c r="L13" i="2"/>
  <c r="E13" i="2"/>
  <c r="F13" i="2" s="1"/>
  <c r="J13" i="2"/>
  <c r="H13" i="2"/>
  <c r="P12" i="2"/>
  <c r="N12" i="2"/>
  <c r="L12" i="2"/>
  <c r="E12" i="2"/>
  <c r="F12" i="2" s="1"/>
  <c r="J12" i="2"/>
  <c r="H12" i="2"/>
  <c r="P11" i="2"/>
  <c r="N11" i="2"/>
  <c r="L11" i="2"/>
  <c r="E11" i="2"/>
  <c r="F11" i="2" s="1"/>
  <c r="J11" i="2"/>
  <c r="H11" i="2"/>
  <c r="P10" i="2"/>
  <c r="N10" i="2"/>
  <c r="L10" i="2"/>
  <c r="E10" i="2"/>
  <c r="F10" i="2" s="1"/>
  <c r="J10" i="2"/>
  <c r="H10" i="2"/>
  <c r="P9" i="2"/>
  <c r="N9" i="2"/>
  <c r="L9" i="2"/>
  <c r="E9" i="2"/>
  <c r="F9" i="2" s="1"/>
  <c r="J9" i="2"/>
  <c r="H9" i="2"/>
  <c r="P8" i="2"/>
  <c r="N8" i="2"/>
  <c r="L8" i="2"/>
  <c r="E8" i="2"/>
  <c r="F8" i="2" s="1"/>
  <c r="J8" i="2"/>
  <c r="H8" i="2"/>
  <c r="L7" i="2"/>
  <c r="E7" i="2"/>
  <c r="J7" i="2"/>
  <c r="H7" i="2"/>
  <c r="J12" i="3"/>
  <c r="F17" i="10" l="1"/>
  <c r="R17" i="10" s="1"/>
  <c r="F18" i="10" s="1"/>
  <c r="R18" i="10" s="1"/>
  <c r="G21" i="13"/>
  <c r="C17" i="10"/>
  <c r="O17" i="10" s="1"/>
  <c r="C18" i="10" s="1"/>
  <c r="O18" i="10" s="1"/>
  <c r="D21" i="13"/>
  <c r="D17" i="10"/>
  <c r="P17" i="10" s="1"/>
  <c r="D18" i="10" s="1"/>
  <c r="P18" i="10" s="1"/>
  <c r="E21" i="13"/>
  <c r="E16" i="10"/>
  <c r="Q16" i="10" s="1"/>
  <c r="F16" i="13"/>
  <c r="E4" i="2"/>
  <c r="F19" i="14"/>
  <c r="U19" i="14" s="1"/>
  <c r="C19" i="14"/>
  <c r="R19" i="14" s="1"/>
  <c r="E19" i="14"/>
  <c r="T19" i="14" s="1"/>
  <c r="D19" i="14"/>
  <c r="S19" i="14" s="1"/>
  <c r="G19" i="14"/>
  <c r="V19" i="14" s="1"/>
  <c r="D60" i="5"/>
  <c r="D11" i="12"/>
  <c r="S11" i="12" s="1"/>
  <c r="G11" i="12"/>
  <c r="V11" i="12" s="1"/>
  <c r="C12" i="12"/>
  <c r="R12" i="12" s="1"/>
  <c r="F10" i="12"/>
  <c r="U10" i="12" s="1"/>
  <c r="AJ85" i="8"/>
  <c r="AH85" i="8"/>
  <c r="AK52" i="9"/>
  <c r="F7" i="2"/>
  <c r="F4" i="2" s="1"/>
  <c r="L4" i="2"/>
  <c r="N7" i="2"/>
  <c r="N4" i="2" s="1"/>
  <c r="M4" i="2"/>
  <c r="M5" i="2" s="1"/>
  <c r="O4" i="2"/>
  <c r="O5" i="2" s="1"/>
  <c r="L12" i="3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P7" i="3"/>
  <c r="P9" i="3"/>
  <c r="P11" i="3"/>
  <c r="P6" i="3"/>
  <c r="H4" i="2"/>
  <c r="J4" i="2"/>
  <c r="N12" i="3"/>
  <c r="G4" i="2"/>
  <c r="G5" i="2" s="1"/>
  <c r="P7" i="2"/>
  <c r="P4" i="2" s="1"/>
  <c r="I4" i="2"/>
  <c r="I5" i="2" s="1"/>
  <c r="J13" i="3"/>
  <c r="O12" i="3"/>
  <c r="P8" i="3"/>
  <c r="P10" i="3"/>
  <c r="E5" i="5"/>
  <c r="E60" i="5" s="1"/>
  <c r="K13" i="3"/>
  <c r="K14" i="3" s="1"/>
  <c r="K15" i="3" s="1"/>
  <c r="K16" i="3" s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M13" i="3"/>
  <c r="M14" i="3" s="1"/>
  <c r="M15" i="3" s="1"/>
  <c r="M16" i="3" s="1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D20" i="14" l="1"/>
  <c r="S20" i="14" s="1"/>
  <c r="E7" i="13"/>
  <c r="G36" i="13"/>
  <c r="F19" i="10"/>
  <c r="R19" i="10" s="1"/>
  <c r="G41" i="13" s="1"/>
  <c r="F21" i="13"/>
  <c r="E17" i="10"/>
  <c r="Q17" i="10" s="1"/>
  <c r="E18" i="10" s="1"/>
  <c r="Q18" i="10" s="1"/>
  <c r="E20" i="14"/>
  <c r="T20" i="14" s="1"/>
  <c r="F7" i="13"/>
  <c r="E36" i="13"/>
  <c r="D19" i="10"/>
  <c r="P19" i="10" s="1"/>
  <c r="E41" i="13" s="1"/>
  <c r="F20" i="14"/>
  <c r="U20" i="14" s="1"/>
  <c r="G7" i="13"/>
  <c r="C19" i="10"/>
  <c r="O19" i="10" s="1"/>
  <c r="D41" i="13" s="1"/>
  <c r="D36" i="13"/>
  <c r="C20" i="14"/>
  <c r="R20" i="14" s="1"/>
  <c r="D7" i="13"/>
  <c r="G20" i="14"/>
  <c r="V20" i="14" s="1"/>
  <c r="H7" i="13"/>
  <c r="E5" i="2"/>
  <c r="R89" i="2"/>
  <c r="AI85" i="8"/>
  <c r="AK85" i="8"/>
  <c r="C13" i="12"/>
  <c r="R13" i="12" s="1"/>
  <c r="F11" i="12"/>
  <c r="U11" i="12" s="1"/>
  <c r="G12" i="12"/>
  <c r="V12" i="12" s="1"/>
  <c r="D12" i="12"/>
  <c r="S12" i="12" s="1"/>
  <c r="F60" i="5"/>
  <c r="AJ52" i="9"/>
  <c r="AH52" i="9"/>
  <c r="K36" i="3"/>
  <c r="O13" i="3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J14" i="3"/>
  <c r="N13" i="3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L36" i="3"/>
  <c r="M36" i="3"/>
  <c r="P12" i="3"/>
  <c r="E21" i="14" l="1"/>
  <c r="T21" i="14" s="1"/>
  <c r="F12" i="13"/>
  <c r="G21" i="14"/>
  <c r="V21" i="14" s="1"/>
  <c r="H12" i="13"/>
  <c r="F21" i="14"/>
  <c r="U21" i="14" s="1"/>
  <c r="G12" i="13"/>
  <c r="F36" i="13"/>
  <c r="E19" i="10"/>
  <c r="Q19" i="10" s="1"/>
  <c r="F41" i="13" s="1"/>
  <c r="C21" i="14"/>
  <c r="R21" i="14" s="1"/>
  <c r="D12" i="13"/>
  <c r="D21" i="14"/>
  <c r="S21" i="14" s="1"/>
  <c r="E12" i="13"/>
  <c r="D13" i="12"/>
  <c r="S13" i="12" s="1"/>
  <c r="G13" i="12"/>
  <c r="V13" i="12" s="1"/>
  <c r="C14" i="12"/>
  <c r="R14" i="12" s="1"/>
  <c r="F12" i="12"/>
  <c r="U12" i="12" s="1"/>
  <c r="AI52" i="9"/>
  <c r="P13" i="3"/>
  <c r="J15" i="3"/>
  <c r="P14" i="3"/>
  <c r="O36" i="3"/>
  <c r="N36" i="3"/>
  <c r="C22" i="14" l="1"/>
  <c r="R22" i="14" s="1"/>
  <c r="D17" i="13"/>
  <c r="E22" i="14"/>
  <c r="T22" i="14" s="1"/>
  <c r="F17" i="13"/>
  <c r="F22" i="14"/>
  <c r="U22" i="14" s="1"/>
  <c r="G17" i="13"/>
  <c r="D22" i="14"/>
  <c r="S22" i="14" s="1"/>
  <c r="E17" i="13"/>
  <c r="G22" i="14"/>
  <c r="V22" i="14" s="1"/>
  <c r="H17" i="13"/>
  <c r="C15" i="12"/>
  <c r="R15" i="12" s="1"/>
  <c r="F13" i="12"/>
  <c r="U13" i="12" s="1"/>
  <c r="G14" i="12"/>
  <c r="V14" i="12" s="1"/>
  <c r="D14" i="12"/>
  <c r="S14" i="12" s="1"/>
  <c r="J16" i="3"/>
  <c r="P15" i="3"/>
  <c r="C23" i="14" l="1"/>
  <c r="R23" i="14" s="1"/>
  <c r="D22" i="13"/>
  <c r="D23" i="14"/>
  <c r="S23" i="14" s="1"/>
  <c r="E22" i="13"/>
  <c r="G23" i="14"/>
  <c r="V23" i="14" s="1"/>
  <c r="H22" i="13"/>
  <c r="F23" i="14"/>
  <c r="U23" i="14" s="1"/>
  <c r="G22" i="13"/>
  <c r="E23" i="14"/>
  <c r="T23" i="14" s="1"/>
  <c r="F22" i="13"/>
  <c r="C16" i="12"/>
  <c r="R16" i="12" s="1"/>
  <c r="D15" i="12"/>
  <c r="S15" i="12" s="1"/>
  <c r="G15" i="12"/>
  <c r="V15" i="12" s="1"/>
  <c r="F14" i="12"/>
  <c r="U14" i="12" s="1"/>
  <c r="J17" i="3"/>
  <c r="P16" i="3"/>
  <c r="D24" i="14" l="1"/>
  <c r="S24" i="14" s="1"/>
  <c r="E27" i="13"/>
  <c r="E24" i="14"/>
  <c r="T24" i="14" s="1"/>
  <c r="F27" i="13"/>
  <c r="G27" i="13"/>
  <c r="F24" i="14"/>
  <c r="U24" i="14" s="1"/>
  <c r="C24" i="14"/>
  <c r="R24" i="14" s="1"/>
  <c r="D27" i="13"/>
  <c r="H27" i="13"/>
  <c r="G24" i="14"/>
  <c r="V24" i="14" s="1"/>
  <c r="F15" i="12"/>
  <c r="U15" i="12" s="1"/>
  <c r="G16" i="12"/>
  <c r="V16" i="12" s="1"/>
  <c r="D16" i="12"/>
  <c r="S16" i="12" s="1"/>
  <c r="C17" i="12"/>
  <c r="R17" i="12" s="1"/>
  <c r="P17" i="3"/>
  <c r="J18" i="3"/>
  <c r="C25" i="14" l="1"/>
  <c r="R25" i="14" s="1"/>
  <c r="D32" i="13"/>
  <c r="H32" i="13"/>
  <c r="G25" i="14"/>
  <c r="V25" i="14" s="1"/>
  <c r="G32" i="13"/>
  <c r="F25" i="14"/>
  <c r="U25" i="14" s="1"/>
  <c r="E32" i="13"/>
  <c r="D25" i="14"/>
  <c r="S25" i="14" s="1"/>
  <c r="F32" i="13"/>
  <c r="E25" i="14"/>
  <c r="T25" i="14" s="1"/>
  <c r="C18" i="12"/>
  <c r="R18" i="12" s="1"/>
  <c r="D17" i="12"/>
  <c r="S17" i="12" s="1"/>
  <c r="G17" i="12"/>
  <c r="V17" i="12" s="1"/>
  <c r="F16" i="12"/>
  <c r="U16" i="12" s="1"/>
  <c r="J19" i="3"/>
  <c r="P18" i="3"/>
  <c r="E26" i="14" l="1"/>
  <c r="T26" i="14" s="1"/>
  <c r="F42" i="13" s="1"/>
  <c r="F37" i="13"/>
  <c r="D26" i="14"/>
  <c r="S26" i="14" s="1"/>
  <c r="E42" i="13" s="1"/>
  <c r="E37" i="13"/>
  <c r="F26" i="14"/>
  <c r="U26" i="14" s="1"/>
  <c r="G42" i="13" s="1"/>
  <c r="G37" i="13"/>
  <c r="G26" i="14"/>
  <c r="V26" i="14" s="1"/>
  <c r="H42" i="13" s="1"/>
  <c r="H37" i="13"/>
  <c r="C26" i="14"/>
  <c r="R26" i="14" s="1"/>
  <c r="D42" i="13" s="1"/>
  <c r="D37" i="13"/>
  <c r="G18" i="12"/>
  <c r="V18" i="12" s="1"/>
  <c r="D18" i="12"/>
  <c r="S18" i="12" s="1"/>
  <c r="C19" i="12"/>
  <c r="R19" i="12" s="1"/>
  <c r="F17" i="12"/>
  <c r="U17" i="12" s="1"/>
  <c r="J20" i="3"/>
  <c r="P19" i="3"/>
  <c r="C20" i="12" l="1"/>
  <c r="R20" i="12" s="1"/>
  <c r="D19" i="12"/>
  <c r="S19" i="12" s="1"/>
  <c r="F18" i="12"/>
  <c r="U18" i="12" s="1"/>
  <c r="G19" i="12"/>
  <c r="V19" i="12" s="1"/>
  <c r="J21" i="3"/>
  <c r="P20" i="3"/>
  <c r="C21" i="12" l="1"/>
  <c r="R21" i="12" s="1"/>
  <c r="D20" i="12"/>
  <c r="S20" i="12" s="1"/>
  <c r="G20" i="12"/>
  <c r="V20" i="12" s="1"/>
  <c r="F19" i="12"/>
  <c r="U19" i="12" s="1"/>
  <c r="J22" i="3"/>
  <c r="P21" i="3"/>
  <c r="C22" i="12" l="1"/>
  <c r="R22" i="12" s="1"/>
  <c r="D21" i="12"/>
  <c r="S21" i="12" s="1"/>
  <c r="G21" i="12"/>
  <c r="V21" i="12" s="1"/>
  <c r="F20" i="12"/>
  <c r="U20" i="12" s="1"/>
  <c r="P22" i="3"/>
  <c r="J23" i="3"/>
  <c r="C23" i="12" l="1"/>
  <c r="R23" i="12" s="1"/>
  <c r="D10" i="13"/>
  <c r="D5" i="13"/>
  <c r="G22" i="12"/>
  <c r="V22" i="12" s="1"/>
  <c r="D22" i="12"/>
  <c r="S22" i="12" s="1"/>
  <c r="F21" i="12"/>
  <c r="U21" i="12" s="1"/>
  <c r="J24" i="3"/>
  <c r="P23" i="3"/>
  <c r="D23" i="12" l="1"/>
  <c r="S23" i="12" s="1"/>
  <c r="E10" i="13"/>
  <c r="E5" i="13"/>
  <c r="G23" i="12"/>
  <c r="V23" i="12" s="1"/>
  <c r="H10" i="13"/>
  <c r="H5" i="13"/>
  <c r="F22" i="12"/>
  <c r="U22" i="12" s="1"/>
  <c r="C24" i="12"/>
  <c r="R24" i="12" s="1"/>
  <c r="D20" i="13"/>
  <c r="J25" i="3"/>
  <c r="P24" i="3"/>
  <c r="F23" i="12" l="1"/>
  <c r="U23" i="12" s="1"/>
  <c r="G10" i="13"/>
  <c r="G5" i="13"/>
  <c r="C25" i="12"/>
  <c r="R25" i="12" s="1"/>
  <c r="D25" i="13"/>
  <c r="D24" i="12"/>
  <c r="S24" i="12" s="1"/>
  <c r="E20" i="13"/>
  <c r="G24" i="12"/>
  <c r="V24" i="12" s="1"/>
  <c r="H20" i="13"/>
  <c r="J26" i="3"/>
  <c r="P25" i="3"/>
  <c r="D25" i="12" l="1"/>
  <c r="S25" i="12" s="1"/>
  <c r="E25" i="13"/>
  <c r="G25" i="12"/>
  <c r="V25" i="12" s="1"/>
  <c r="H25" i="13"/>
  <c r="F24" i="12"/>
  <c r="U24" i="12" s="1"/>
  <c r="G20" i="13"/>
  <c r="D30" i="13"/>
  <c r="C26" i="12"/>
  <c r="R26" i="12" s="1"/>
  <c r="C27" i="12" s="1"/>
  <c r="R27" i="12" s="1"/>
  <c r="J27" i="3"/>
  <c r="P26" i="3"/>
  <c r="H30" i="13" l="1"/>
  <c r="G26" i="12"/>
  <c r="V26" i="12" s="1"/>
  <c r="G27" i="12" s="1"/>
  <c r="V27" i="12" s="1"/>
  <c r="D35" i="13"/>
  <c r="D40" i="13"/>
  <c r="F25" i="12"/>
  <c r="U25" i="12" s="1"/>
  <c r="G25" i="13"/>
  <c r="E30" i="13"/>
  <c r="D26" i="12"/>
  <c r="S26" i="12" s="1"/>
  <c r="D27" i="12" s="1"/>
  <c r="S27" i="12" s="1"/>
  <c r="J28" i="3"/>
  <c r="P27" i="3"/>
  <c r="E40" i="13" l="1"/>
  <c r="E35" i="13"/>
  <c r="G30" i="13"/>
  <c r="F26" i="12"/>
  <c r="U26" i="12" s="1"/>
  <c r="F27" i="12" s="1"/>
  <c r="U27" i="12" s="1"/>
  <c r="H35" i="13"/>
  <c r="H40" i="13"/>
  <c r="R5" i="8"/>
  <c r="V5" i="9"/>
  <c r="J29" i="3"/>
  <c r="P28" i="3"/>
  <c r="G35" i="13" l="1"/>
  <c r="G40" i="13"/>
  <c r="U5" i="8"/>
  <c r="C6" i="8"/>
  <c r="R6" i="8" s="1"/>
  <c r="C7" i="8" s="1"/>
  <c r="R7" i="8" s="1"/>
  <c r="D8" i="13"/>
  <c r="V5" i="8"/>
  <c r="S5" i="8"/>
  <c r="S5" i="9"/>
  <c r="U5" i="9"/>
  <c r="G6" i="9"/>
  <c r="V6" i="9" s="1"/>
  <c r="H9" i="13"/>
  <c r="P29" i="3"/>
  <c r="J30" i="3"/>
  <c r="H14" i="13" l="1"/>
  <c r="G7" i="9"/>
  <c r="V7" i="9" s="1"/>
  <c r="D13" i="13"/>
  <c r="C8" i="8"/>
  <c r="R8" i="8" s="1"/>
  <c r="F6" i="8"/>
  <c r="U6" i="8" s="1"/>
  <c r="F7" i="8" s="1"/>
  <c r="U7" i="8" s="1"/>
  <c r="G8" i="13"/>
  <c r="D6" i="8"/>
  <c r="S6" i="8" s="1"/>
  <c r="D7" i="8" s="1"/>
  <c r="S7" i="8" s="1"/>
  <c r="E8" i="13"/>
  <c r="G6" i="8"/>
  <c r="V6" i="8" s="1"/>
  <c r="G7" i="8" s="1"/>
  <c r="V7" i="8" s="1"/>
  <c r="H8" i="13"/>
  <c r="F6" i="9"/>
  <c r="U6" i="9" s="1"/>
  <c r="G9" i="13"/>
  <c r="D6" i="9"/>
  <c r="S6" i="9" s="1"/>
  <c r="E9" i="13"/>
  <c r="J31" i="3"/>
  <c r="P30" i="3"/>
  <c r="E14" i="13" l="1"/>
  <c r="D7" i="9"/>
  <c r="S7" i="9" s="1"/>
  <c r="G14" i="13"/>
  <c r="F7" i="9"/>
  <c r="U7" i="9" s="1"/>
  <c r="G8" i="9"/>
  <c r="V8" i="9" s="1"/>
  <c r="H19" i="13"/>
  <c r="E13" i="13"/>
  <c r="D8" i="8"/>
  <c r="S8" i="8" s="1"/>
  <c r="C9" i="8"/>
  <c r="R9" i="8" s="1"/>
  <c r="D18" i="13"/>
  <c r="H13" i="13"/>
  <c r="G8" i="8"/>
  <c r="V8" i="8" s="1"/>
  <c r="G13" i="13"/>
  <c r="F8" i="8"/>
  <c r="U8" i="8" s="1"/>
  <c r="J32" i="3"/>
  <c r="P31" i="3"/>
  <c r="D8" i="9" l="1"/>
  <c r="S8" i="9" s="1"/>
  <c r="E19" i="13"/>
  <c r="G9" i="9"/>
  <c r="V9" i="9" s="1"/>
  <c r="H24" i="13"/>
  <c r="C10" i="8"/>
  <c r="R10" i="8" s="1"/>
  <c r="D23" i="13"/>
  <c r="F8" i="9"/>
  <c r="U8" i="9" s="1"/>
  <c r="G19" i="13"/>
  <c r="G18" i="13"/>
  <c r="F9" i="8"/>
  <c r="U9" i="8" s="1"/>
  <c r="H18" i="13"/>
  <c r="G9" i="8"/>
  <c r="V9" i="8" s="1"/>
  <c r="D9" i="8"/>
  <c r="S9" i="8" s="1"/>
  <c r="E18" i="13"/>
  <c r="J33" i="3"/>
  <c r="P32" i="3"/>
  <c r="D9" i="9" l="1"/>
  <c r="S9" i="9" s="1"/>
  <c r="E24" i="13"/>
  <c r="F9" i="9"/>
  <c r="U9" i="9" s="1"/>
  <c r="G24" i="13"/>
  <c r="C11" i="8"/>
  <c r="R11" i="8" s="1"/>
  <c r="D28" i="13"/>
  <c r="G10" i="8"/>
  <c r="V10" i="8" s="1"/>
  <c r="H23" i="13"/>
  <c r="G10" i="9"/>
  <c r="V10" i="9" s="1"/>
  <c r="H29" i="13"/>
  <c r="D10" i="8"/>
  <c r="S10" i="8" s="1"/>
  <c r="E23" i="13"/>
  <c r="F10" i="8"/>
  <c r="U10" i="8" s="1"/>
  <c r="G23" i="13"/>
  <c r="J34" i="3"/>
  <c r="P33" i="3"/>
  <c r="G11" i="9" l="1"/>
  <c r="V11" i="9" s="1"/>
  <c r="H39" i="13" s="1"/>
  <c r="H34" i="13"/>
  <c r="D10" i="9"/>
  <c r="S10" i="9" s="1"/>
  <c r="E29" i="13"/>
  <c r="G11" i="8"/>
  <c r="V11" i="8" s="1"/>
  <c r="H28" i="13"/>
  <c r="F11" i="8"/>
  <c r="U11" i="8" s="1"/>
  <c r="G28" i="13"/>
  <c r="C12" i="8"/>
  <c r="R12" i="8" s="1"/>
  <c r="D38" i="13" s="1"/>
  <c r="D33" i="13"/>
  <c r="F10" i="9"/>
  <c r="U10" i="9" s="1"/>
  <c r="G29" i="13"/>
  <c r="D11" i="8"/>
  <c r="S11" i="8" s="1"/>
  <c r="E28" i="13"/>
  <c r="P34" i="3"/>
  <c r="J35" i="3"/>
  <c r="D12" i="8" l="1"/>
  <c r="S12" i="8" s="1"/>
  <c r="E38" i="13" s="1"/>
  <c r="E33" i="13"/>
  <c r="G34" i="13"/>
  <c r="F11" i="9"/>
  <c r="U11" i="9" s="1"/>
  <c r="G39" i="13" s="1"/>
  <c r="D11" i="9"/>
  <c r="S11" i="9" s="1"/>
  <c r="E39" i="13" s="1"/>
  <c r="E34" i="13"/>
  <c r="F12" i="8"/>
  <c r="U12" i="8" s="1"/>
  <c r="G38" i="13" s="1"/>
  <c r="G33" i="13"/>
  <c r="H33" i="13"/>
  <c r="G12" i="8"/>
  <c r="V12" i="8" s="1"/>
  <c r="H38" i="13" s="1"/>
  <c r="P35" i="3"/>
  <c r="P36" i="3" s="1"/>
  <c r="J36" i="3"/>
</calcChain>
</file>

<file path=xl/sharedStrings.xml><?xml version="1.0" encoding="utf-8"?>
<sst xmlns="http://schemas.openxmlformats.org/spreadsheetml/2006/main" count="2224" uniqueCount="640">
  <si>
    <t>ĐIỀU PHỐI QUAROMI</t>
  </si>
  <si>
    <t>CHỈ TIÊU</t>
  </si>
  <si>
    <t>VẬN CHUYỂN</t>
  </si>
  <si>
    <t>STT</t>
  </si>
  <si>
    <t>Ngày</t>
  </si>
  <si>
    <t>Đơn hàng</t>
  </si>
  <si>
    <t>Công việc</t>
  </si>
  <si>
    <t>Số lượng</t>
  </si>
  <si>
    <t>Người thực hiện</t>
  </si>
  <si>
    <t xml:space="preserve">Hỗ Trợ (trạm QL) </t>
  </si>
  <si>
    <t>Kết quả</t>
  </si>
  <si>
    <t>Chỉ tiêu</t>
  </si>
  <si>
    <t>Sản phẩm</t>
  </si>
  <si>
    <t>Đơn giá</t>
  </si>
  <si>
    <t>Doanh thu</t>
  </si>
  <si>
    <t>Thu tiền</t>
  </si>
  <si>
    <t>Người vận chuyển</t>
  </si>
  <si>
    <t>Số tiền</t>
  </si>
  <si>
    <t>GHI CHÚ</t>
  </si>
  <si>
    <t>Hàng hóa</t>
  </si>
  <si>
    <t>Giá bán</t>
  </si>
  <si>
    <t>Vỉ</t>
  </si>
  <si>
    <t>Cộng</t>
  </si>
  <si>
    <t>XN/CTY</t>
  </si>
  <si>
    <t>CBCNV</t>
  </si>
  <si>
    <t>Vỉ 500ml</t>
  </si>
  <si>
    <t>Vỉ 350 ml</t>
  </si>
  <si>
    <t>KM</t>
  </si>
  <si>
    <t>Vỉ 350ml</t>
  </si>
  <si>
    <t>Phương + Huế</t>
  </si>
  <si>
    <t>Xí nghiệp</t>
  </si>
  <si>
    <t>Phạm Thị Huyền</t>
  </si>
  <si>
    <t>Hộp 500ml</t>
  </si>
  <si>
    <t>Bùi Hà Thu</t>
  </si>
  <si>
    <t>Đinh Thu Huế</t>
  </si>
  <si>
    <t>Hộp 350ml</t>
  </si>
  <si>
    <t>Bình kiềm</t>
  </si>
  <si>
    <t>Lê Thanh Xuân</t>
  </si>
  <si>
    <t>Bình RO</t>
  </si>
  <si>
    <t>Nguyễn Văn Sơn</t>
  </si>
  <si>
    <t>Vũ Thị Thúy Phương</t>
  </si>
  <si>
    <t>Công ty</t>
  </si>
  <si>
    <t>Trần Trọng Khoa</t>
  </si>
  <si>
    <t>Miền Đông</t>
  </si>
  <si>
    <t>Nguyễn Văn Hưng</t>
  </si>
  <si>
    <t>Phạm Thị Đan Thanh</t>
  </si>
  <si>
    <t>Nguyễn Thị Ngà</t>
  </si>
  <si>
    <t>Nhà Nghỉ Hà Duy, phố Trần Cao Vân, đường sông 3, 10 vỉ 500ml, ĐT 0977 367679</t>
  </si>
  <si>
    <t>Bùi Thị Thu</t>
  </si>
  <si>
    <t>Bãi Cháy</t>
  </si>
  <si>
    <t>Xuân</t>
  </si>
  <si>
    <t>TT</t>
  </si>
  <si>
    <t>Họ và Tên</t>
  </si>
  <si>
    <t>Chức vụ</t>
  </si>
  <si>
    <t>Tổ/Trạm</t>
  </si>
  <si>
    <t>Thành tiền</t>
  </si>
  <si>
    <t>Trần Nam Trung</t>
  </si>
  <si>
    <t>Giám đốc</t>
  </si>
  <si>
    <t>Văn phòng</t>
  </si>
  <si>
    <t>Đỗ Văn Cảnh</t>
  </si>
  <si>
    <t>P. Giám đốc</t>
  </si>
  <si>
    <t>Phạm Quang Tâm</t>
  </si>
  <si>
    <t>P. Giám Đốc</t>
  </si>
  <si>
    <t>Vũ Thị Mai Huệ</t>
  </si>
  <si>
    <t>Phạm Phương Dung</t>
  </si>
  <si>
    <t>TBP. Kinh doanh</t>
  </si>
  <si>
    <t>Lại Thị Lan</t>
  </si>
  <si>
    <t>NV kinh doanh</t>
  </si>
  <si>
    <t>Nguyễn Huyền Thư</t>
  </si>
  <si>
    <t>Đoàn Thị Nhung</t>
  </si>
  <si>
    <t>Phạm Thị Thu (A)</t>
  </si>
  <si>
    <t>Trương Thị Hải Yến</t>
  </si>
  <si>
    <t>Lương Minh Hương</t>
  </si>
  <si>
    <t>Hoàng Hồng Nhung</t>
  </si>
  <si>
    <t>Nguyễn Phương Thảo</t>
  </si>
  <si>
    <t>Phan Hồng Hạnh</t>
  </si>
  <si>
    <t>Đỗ Thị Liễu</t>
  </si>
  <si>
    <t>CN kẹp chì</t>
  </si>
  <si>
    <t>Vũ Hữu Hoàng</t>
  </si>
  <si>
    <t>CN quản lý</t>
  </si>
  <si>
    <t>Lê Như Hùng</t>
  </si>
  <si>
    <t>NV kiểm tra</t>
  </si>
  <si>
    <t>Vũ Văn Thảo</t>
  </si>
  <si>
    <t>Trần Thị Thắm</t>
  </si>
  <si>
    <t>Kế toán chính</t>
  </si>
  <si>
    <t>NV thủ kho</t>
  </si>
  <si>
    <t>Lê Hoàng Anh</t>
  </si>
  <si>
    <t>NV kế toán</t>
  </si>
  <si>
    <t>Phạm Thị Bích Hằng</t>
  </si>
  <si>
    <t>Đỗ Thị Thu Hoàn</t>
  </si>
  <si>
    <t>Nguyễn Thị Thu Quyên</t>
  </si>
  <si>
    <t>Ngô Thị Vân Anh</t>
  </si>
  <si>
    <t>PT. Quản trị</t>
  </si>
  <si>
    <t>Nguyễn Thị Lan</t>
  </si>
  <si>
    <t>NV Đảng  - Đoàn</t>
  </si>
  <si>
    <t>Nguyễn Thị Ngọc Chung</t>
  </si>
  <si>
    <t>Thủ quỹ - HC</t>
  </si>
  <si>
    <t>Bùi Thị Diệu Linh</t>
  </si>
  <si>
    <t>NV LĐTL</t>
  </si>
  <si>
    <t>Đỗ Thị Hiền</t>
  </si>
  <si>
    <t>Phạm Thu Quỳnh</t>
  </si>
  <si>
    <t>CN tạp vụ</t>
  </si>
  <si>
    <t>Bùi Đức Hoàng</t>
  </si>
  <si>
    <t>CN Bảo vệ</t>
  </si>
  <si>
    <t>Nguyễn Thị Hằng</t>
  </si>
  <si>
    <t>Nguyễn Thị Thùy</t>
  </si>
  <si>
    <t>Đỗ Thị Vượng</t>
  </si>
  <si>
    <t>Tăng Thị Thơm</t>
  </si>
  <si>
    <t>Nguyễn Thị Huy</t>
  </si>
  <si>
    <t xml:space="preserve">CN bảo vệ </t>
  </si>
  <si>
    <t>Đặng Thanh Tùng</t>
  </si>
  <si>
    <t>CN lái xe</t>
  </si>
  <si>
    <t>Mai Anh Dũng</t>
  </si>
  <si>
    <t>TBP .Kỹ thuật</t>
  </si>
  <si>
    <t>Trịnh Thị Nhung</t>
  </si>
  <si>
    <t>NV kỹ thuật</t>
  </si>
  <si>
    <t>Bùi Văn Tình</t>
  </si>
  <si>
    <t>Khổng Thị Thu Trang</t>
  </si>
  <si>
    <t>Mạc Anh Tuấn</t>
  </si>
  <si>
    <t>NV kỹ thuật điện</t>
  </si>
  <si>
    <t>Phạm Vũ Quyền</t>
  </si>
  <si>
    <t>Bùi  Ngọc Nguyên</t>
  </si>
  <si>
    <t>NV kỹ thuật CTT</t>
  </si>
  <si>
    <t>Phạm Lan Hương</t>
  </si>
  <si>
    <t>NV kỹ thuật Vật tư</t>
  </si>
  <si>
    <t>Phạm Tuyết Dung</t>
  </si>
  <si>
    <t>Vi Đức Độ</t>
  </si>
  <si>
    <t>NV KT điện</t>
  </si>
  <si>
    <t>CN nước lọc</t>
  </si>
  <si>
    <t>Trần Ánh Nguyệt</t>
  </si>
  <si>
    <t>Nguyễn Quốc Hưng</t>
  </si>
  <si>
    <t>Trạm trưởng</t>
  </si>
  <si>
    <t>Hà Tu</t>
  </si>
  <si>
    <t>Vương Xuân Hùng</t>
  </si>
  <si>
    <t>Trạm phó</t>
  </si>
  <si>
    <t>Đào Duy Tùng</t>
  </si>
  <si>
    <t>Chu Hoài Nam</t>
  </si>
  <si>
    <t>Lê Hạnh Phúc</t>
  </si>
  <si>
    <t>Nghiêm Xuân Hải</t>
  </si>
  <si>
    <t>Nguyễn Văn Nhâm</t>
  </si>
  <si>
    <t>Nguyễn Mạnh Linh</t>
  </si>
  <si>
    <t>Hoàng Thị Mười</t>
  </si>
  <si>
    <t>CN Ghi số</t>
  </si>
  <si>
    <t>Lê Thị Thúy</t>
  </si>
  <si>
    <t>Bùi Ngọc Mai</t>
  </si>
  <si>
    <t>Nguyễn Thị Mi</t>
  </si>
  <si>
    <t>Tăng Thị Cúc</t>
  </si>
  <si>
    <t>Phạm Thị Thanh Hương</t>
  </si>
  <si>
    <t>CN VHMB</t>
  </si>
  <si>
    <t>Vũ Quốc Hiếu</t>
  </si>
  <si>
    <t>Trạm phó PT</t>
  </si>
  <si>
    <t>Cao Xanh</t>
  </si>
  <si>
    <t>Đỗ Anh Ngọc</t>
  </si>
  <si>
    <t>Trạm Phó</t>
  </si>
  <si>
    <t>Lý Ngọc Hồng</t>
  </si>
  <si>
    <t>Nguyễn Huy Toàn</t>
  </si>
  <si>
    <t>Nguyễn Huy Hoàng</t>
  </si>
  <si>
    <t>Trần Quốc Toản</t>
  </si>
  <si>
    <t>Lê Việt Anh</t>
  </si>
  <si>
    <t>Nguyễn Thế Mạnh</t>
  </si>
  <si>
    <t>Phạm Thanh Tuấn</t>
  </si>
  <si>
    <t>Lương Thị Vân Mai</t>
  </si>
  <si>
    <t>Ngô Thị Phương Thảo</t>
  </si>
  <si>
    <t xml:space="preserve">CN ghi số </t>
  </si>
  <si>
    <t>Nguyễn Thị Thu Hiền</t>
  </si>
  <si>
    <t>Trần Thị Nga</t>
  </si>
  <si>
    <t>Nguyễn Thị Thúy Hằng</t>
  </si>
  <si>
    <t>CN ghi số</t>
  </si>
  <si>
    <t>Vũ Thị Tươi</t>
  </si>
  <si>
    <t>Nguyễn Xuân Hùng</t>
  </si>
  <si>
    <t>Hạ Long</t>
  </si>
  <si>
    <t>Nguyễn Văn Tuyên</t>
  </si>
  <si>
    <t>Bùi Ngọc Đàm</t>
  </si>
  <si>
    <t>Vũ Quang Tạo</t>
  </si>
  <si>
    <t>Phạm Duy Linh</t>
  </si>
  <si>
    <t>Phạm Tiến Dũng</t>
  </si>
  <si>
    <t>Lê Anh Đức</t>
  </si>
  <si>
    <t>Bùi Minh Thái</t>
  </si>
  <si>
    <t>Nguyễn Văn Tùng</t>
  </si>
  <si>
    <t>Nguyễn Thị Chi</t>
  </si>
  <si>
    <t>Đào Thị Ngọc Anh</t>
  </si>
  <si>
    <t>Nguyễn Thị Sinh</t>
  </si>
  <si>
    <t>Đỗ Thị Thanh Hà</t>
  </si>
  <si>
    <t>Nguyễn Thị Tấm</t>
  </si>
  <si>
    <t>Bùi Phương Nhung</t>
  </si>
  <si>
    <t>Trần Lệ Hoa</t>
  </si>
  <si>
    <t>Nguyễn Thị Mai Dung</t>
  </si>
  <si>
    <t>Nguyễn Thị Hiếu</t>
  </si>
  <si>
    <t>Trần Thị Thu Huyền</t>
  </si>
  <si>
    <t>Vũ Thị Thanh Thảo</t>
  </si>
  <si>
    <t>Nguyễn Thị Ngọc Hà</t>
  </si>
  <si>
    <t xml:space="preserve">Trạm trưởng </t>
  </si>
  <si>
    <t>Hồng Gai</t>
  </si>
  <si>
    <t>Bùi Minh Quang</t>
  </si>
  <si>
    <t>Phạm Văn Dũng</t>
  </si>
  <si>
    <t>Phạm Trung Thông</t>
  </si>
  <si>
    <t>Phạm Thanh Trung</t>
  </si>
  <si>
    <t>Dư Văn Cẩm</t>
  </si>
  <si>
    <t>Nguyễn Quang Hùng</t>
  </si>
  <si>
    <t>Dương Tuấn Anh</t>
  </si>
  <si>
    <t>Hà Thị Hằng</t>
  </si>
  <si>
    <t>Bùi Thùy Dương</t>
  </si>
  <si>
    <t>Trần Thị Kim Dung</t>
  </si>
  <si>
    <t>Nguyễn Thị Hồng Phương</t>
  </si>
  <si>
    <t>Dương Thị Thu</t>
  </si>
  <si>
    <t>Bùi Thị Tuyết Vân</t>
  </si>
  <si>
    <t>Mai Thị Lụa</t>
  </si>
  <si>
    <t>Lưu Hải Yến</t>
  </si>
  <si>
    <t>Phan Thị Quý</t>
  </si>
  <si>
    <t>Nguyễn Thị Thủy (B)</t>
  </si>
  <si>
    <t>Nông Thị Hạnh</t>
  </si>
  <si>
    <t>Lê Thị Như Quỳnh</t>
  </si>
  <si>
    <t>Tô Thị Phương</t>
  </si>
  <si>
    <t>Nguyễn Thị Hiền</t>
  </si>
  <si>
    <t>Nguyễn Thị Mai Anh</t>
  </si>
  <si>
    <t>Bùi Thị Thu Minh</t>
  </si>
  <si>
    <t>Hà Lầm</t>
  </si>
  <si>
    <t>Nguyễn Quang Trung</t>
  </si>
  <si>
    <t>Nguyễn Tùng Cương</t>
  </si>
  <si>
    <t>Phạm Ngọc Thắng</t>
  </si>
  <si>
    <t>Vũ Mạnh Hùng</t>
  </si>
  <si>
    <t>Phạm Thanh Phong</t>
  </si>
  <si>
    <t>Lê Quang Dũng</t>
  </si>
  <si>
    <t>Vũ Đức Duy</t>
  </si>
  <si>
    <t>Phạm Thái Sơn</t>
  </si>
  <si>
    <t>Đinh Thị Cẩm Anh</t>
  </si>
  <si>
    <t>Mạc Thị Huyền</t>
  </si>
  <si>
    <t>Nguyễn Thị Thuỳ Liên</t>
  </si>
  <si>
    <t>Trần Thị Đan My</t>
  </si>
  <si>
    <t>Trần Thị Xuyến</t>
  </si>
  <si>
    <t>Hoàng Thị Phương</t>
  </si>
  <si>
    <t>Nguyễn Ánh Nguyệt</t>
  </si>
  <si>
    <t>Mạc Thị Thanh Tú</t>
  </si>
  <si>
    <t>Nguyễn Kim Dung</t>
  </si>
  <si>
    <t>Nguyễn Viết Tạo</t>
  </si>
  <si>
    <t>Tổ trưởng</t>
  </si>
  <si>
    <t>DV-CTT</t>
  </si>
  <si>
    <t>Lương Chí Hiếu</t>
  </si>
  <si>
    <t>Tổ phó</t>
  </si>
  <si>
    <t>Vũ Thị Đào</t>
  </si>
  <si>
    <t>CN dịch vụ</t>
  </si>
  <si>
    <t>Đặng Thu Huyền</t>
  </si>
  <si>
    <t>Mạc Văn Chung</t>
  </si>
  <si>
    <t>Dương Công Tưởng</t>
  </si>
  <si>
    <t>CN sửa chữa</t>
  </si>
  <si>
    <t>Nguyễn Thế Trọng</t>
  </si>
  <si>
    <t>Lê Xuân Thảo</t>
  </si>
  <si>
    <t>Phạm Tiến Quỳnh</t>
  </si>
  <si>
    <t>CN CTT</t>
  </si>
  <si>
    <t>Hoàng Quang Huy</t>
  </si>
  <si>
    <t>Nguyễn Thị Dung</t>
  </si>
  <si>
    <t>Nguyễn Thị Thu Hiên</t>
  </si>
  <si>
    <t>Phạm Thanh Quang</t>
  </si>
  <si>
    <t>Nguyễn Ngọc Thắng</t>
  </si>
  <si>
    <t>Đỗ Thị Huyền</t>
  </si>
  <si>
    <t>Trần Bích Ly</t>
  </si>
  <si>
    <t>Nguyễn Thanh Xuyền</t>
  </si>
  <si>
    <t>Đá Trắng</t>
  </si>
  <si>
    <t>Trần Thanh Hải</t>
  </si>
  <si>
    <t>Trương Quốc Khánh</t>
  </si>
  <si>
    <t>Phạm Đức Long</t>
  </si>
  <si>
    <t>Đỗ Thị Lan</t>
  </si>
  <si>
    <t>CN hoá nghiệm</t>
  </si>
  <si>
    <t>Nguyễn Quỳnh Nga</t>
  </si>
  <si>
    <t>CNhoá nghiệm</t>
  </si>
  <si>
    <t>Nguyễn Văn Thức</t>
  </si>
  <si>
    <t xml:space="preserve"> Trạm phó - CN hoá nghiệm</t>
  </si>
  <si>
    <t>Nguyễn Thị Ngọc Anh</t>
  </si>
  <si>
    <t>Nguyễn Thị Lan Anh</t>
  </si>
  <si>
    <t>Nguyễn T.Phương Thanh</t>
  </si>
  <si>
    <t>CN VHMB bơm 1</t>
  </si>
  <si>
    <t xml:space="preserve">Nguyễn Thị Hương </t>
  </si>
  <si>
    <t>Lê Thị Tâm</t>
  </si>
  <si>
    <t>Tô Thị Huệ</t>
  </si>
  <si>
    <t>Nguyễn Thiện Hải</t>
  </si>
  <si>
    <t>Lê Thị Lan Anh</t>
  </si>
  <si>
    <t>Hoàng Thị Dung</t>
  </si>
  <si>
    <t>Nguyễn Thị Quỳnh</t>
  </si>
  <si>
    <t>Đặng Thị Hường</t>
  </si>
  <si>
    <t>Lưu Khánh Chi</t>
  </si>
  <si>
    <t>Phạm Thị Thu (B)</t>
  </si>
  <si>
    <t>Trần Thị Gấm</t>
  </si>
  <si>
    <t>Vũ Thị Thu Vân</t>
  </si>
  <si>
    <t>Trần Thị Tuyết Lan</t>
  </si>
  <si>
    <t>Tô Thị Lan</t>
  </si>
  <si>
    <t>Phạm Thị Liên</t>
  </si>
  <si>
    <t>CN bảo vệ</t>
  </si>
  <si>
    <t>Nguyễn Đại Quân</t>
  </si>
  <si>
    <t>Nguyễn Thị Hiền Nương</t>
  </si>
  <si>
    <t>Trần Thị Trinh</t>
  </si>
  <si>
    <t>THEO DÕI NHẬP, XUẤT NƯỚC QAROMI</t>
  </si>
  <si>
    <t>Tháng 9/2026</t>
  </si>
  <si>
    <t>Nhập</t>
  </si>
  <si>
    <t>Xuất</t>
  </si>
  <si>
    <t>Tồn</t>
  </si>
  <si>
    <t>ĐIỀU PHỐI QAROMI</t>
  </si>
  <si>
    <t>Họ tên</t>
  </si>
  <si>
    <t>Địa chỉ nhà</t>
  </si>
  <si>
    <t>SĐT</t>
  </si>
  <si>
    <t>Khu vực thực hiện</t>
  </si>
  <si>
    <t>I</t>
  </si>
  <si>
    <t>Bốc xếp, vận chuyển</t>
  </si>
  <si>
    <t>Thứ</t>
  </si>
  <si>
    <t>Tổ thị trường</t>
  </si>
  <si>
    <t>0963913555</t>
  </si>
  <si>
    <t>Cao Xanh, Hồng Gai</t>
  </si>
  <si>
    <t>Đặng Thị Huyền</t>
  </si>
  <si>
    <t>Tổ DVCTT</t>
  </si>
  <si>
    <t>Cứu Hỏa</t>
  </si>
  <si>
    <t>0966785220</t>
  </si>
  <si>
    <t>Bãi Muối</t>
  </si>
  <si>
    <t>0988168666</t>
  </si>
  <si>
    <t>Bảo vệ</t>
  </si>
  <si>
    <t>Cột 3</t>
  </si>
  <si>
    <t>0982916899</t>
  </si>
  <si>
    <t>Trăng Thị Thơm</t>
  </si>
  <si>
    <t>Hà Trung</t>
  </si>
  <si>
    <t>0365577629</t>
  </si>
  <si>
    <t>0787224668</t>
  </si>
  <si>
    <t>Hà Phong</t>
  </si>
  <si>
    <t>0379221778</t>
  </si>
  <si>
    <t>CN</t>
  </si>
  <si>
    <t>Cột 5</t>
  </si>
  <si>
    <t>0914988892</t>
  </si>
  <si>
    <t>0388573628</t>
  </si>
  <si>
    <t>Yết Kiêu</t>
  </si>
  <si>
    <t>0838980944</t>
  </si>
  <si>
    <t>0855198226</t>
  </si>
  <si>
    <t>Cột 3, cột 5</t>
  </si>
  <si>
    <t>0962672181</t>
  </si>
  <si>
    <t>Tăng áp -&gt; Hà Tu</t>
  </si>
  <si>
    <t>0915196225</t>
  </si>
  <si>
    <t>0904099383</t>
  </si>
  <si>
    <t>0982757198</t>
  </si>
  <si>
    <t>II</t>
  </si>
  <si>
    <t>Lái xe tải điện</t>
  </si>
  <si>
    <t>0934399569</t>
  </si>
  <si>
    <t>0968333882</t>
  </si>
  <si>
    <t>Thứ tự điều phối</t>
  </si>
  <si>
    <t>Tổ Tiếp thị</t>
  </si>
  <si>
    <t>Tổ Dịch vụ</t>
  </si>
  <si>
    <t>Tổ Bảo vệ</t>
  </si>
  <si>
    <t>Trạm QL</t>
  </si>
  <si>
    <t>TỔNG HỢP CHI PHÍ VẬN CHUYỂN, BỐC XẾP</t>
  </si>
  <si>
    <t>NGÀY</t>
  </si>
  <si>
    <t>TỒN ĐẦU KỲ</t>
  </si>
  <si>
    <t>NHẬP</t>
  </si>
  <si>
    <t>XUẤT</t>
  </si>
  <si>
    <t>TỒN CUỐI</t>
  </si>
  <si>
    <t>BÌNH RO</t>
  </si>
  <si>
    <t>BÌNH KIỀM</t>
  </si>
  <si>
    <t>VỈ 500ML</t>
  </si>
  <si>
    <t>VỈ 350ML</t>
  </si>
  <si>
    <t>9/9/2026</t>
  </si>
  <si>
    <t xml:space="preserve">Ngày </t>
  </si>
  <si>
    <t>8/9/2026</t>
  </si>
  <si>
    <t>Bình ro</t>
  </si>
  <si>
    <t>Bình ion</t>
  </si>
  <si>
    <t>vỉ 350 ml</t>
  </si>
  <si>
    <t>Kho tăng áp</t>
  </si>
  <si>
    <t>Kho chị Huế</t>
  </si>
  <si>
    <t>Bộ phận</t>
  </si>
  <si>
    <t xml:space="preserve"> TẶNG Vỉ 500ml</t>
  </si>
  <si>
    <t xml:space="preserve"> Thùng 500 ml</t>
  </si>
  <si>
    <t xml:space="preserve"> TẶNG Thùng 500 ml</t>
  </si>
  <si>
    <t xml:space="preserve"> TẶNG Vỉ 350ml</t>
  </si>
  <si>
    <t>Thùng 350 ml</t>
  </si>
  <si>
    <t xml:space="preserve"> TẶNG Thùng 350 ml</t>
  </si>
  <si>
    <t>Bình Ion</t>
  </si>
  <si>
    <t xml:space="preserve"> TẶNG Bình Ion</t>
  </si>
  <si>
    <t xml:space="preserve"> TẶNG Bình RO</t>
  </si>
  <si>
    <t>XN</t>
  </si>
  <si>
    <t>xe điện</t>
  </si>
  <si>
    <t>BC</t>
  </si>
  <si>
    <t>cty</t>
  </si>
  <si>
    <t>FLC</t>
  </si>
  <si>
    <t>huế bán- Thái Nguyên 1</t>
  </si>
  <si>
    <t>mai anh- HG</t>
  </si>
  <si>
    <t>tuyết lan</t>
  </si>
  <si>
    <t>Phương- béo</t>
  </si>
  <si>
    <t>Hồng gai ship</t>
  </si>
  <si>
    <t>TỔNG XUẤT</t>
  </si>
  <si>
    <t>Tồn Cuối Kỳ</t>
  </si>
  <si>
    <t>Ghi chú</t>
  </si>
  <si>
    <t>C Huyền lấy 4 vỉ 500 ship 2 đơn</t>
  </si>
  <si>
    <t>Chị hằng cx lấy 3 vỉ 500</t>
  </si>
  <si>
    <t xml:space="preserve">E tú ghi số lấy 11 vỉ 500 ship đơn ngõ 14 bãi muối </t>
  </si>
  <si>
    <t>Mai ghi số</t>
  </si>
  <si>
    <t>sơn Hà tu</t>
  </si>
  <si>
    <t>Nhung</t>
  </si>
  <si>
    <t>c nhã nhà trẻ hoa hồng</t>
  </si>
  <si>
    <t>Thị Thu</t>
  </si>
  <si>
    <t>ngà</t>
  </si>
  <si>
    <t>liễu</t>
  </si>
  <si>
    <t>ngọc anh ship</t>
  </si>
  <si>
    <t>đỗ hà ship</t>
  </si>
  <si>
    <t>chi ship</t>
  </si>
  <si>
    <t>Hằng Bảo vệ</t>
  </si>
  <si>
    <t>phương thủ kho</t>
  </si>
  <si>
    <t>nam ( vâu)</t>
  </si>
  <si>
    <t xml:space="preserve">thùy bảo vệ </t>
  </si>
  <si>
    <t>Thanh ship</t>
  </si>
  <si>
    <t>Sinh</t>
  </si>
  <si>
    <t>ub</t>
  </si>
  <si>
    <t>Phương+Huế</t>
  </si>
  <si>
    <t>lại Lan</t>
  </si>
  <si>
    <t>Hằng Bảo vệ ship đơn Đa khoa hoàng anh</t>
  </si>
  <si>
    <t>Kho</t>
  </si>
  <si>
    <t>hoàn thành</t>
  </si>
  <si>
    <t>Chỉ tiêu CBCNV</t>
  </si>
  <si>
    <t>Kiểm tra</t>
  </si>
  <si>
    <t>HỘP 500</t>
  </si>
  <si>
    <t>hộp 500</t>
  </si>
  <si>
    <t>Chi</t>
  </si>
  <si>
    <t>xuân</t>
  </si>
  <si>
    <t>10/9/2026</t>
  </si>
  <si>
    <t>4 vỉ 500ml vào 315 Cao Xanh. Cửa hàng đt Dũng Tí, 098 4312638</t>
  </si>
  <si>
    <t>Tươi Đá Trắng số 19 Ba Đèo, 8 bình ion+ 11 vỉ 500 ml, 0915158863, chở đến điêm gọi chị tươi đến bốc</t>
  </si>
  <si>
    <t>7/9/2026</t>
  </si>
  <si>
    <t>9/9</t>
  </si>
  <si>
    <t>Long KD lấy ra đội múa</t>
  </si>
  <si>
    <t>10/9</t>
  </si>
  <si>
    <t>Nhung trả nợ nước hội thao</t>
  </si>
  <si>
    <t>Hộp 500 ml</t>
  </si>
  <si>
    <t>hộp 500 ml</t>
  </si>
  <si>
    <t>hộp 500ml</t>
  </si>
  <si>
    <t>Trạm Hạ Long</t>
  </si>
  <si>
    <t>Lương Vân Mai</t>
  </si>
  <si>
    <t>Trường Dân tộc nội trú</t>
  </si>
  <si>
    <t>11/9/2026</t>
  </si>
  <si>
    <t>Bùi Ngọc Nguyên</t>
  </si>
  <si>
    <t>Tăng áp</t>
  </si>
  <si>
    <t>Kho văn phòng</t>
  </si>
  <si>
    <t>Hộp 500 ML</t>
  </si>
  <si>
    <t>12/9/2026</t>
  </si>
  <si>
    <t>13/9/2026</t>
  </si>
  <si>
    <t>Tồn xe điện</t>
  </si>
  <si>
    <t>14/9/2026</t>
  </si>
  <si>
    <t>Kho Hà Lầm</t>
  </si>
  <si>
    <t>Tồn kho Hà Lầm</t>
  </si>
  <si>
    <t>xuất 40 vỉ 500 cho trạm Hồng Gai</t>
  </si>
  <si>
    <t>15/9/2026</t>
  </si>
  <si>
    <t>16/9/2026</t>
  </si>
  <si>
    <t>Thư tuyền PXD</t>
  </si>
  <si>
    <t>17/9/2026</t>
  </si>
  <si>
    <t>Yến Quảng Yên</t>
  </si>
  <si>
    <t>18/9/2026</t>
  </si>
  <si>
    <t>Thảo Cẩm Phả</t>
  </si>
  <si>
    <t>vận chuyển</t>
  </si>
  <si>
    <t>Vũ Thành Long</t>
  </si>
  <si>
    <t>NVKD</t>
  </si>
  <si>
    <t>Trạm Hà Lầm</t>
  </si>
  <si>
    <t>Kim anh Bãi Cháy</t>
  </si>
  <si>
    <t>Ghi số</t>
  </si>
  <si>
    <t>Lai xe</t>
  </si>
  <si>
    <t>19/9/2026</t>
  </si>
  <si>
    <t>21/9/2026</t>
  </si>
  <si>
    <t>SL</t>
  </si>
  <si>
    <t>ĐG</t>
  </si>
  <si>
    <t>tiền</t>
  </si>
  <si>
    <t>Tổng</t>
  </si>
  <si>
    <t>20/9/2026</t>
  </si>
  <si>
    <t>4 vỉ anh Nguyên trả nợ, nhập 11 bình có 7 úp+4 vòi</t>
  </si>
  <si>
    <t>Nguyễn Văn Khoa (Cẩm Phả)</t>
  </si>
  <si>
    <t>22/9/2026</t>
  </si>
  <si>
    <t>Tô Phương, Phương lái xe</t>
  </si>
  <si>
    <t>Trạm Cao Xanh</t>
  </si>
  <si>
    <t>23/9/2026</t>
  </si>
  <si>
    <t>24/9/2026</t>
  </si>
  <si>
    <t>23/9//2026</t>
  </si>
  <si>
    <t>25/9/2026</t>
  </si>
  <si>
    <t>26/9/2026</t>
  </si>
  <si>
    <t>28/9/2026</t>
  </si>
  <si>
    <t>Úp</t>
  </si>
  <si>
    <t>Vòi</t>
  </si>
  <si>
    <t>29/9/2026</t>
  </si>
  <si>
    <t>Kho Huế (2 úp + 6 vòi)</t>
  </si>
  <si>
    <t>Tổng nhận</t>
  </si>
  <si>
    <t>ơi mai cho chị đăng kí 30 +3 RO  vòi và 10 vỉ 500 em nhé .(VPUB Tỉnh QN).Chiều mai em nhé . 0977446067</t>
  </si>
  <si>
    <t>500ml</t>
  </si>
  <si>
    <t xml:space="preserve"> 350 ml</t>
  </si>
  <si>
    <t>hộp</t>
  </si>
  <si>
    <t xml:space="preserve"> 500ml</t>
  </si>
  <si>
    <t>úp</t>
  </si>
  <si>
    <t xml:space="preserve">vỉ </t>
  </si>
  <si>
    <t>10 vỉ 350ml + 1 km đến lideco hộ em với nhé! Giao càng sớm càng tốt chị ạ!!</t>
  </si>
  <si>
    <t>Hiển</t>
  </si>
  <si>
    <r>
      <t>Thư Tuyền PXD: E ơi ship giúp c 10 +1 vỉ 500ml (980k) đến nhà chú Thắng ở tổ 13 khu phố Hà Trung 2 (tầm 11h-11r chú ấy đi làm về)</t>
    </r>
    <r>
      <rPr>
        <sz val="16"/>
        <color theme="1"/>
        <rFont val="Times New Roman"/>
        <family val="1"/>
        <charset val="163"/>
      </rPr>
      <t xml:space="preserve"> </t>
    </r>
    <r>
      <rPr>
        <u/>
        <sz val="16"/>
        <color theme="1"/>
        <rFont val="Calibri"/>
        <family val="2"/>
        <charset val="1"/>
      </rPr>
      <t>+84972133886</t>
    </r>
    <r>
      <rPr>
        <sz val="16"/>
        <color theme="1"/>
        <rFont val="Calibri"/>
        <family val="2"/>
        <charset val="1"/>
      </rPr>
      <t>.</t>
    </r>
  </si>
  <si>
    <t>CK29/9</t>
  </si>
  <si>
    <t>Minh Huệ</t>
  </si>
  <si>
    <r>
      <t xml:space="preserve">Minh HUệ PQT: 10+1 vỉ 350ml đến Lan Bò Quán, 6A Lê Thánh Tông, 089 8083222 ( </t>
    </r>
    <r>
      <rPr>
        <b/>
        <sz val="14"/>
        <color theme="1"/>
        <rFont val="Times New Roman"/>
        <family val="1"/>
      </rPr>
      <t>CHiều ship,</t>
    </r>
    <r>
      <rPr>
        <sz val="14"/>
        <color theme="1"/>
        <rFont val="Times New Roman"/>
        <family val="1"/>
        <charset val="163"/>
      </rPr>
      <t xml:space="preserve"> thu tiền luôn)</t>
    </r>
  </si>
  <si>
    <t>:Nguyễn Hải Ninh phòng KT đki 10+1 vỉ 500ml ship đến địa chỉ: Số nhà 260 tổ 61 khu Cao Thắng 7 phường Hà Lầm - sđt: 083 3762848 THU TIỀN LUÔN</t>
  </si>
  <si>
    <t>Hải Ninh</t>
  </si>
  <si>
    <t>Anh Hoàng Bảo vệ, trạm Hạ Lomg</t>
  </si>
  <si>
    <t>30/9/2026</t>
  </si>
  <si>
    <t>Thái Sơn</t>
  </si>
  <si>
    <r>
      <t xml:space="preserve">Nguyễn Thái Sơn phòng KT đki 15+1 vỉ 350ml đến trường mầm non Hạ long, 0904110068, </t>
    </r>
    <r>
      <rPr>
        <b/>
        <sz val="14"/>
        <color theme="1"/>
        <rFont val="Times New Roman"/>
        <family val="1"/>
      </rPr>
      <t>THU TIỀN LUÔN</t>
    </r>
  </si>
  <si>
    <r>
      <t xml:space="preserve">Công ty cổ phần xe khách quảng ninhTổ 4 phường hạ long, 5 bình RO, </t>
    </r>
    <r>
      <rPr>
        <b/>
        <sz val="14"/>
        <color theme="1"/>
        <rFont val="Times New Roman"/>
        <family val="1"/>
      </rPr>
      <t>THU CỌC 300.000</t>
    </r>
  </si>
  <si>
    <t>Số nhà 41 tổ 6 khu 5. Đi vào ngõ 56 cạnh công an phường Hạ long (đối diện chợ Hồng Hà), lên thẳng dốc, nhà đối diện nhà văn hoá khu 5, 0913265778,  10+1 vỉ 500 m</t>
  </si>
  <si>
    <t>Dung ghi số Hạ Long</t>
  </si>
  <si>
    <t>Bảo Long PCN: SN 11 kho gạo Yết Kiêu - 0963069266 - ship luôn 5 vỉ 500ml thu tiền luôn</t>
  </si>
  <si>
    <t>Bảo Long PCN</t>
  </si>
  <si>
    <t>Tô Phương, Phương lái xe chở hàng</t>
  </si>
  <si>
    <t>UBND phường Hạ Long  10 bình Ro</t>
  </si>
  <si>
    <t>chuyển sang cho chị 5 vỉ nước 500m, 0972502235, để sảnh chung cư sapphre</t>
  </si>
  <si>
    <t>Uông Bí</t>
  </si>
  <si>
    <t>Thúy Nghĩa</t>
  </si>
  <si>
    <t>1/10</t>
  </si>
  <si>
    <t>Xuân trạm 3 bình ion</t>
  </si>
  <si>
    <t>Hùng kều trạm</t>
  </si>
  <si>
    <r>
      <t xml:space="preserve">3 vỉ 350 sang trường mâm non Hạ Long, </t>
    </r>
    <r>
      <rPr>
        <b/>
        <sz val="14"/>
        <color theme="1"/>
        <rFont val="Times New Roman"/>
        <family val="1"/>
      </rPr>
      <t>thu tiền luôn</t>
    </r>
    <r>
      <rPr>
        <sz val="14"/>
        <color theme="1"/>
        <rFont val="Times New Roman"/>
        <family val="1"/>
        <charset val="163"/>
      </rPr>
      <t xml:space="preserve"> 0904110068</t>
    </r>
  </si>
  <si>
    <t>Thảo Pý Cẩm Phả thu tiền</t>
  </si>
  <si>
    <t>10 +1 bình nước thường : Melatect Cao Xanh, ĐT 0377218927</t>
  </si>
  <si>
    <r>
      <t>Minh Hue PQT: Số nhà 09, đường lương đình của, cạnh công ty xe khách quảng ninh. Phía sau lưng UBND phường hạ Long 0355047656 : ship khách 20 vỉ 350ml,</t>
    </r>
    <r>
      <rPr>
        <b/>
        <sz val="14"/>
        <color theme="1"/>
        <rFont val="Times New Roman"/>
        <family val="1"/>
      </rPr>
      <t xml:space="preserve"> 2 vỉ Minh Huệ qua xí nghiệp lấy</t>
    </r>
    <r>
      <rPr>
        <sz val="14"/>
        <color theme="1"/>
        <rFont val="Times New Roman"/>
        <family val="1"/>
        <charset val="163"/>
      </rPr>
      <t xml:space="preserve"> (Minh HUệ thanh toán tiền)</t>
    </r>
  </si>
  <si>
    <t>1 đơn 30 +3 vỉ 500ml tạp hóa cô sinh chợ cao xanh 3h chiều, chị Huế tự bốc</t>
  </si>
  <si>
    <t>E ơi cho chị đk 10 vỉ tặng 1 ở quán bia Cây Dừa sáng nay nhé (chị Cúc)</t>
  </si>
  <si>
    <t>CK1/10</t>
  </si>
  <si>
    <t>Kim Anh Bãi Cháy</t>
  </si>
  <si>
    <t>Cho chị 5 vỉ  500 nhà máy đóng tàu hạ Long, 0968244602</t>
  </si>
  <si>
    <t>Áo cưới 5 vỉ 350 ( Viết hóa đơn cho VNPT của chị Lan Bình)</t>
  </si>
  <si>
    <t>10+1 bình Ro đến Lideco bãi muối, ĐT0369946536</t>
  </si>
  <si>
    <t>3 Bình Ro đến quảng trường, ĐT0355922271</t>
  </si>
  <si>
    <t>Trường THPT Hạ Long (C Hà) đăng ký 10 +1 vỉ loại 350ml ( màng co); viết hóa đơn về cho trường nhé, '0867339411</t>
  </si>
  <si>
    <t>Xe Cẩm Phả chở</t>
  </si>
  <si>
    <r>
      <t xml:space="preserve">Mai Hạnh PXD: 5 bình nc có vòi ion kiềm Đến 71 giếng đồn </t>
    </r>
    <r>
      <rPr>
        <b/>
        <u/>
        <sz val="12"/>
        <color rgb="FF081B3A"/>
        <rFont val="Times New Roman"/>
        <family val="1"/>
      </rPr>
      <t>0334624668</t>
    </r>
    <r>
      <rPr>
        <b/>
        <sz val="12"/>
        <color rgb="FF081B3A"/>
        <rFont val="Times New Roman"/>
        <family val="1"/>
      </rPr>
      <t xml:space="preserve"> (THU TIỀN LUÔN - Khách cần ship luôn)</t>
    </r>
  </si>
  <si>
    <t>Cô Vân +84983132288  Trường tiểu học Quang Trung. Cơ sở 2 đối diện Go ấy ship 14+1 vỉ 350ml (A HÙng Quế thanh toán)</t>
  </si>
  <si>
    <t>Em ơi cho chị 3 vỉ 500 đến nhà máy đóng tàu nhé, ĐT0968244602</t>
  </si>
  <si>
    <t>Đan Thanh, chị Hoa, Chị Vượng</t>
  </si>
  <si>
    <r>
      <t xml:space="preserve">Bùi Linh XD: 1 bình kiềm đến KS Aurara cọt 3 thu tiền luôn </t>
    </r>
    <r>
      <rPr>
        <u/>
        <sz val="9"/>
        <color rgb="FF081B3A"/>
        <rFont val="Segoe UI"/>
        <family val="2"/>
      </rPr>
      <t>0903026655</t>
    </r>
    <r>
      <rPr>
        <sz val="14"/>
        <color theme="1"/>
        <rFont val="Times New Roman"/>
        <family val="1"/>
        <charset val="163"/>
      </rPr>
      <t>, THU CỌC 60.000đ</t>
    </r>
  </si>
  <si>
    <t>Chị Huy</t>
  </si>
  <si>
    <t>TM1/10</t>
  </si>
  <si>
    <t>Bùi Linh PXD</t>
  </si>
  <si>
    <t>Kim Anh BC</t>
  </si>
  <si>
    <t>Hóa chất mỏ Quảng Ninh, 17 bình RO + 12 vỉ 500 + 2 vỉ 350 trả nợ tháng 9 bao gồm nợ khuyến mại</t>
  </si>
  <si>
    <t>1/10/2026</t>
  </si>
  <si>
    <t>Vũ Anh BKS</t>
  </si>
  <si>
    <r>
      <t xml:space="preserve">Vũ Anh BKs: Ship chị 6 vỉ 350ml Đến trường mầm non uk ha long, </t>
    </r>
    <r>
      <rPr>
        <b/>
        <sz val="14"/>
        <color theme="1"/>
        <rFont val="Times New Roman"/>
        <family val="1"/>
      </rPr>
      <t>Khách hàng viết hoá đơn</t>
    </r>
  </si>
  <si>
    <t>Bốc thuê</t>
  </si>
  <si>
    <t>Bình Kiềm</t>
  </si>
  <si>
    <t>E đăng ký 10v+1 loại 500ml, và 2vi loại 350ml lấy trog sáng nay, sđt khách hàng 0368809123 sn 66 quán tóc Vân Nguyễn (UB TP đi xuống ạ. C</t>
  </si>
  <si>
    <t>Vận chuyển</t>
  </si>
  <si>
    <t>Tô Phương, Huế</t>
  </si>
  <si>
    <t>Hoàn thành</t>
  </si>
  <si>
    <t>Thơm, Hoa, Thanh</t>
  </si>
  <si>
    <t>cho e 3 vỉ 350ml trường mầm non hạ long . 090 4110068 ạ</t>
  </si>
  <si>
    <t>Cẩm Phả</t>
  </si>
  <si>
    <r>
      <rPr>
        <b/>
        <sz val="16"/>
        <color theme="1"/>
        <rFont val="Times New Roman"/>
        <family val="1"/>
        <charset val="163"/>
      </rPr>
      <t>Chiều ship</t>
    </r>
    <r>
      <rPr>
        <sz val="16"/>
        <color theme="1"/>
        <rFont val="Times New Roman"/>
        <family val="1"/>
        <charset val="163"/>
      </rPr>
      <t xml:space="preserve"> bánh cuốn gốc bàng bạch đằng 10+1 vỉ 500 </t>
    </r>
  </si>
  <si>
    <r>
      <rPr>
        <b/>
        <sz val="16"/>
        <color theme="1"/>
        <rFont val="Times New Roman"/>
        <family val="1"/>
        <charset val="163"/>
      </rPr>
      <t xml:space="preserve">Chiều ship </t>
    </r>
    <r>
      <rPr>
        <sz val="16"/>
        <color theme="1"/>
        <rFont val="Times New Roman"/>
        <family val="1"/>
        <charset val="163"/>
      </rPr>
      <t>Sân bia tố như gần bò sính cao thắng 10+1 vỉ 500</t>
    </r>
  </si>
  <si>
    <r>
      <rPr>
        <b/>
        <sz val="16"/>
        <color theme="1"/>
        <rFont val="Times New Roman"/>
        <family val="1"/>
        <charset val="163"/>
      </rPr>
      <t xml:space="preserve">E gửi đơn chiều giao </t>
    </r>
    <r>
      <rPr>
        <sz val="16"/>
        <color theme="1"/>
        <rFont val="Times New Roman"/>
        <family val="1"/>
        <charset val="163"/>
      </rPr>
      <t>Sở Xây Dựng 40 bình RO + 4km . E báo xe Cẩm Phả chở nước rồi ạ.  Hòn gai hỗ trợ bốc hàng giúp e thu hồi vỏ lên xe về nhé ạ. sdt người nhận : 0397399666</t>
    </r>
  </si>
  <si>
    <r>
      <rPr>
        <sz val="16"/>
        <color theme="1"/>
        <rFont val="Times New Roman"/>
        <family val="1"/>
        <charset val="163"/>
      </rPr>
      <t xml:space="preserve">Thêm 6 vỉ nhỏ trường cấp 1 Quang Trung  nữa chị nhé. 1 vỉ gửi bảo vệ giúp e ạ. Còn 2 vỉ nhỏ sáng người nhận cũng báo cho người ship rồi ạ. </t>
    </r>
    <r>
      <rPr>
        <b/>
        <sz val="16"/>
        <color theme="1"/>
        <rFont val="Times New Roman"/>
        <family val="1"/>
        <charset val="163"/>
      </rPr>
      <t xml:space="preserve">3 vỉ lớp 5A2, tầng 2 </t>
    </r>
  </si>
  <si>
    <r>
      <rPr>
        <sz val="16"/>
        <color theme="1"/>
        <rFont val="Times New Roman"/>
        <family val="1"/>
        <charset val="163"/>
      </rPr>
      <t>Vũ diệp PKD: C ơi e gửi ạ. 1</t>
    </r>
    <r>
      <rPr>
        <b/>
        <sz val="16"/>
        <color theme="1"/>
        <rFont val="Times New Roman"/>
        <family val="1"/>
        <charset val="163"/>
      </rPr>
      <t>1+1 vỉ 350ml đến</t>
    </r>
    <r>
      <rPr>
        <sz val="16"/>
        <color theme="1"/>
        <rFont val="Times New Roman"/>
        <family val="1"/>
        <charset val="163"/>
      </rPr>
      <t xml:space="preserve"> trường tiểu học Trần Quốc Toản cạnh công an phường Hồng Hà cũ, liên hệ Cô Chi 0912486978 thu tiền luôn</t>
    </r>
  </si>
  <si>
    <r>
      <rPr>
        <sz val="16"/>
        <color theme="1"/>
        <rFont val="Times New Roman"/>
        <family val="1"/>
        <charset val="163"/>
      </rPr>
      <t xml:space="preserve">Em đăng ký 10v +1 500ml cho Chang 094 8913689 đường sông 3. </t>
    </r>
    <r>
      <rPr>
        <b/>
        <sz val="16"/>
        <color theme="1"/>
        <rFont val="Times New Roman"/>
        <family val="1"/>
        <charset val="163"/>
      </rPr>
      <t>Chang thanh toán tiền ạ.</t>
    </r>
  </si>
  <si>
    <t>Em đăng ký 10 vỉ 500ml hội trường nhà khách cơ sở 2 với ạ</t>
  </si>
  <si>
    <r>
      <rPr>
        <sz val="16"/>
        <color theme="1"/>
        <rFont val="Times New Roman"/>
        <family val="1"/>
        <charset val="1"/>
      </rPr>
      <t xml:space="preserve">Vũ Lệ PQT: Đơn 20+2 vỉ 500ml đến số nhà 24 ngõ 6 đường Võ Thị Sáu - gần chung cư đồi T5 . 0986560712. </t>
    </r>
    <r>
      <rPr>
        <b/>
        <sz val="16"/>
        <color theme="1"/>
        <rFont val="Times New Roman"/>
        <family val="1"/>
        <charset val="1"/>
      </rPr>
      <t>Có xuất HĐ</t>
    </r>
  </si>
  <si>
    <t>Huế + Tô Phương</t>
  </si>
  <si>
    <r>
      <t xml:space="preserve">Minh Hằng PXD: 2 bình thường </t>
    </r>
    <r>
      <rPr>
        <b/>
        <sz val="16"/>
        <color theme="1"/>
        <rFont val="Times New Roman"/>
        <family val="1"/>
      </rPr>
      <t>(thu tiền luôn, thu cọc vỏ bình 2x 60,000=120,000đ)</t>
    </r>
    <r>
      <rPr>
        <sz val="16"/>
        <color theme="1"/>
        <rFont val="Times New Roman"/>
        <family val="1"/>
        <charset val="163"/>
      </rPr>
      <t xml:space="preserve"> . Thương - 0387111662 shland coffee, b38 MKL monbay, cạnh trường UK </t>
    </r>
  </si>
  <si>
    <t>Cho chị 2 vir500+1 vỉ km nhà máy đóng tàu nhé. ĐT 0968244602, lấy khuyến mại của ngày 1/10</t>
  </si>
  <si>
    <t>Vũ Diệp PKD</t>
  </si>
  <si>
    <t>Vũ Lệ</t>
  </si>
  <si>
    <t>CK2/10</t>
  </si>
  <si>
    <t>3/10/26</t>
  </si>
  <si>
    <t>50+5</t>
  </si>
  <si>
    <t>Trạm Hồng Gai, Trạm Hạ Long</t>
  </si>
  <si>
    <t>Vân Đồn</t>
  </si>
  <si>
    <t>CK2/10+cọc 300k</t>
  </si>
  <si>
    <t>Đan Thanh bán lẻ 1 bình kiềm</t>
  </si>
  <si>
    <t>Đan Thanh</t>
  </si>
  <si>
    <t>CK2/10 + cọc 60k</t>
  </si>
  <si>
    <t>2//10/2026</t>
  </si>
  <si>
    <t>2/10//2026</t>
  </si>
  <si>
    <t>c ơi sáng mai tầm từ 8-9h ship cho e 2 vỉ 500ml đến bảo vệ trường Lê Hồng Phong nhé ạ</t>
  </si>
  <si>
    <t>Hằng TBP</t>
  </si>
  <si>
    <t>Hùng Quế</t>
  </si>
  <si>
    <r>
      <t xml:space="preserve">E gửi đơn ship trường cấp cấp 1 Lê Hồng Phong Cột 3, cạnh CDC ,Tên lớp ở trên cửa lớp cứ bê đến nơi là dc ạ. </t>
    </r>
    <r>
      <rPr>
        <b/>
        <sz val="16"/>
        <color theme="1"/>
        <rFont val="Times New Roman"/>
        <family val="1"/>
        <charset val="163"/>
      </rPr>
      <t>Ship giúp e trưa nay lúc 11h nhé</t>
    </r>
    <r>
      <rPr>
        <sz val="16"/>
        <color theme="1"/>
        <rFont val="Times New Roman"/>
        <family val="1"/>
        <charset val="163"/>
      </rPr>
      <t>.  Lớp 4A5 : 3 vỉ nhỏ  Lớp 3A3: 2 vỉ nhỏ Lớp 1A6 : 2 vỉ nhỏ Lớp 2A6 : 2 vỉ nhỏ, 2 vỉ nhỏ lớp 3A2, lớp 5A2: 3 vỉ nhỏ</t>
    </r>
  </si>
  <si>
    <r>
      <t xml:space="preserve">XNN Vân Đồn nhoè Hgai hỗ trợ giao đơn này ạ: sdt ng nhận 50 + 5 vỉ nước 500ml - 0912659588,  0902358666, Anh Việt thủ kho nhận hàng ở hội trường D Hồ Cô Tiên, </t>
    </r>
    <r>
      <rPr>
        <b/>
        <sz val="16"/>
        <color theme="1"/>
        <rFont val="Times New Roman"/>
        <family val="1"/>
      </rPr>
      <t>chụp phiếu giao nhận giúp em nhé.</t>
    </r>
  </si>
  <si>
    <t xml:space="preserve">Chị Yến bán lẻ 3 vỉ </t>
  </si>
  <si>
    <t>Yến</t>
  </si>
  <si>
    <t>Vũ Anh BKS: Sn2, ngõ 43 (đối diện cổng phụ biên phòng tỉnh), Hà Tu. Sđt: 0383231599  2 vỉ 350ml, THU TIỀN LUÔN</t>
  </si>
  <si>
    <t>5 bình Số nhà 58 ngõ 55, 5 bình THường, ĐT: 0836915211</t>
  </si>
  <si>
    <t>CK3/10</t>
  </si>
  <si>
    <t>Chị Tăng thị cúc bán cho khách trên đồi văn nghệ</t>
  </si>
  <si>
    <t>Thu Huế + Tô Phương</t>
  </si>
  <si>
    <t>Chị Tô Phướng bán 11 vỉ 350</t>
  </si>
  <si>
    <t>2 vỉ nước nhỏ đến 1A3, trường cấp 1 Lê Hồng Phong k ạ?</t>
  </si>
  <si>
    <t>c Huệ PKD: Ship 10+1 vỉ 500ml sang quán Bia 365 đường bao biển 0914877878 THU TIỀN LUÔN</t>
  </si>
  <si>
    <t>Huệ PKD</t>
  </si>
  <si>
    <t>chuyển cho c 1 chuyến 11 vỉ xuống quán karaoke Diamond , Chế Dung vận động</t>
  </si>
  <si>
    <t>Chế Thùy Dung</t>
  </si>
  <si>
    <t>Hồng Hạnh PCN: 0967163983 khách lấy 3 bình RO đồn biên phòng gần bến phà cũ Hòn Gai e nhé, thu cọc vỏ +thu tiền luôn</t>
  </si>
  <si>
    <t>Hồng Hạnh PCN</t>
  </si>
  <si>
    <t>C Hạnh BAT: Số nhà 6, lô 10, ngõ 14, Phường Hạ Long, TP Quảng Ninh, đồi văn nghệ +84983533289 - khách có như cầu lấy 5 nc bình kiềm (thu cọc vỏ+ thu tiền</t>
  </si>
  <si>
    <t>Hạnh BAT</t>
  </si>
  <si>
    <t>1 đơn 50 +5 vỉ 500 4h30 chiều nay ship Yết kiêu, chị Huế</t>
  </si>
  <si>
    <t>Đàm bán lẻ 5 vỉ to</t>
  </si>
  <si>
    <t>Minh Hằng PXD</t>
  </si>
  <si>
    <t>5/10/2026</t>
  </si>
  <si>
    <r>
      <t xml:space="preserve"> Hồng Hạnh PCN: 0329980424 Cổng 5 toà nhà MonBay đang thi công có nhu cầu 1 bình nước thường 19l </t>
    </r>
    <r>
      <rPr>
        <b/>
        <sz val="18"/>
        <color theme="1"/>
        <rFont val="Calibri"/>
        <family val="2"/>
      </rPr>
      <t>THU TIỀN LUÔN</t>
    </r>
  </si>
  <si>
    <t>Số 9 san hô 2 hùng thắng hạ long, Khách hàng đăng ký 10 +1 vỉ nước. Em Nhung liên hệ xếp lịch hộ anh nhé. Khách hàng của Thiện Hải vận động 0968898898</t>
  </si>
  <si>
    <t>02 bình kiềm đến nhà số 2,ngõ 2, Hải Phong, ĐT0856741990</t>
  </si>
  <si>
    <t>KH mua 5 vỉ Quaromi 500 ml. SN 111- Phố Nguyễn Lương Bằng , P . Hạ Long , ĐT0365825599</t>
  </si>
  <si>
    <r>
      <t xml:space="preserve">ship giúp QY 10 tặng 1 nước 500ml đến gần nhà trẻ Kid's World bãi muối - C Liên 0973150688 ( </t>
    </r>
    <r>
      <rPr>
        <b/>
        <sz val="18"/>
        <color theme="1"/>
        <rFont val="Calibri"/>
        <family val="2"/>
      </rPr>
      <t>ship sau 12h-13h30</t>
    </r>
    <r>
      <rPr>
        <sz val="18"/>
        <color theme="1"/>
        <rFont val="Calibri"/>
        <family val="2"/>
        <charset val="1"/>
      </rPr>
      <t xml:space="preserve"> hoặc sau 15h chiều </t>
    </r>
  </si>
  <si>
    <t>Quảng Yên</t>
  </si>
  <si>
    <t>Cẩm Phả chở</t>
  </si>
  <si>
    <t>TỔ BẢO VỆ THÁNG 10</t>
  </si>
  <si>
    <t>C ơi cho e 5 bình nước ion kiềm nhé 036 9296866 - số 3 đông Hồ, Tố Như</t>
  </si>
  <si>
    <t>Tố Như</t>
  </si>
  <si>
    <t>Quỳnh Trang</t>
  </si>
  <si>
    <r>
      <t>cho chị 20 +2 vỉ 500 dến ngõ 16 ba đèo phường hồng gai nhé, KH tên Nguyễn Văn Chiến, ĐT: 0373550692,</t>
    </r>
    <r>
      <rPr>
        <b/>
        <sz val="18"/>
        <color theme="1"/>
        <rFont val="Calibri"/>
        <family val="2"/>
      </rPr>
      <t xml:space="preserve"> hạ điểm, gọi chị Tươi đến bốc</t>
    </r>
  </si>
  <si>
    <t>Đan Thanh, Chị Chi bảo vệ</t>
  </si>
  <si>
    <t>Sân bóng Thẩm Gia, My  khachs hang: KĐT Thành Công, phường Cao Xanh số điện thoại người nhận thịnh 0934616888 :   Mua 20 bình  Ro , Cẩm Phả đi đơn,   sáng nay hòn gai hỗ trợ bốc nhé! @Đoàn Thị Nhung</t>
  </si>
  <si>
    <t>Diễn Vọng</t>
  </si>
  <si>
    <r>
      <t>Quỳnh Trang PKH: sáng mai e ship cho Trường mẫu giáo The Mason (Lô a8 28-29 mon bay) 15 bình kiềm úp cắm vào cây nhé, ĐT0886795759,</t>
    </r>
    <r>
      <rPr>
        <b/>
        <sz val="18"/>
        <color theme="1"/>
        <rFont val="Calibri"/>
        <family val="2"/>
      </rPr>
      <t xml:space="preserve"> thay đổi, cọc 10 vỏ =600.000, giao 10 bình</t>
    </r>
  </si>
  <si>
    <t>tô Phương, Phương lái xe</t>
  </si>
  <si>
    <r>
      <t>10 + 1v 500ml,chỉ tiêu Bùi Thùy Dương trạm Đá Trắng.
 10 + 1v 500ml,chỉ tiêu Bùi Hà Thu trạm Hà Lầm. Địa chỉ sn 38 ngõ 13 đường Nguyễn Văn Cừ,</t>
    </r>
    <r>
      <rPr>
        <b/>
        <sz val="18"/>
        <color theme="1"/>
        <rFont val="Calibri"/>
        <family val="2"/>
      </rPr>
      <t xml:space="preserve"> Bùi Thùy Dương bốc, xe hạ điểm</t>
    </r>
    <r>
      <rPr>
        <sz val="18"/>
        <color theme="1"/>
        <rFont val="Calibri"/>
        <family val="2"/>
        <charset val="1"/>
      </rPr>
      <t xml:space="preserve"> 097 320 91 99</t>
    </r>
  </si>
  <si>
    <t xml:space="preserve">Tăng Thị Thơm, </t>
  </si>
  <si>
    <t xml:space="preserve"> Đỗ Thị Vượng</t>
  </si>
  <si>
    <r>
      <t>10 vỉ tặng 1 ship luôn giúp e nhé .quán bia Tùng Hạnh gần bến phà cũ sđt 0838248669 (</t>
    </r>
    <r>
      <rPr>
        <b/>
        <sz val="18"/>
        <color theme="1"/>
        <rFont val="Calibri"/>
        <family val="2"/>
      </rPr>
      <t>Thu tiền luôn c nhé</t>
    </r>
    <r>
      <rPr>
        <sz val="18"/>
        <color theme="1"/>
        <rFont val="Calibri"/>
        <family val="2"/>
        <charset val="1"/>
      </rPr>
      <t xml:space="preserve"> ) .chỉ tiêu của c Bùi Tuyết Vân công nhân vh trạm hồng gai .</t>
    </r>
  </si>
  <si>
    <t>CK5/10 + cọc 60k</t>
  </si>
  <si>
    <t>Hồng Hạnh PCN: 10+1 vỉ 500ml qaromi - c Thêm - 0383521985 - H7 - HB-331 - 331 Habor bay</t>
  </si>
  <si>
    <t>CK5/10</t>
  </si>
  <si>
    <t>tạp hóa cô chung chợ cao xanh 10+1 vỉ 500 4h30 chiều mới ship</t>
  </si>
  <si>
    <t>CK5/10 + cọc 180k</t>
  </si>
  <si>
    <t>Ngân hàng Nam Á cột đồng hồ 10+1 vỉ 350 + 10 bình vòi tinh khiết (thu cọc nếu ko có vỏ trả)</t>
  </si>
  <si>
    <t>Kim Anh e gửi đơn : Bà Dậu Tranh Số 10 Kênh liêm : khách hàng lấy 10 vỉ to + 1km 091 3267058</t>
  </si>
  <si>
    <t>khách hàng cổng chợ hạ long : dùng thử 1 vỉ nhỏ ( thu tiền luôn ) : sdt : 0386465999</t>
  </si>
  <si>
    <t>Đan Thanh + Chị Chi bảo vệ</t>
  </si>
  <si>
    <t>ĐInh Thu Huế + Nguyễn Ánh Nguyệt</t>
  </si>
  <si>
    <t xml:space="preserve">Vũ Thành Long bán lẻ 3 vỉ </t>
  </si>
  <si>
    <t>Chị cúc thu tiền</t>
  </si>
  <si>
    <t>Chiều cho chị 10 vỉ tặng 1 quán bia Cây Dừa nhé. Ghi chỉ tiêu cho Ng Văn Nhâm trạm Hạ Long 0392639986 , thu tiền luôn</t>
  </si>
  <si>
    <t>Đồi văn nghệ: 15 bình vòi + 7 bình chụp @Đoàn Thị Nhung Hg hỗ trợ Cẩm Phả bốc đơn này chiều nay</t>
  </si>
  <si>
    <t xml:space="preserve"> Nguyễn Thị Thùy</t>
  </si>
  <si>
    <t xml:space="preserve"> Nguyễn Thị Chi</t>
  </si>
  <si>
    <t>Đan Thanh +  chị Vượng</t>
  </si>
  <si>
    <t>Gần cafe sen, ngõ nhà thuốc Long Châu đi vào số đt này các bạn ấy biết nhé (Chị Dung Cương), ĐT0379311468 (10+1 bình thường úp)</t>
  </si>
  <si>
    <t>Nhà hàng Thái Nguyên</t>
  </si>
  <si>
    <t>Xe điện</t>
  </si>
  <si>
    <t>Đàm bán lẻ 3 vỉ to</t>
  </si>
  <si>
    <t>Chị Sinh bán lẻ 3 bình</t>
  </si>
  <si>
    <t>Anh Ngọc bán lẻ 4 vỉ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</si>
</sst>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\-_-;_-@_-"/>
    <numFmt numFmtId="165" formatCode="_-* #,##0.00_-;\-* #,##0.00_-;_-* \-??_-;_-@_-"/>
    <numFmt numFmtId="166" formatCode="_-* #,##0_-;\-* #,##0_-;_-* \-??_-;_-@_-"/>
    <numFmt numFmtId="167" formatCode="dd/mm/yy"/>
  </numFmts>
  <fonts count="42" x14ac:knownFonts="1">
    <font>
      <sz val="11"/>
      <color theme="1"/>
      <name val="Calibri"/>
      <family val="2"/>
      <charset val="1"/>
    </font>
    <font>
      <sz val="12"/>
      <name val="Calibri"/>
      <family val="2"/>
      <charset val="1"/>
    </font>
    <font>
      <sz val="14"/>
      <color theme="1"/>
      <name val="Times New Roman"/>
      <family val="1"/>
      <charset val="163"/>
    </font>
    <font>
      <b/>
      <sz val="18"/>
      <color rgb="FFFF0000"/>
      <name val="Times New Roman"/>
      <family val="1"/>
      <charset val="163"/>
    </font>
    <font>
      <sz val="18"/>
      <color theme="1"/>
      <name val="Times New Roman"/>
      <family val="1"/>
      <charset val="163"/>
    </font>
    <font>
      <b/>
      <sz val="18"/>
      <color theme="1"/>
      <name val="Times New Roman"/>
      <family val="1"/>
      <charset val="163"/>
    </font>
    <font>
      <b/>
      <sz val="14"/>
      <color theme="1"/>
      <name val="Times New Roman"/>
      <family val="1"/>
      <charset val="163"/>
    </font>
    <font>
      <b/>
      <sz val="14"/>
      <color theme="1"/>
      <name val="Times New Roman"/>
      <family val="1"/>
      <charset val="1"/>
    </font>
    <font>
      <sz val="14"/>
      <color theme="1"/>
      <name val="Times New Roman"/>
      <family val="1"/>
      <charset val="1"/>
    </font>
    <font>
      <b/>
      <sz val="14"/>
      <color rgb="FFFF0000"/>
      <name val="Times New Roman"/>
      <family val="1"/>
      <charset val="163"/>
    </font>
    <font>
      <b/>
      <sz val="14"/>
      <color rgb="FFFF0000"/>
      <name val="Times New Roman"/>
      <family val="1"/>
      <charset val="1"/>
    </font>
    <font>
      <b/>
      <sz val="16"/>
      <color theme="1"/>
      <name val="Times New Roman"/>
      <family val="1"/>
      <charset val="1"/>
    </font>
    <font>
      <b/>
      <sz val="16"/>
      <color rgb="FFFF0000"/>
      <name val="Times New Roman"/>
      <family val="1"/>
      <charset val="1"/>
    </font>
    <font>
      <b/>
      <i/>
      <sz val="14"/>
      <color theme="1"/>
      <name val="Times New Roman"/>
      <family val="1"/>
      <charset val="1"/>
    </font>
    <font>
      <b/>
      <sz val="20"/>
      <color theme="1"/>
      <name val="Times New Roman"/>
      <family val="1"/>
      <charset val="163"/>
    </font>
    <font>
      <b/>
      <sz val="16"/>
      <color theme="1"/>
      <name val="Times New Roman"/>
      <family val="1"/>
      <charset val="163"/>
    </font>
    <font>
      <b/>
      <i/>
      <sz val="14"/>
      <color theme="1"/>
      <name val="Times New Roman"/>
      <family val="1"/>
      <charset val="163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Times New Roman"/>
      <family val="1"/>
      <charset val="163"/>
    </font>
    <font>
      <b/>
      <sz val="13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sz val="16"/>
      <color theme="1"/>
      <name val="Times New Roman"/>
      <family val="1"/>
      <charset val="163"/>
    </font>
    <font>
      <sz val="18"/>
      <color theme="1"/>
      <name val="Calibri"/>
      <family val="2"/>
      <charset val="1"/>
    </font>
    <font>
      <b/>
      <sz val="16"/>
      <color theme="1"/>
      <name val="Times New Roman"/>
      <family val="1"/>
    </font>
    <font>
      <sz val="14"/>
      <color theme="1"/>
      <name val="Calibri"/>
      <family val="2"/>
      <charset val="1"/>
    </font>
    <font>
      <sz val="8"/>
      <name val="Calibri"/>
      <family val="2"/>
      <charset val="1"/>
    </font>
    <font>
      <u/>
      <sz val="16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Times New Roman"/>
      <family val="1"/>
      <charset val="1"/>
    </font>
    <font>
      <b/>
      <u/>
      <sz val="12"/>
      <color rgb="FF081B3A"/>
      <name val="Times New Roman"/>
      <family val="1"/>
    </font>
    <font>
      <b/>
      <sz val="12"/>
      <color rgb="FF081B3A"/>
      <name val="Times New Roman"/>
      <family val="1"/>
    </font>
    <font>
      <u/>
      <sz val="9"/>
      <color rgb="FF081B3A"/>
      <name val="Segoe UI"/>
      <family val="2"/>
    </font>
    <font>
      <sz val="16"/>
      <color theme="1"/>
      <name val="Times New Roman"/>
      <family val="1"/>
      <charset val="1"/>
    </font>
    <font>
      <b/>
      <sz val="16"/>
      <color rgb="FFFF0000"/>
      <name val="Times New Roman"/>
      <family val="1"/>
      <charset val="163"/>
    </font>
    <font>
      <sz val="16"/>
      <color theme="1"/>
      <name val="Times New Roman"/>
      <family val="1"/>
    </font>
    <font>
      <b/>
      <sz val="18"/>
      <color theme="1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7" tint="0.59987182226020086"/>
        <bgColor rgb="FFFFF2CC"/>
      </patternFill>
    </fill>
    <fill>
      <patternFill patternType="solid">
        <fgColor theme="5" tint="0.59987182226020086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theme="9" tint="0.59987182226020086"/>
        <bgColor rgb="FFFBE5D6"/>
      </patternFill>
    </fill>
    <fill>
      <patternFill patternType="solid">
        <fgColor theme="0"/>
        <bgColor rgb="FFFFF5CE"/>
      </patternFill>
    </fill>
    <fill>
      <patternFill patternType="solid">
        <fgColor theme="7" tint="0.79989013336588644"/>
        <bgColor rgb="FFFFF5CE"/>
      </patternFill>
    </fill>
    <fill>
      <patternFill patternType="solid">
        <fgColor theme="5" tint="0.79989013336588644"/>
        <bgColor rgb="FFFFD8CE"/>
      </patternFill>
    </fill>
    <fill>
      <patternFill patternType="solid">
        <fgColor rgb="FF069A2E"/>
        <bgColor rgb="FF00A933"/>
      </patternFill>
    </fill>
    <fill>
      <patternFill patternType="solid">
        <fgColor rgb="FFFF5429"/>
        <bgColor rgb="FFFF3838"/>
      </patternFill>
    </fill>
    <fill>
      <patternFill patternType="solid">
        <fgColor rgb="FFFFD8CE"/>
        <bgColor rgb="FFFBE5D6"/>
      </patternFill>
    </fill>
    <fill>
      <patternFill patternType="solid">
        <fgColor rgb="FFFFF5CE"/>
        <bgColor rgb="FFFFF2CC"/>
      </patternFill>
    </fill>
    <fill>
      <patternFill patternType="solid">
        <fgColor rgb="FF3FAF46"/>
        <bgColor rgb="FF00A933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C4D4D"/>
        <bgColor indexed="64"/>
      </patternFill>
    </fill>
    <fill>
      <patternFill patternType="solid">
        <fgColor rgb="FFFFE3E3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theme="0" tint="-4.9989318521683403E-2"/>
        <bgColor rgb="FFF7F7F7"/>
      </patternFill>
    </fill>
    <fill>
      <patternFill patternType="solid">
        <fgColor rgb="FFFF0000"/>
        <bgColor rgb="FF9C0006"/>
      </patternFill>
    </fill>
    <fill>
      <patternFill patternType="solid">
        <fgColor theme="0"/>
        <bgColor rgb="FFF7F7F7"/>
      </patternFill>
    </fill>
    <fill>
      <patternFill patternType="solid">
        <fgColor rgb="FFFFFF00"/>
        <bgColor rgb="FFFFD966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5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5CE"/>
      </patternFill>
    </fill>
    <fill>
      <patternFill patternType="solid">
        <fgColor rgb="FFF6C3FF"/>
        <bgColor rgb="FF00A933"/>
      </patternFill>
    </fill>
    <fill>
      <patternFill patternType="solid">
        <fgColor rgb="FFDC3939"/>
        <bgColor rgb="FF00A933"/>
      </patternFill>
    </fill>
    <fill>
      <patternFill patternType="solid">
        <fgColor rgb="FF00B050"/>
        <bgColor rgb="FFFFF2CC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4">
    <xf numFmtId="0" fontId="0" fillId="0" borderId="0"/>
    <xf numFmtId="165" fontId="18" fillId="0" borderId="0" applyBorder="0" applyProtection="0"/>
    <xf numFmtId="0" fontId="1" fillId="0" borderId="0"/>
    <xf numFmtId="164" fontId="18" fillId="0" borderId="0" applyBorder="0" applyProtection="0"/>
  </cellStyleXfs>
  <cellXfs count="392">
    <xf numFmtId="0" fontId="0" fillId="0" borderId="0" xfId="0"/>
    <xf numFmtId="0" fontId="7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164" fontId="8" fillId="6" borderId="1" xfId="3" applyFont="1" applyFill="1" applyBorder="1" applyAlignment="1" applyProtection="1">
      <alignment horizontal="center" vertical="center" wrapText="1"/>
    </xf>
    <xf numFmtId="0" fontId="8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6" borderId="1" xfId="0" applyFont="1" applyFill="1" applyBorder="1" applyAlignment="1">
      <alignment horizontal="center" vertical="center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center" vertical="center" wrapText="1"/>
    </xf>
    <xf numFmtId="0" fontId="8" fillId="6" borderId="0" xfId="0" applyFont="1" applyFill="1" applyAlignment="1">
      <alignment vertical="center" wrapText="1"/>
    </xf>
    <xf numFmtId="0" fontId="7" fillId="6" borderId="0" xfId="0" applyFont="1" applyFill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vertical="center" wrapText="1"/>
    </xf>
    <xf numFmtId="164" fontId="10" fillId="6" borderId="0" xfId="0" applyNumberFormat="1" applyFont="1" applyFill="1" applyAlignment="1">
      <alignment vertical="center" wrapText="1"/>
    </xf>
    <xf numFmtId="0" fontId="10" fillId="6" borderId="0" xfId="0" applyFont="1" applyFill="1" applyAlignment="1">
      <alignment vertical="center" wrapText="1"/>
    </xf>
    <xf numFmtId="0" fontId="10" fillId="0" borderId="0" xfId="0" applyFont="1" applyAlignment="1">
      <alignment vertical="center" wrapText="1"/>
    </xf>
    <xf numFmtId="0" fontId="7" fillId="6" borderId="5" xfId="0" applyFont="1" applyFill="1" applyBorder="1" applyAlignment="1">
      <alignment vertical="center" wrapText="1"/>
    </xf>
    <xf numFmtId="164" fontId="8" fillId="6" borderId="6" xfId="0" applyNumberFormat="1" applyFont="1" applyFill="1" applyBorder="1" applyAlignment="1">
      <alignment vertical="center" wrapText="1"/>
    </xf>
    <xf numFmtId="0" fontId="7" fillId="6" borderId="7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/>
    </xf>
    <xf numFmtId="164" fontId="8" fillId="6" borderId="0" xfId="0" applyNumberFormat="1" applyFont="1" applyFill="1" applyAlignment="1">
      <alignment vertical="center" wrapText="1"/>
    </xf>
    <xf numFmtId="0" fontId="8" fillId="6" borderId="4" xfId="0" applyFont="1" applyFill="1" applyBorder="1" applyAlignment="1">
      <alignment horizontal="left" vertical="center" wrapText="1" shrinkToFi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vertical="center" wrapText="1"/>
    </xf>
    <xf numFmtId="0" fontId="8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8" fillId="0" borderId="1" xfId="0" applyFont="1" applyBorder="1"/>
    <xf numFmtId="0" fontId="6" fillId="0" borderId="0" xfId="0" applyFont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 wrapText="1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9" xfId="0" applyFont="1" applyBorder="1" applyAlignment="1">
      <alignment horizontal="center"/>
    </xf>
    <xf numFmtId="0" fontId="2" fillId="0" borderId="9" xfId="0" applyFont="1" applyBorder="1" applyAlignment="1">
      <alignment vertical="center"/>
    </xf>
    <xf numFmtId="0" fontId="2" fillId="6" borderId="9" xfId="0" applyFont="1" applyFill="1" applyBorder="1" applyAlignment="1">
      <alignment horizontal="center" vertical="center" wrapText="1"/>
    </xf>
    <xf numFmtId="0" fontId="2" fillId="0" borderId="9" xfId="0" applyFont="1" applyBorder="1"/>
    <xf numFmtId="166" fontId="2" fillId="0" borderId="9" xfId="1" applyNumberFormat="1" applyFont="1" applyBorder="1" applyProtection="1"/>
    <xf numFmtId="0" fontId="2" fillId="0" borderId="4" xfId="0" applyFont="1" applyBorder="1" applyAlignment="1">
      <alignment horizontal="center"/>
    </xf>
    <xf numFmtId="0" fontId="2" fillId="6" borderId="4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center" vertical="center" wrapText="1"/>
    </xf>
    <xf numFmtId="166" fontId="2" fillId="0" borderId="4" xfId="1" applyNumberFormat="1" applyFont="1" applyBorder="1" applyProtection="1"/>
    <xf numFmtId="0" fontId="2" fillId="6" borderId="4" xfId="0" applyFont="1" applyFill="1" applyBorder="1" applyAlignment="1">
      <alignment vertical="center" wrapText="1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166" fontId="2" fillId="0" borderId="8" xfId="1" applyNumberFormat="1" applyFont="1" applyBorder="1" applyProtection="1"/>
    <xf numFmtId="0" fontId="0" fillId="0" borderId="1" xfId="0" applyBorder="1"/>
    <xf numFmtId="0" fontId="1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7" fontId="0" fillId="0" borderId="1" xfId="0" applyNumberFormat="1" applyBorder="1" applyAlignment="1">
      <alignment horizontal="center"/>
    </xf>
    <xf numFmtId="0" fontId="17" fillId="12" borderId="1" xfId="0" applyFont="1" applyFill="1" applyBorder="1"/>
    <xf numFmtId="0" fontId="17" fillId="13" borderId="1" xfId="0" applyFont="1" applyFill="1" applyBorder="1"/>
    <xf numFmtId="0" fontId="17" fillId="10" borderId="1" xfId="0" applyFont="1" applyFill="1" applyBorder="1"/>
    <xf numFmtId="0" fontId="17" fillId="11" borderId="1" xfId="0" applyFont="1" applyFill="1" applyBorder="1"/>
    <xf numFmtId="0" fontId="0" fillId="0" borderId="1" xfId="0" applyBorder="1" applyAlignment="1">
      <alignment horizontal="center"/>
    </xf>
    <xf numFmtId="0" fontId="2" fillId="14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1" applyNumberFormat="1" applyFont="1" applyBorder="1" applyAlignment="1" applyProtection="1">
      <alignment vertical="center"/>
    </xf>
    <xf numFmtId="0" fontId="2" fillId="0" borderId="0" xfId="0" applyFont="1" applyAlignment="1">
      <alignment vertical="center"/>
    </xf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0" borderId="1" xfId="0" quotePrefix="1" applyBorder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9" fillId="19" borderId="1" xfId="0" applyFont="1" applyFill="1" applyBorder="1" applyAlignment="1">
      <alignment horizontal="center" vertical="top" wrapText="1"/>
    </xf>
    <xf numFmtId="0" fontId="20" fillId="19" borderId="1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 wrapText="1"/>
    </xf>
    <xf numFmtId="0" fontId="0" fillId="20" borderId="1" xfId="0" applyFill="1" applyBorder="1"/>
    <xf numFmtId="0" fontId="0" fillId="21" borderId="1" xfId="0" applyFill="1" applyBorder="1"/>
    <xf numFmtId="0" fontId="0" fillId="0" borderId="1" xfId="0" applyBorder="1" applyAlignment="1">
      <alignment wrapText="1"/>
    </xf>
    <xf numFmtId="0" fontId="0" fillId="22" borderId="1" xfId="0" applyFill="1" applyBorder="1"/>
    <xf numFmtId="0" fontId="6" fillId="18" borderId="1" xfId="0" applyFont="1" applyFill="1" applyBorder="1" applyAlignment="1">
      <alignment horizontal="center"/>
    </xf>
    <xf numFmtId="0" fontId="6" fillId="23" borderId="7" xfId="0" applyFont="1" applyFill="1" applyBorder="1" applyAlignment="1">
      <alignment horizontal="center"/>
    </xf>
    <xf numFmtId="0" fontId="19" fillId="21" borderId="1" xfId="0" applyFont="1" applyFill="1" applyBorder="1" applyAlignment="1">
      <alignment horizontal="center" vertical="top" wrapText="1"/>
    </xf>
    <xf numFmtId="0" fontId="8" fillId="24" borderId="1" xfId="0" applyFont="1" applyFill="1" applyBorder="1"/>
    <xf numFmtId="0" fontId="0" fillId="25" borderId="1" xfId="0" applyFill="1" applyBorder="1"/>
    <xf numFmtId="0" fontId="0" fillId="21" borderId="1" xfId="0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19" fillId="21" borderId="1" xfId="0" applyFont="1" applyFill="1" applyBorder="1" applyAlignment="1">
      <alignment horizontal="center" wrapText="1"/>
    </xf>
    <xf numFmtId="14" fontId="0" fillId="21" borderId="1" xfId="0" applyNumberFormat="1" applyFill="1" applyBorder="1" applyAlignment="1">
      <alignment horizontal="center"/>
    </xf>
    <xf numFmtId="0" fontId="0" fillId="25" borderId="0" xfId="0" applyFill="1" applyAlignment="1">
      <alignment horizontal="center"/>
    </xf>
    <xf numFmtId="0" fontId="8" fillId="24" borderId="1" xfId="0" applyFont="1" applyFill="1" applyBorder="1" applyAlignment="1">
      <alignment horizontal="center"/>
    </xf>
    <xf numFmtId="0" fontId="0" fillId="21" borderId="1" xfId="0" quotePrefix="1" applyFill="1" applyBorder="1" applyAlignment="1">
      <alignment horizontal="center"/>
    </xf>
    <xf numFmtId="14" fontId="0" fillId="0" borderId="1" xfId="0" applyNumberFormat="1" applyBorder="1"/>
    <xf numFmtId="0" fontId="0" fillId="0" borderId="3" xfId="0" applyBorder="1"/>
    <xf numFmtId="0" fontId="2" fillId="26" borderId="4" xfId="0" applyFont="1" applyFill="1" applyBorder="1" applyAlignment="1">
      <alignment horizontal="left" vertical="center" wrapText="1"/>
    </xf>
    <xf numFmtId="0" fontId="8" fillId="25" borderId="5" xfId="0" applyFont="1" applyFill="1" applyBorder="1" applyAlignment="1">
      <alignment horizontal="center" vertical="center" wrapText="1"/>
    </xf>
    <xf numFmtId="0" fontId="7" fillId="25" borderId="5" xfId="0" applyFont="1" applyFill="1" applyBorder="1" applyAlignment="1">
      <alignment horizontal="center" vertical="center" wrapText="1"/>
    </xf>
    <xf numFmtId="164" fontId="8" fillId="25" borderId="5" xfId="3" applyFont="1" applyFill="1" applyBorder="1" applyAlignment="1" applyProtection="1">
      <alignment vertical="center" wrapText="1"/>
    </xf>
    <xf numFmtId="164" fontId="8" fillId="25" borderId="5" xfId="0" applyNumberFormat="1" applyFont="1" applyFill="1" applyBorder="1" applyAlignment="1">
      <alignment vertical="center" wrapText="1"/>
    </xf>
    <xf numFmtId="0" fontId="7" fillId="25" borderId="0" xfId="0" applyFont="1" applyFill="1" applyAlignment="1">
      <alignment vertical="center" wrapText="1"/>
    </xf>
    <xf numFmtId="0" fontId="8" fillId="25" borderId="4" xfId="0" applyFont="1" applyFill="1" applyBorder="1" applyAlignment="1">
      <alignment horizontal="center" vertical="center" wrapText="1"/>
    </xf>
    <xf numFmtId="164" fontId="8" fillId="25" borderId="4" xfId="3" applyFont="1" applyFill="1" applyBorder="1" applyAlignment="1" applyProtection="1">
      <alignment vertical="center" wrapText="1"/>
    </xf>
    <xf numFmtId="164" fontId="8" fillId="25" borderId="4" xfId="0" applyNumberFormat="1" applyFont="1" applyFill="1" applyBorder="1" applyAlignment="1">
      <alignment vertical="center" wrapText="1"/>
    </xf>
    <xf numFmtId="0" fontId="8" fillId="25" borderId="0" xfId="0" applyFont="1" applyFill="1" applyAlignment="1">
      <alignment vertical="center" wrapText="1"/>
    </xf>
    <xf numFmtId="0" fontId="7" fillId="25" borderId="4" xfId="0" applyFont="1" applyFill="1" applyBorder="1" applyAlignment="1">
      <alignment horizontal="center" vertical="center" wrapText="1"/>
    </xf>
    <xf numFmtId="0" fontId="8" fillId="25" borderId="4" xfId="0" applyFont="1" applyFill="1" applyBorder="1" applyAlignment="1">
      <alignment vertical="center" wrapText="1"/>
    </xf>
    <xf numFmtId="0" fontId="8" fillId="25" borderId="8" xfId="0" applyFont="1" applyFill="1" applyBorder="1" applyAlignment="1">
      <alignment horizontal="center" vertical="center" wrapText="1"/>
    </xf>
    <xf numFmtId="164" fontId="8" fillId="25" borderId="8" xfId="3" applyFont="1" applyFill="1" applyBorder="1" applyAlignment="1" applyProtection="1">
      <alignment vertical="center" wrapText="1"/>
    </xf>
    <xf numFmtId="164" fontId="8" fillId="25" borderId="8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 wrapText="1"/>
    </xf>
    <xf numFmtId="0" fontId="2" fillId="25" borderId="1" xfId="0" applyFont="1" applyFill="1" applyBorder="1" applyAlignment="1">
      <alignment vertical="center"/>
    </xf>
    <xf numFmtId="166" fontId="2" fillId="25" borderId="1" xfId="1" applyNumberFormat="1" applyFont="1" applyFill="1" applyBorder="1" applyAlignment="1" applyProtection="1">
      <alignment vertical="center"/>
    </xf>
    <xf numFmtId="166" fontId="2" fillId="25" borderId="1" xfId="0" applyNumberFormat="1" applyFont="1" applyFill="1" applyBorder="1" applyAlignment="1">
      <alignment vertical="center"/>
    </xf>
    <xf numFmtId="0" fontId="0" fillId="25" borderId="0" xfId="0" applyFill="1"/>
    <xf numFmtId="0" fontId="2" fillId="25" borderId="1" xfId="0" applyFont="1" applyFill="1" applyBorder="1" applyAlignment="1">
      <alignment horizontal="center" vertical="center" wrapText="1"/>
    </xf>
    <xf numFmtId="0" fontId="2" fillId="25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 wrapText="1"/>
    </xf>
    <xf numFmtId="0" fontId="2" fillId="28" borderId="1" xfId="0" applyFont="1" applyFill="1" applyBorder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10" fillId="30" borderId="1" xfId="0" applyFont="1" applyFill="1" applyBorder="1" applyAlignment="1">
      <alignment vertical="center" wrapText="1"/>
    </xf>
    <xf numFmtId="0" fontId="10" fillId="30" borderId="1" xfId="0" applyFont="1" applyFill="1" applyBorder="1" applyAlignment="1">
      <alignment horizontal="center" vertical="center" wrapText="1"/>
    </xf>
    <xf numFmtId="164" fontId="10" fillId="30" borderId="1" xfId="0" applyNumberFormat="1" applyFont="1" applyFill="1" applyBorder="1" applyAlignment="1">
      <alignment vertical="center" wrapText="1"/>
    </xf>
    <xf numFmtId="0" fontId="21" fillId="0" borderId="1" xfId="0" applyFont="1" applyBorder="1" applyAlignment="1">
      <alignment horizontal="center" vertical="center"/>
    </xf>
    <xf numFmtId="0" fontId="22" fillId="0" borderId="0" xfId="0" applyFont="1"/>
    <xf numFmtId="0" fontId="22" fillId="0" borderId="1" xfId="0" applyFont="1" applyBorder="1"/>
    <xf numFmtId="0" fontId="22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166" fontId="21" fillId="14" borderId="1" xfId="1" applyNumberFormat="1" applyFont="1" applyFill="1" applyBorder="1" applyAlignment="1">
      <alignment horizontal="center"/>
    </xf>
    <xf numFmtId="166" fontId="21" fillId="15" borderId="1" xfId="1" applyNumberFormat="1" applyFont="1" applyFill="1" applyBorder="1" applyAlignment="1">
      <alignment horizontal="center"/>
    </xf>
    <xf numFmtId="0" fontId="6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17" fillId="32" borderId="1" xfId="0" applyFont="1" applyFill="1" applyBorder="1"/>
    <xf numFmtId="0" fontId="17" fillId="33" borderId="1" xfId="0" applyFont="1" applyFill="1" applyBorder="1"/>
    <xf numFmtId="16" fontId="0" fillId="0" borderId="1" xfId="0" quotePrefix="1" applyNumberFormat="1" applyBorder="1"/>
    <xf numFmtId="0" fontId="17" fillId="4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8" fillId="6" borderId="11" xfId="0" applyFont="1" applyFill="1" applyBorder="1" applyAlignment="1">
      <alignment vertical="center" wrapText="1"/>
    </xf>
    <xf numFmtId="0" fontId="2" fillId="0" borderId="11" xfId="0" applyFont="1" applyBorder="1"/>
    <xf numFmtId="0" fontId="8" fillId="26" borderId="4" xfId="0" applyFont="1" applyFill="1" applyBorder="1" applyAlignment="1">
      <alignment vertical="center" wrapText="1"/>
    </xf>
    <xf numFmtId="0" fontId="2" fillId="25" borderId="2" xfId="0" applyFont="1" applyFill="1" applyBorder="1" applyAlignment="1">
      <alignment vertical="center" wrapText="1"/>
    </xf>
    <xf numFmtId="14" fontId="0" fillId="21" borderId="1" xfId="0" quotePrefix="1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quotePrefix="1" applyBorder="1"/>
    <xf numFmtId="0" fontId="17" fillId="34" borderId="1" xfId="0" applyFont="1" applyFill="1" applyBorder="1"/>
    <xf numFmtId="0" fontId="8" fillId="6" borderId="10" xfId="0" applyFont="1" applyFill="1" applyBorder="1" applyAlignment="1">
      <alignment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4" fillId="6" borderId="4" xfId="0" applyFont="1" applyFill="1" applyBorder="1" applyAlignment="1">
      <alignment vertical="center" wrapText="1"/>
    </xf>
    <xf numFmtId="0" fontId="25" fillId="17" borderId="1" xfId="0" applyFont="1" applyFill="1" applyBorder="1"/>
    <xf numFmtId="0" fontId="5" fillId="0" borderId="0" xfId="0" applyFont="1" applyAlignment="1">
      <alignment horizontal="center" vertical="center"/>
    </xf>
    <xf numFmtId="0" fontId="2" fillId="26" borderId="4" xfId="0" applyFont="1" applyFill="1" applyBorder="1" applyAlignment="1">
      <alignment vertical="center" wrapText="1"/>
    </xf>
    <xf numFmtId="0" fontId="22" fillId="25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horizontal="center" vertical="center"/>
    </xf>
    <xf numFmtId="166" fontId="21" fillId="0" borderId="11" xfId="1" applyNumberFormat="1" applyFont="1" applyBorder="1" applyAlignment="1">
      <alignment horizontal="center" vertical="center"/>
    </xf>
    <xf numFmtId="0" fontId="2" fillId="25" borderId="2" xfId="0" applyFont="1" applyFill="1" applyBorder="1" applyAlignment="1">
      <alignment vertical="center"/>
    </xf>
    <xf numFmtId="166" fontId="21" fillId="36" borderId="1" xfId="1" applyNumberFormat="1" applyFont="1" applyFill="1" applyBorder="1" applyAlignment="1">
      <alignment horizontal="center"/>
    </xf>
    <xf numFmtId="166" fontId="21" fillId="37" borderId="1" xfId="1" applyNumberFormat="1" applyFont="1" applyFill="1" applyBorder="1" applyAlignment="1">
      <alignment horizontal="center"/>
    </xf>
    <xf numFmtId="0" fontId="27" fillId="25" borderId="1" xfId="0" applyFont="1" applyFill="1" applyBorder="1" applyAlignment="1">
      <alignment vertical="center"/>
    </xf>
    <xf numFmtId="0" fontId="6" fillId="30" borderId="1" xfId="0" applyFont="1" applyFill="1" applyBorder="1" applyAlignment="1">
      <alignment vertical="center"/>
    </xf>
    <xf numFmtId="166" fontId="6" fillId="0" borderId="0" xfId="0" applyNumberFormat="1" applyFont="1"/>
    <xf numFmtId="166" fontId="6" fillId="0" borderId="1" xfId="0" applyNumberFormat="1" applyFont="1" applyBorder="1"/>
    <xf numFmtId="166" fontId="29" fillId="0" borderId="1" xfId="1" applyNumberFormat="1" applyFont="1" applyBorder="1" applyAlignment="1">
      <alignment vertical="center"/>
    </xf>
    <xf numFmtId="166" fontId="2" fillId="25" borderId="2" xfId="0" applyNumberFormat="1" applyFont="1" applyFill="1" applyBorder="1" applyAlignment="1">
      <alignment vertical="center"/>
    </xf>
    <xf numFmtId="0" fontId="2" fillId="35" borderId="1" xfId="0" applyFont="1" applyFill="1" applyBorder="1" applyAlignment="1">
      <alignment vertical="center" wrapText="1"/>
    </xf>
    <xf numFmtId="166" fontId="2" fillId="25" borderId="2" xfId="1" applyNumberFormat="1" applyFont="1" applyFill="1" applyBorder="1" applyAlignment="1" applyProtection="1">
      <alignment vertical="center"/>
    </xf>
    <xf numFmtId="0" fontId="25" fillId="0" borderId="0" xfId="0" applyFont="1" applyAlignment="1">
      <alignment horizontal="center"/>
    </xf>
    <xf numFmtId="166" fontId="18" fillId="0" borderId="0" xfId="1" applyNumberFormat="1" applyAlignment="1">
      <alignment horizontal="center"/>
    </xf>
    <xf numFmtId="0" fontId="2" fillId="0" borderId="1" xfId="0" applyFont="1" applyBorder="1" applyAlignment="1">
      <alignment vertical="center" wrapText="1"/>
    </xf>
    <xf numFmtId="14" fontId="22" fillId="25" borderId="1" xfId="0" applyNumberFormat="1" applyFont="1" applyFill="1" applyBorder="1" applyAlignment="1">
      <alignment horizontal="center" vertical="center"/>
    </xf>
    <xf numFmtId="0" fontId="22" fillId="25" borderId="1" xfId="0" applyFont="1" applyFill="1" applyBorder="1"/>
    <xf numFmtId="0" fontId="22" fillId="25" borderId="0" xfId="0" applyFont="1" applyFill="1"/>
    <xf numFmtId="14" fontId="22" fillId="0" borderId="1" xfId="0" applyNumberFormat="1" applyFont="1" applyBorder="1" applyAlignment="1">
      <alignment vertical="center"/>
    </xf>
    <xf numFmtId="14" fontId="22" fillId="25" borderId="1" xfId="0" quotePrefix="1" applyNumberFormat="1" applyFont="1" applyFill="1" applyBorder="1" applyAlignment="1">
      <alignment vertical="center"/>
    </xf>
    <xf numFmtId="14" fontId="22" fillId="0" borderId="1" xfId="0" quotePrefix="1" applyNumberFormat="1" applyFont="1" applyBorder="1" applyAlignment="1">
      <alignment vertical="center"/>
    </xf>
    <xf numFmtId="0" fontId="2" fillId="25" borderId="0" xfId="0" applyFont="1" applyFill="1" applyAlignment="1">
      <alignment vertical="center"/>
    </xf>
    <xf numFmtId="166" fontId="21" fillId="36" borderId="14" xfId="1" applyNumberFormat="1" applyFont="1" applyFill="1" applyBorder="1" applyAlignment="1">
      <alignment horizontal="center"/>
    </xf>
    <xf numFmtId="166" fontId="21" fillId="15" borderId="14" xfId="1" applyNumberFormat="1" applyFont="1" applyFill="1" applyBorder="1" applyAlignment="1">
      <alignment horizontal="center"/>
    </xf>
    <xf numFmtId="166" fontId="21" fillId="37" borderId="14" xfId="1" applyNumberFormat="1" applyFont="1" applyFill="1" applyBorder="1" applyAlignment="1">
      <alignment horizontal="center"/>
    </xf>
    <xf numFmtId="166" fontId="21" fillId="0" borderId="0" xfId="0" applyNumberFormat="1" applyFont="1" applyAlignment="1">
      <alignment horizontal="center"/>
    </xf>
    <xf numFmtId="166" fontId="21" fillId="14" borderId="14" xfId="1" applyNumberFormat="1" applyFont="1" applyFill="1" applyBorder="1" applyAlignment="1">
      <alignment horizontal="center"/>
    </xf>
    <xf numFmtId="166" fontId="21" fillId="37" borderId="11" xfId="1" applyNumberFormat="1" applyFont="1" applyFill="1" applyBorder="1" applyAlignment="1">
      <alignment horizontal="center"/>
    </xf>
    <xf numFmtId="0" fontId="2" fillId="38" borderId="1" xfId="0" applyFont="1" applyFill="1" applyBorder="1" applyAlignment="1">
      <alignment vertical="center"/>
    </xf>
    <xf numFmtId="166" fontId="2" fillId="38" borderId="1" xfId="1" applyNumberFormat="1" applyFont="1" applyFill="1" applyBorder="1" applyAlignment="1" applyProtection="1">
      <alignment vertical="center"/>
    </xf>
    <xf numFmtId="0" fontId="0" fillId="38" borderId="0" xfId="0" applyFill="1"/>
    <xf numFmtId="0" fontId="2" fillId="25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25" borderId="7" xfId="0" applyFont="1" applyFill="1" applyBorder="1" applyAlignment="1">
      <alignment vertical="center" wrapText="1"/>
    </xf>
    <xf numFmtId="0" fontId="0" fillId="0" borderId="7" xfId="0" applyBorder="1"/>
    <xf numFmtId="0" fontId="2" fillId="0" borderId="2" xfId="0" applyFont="1" applyBorder="1" applyAlignment="1">
      <alignment vertical="center" wrapText="1"/>
    </xf>
    <xf numFmtId="0" fontId="4" fillId="25" borderId="0" xfId="0" applyFont="1" applyFill="1" applyAlignment="1">
      <alignment vertical="center"/>
    </xf>
    <xf numFmtId="0" fontId="7" fillId="25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 wrapText="1"/>
    </xf>
    <xf numFmtId="0" fontId="34" fillId="6" borderId="16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0" borderId="3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28" fillId="25" borderId="1" xfId="0" applyFont="1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30" borderId="1" xfId="0" applyFont="1" applyFill="1" applyBorder="1" applyAlignment="1">
      <alignment horizontal="center" vertical="center" wrapText="1"/>
    </xf>
    <xf numFmtId="0" fontId="5" fillId="2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8" fillId="25" borderId="1" xfId="0" applyFont="1" applyFill="1" applyBorder="1" applyAlignment="1">
      <alignment horizontal="center" vertical="center" wrapText="1"/>
    </xf>
    <xf numFmtId="0" fontId="5" fillId="28" borderId="11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0" fillId="25" borderId="1" xfId="0" applyFont="1" applyFill="1" applyBorder="1" applyAlignment="1">
      <alignment horizontal="center" vertical="center"/>
    </xf>
    <xf numFmtId="0" fontId="30" fillId="25" borderId="0" xfId="0" applyFont="1" applyFill="1" applyAlignment="1">
      <alignment vertical="center"/>
    </xf>
    <xf numFmtId="0" fontId="4" fillId="14" borderId="0" xfId="0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22" fillId="25" borderId="2" xfId="0" applyFont="1" applyFill="1" applyBorder="1" applyAlignment="1">
      <alignment horizontal="center" vertical="center"/>
    </xf>
    <xf numFmtId="14" fontId="22" fillId="25" borderId="2" xfId="0" applyNumberFormat="1" applyFont="1" applyFill="1" applyBorder="1" applyAlignment="1">
      <alignment horizontal="center" vertical="center"/>
    </xf>
    <xf numFmtId="0" fontId="22" fillId="25" borderId="2" xfId="0" applyFont="1" applyFill="1" applyBorder="1"/>
    <xf numFmtId="0" fontId="34" fillId="25" borderId="4" xfId="0" applyFont="1" applyFill="1" applyBorder="1" applyAlignment="1">
      <alignment horizontal="center" vertical="center" wrapText="1"/>
    </xf>
    <xf numFmtId="0" fontId="34" fillId="6" borderId="1" xfId="0" applyFont="1" applyFill="1" applyBorder="1" applyAlignment="1">
      <alignment horizontal="center" vertical="center" wrapText="1"/>
    </xf>
    <xf numFmtId="0" fontId="34" fillId="6" borderId="2" xfId="0" applyFont="1" applyFill="1" applyBorder="1" applyAlignment="1">
      <alignment horizontal="center" vertical="center" wrapText="1"/>
    </xf>
    <xf numFmtId="0" fontId="34" fillId="6" borderId="4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67" fontId="27" fillId="0" borderId="1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vertical="center" wrapText="1"/>
    </xf>
    <xf numFmtId="0" fontId="27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justify" vertical="center"/>
    </xf>
    <xf numFmtId="0" fontId="38" fillId="0" borderId="0" xfId="0" applyFont="1" applyAlignment="1">
      <alignment horizontal="left" wrapText="1"/>
    </xf>
    <xf numFmtId="0" fontId="15" fillId="0" borderId="1" xfId="0" applyFont="1" applyBorder="1" applyAlignment="1">
      <alignment vertical="center" wrapText="1"/>
    </xf>
    <xf numFmtId="0" fontId="38" fillId="0" borderId="1" xfId="0" applyFont="1" applyBorder="1" applyAlignment="1">
      <alignment horizontal="left" wrapText="1"/>
    </xf>
    <xf numFmtId="0" fontId="4" fillId="14" borderId="1" xfId="0" applyFont="1" applyFill="1" applyBorder="1" applyAlignment="1">
      <alignment horizontal="center" vertical="center" wrapText="1"/>
    </xf>
    <xf numFmtId="0" fontId="5" fillId="30" borderId="1" xfId="0" applyFont="1" applyFill="1" applyBorder="1" applyAlignment="1">
      <alignment horizontal="center" vertical="center"/>
    </xf>
    <xf numFmtId="0" fontId="34" fillId="6" borderId="16" xfId="0" applyFont="1" applyFill="1" applyBorder="1" applyAlignment="1">
      <alignment vertical="center" wrapText="1"/>
    </xf>
    <xf numFmtId="0" fontId="28" fillId="0" borderId="1" xfId="0" applyFont="1" applyBorder="1"/>
    <xf numFmtId="0" fontId="28" fillId="25" borderId="1" xfId="0" applyFont="1" applyFill="1" applyBorder="1"/>
    <xf numFmtId="0" fontId="39" fillId="0" borderId="0" xfId="0" applyFont="1" applyAlignment="1">
      <alignment vertical="center"/>
    </xf>
    <xf numFmtId="0" fontId="15" fillId="28" borderId="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" xfId="0" quotePrefix="1" applyFont="1" applyBorder="1" applyAlignment="1">
      <alignment horizontal="center" vertical="center"/>
    </xf>
    <xf numFmtId="0" fontId="33" fillId="0" borderId="1" xfId="0" applyFont="1" applyBorder="1"/>
    <xf numFmtId="0" fontId="33" fillId="25" borderId="1" xfId="0" applyFont="1" applyFill="1" applyBorder="1"/>
    <xf numFmtId="0" fontId="27" fillId="0" borderId="0" xfId="0" applyFont="1" applyAlignment="1">
      <alignment horizontal="center" vertical="center"/>
    </xf>
    <xf numFmtId="167" fontId="27" fillId="0" borderId="1" xfId="0" quotePrefix="1" applyNumberFormat="1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27" fillId="25" borderId="0" xfId="0" applyFont="1" applyFill="1" applyAlignment="1">
      <alignment vertical="center"/>
    </xf>
    <xf numFmtId="0" fontId="15" fillId="30" borderId="1" xfId="0" applyFont="1" applyFill="1" applyBorder="1" applyAlignment="1">
      <alignment horizontal="center" vertical="center"/>
    </xf>
    <xf numFmtId="0" fontId="15" fillId="31" borderId="1" xfId="0" applyFont="1" applyFill="1" applyBorder="1" applyAlignment="1">
      <alignment horizontal="left" vertical="center" wrapText="1"/>
    </xf>
    <xf numFmtId="0" fontId="15" fillId="25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27" fillId="25" borderId="2" xfId="0" applyFont="1" applyFill="1" applyBorder="1" applyAlignment="1">
      <alignment vertical="center"/>
    </xf>
    <xf numFmtId="0" fontId="33" fillId="25" borderId="1" xfId="0" applyFont="1" applyFill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40" fillId="0" borderId="1" xfId="0" applyFont="1" applyBorder="1"/>
    <xf numFmtId="0" fontId="40" fillId="0" borderId="1" xfId="0" applyFont="1" applyBorder="1" applyAlignment="1">
      <alignment vertical="center"/>
    </xf>
    <xf numFmtId="0" fontId="27" fillId="25" borderId="1" xfId="0" applyFont="1" applyFill="1" applyBorder="1" applyAlignment="1">
      <alignment vertical="center" wrapText="1"/>
    </xf>
    <xf numFmtId="0" fontId="38" fillId="35" borderId="0" xfId="0" applyFont="1" applyFill="1" applyAlignment="1">
      <alignment wrapText="1"/>
    </xf>
    <xf numFmtId="1" fontId="33" fillId="0" borderId="1" xfId="0" applyNumberFormat="1" applyFont="1" applyBorder="1"/>
    <xf numFmtId="1" fontId="33" fillId="25" borderId="1" xfId="0" applyNumberFormat="1" applyFont="1" applyFill="1" applyBorder="1"/>
    <xf numFmtId="0" fontId="27" fillId="0" borderId="2" xfId="0" applyFont="1" applyBorder="1" applyAlignment="1">
      <alignment horizontal="center" vertical="center" wrapText="1"/>
    </xf>
    <xf numFmtId="167" fontId="27" fillId="0" borderId="11" xfId="0" quotePrefix="1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/>
    </xf>
    <xf numFmtId="0" fontId="38" fillId="0" borderId="1" xfId="0" applyFont="1" applyBorder="1" applyAlignment="1">
      <alignment wrapText="1"/>
    </xf>
    <xf numFmtId="0" fontId="38" fillId="0" borderId="1" xfId="0" applyFont="1" applyBorder="1" applyAlignment="1">
      <alignment vertical="center" wrapText="1"/>
    </xf>
    <xf numFmtId="0" fontId="27" fillId="14" borderId="1" xfId="0" applyFont="1" applyFill="1" applyBorder="1" applyAlignment="1">
      <alignment horizontal="center" vertical="center" wrapText="1"/>
    </xf>
    <xf numFmtId="14" fontId="22" fillId="0" borderId="1" xfId="0" applyNumberFormat="1" applyFont="1" applyBorder="1"/>
    <xf numFmtId="14" fontId="33" fillId="0" borderId="1" xfId="0" applyNumberFormat="1" applyFont="1" applyBorder="1"/>
    <xf numFmtId="0" fontId="28" fillId="0" borderId="0" xfId="0" applyFont="1" applyAlignment="1">
      <alignment horizontal="center" vertical="center" wrapText="1"/>
    </xf>
    <xf numFmtId="14" fontId="33" fillId="0" borderId="1" xfId="0" quotePrefix="1" applyNumberFormat="1" applyFont="1" applyBorder="1" applyAlignment="1">
      <alignment vertical="center"/>
    </xf>
    <xf numFmtId="0" fontId="6" fillId="8" borderId="1" xfId="0" applyFont="1" applyFill="1" applyBorder="1" applyAlignment="1">
      <alignment vertical="center" wrapText="1"/>
    </xf>
    <xf numFmtId="0" fontId="8" fillId="6" borderId="4" xfId="0" applyFont="1" applyFill="1" applyBorder="1" applyAlignment="1">
      <alignment horizontal="center" vertical="center" wrapText="1" shrinkToFit="1"/>
    </xf>
    <xf numFmtId="14" fontId="22" fillId="25" borderId="1" xfId="0" applyNumberFormat="1" applyFont="1" applyFill="1" applyBorder="1"/>
    <xf numFmtId="166" fontId="21" fillId="15" borderId="3" xfId="1" applyNumberFormat="1" applyFont="1" applyFill="1" applyBorder="1" applyAlignment="1">
      <alignment horizontal="center"/>
    </xf>
    <xf numFmtId="166" fontId="21" fillId="15" borderId="7" xfId="1" applyNumberFormat="1" applyFont="1" applyFill="1" applyBorder="1" applyAlignment="1">
      <alignment horizontal="center"/>
    </xf>
    <xf numFmtId="166" fontId="21" fillId="37" borderId="3" xfId="1" applyNumberFormat="1" applyFont="1" applyFill="1" applyBorder="1" applyAlignment="1">
      <alignment horizontal="center"/>
    </xf>
    <xf numFmtId="166" fontId="21" fillId="37" borderId="7" xfId="1" applyNumberFormat="1" applyFont="1" applyFill="1" applyBorder="1" applyAlignment="1">
      <alignment horizontal="center"/>
    </xf>
    <xf numFmtId="166" fontId="21" fillId="14" borderId="3" xfId="1" applyNumberFormat="1" applyFont="1" applyFill="1" applyBorder="1" applyAlignment="1">
      <alignment horizontal="center"/>
    </xf>
    <xf numFmtId="166" fontId="21" fillId="14" borderId="7" xfId="1" applyNumberFormat="1" applyFont="1" applyFill="1" applyBorder="1" applyAlignment="1">
      <alignment horizontal="center"/>
    </xf>
    <xf numFmtId="166" fontId="21" fillId="36" borderId="3" xfId="1" applyNumberFormat="1" applyFont="1" applyFill="1" applyBorder="1" applyAlignment="1">
      <alignment horizontal="center"/>
    </xf>
    <xf numFmtId="166" fontId="21" fillId="36" borderId="7" xfId="1" applyNumberFormat="1" applyFont="1" applyFill="1" applyBorder="1" applyAlignment="1">
      <alignment horizontal="center"/>
    </xf>
    <xf numFmtId="166" fontId="21" fillId="0" borderId="2" xfId="1" applyNumberFormat="1" applyFont="1" applyBorder="1" applyAlignment="1">
      <alignment horizontal="center" vertical="center"/>
    </xf>
    <xf numFmtId="166" fontId="21" fillId="0" borderId="11" xfId="1" applyNumberFormat="1" applyFont="1" applyBorder="1" applyAlignment="1">
      <alignment horizontal="center" vertical="center"/>
    </xf>
    <xf numFmtId="166" fontId="21" fillId="14" borderId="12" xfId="1" applyNumberFormat="1" applyFont="1" applyFill="1" applyBorder="1" applyAlignment="1">
      <alignment horizontal="center"/>
    </xf>
    <xf numFmtId="166" fontId="21" fillId="15" borderId="13" xfId="1" applyNumberFormat="1" applyFont="1" applyFill="1" applyBorder="1" applyAlignment="1">
      <alignment horizontal="center"/>
    </xf>
    <xf numFmtId="166" fontId="21" fillId="15" borderId="14" xfId="1" applyNumberFormat="1" applyFont="1" applyFill="1" applyBorder="1" applyAlignment="1">
      <alignment horizontal="center"/>
    </xf>
    <xf numFmtId="166" fontId="21" fillId="15" borderId="15" xfId="1" applyNumberFormat="1" applyFont="1" applyFill="1" applyBorder="1" applyAlignment="1">
      <alignment horizontal="center"/>
    </xf>
    <xf numFmtId="166" fontId="21" fillId="36" borderId="13" xfId="1" applyNumberFormat="1" applyFont="1" applyFill="1" applyBorder="1" applyAlignment="1">
      <alignment horizontal="center"/>
    </xf>
    <xf numFmtId="166" fontId="21" fillId="36" borderId="14" xfId="1" applyNumberFormat="1" applyFont="1" applyFill="1" applyBorder="1" applyAlignment="1">
      <alignment horizontal="center"/>
    </xf>
    <xf numFmtId="166" fontId="21" fillId="36" borderId="15" xfId="1" applyNumberFormat="1" applyFont="1" applyFill="1" applyBorder="1" applyAlignment="1">
      <alignment horizontal="center"/>
    </xf>
    <xf numFmtId="166" fontId="21" fillId="37" borderId="13" xfId="1" applyNumberFormat="1" applyFont="1" applyFill="1" applyBorder="1" applyAlignment="1">
      <alignment horizontal="center"/>
    </xf>
    <xf numFmtId="166" fontId="21" fillId="37" borderId="14" xfId="1" applyNumberFormat="1" applyFont="1" applyFill="1" applyBorder="1" applyAlignment="1">
      <alignment horizontal="center"/>
    </xf>
    <xf numFmtId="166" fontId="21" fillId="37" borderId="15" xfId="1" applyNumberFormat="1" applyFont="1" applyFill="1" applyBorder="1" applyAlignment="1">
      <alignment horizontal="center"/>
    </xf>
    <xf numFmtId="166" fontId="21" fillId="15" borderId="12" xfId="1" applyNumberFormat="1" applyFont="1" applyFill="1" applyBorder="1" applyAlignment="1">
      <alignment horizontal="center"/>
    </xf>
    <xf numFmtId="0" fontId="28" fillId="0" borderId="2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 wrapText="1"/>
    </xf>
    <xf numFmtId="0" fontId="2" fillId="25" borderId="2" xfId="0" applyFont="1" applyFill="1" applyBorder="1" applyAlignment="1">
      <alignment horizontal="center" vertical="center"/>
    </xf>
    <xf numFmtId="0" fontId="2" fillId="25" borderId="11" xfId="0" applyFont="1" applyFill="1" applyBorder="1" applyAlignment="1">
      <alignment horizontal="center" vertical="center"/>
    </xf>
    <xf numFmtId="0" fontId="28" fillId="0" borderId="10" xfId="0" applyFont="1" applyBorder="1" applyAlignment="1">
      <alignment horizontal="center" vertical="center" wrapText="1"/>
    </xf>
    <xf numFmtId="14" fontId="33" fillId="0" borderId="2" xfId="0" quotePrefix="1" applyNumberFormat="1" applyFont="1" applyBorder="1" applyAlignment="1">
      <alignment horizontal="center" vertical="center"/>
    </xf>
    <xf numFmtId="14" fontId="33" fillId="0" borderId="11" xfId="0" quotePrefix="1" applyNumberFormat="1" applyFont="1" applyBorder="1" applyAlignment="1">
      <alignment horizontal="center" vertical="center"/>
    </xf>
    <xf numFmtId="0" fontId="2" fillId="38" borderId="2" xfId="0" applyFont="1" applyFill="1" applyBorder="1" applyAlignment="1">
      <alignment horizontal="center" vertical="center"/>
    </xf>
    <xf numFmtId="0" fontId="2" fillId="38" borderId="11" xfId="0" applyFont="1" applyFill="1" applyBorder="1" applyAlignment="1">
      <alignment horizontal="center" vertical="center"/>
    </xf>
    <xf numFmtId="0" fontId="15" fillId="30" borderId="3" xfId="0" applyFont="1" applyFill="1" applyBorder="1" applyAlignment="1">
      <alignment horizontal="center" vertical="center"/>
    </xf>
    <xf numFmtId="0" fontId="15" fillId="30" borderId="12" xfId="0" applyFont="1" applyFill="1" applyBorder="1" applyAlignment="1">
      <alignment horizontal="center" vertical="center"/>
    </xf>
    <xf numFmtId="0" fontId="15" fillId="30" borderId="7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 wrapText="1"/>
    </xf>
    <xf numFmtId="0" fontId="6" fillId="27" borderId="1" xfId="0" applyFont="1" applyFill="1" applyBorder="1" applyAlignment="1">
      <alignment horizontal="center" vertical="center"/>
    </xf>
    <xf numFmtId="0" fontId="15" fillId="27" borderId="1" xfId="0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 wrapText="1"/>
    </xf>
    <xf numFmtId="0" fontId="5" fillId="27" borderId="2" xfId="0" applyFont="1" applyFill="1" applyBorder="1" applyAlignment="1">
      <alignment horizontal="center" vertical="center" wrapText="1"/>
    </xf>
    <xf numFmtId="0" fontId="5" fillId="27" borderId="11" xfId="0" applyFont="1" applyFill="1" applyBorder="1" applyAlignment="1">
      <alignment horizontal="center" vertical="center" wrapText="1"/>
    </xf>
    <xf numFmtId="0" fontId="5" fillId="27" borderId="12" xfId="0" applyFont="1" applyFill="1" applyBorder="1" applyAlignment="1">
      <alignment horizontal="center" vertical="center" wrapText="1"/>
    </xf>
    <xf numFmtId="0" fontId="2" fillId="25" borderId="2" xfId="0" applyFont="1" applyFill="1" applyBorder="1" applyAlignment="1">
      <alignment horizontal="center" vertical="center" wrapText="1"/>
    </xf>
    <xf numFmtId="0" fontId="2" fillId="25" borderId="1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" fillId="6" borderId="4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14" fontId="22" fillId="0" borderId="2" xfId="0" applyNumberFormat="1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4" fontId="22" fillId="0" borderId="1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</cellXfs>
  <cellStyles count="4">
    <cellStyle name="Comma" xfId="1" builtinId="3"/>
    <cellStyle name="Excel Built-in Comma [0] 1" xfId="3" xr:uid="{00000000-0005-0000-0000-000007000000}"/>
    <cellStyle name="Normal" xfId="0" builtinId="0"/>
    <cellStyle name="Normal 2" xfId="2" xr:uid="{00000000-0005-0000-0000-000006000000}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69A2E"/>
      <rgbColor rgb="FF000080"/>
      <rgbColor rgb="FF808000"/>
      <rgbColor rgb="FF800080"/>
      <rgbColor rgb="FF00A933"/>
      <rgbColor rgb="FFC5E0B4"/>
      <rgbColor rgb="FF808080"/>
      <rgbColor rgb="FF9999FF"/>
      <rgbColor rgb="FFFF3838"/>
      <rgbColor rgb="FFFFF5CE"/>
      <rgbColor rgb="FFFBE5D6"/>
      <rgbColor rgb="FF660066"/>
      <rgbColor rgb="FFFF7B59"/>
      <rgbColor rgb="FF0070C0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D8CE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81D41A"/>
      <rgbColor rgb="FFFFC000"/>
      <rgbColor rgb="FFFFBF00"/>
      <rgbColor rgb="FFFF5429"/>
      <rgbColor rgb="FF666699"/>
      <rgbColor rgb="FF92D050"/>
      <rgbColor rgb="FF081B3A"/>
      <rgbColor rgb="FF3FAF4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F90"/>
  <sheetViews>
    <sheetView tabSelected="1" zoomScale="56" zoomScaleNormal="55" workbookViewId="0">
      <pane xSplit="3" ySplit="5" topLeftCell="D87" activePane="bottomRight" state="frozen"/>
      <selection pane="topRight" activeCell="D1" sqref="D1"/>
      <selection pane="bottomLeft" activeCell="A6" sqref="A6"/>
      <selection pane="bottomRight" activeCell="J98" sqref="J98"/>
    </sheetView>
  </sheetViews>
  <sheetFormatPr defaultColWidth="9.109375" defaultRowHeight="22.8" x14ac:dyDescent="0.4"/>
  <cols>
    <col min="1" max="1" width="6.109375" style="103" customWidth="1"/>
    <col min="2" max="2" width="17.21875" style="291" customWidth="1"/>
    <col min="3" max="3" width="64.109375" style="102" customWidth="1"/>
    <col min="4" max="4" width="15" style="101" customWidth="1"/>
    <col min="5" max="5" width="21.77734375" style="247" customWidth="1"/>
    <col min="6" max="8" width="9.44140625" style="247" customWidth="1"/>
    <col min="9" max="9" width="7.88671875" style="247" customWidth="1"/>
    <col min="10" max="10" width="50.88671875" style="241" bestFit="1" customWidth="1"/>
    <col min="11" max="11" width="23.5546875" style="241" customWidth="1"/>
    <col min="12" max="12" width="17.88671875" style="241" bestFit="1" customWidth="1"/>
    <col min="13" max="13" width="16.88671875" style="247" bestFit="1" customWidth="1"/>
    <col min="14" max="14" width="22.21875" style="247" customWidth="1"/>
    <col min="15" max="15" width="15.6640625" style="91" customWidth="1"/>
    <col min="16" max="16" width="12.109375" style="293" customWidth="1"/>
    <col min="17" max="17" width="12.5546875" style="293" customWidth="1"/>
    <col min="18" max="19" width="14.6640625" style="293" customWidth="1"/>
    <col min="20" max="20" width="11.77734375" style="293" customWidth="1"/>
    <col min="21" max="21" width="11.88671875" style="293" customWidth="1"/>
    <col min="22" max="22" width="10.21875" style="293" customWidth="1"/>
    <col min="23" max="23" width="11.88671875" style="294" customWidth="1"/>
    <col min="24" max="24" width="11.88671875" style="216" customWidth="1"/>
    <col min="25" max="25" width="17.5546875" style="216" customWidth="1"/>
    <col min="26" max="26" width="31.44140625" style="259" customWidth="1"/>
    <col min="27" max="27" width="39.109375" style="241" customWidth="1"/>
    <col min="28" max="28" width="13.88671875" style="103" customWidth="1"/>
    <col min="29" max="29" width="19" style="91" bestFit="1" customWidth="1"/>
    <col min="30" max="30" width="37.33203125" style="91" bestFit="1" customWidth="1"/>
  </cols>
  <sheetData>
    <row r="1" spans="1:30" s="97" customFormat="1" ht="45.6" x14ac:dyDescent="0.4">
      <c r="A1" s="187" t="s">
        <v>0</v>
      </c>
      <c r="B1" s="285"/>
      <c r="C1" s="96"/>
      <c r="D1" s="96"/>
      <c r="E1" s="187"/>
      <c r="F1" s="187"/>
      <c r="G1" s="187"/>
      <c r="H1" s="187"/>
      <c r="I1" s="187"/>
      <c r="J1" s="187"/>
      <c r="K1" s="187"/>
      <c r="L1" s="187"/>
      <c r="M1" s="246" t="s">
        <v>1</v>
      </c>
      <c r="N1" s="247"/>
      <c r="P1" s="293"/>
      <c r="Q1" s="293"/>
      <c r="R1" s="293"/>
      <c r="S1" s="293"/>
      <c r="T1" s="293"/>
      <c r="U1" s="293"/>
      <c r="V1" s="293"/>
      <c r="W1" s="294"/>
      <c r="X1" s="231"/>
      <c r="Y1" s="231"/>
      <c r="Z1" s="259"/>
      <c r="AA1" s="190" t="s">
        <v>2</v>
      </c>
      <c r="AB1" s="190"/>
      <c r="AC1" s="98"/>
    </row>
    <row r="3" spans="1:30" s="99" customFormat="1" ht="45.6" x14ac:dyDescent="0.4">
      <c r="A3" s="358" t="s">
        <v>3</v>
      </c>
      <c r="B3" s="359" t="s">
        <v>4</v>
      </c>
      <c r="C3" s="358" t="s">
        <v>5</v>
      </c>
      <c r="D3" s="360" t="s">
        <v>6</v>
      </c>
      <c r="E3" s="361" t="s">
        <v>407</v>
      </c>
      <c r="F3" s="363" t="s">
        <v>7</v>
      </c>
      <c r="G3" s="363"/>
      <c r="H3" s="363"/>
      <c r="I3" s="363"/>
      <c r="J3" s="356" t="s">
        <v>8</v>
      </c>
      <c r="K3" s="357" t="s">
        <v>9</v>
      </c>
      <c r="L3" s="356" t="s">
        <v>10</v>
      </c>
      <c r="M3" s="242" t="s">
        <v>11</v>
      </c>
      <c r="N3" s="242" t="s">
        <v>409</v>
      </c>
      <c r="O3" s="167" t="s">
        <v>12</v>
      </c>
      <c r="P3" s="353" t="s">
        <v>7</v>
      </c>
      <c r="Q3" s="354"/>
      <c r="R3" s="354"/>
      <c r="S3" s="354"/>
      <c r="T3" s="354"/>
      <c r="U3" s="354"/>
      <c r="V3" s="354"/>
      <c r="W3" s="355"/>
      <c r="X3" s="232" t="s">
        <v>13</v>
      </c>
      <c r="Y3" s="232" t="s">
        <v>14</v>
      </c>
      <c r="Z3" s="260" t="s">
        <v>15</v>
      </c>
      <c r="AA3" s="281" t="s">
        <v>16</v>
      </c>
      <c r="AB3" s="167" t="s">
        <v>7</v>
      </c>
      <c r="AC3" s="167" t="s">
        <v>17</v>
      </c>
      <c r="AD3" s="200" t="s">
        <v>18</v>
      </c>
    </row>
    <row r="4" spans="1:30" s="99" customFormat="1" ht="45.6" customHeight="1" x14ac:dyDescent="0.4">
      <c r="A4" s="358"/>
      <c r="B4" s="359"/>
      <c r="C4" s="358"/>
      <c r="D4" s="360"/>
      <c r="E4" s="362"/>
      <c r="F4" s="270"/>
      <c r="G4" s="270"/>
      <c r="H4" s="270"/>
      <c r="I4" s="42"/>
      <c r="J4" s="356"/>
      <c r="K4" s="357"/>
      <c r="L4" s="356"/>
      <c r="M4" s="248" t="s">
        <v>23</v>
      </c>
      <c r="N4" s="248" t="s">
        <v>24</v>
      </c>
      <c r="O4" s="168"/>
      <c r="P4" s="295" t="s">
        <v>25</v>
      </c>
      <c r="Q4" s="295" t="s">
        <v>26</v>
      </c>
      <c r="R4" s="296" t="s">
        <v>32</v>
      </c>
      <c r="S4" s="296" t="s">
        <v>35</v>
      </c>
      <c r="T4" s="296" t="s">
        <v>36</v>
      </c>
      <c r="U4" s="296" t="s">
        <v>38</v>
      </c>
      <c r="V4" s="295" t="s">
        <v>27</v>
      </c>
      <c r="W4" s="297" t="s">
        <v>22</v>
      </c>
      <c r="X4" s="232"/>
      <c r="Y4" s="232"/>
      <c r="Z4" s="260"/>
      <c r="AA4" s="281"/>
      <c r="AB4" s="167"/>
      <c r="AC4" s="167"/>
      <c r="AD4" s="200"/>
    </row>
    <row r="5" spans="1:30" s="152" customFormat="1" ht="54" customHeight="1" x14ac:dyDescent="0.4">
      <c r="A5" s="149"/>
      <c r="B5" s="286"/>
      <c r="C5" s="149"/>
      <c r="D5" s="150"/>
      <c r="E5" s="254"/>
      <c r="F5" s="270">
        <v>350</v>
      </c>
      <c r="G5" s="270">
        <v>500</v>
      </c>
      <c r="H5" s="42" t="s">
        <v>38</v>
      </c>
      <c r="I5" s="42" t="s">
        <v>538</v>
      </c>
      <c r="J5" s="235"/>
      <c r="K5" s="235"/>
      <c r="L5" s="235"/>
      <c r="M5" s="249"/>
      <c r="N5" s="249"/>
      <c r="O5" s="151"/>
      <c r="P5" s="286">
        <f>SUBTOTAL(9,P6:P90)</f>
        <v>425</v>
      </c>
      <c r="Q5" s="286">
        <f>SUBTOTAL(9,Q6:Q90)</f>
        <v>155</v>
      </c>
      <c r="R5" s="286">
        <f>SUBTOTAL(9,R6:R90)</f>
        <v>0</v>
      </c>
      <c r="S5" s="286">
        <f>SUBTOTAL(9,S6:S90)</f>
        <v>0</v>
      </c>
      <c r="T5" s="286">
        <f>SUBTOTAL(9,T6:T90)</f>
        <v>40</v>
      </c>
      <c r="U5" s="286">
        <f>SUBTOTAL(9,U6:U90)</f>
        <v>135</v>
      </c>
      <c r="V5" s="286">
        <f>SUBTOTAL(9,V6:V90)</f>
        <v>61</v>
      </c>
      <c r="W5" s="297">
        <f>SUBTOTAL(9,W6:W90)</f>
        <v>816</v>
      </c>
      <c r="X5" s="232"/>
      <c r="Y5" s="232"/>
      <c r="Z5" s="260"/>
      <c r="AA5" s="235"/>
      <c r="AB5" s="149">
        <f>SUBTOTAL(9,AB6:AB90)</f>
        <v>739</v>
      </c>
      <c r="AC5" s="203">
        <f>SUBTOTAL(9,AC6:AC90)</f>
        <v>3695000</v>
      </c>
      <c r="AD5" s="149"/>
    </row>
    <row r="6" spans="1:30" ht="85.2" customHeight="1" x14ac:dyDescent="0.4">
      <c r="A6" s="87">
        <v>1</v>
      </c>
      <c r="B6" s="274" t="s">
        <v>475</v>
      </c>
      <c r="C6" s="205" t="s">
        <v>478</v>
      </c>
      <c r="D6" s="147" t="s">
        <v>448</v>
      </c>
      <c r="E6" s="250" t="s">
        <v>431</v>
      </c>
      <c r="F6" s="250"/>
      <c r="G6" s="250">
        <v>11</v>
      </c>
      <c r="H6" s="250"/>
      <c r="I6" s="250"/>
      <c r="J6" s="236" t="s">
        <v>493</v>
      </c>
      <c r="K6" s="236"/>
      <c r="L6" s="236" t="s">
        <v>408</v>
      </c>
      <c r="M6" s="250" t="s">
        <v>30</v>
      </c>
      <c r="N6" s="266" t="s">
        <v>185</v>
      </c>
      <c r="O6" s="143" t="s">
        <v>38</v>
      </c>
      <c r="P6" s="298"/>
      <c r="Q6" s="298"/>
      <c r="R6" s="298"/>
      <c r="S6" s="298"/>
      <c r="T6" s="298"/>
      <c r="U6" s="298">
        <v>30</v>
      </c>
      <c r="V6" s="298">
        <v>3</v>
      </c>
      <c r="W6" s="199">
        <f t="shared" ref="W6:W21" si="0">SUM(P6:V6)</f>
        <v>33</v>
      </c>
      <c r="X6" s="144">
        <f>SUMIFS('Đơn giá'!C:C,'Đơn giá'!B:B,XUẤT!O6)</f>
        <v>48000</v>
      </c>
      <c r="Y6" s="145">
        <f>X6*U6</f>
        <v>1440000</v>
      </c>
      <c r="Z6" s="261"/>
      <c r="AA6" s="236" t="s">
        <v>465</v>
      </c>
      <c r="AB6" s="143">
        <f t="shared" ref="AB6:AB18" si="1">W6-V6</f>
        <v>30</v>
      </c>
      <c r="AC6" s="144">
        <f t="shared" ref="AC6:AC21" si="2">AB6*5000</f>
        <v>150000</v>
      </c>
    </row>
    <row r="7" spans="1:30" ht="85.2" customHeight="1" x14ac:dyDescent="0.4">
      <c r="A7" s="87">
        <v>2</v>
      </c>
      <c r="B7" s="274" t="s">
        <v>475</v>
      </c>
      <c r="C7" s="209" t="s">
        <v>485</v>
      </c>
      <c r="D7" s="147" t="s">
        <v>448</v>
      </c>
      <c r="E7" s="250" t="s">
        <v>192</v>
      </c>
      <c r="F7" s="250"/>
      <c r="G7" s="250">
        <v>11</v>
      </c>
      <c r="H7" s="250"/>
      <c r="I7" s="250"/>
      <c r="J7" s="236" t="s">
        <v>465</v>
      </c>
      <c r="K7" s="236"/>
      <c r="L7" s="236" t="s">
        <v>408</v>
      </c>
      <c r="M7" s="250" t="s">
        <v>43</v>
      </c>
      <c r="N7" s="250" t="s">
        <v>486</v>
      </c>
      <c r="O7" s="143" t="s">
        <v>28</v>
      </c>
      <c r="P7" s="298"/>
      <c r="Q7" s="298">
        <v>10</v>
      </c>
      <c r="R7" s="298"/>
      <c r="S7" s="298"/>
      <c r="T7" s="298"/>
      <c r="U7" s="298"/>
      <c r="V7" s="298">
        <v>1</v>
      </c>
      <c r="W7" s="199">
        <f t="shared" si="0"/>
        <v>11</v>
      </c>
      <c r="X7" s="144">
        <f>SUMIFS('Đơn giá'!C:C,'Đơn giá'!B:B,XUẤT!O7)</f>
        <v>85000</v>
      </c>
      <c r="Y7" s="145">
        <f>X7*Q7</f>
        <v>850000</v>
      </c>
      <c r="Z7" s="261"/>
      <c r="AA7" s="236" t="s">
        <v>465</v>
      </c>
      <c r="AB7" s="143">
        <f t="shared" si="1"/>
        <v>10</v>
      </c>
      <c r="AC7" s="144">
        <f t="shared" si="2"/>
        <v>50000</v>
      </c>
    </row>
    <row r="8" spans="1:30" ht="85.2" customHeight="1" x14ac:dyDescent="0.4">
      <c r="A8" s="87">
        <v>3</v>
      </c>
      <c r="B8" s="274" t="s">
        <v>475</v>
      </c>
      <c r="C8" s="209" t="s">
        <v>487</v>
      </c>
      <c r="D8" s="147" t="s">
        <v>448</v>
      </c>
      <c r="E8" s="250" t="s">
        <v>431</v>
      </c>
      <c r="F8" s="250"/>
      <c r="G8" s="250">
        <v>11</v>
      </c>
      <c r="H8" s="250"/>
      <c r="I8" s="250"/>
      <c r="J8" s="236" t="s">
        <v>465</v>
      </c>
      <c r="K8" s="236"/>
      <c r="L8" s="236" t="s">
        <v>408</v>
      </c>
      <c r="M8" s="250" t="s">
        <v>41</v>
      </c>
      <c r="N8" s="250" t="s">
        <v>443</v>
      </c>
      <c r="O8" s="143" t="s">
        <v>25</v>
      </c>
      <c r="P8" s="298">
        <v>10</v>
      </c>
      <c r="Q8" s="298"/>
      <c r="R8" s="298"/>
      <c r="S8" s="298"/>
      <c r="T8" s="298"/>
      <c r="U8" s="298"/>
      <c r="V8" s="298">
        <v>1</v>
      </c>
      <c r="W8" s="199">
        <f t="shared" si="0"/>
        <v>11</v>
      </c>
      <c r="X8" s="144">
        <f>SUMIFS('Đơn giá'!C:C,'Đơn giá'!B:B,XUẤT!O8)</f>
        <v>98000</v>
      </c>
      <c r="Y8" s="145">
        <f t="shared" ref="Y8" si="3">X8*P8</f>
        <v>980000</v>
      </c>
      <c r="Z8" s="261" t="s">
        <v>488</v>
      </c>
      <c r="AA8" s="236" t="s">
        <v>465</v>
      </c>
      <c r="AB8" s="143">
        <f t="shared" si="1"/>
        <v>10</v>
      </c>
      <c r="AC8" s="144">
        <f t="shared" si="2"/>
        <v>50000</v>
      </c>
    </row>
    <row r="9" spans="1:30" ht="85.2" customHeight="1" x14ac:dyDescent="0.4">
      <c r="A9" s="87">
        <v>4</v>
      </c>
      <c r="B9" s="274" t="s">
        <v>475</v>
      </c>
      <c r="C9" s="209" t="s">
        <v>490</v>
      </c>
      <c r="D9" s="147" t="s">
        <v>448</v>
      </c>
      <c r="E9" s="250" t="s">
        <v>216</v>
      </c>
      <c r="F9" s="250"/>
      <c r="G9" s="250">
        <v>11</v>
      </c>
      <c r="H9" s="250"/>
      <c r="I9" s="250"/>
      <c r="J9" s="236" t="s">
        <v>465</v>
      </c>
      <c r="K9" s="236"/>
      <c r="L9" s="236" t="s">
        <v>408</v>
      </c>
      <c r="M9" s="250" t="s">
        <v>41</v>
      </c>
      <c r="N9" s="250" t="s">
        <v>489</v>
      </c>
      <c r="O9" s="143" t="s">
        <v>28</v>
      </c>
      <c r="P9" s="298"/>
      <c r="Q9" s="298">
        <v>10</v>
      </c>
      <c r="R9" s="298"/>
      <c r="S9" s="298"/>
      <c r="T9" s="298"/>
      <c r="U9" s="298"/>
      <c r="V9" s="298">
        <v>1</v>
      </c>
      <c r="W9" s="199">
        <f t="shared" si="0"/>
        <v>11</v>
      </c>
      <c r="X9" s="144">
        <f>SUMIFS('Đơn giá'!C:C,'Đơn giá'!B:B,XUẤT!O9)</f>
        <v>85000</v>
      </c>
      <c r="Y9" s="145">
        <f>X9*Q9</f>
        <v>850000</v>
      </c>
      <c r="Z9" s="261"/>
      <c r="AA9" s="236" t="s">
        <v>465</v>
      </c>
      <c r="AB9" s="143">
        <f t="shared" si="1"/>
        <v>10</v>
      </c>
      <c r="AC9" s="144">
        <f t="shared" si="2"/>
        <v>50000</v>
      </c>
    </row>
    <row r="10" spans="1:30" ht="85.2" customHeight="1" x14ac:dyDescent="0.4">
      <c r="A10" s="87">
        <v>5</v>
      </c>
      <c r="B10" s="274" t="s">
        <v>475</v>
      </c>
      <c r="C10" s="209" t="s">
        <v>491</v>
      </c>
      <c r="D10" s="147" t="s">
        <v>448</v>
      </c>
      <c r="E10" s="250" t="s">
        <v>192</v>
      </c>
      <c r="F10" s="250"/>
      <c r="G10" s="250">
        <v>16</v>
      </c>
      <c r="H10" s="250"/>
      <c r="I10" s="250"/>
      <c r="J10" s="236" t="s">
        <v>465</v>
      </c>
      <c r="K10" s="236"/>
      <c r="L10" s="236" t="s">
        <v>408</v>
      </c>
      <c r="M10" s="250" t="s">
        <v>41</v>
      </c>
      <c r="N10" s="250" t="s">
        <v>492</v>
      </c>
      <c r="O10" s="143" t="s">
        <v>25</v>
      </c>
      <c r="P10" s="298">
        <v>10</v>
      </c>
      <c r="Q10" s="298"/>
      <c r="R10" s="298"/>
      <c r="S10" s="298"/>
      <c r="T10" s="298"/>
      <c r="U10" s="298"/>
      <c r="V10" s="298">
        <v>1</v>
      </c>
      <c r="W10" s="199">
        <f t="shared" si="0"/>
        <v>11</v>
      </c>
      <c r="X10" s="144">
        <f>SUMIFS('Đơn giá'!C:C,'Đơn giá'!B:B,XUẤT!O10)</f>
        <v>98000</v>
      </c>
      <c r="Y10" s="145">
        <f t="shared" ref="Y10" si="4">X10*P10</f>
        <v>980000</v>
      </c>
      <c r="Z10" s="261"/>
      <c r="AA10" s="236" t="s">
        <v>465</v>
      </c>
      <c r="AB10" s="143">
        <f t="shared" si="1"/>
        <v>10</v>
      </c>
      <c r="AC10" s="144">
        <f t="shared" si="2"/>
        <v>50000</v>
      </c>
    </row>
    <row r="11" spans="1:30" ht="85.2" customHeight="1" x14ac:dyDescent="0.4">
      <c r="A11" s="87">
        <v>1</v>
      </c>
      <c r="B11" s="274" t="s">
        <v>494</v>
      </c>
      <c r="C11" s="209" t="s">
        <v>496</v>
      </c>
      <c r="D11" s="147" t="s">
        <v>448</v>
      </c>
      <c r="E11" s="250" t="s">
        <v>192</v>
      </c>
      <c r="F11" s="250"/>
      <c r="G11" s="250"/>
      <c r="H11" s="250"/>
      <c r="I11" s="250"/>
      <c r="J11" s="236" t="s">
        <v>465</v>
      </c>
      <c r="K11" s="236"/>
      <c r="L11" s="236"/>
      <c r="M11" s="250" t="s">
        <v>41</v>
      </c>
      <c r="N11" s="250" t="s">
        <v>495</v>
      </c>
      <c r="O11" s="143" t="s">
        <v>28</v>
      </c>
      <c r="P11" s="298"/>
      <c r="Q11" s="298">
        <v>15</v>
      </c>
      <c r="R11" s="298"/>
      <c r="S11" s="298"/>
      <c r="T11" s="298"/>
      <c r="U11" s="298"/>
      <c r="V11" s="298">
        <v>1</v>
      </c>
      <c r="W11" s="199">
        <f t="shared" si="0"/>
        <v>16</v>
      </c>
      <c r="X11" s="144">
        <f>SUMIFS('Đơn giá'!C:C,'Đơn giá'!B:B,XUẤT!O11)</f>
        <v>85000</v>
      </c>
      <c r="Y11" s="145">
        <f>X11*Q11</f>
        <v>1275000</v>
      </c>
      <c r="Z11" s="261"/>
      <c r="AA11" s="236" t="s">
        <v>465</v>
      </c>
      <c r="AB11" s="143">
        <f t="shared" si="1"/>
        <v>15</v>
      </c>
      <c r="AC11" s="144">
        <f t="shared" si="2"/>
        <v>75000</v>
      </c>
    </row>
    <row r="12" spans="1:30" ht="85.2" customHeight="1" x14ac:dyDescent="0.4">
      <c r="A12" s="87">
        <v>2</v>
      </c>
      <c r="B12" s="274" t="s">
        <v>494</v>
      </c>
      <c r="C12" s="209" t="s">
        <v>497</v>
      </c>
      <c r="D12" s="147" t="s">
        <v>448</v>
      </c>
      <c r="E12" s="250" t="s">
        <v>431</v>
      </c>
      <c r="F12" s="250"/>
      <c r="G12" s="250">
        <v>11</v>
      </c>
      <c r="H12" s="250"/>
      <c r="I12" s="250"/>
      <c r="J12" s="236" t="s">
        <v>465</v>
      </c>
      <c r="K12" s="236"/>
      <c r="L12" s="236" t="s">
        <v>408</v>
      </c>
      <c r="M12" s="250" t="s">
        <v>30</v>
      </c>
      <c r="N12" s="250" t="s">
        <v>499</v>
      </c>
      <c r="O12" s="143" t="s">
        <v>38</v>
      </c>
      <c r="P12" s="298"/>
      <c r="Q12" s="298"/>
      <c r="R12" s="298"/>
      <c r="S12" s="298"/>
      <c r="T12" s="298"/>
      <c r="U12" s="298">
        <v>5</v>
      </c>
      <c r="V12" s="298"/>
      <c r="W12" s="199">
        <f t="shared" si="0"/>
        <v>5</v>
      </c>
      <c r="X12" s="144">
        <f>SUMIFS('Đơn giá'!C:C,'Đơn giá'!B:B,XUẤT!O12)</f>
        <v>48000</v>
      </c>
      <c r="Y12" s="145">
        <f>X12*U12</f>
        <v>240000</v>
      </c>
      <c r="Z12" s="261"/>
      <c r="AA12" s="236" t="s">
        <v>465</v>
      </c>
      <c r="AB12" s="143">
        <f t="shared" si="1"/>
        <v>5</v>
      </c>
      <c r="AC12" s="144">
        <f t="shared" si="2"/>
        <v>25000</v>
      </c>
    </row>
    <row r="13" spans="1:30" ht="85.2" customHeight="1" x14ac:dyDescent="0.4">
      <c r="A13" s="87">
        <v>3</v>
      </c>
      <c r="B13" s="274" t="s">
        <v>494</v>
      </c>
      <c r="C13" s="209" t="s">
        <v>498</v>
      </c>
      <c r="D13" s="147" t="s">
        <v>448</v>
      </c>
      <c r="E13" s="250"/>
      <c r="F13" s="250"/>
      <c r="G13" s="250">
        <v>5</v>
      </c>
      <c r="H13" s="250"/>
      <c r="I13" s="250"/>
      <c r="J13" s="236" t="s">
        <v>465</v>
      </c>
      <c r="K13" s="236"/>
      <c r="L13" s="236"/>
      <c r="M13" s="250" t="s">
        <v>30</v>
      </c>
      <c r="N13" s="237" t="s">
        <v>108</v>
      </c>
      <c r="O13" s="143" t="s">
        <v>25</v>
      </c>
      <c r="P13" s="298">
        <v>10</v>
      </c>
      <c r="Q13" s="298"/>
      <c r="R13" s="298"/>
      <c r="S13" s="298"/>
      <c r="T13" s="298"/>
      <c r="U13" s="298"/>
      <c r="V13" s="298">
        <v>1</v>
      </c>
      <c r="W13" s="199">
        <f t="shared" si="0"/>
        <v>11</v>
      </c>
      <c r="X13" s="144">
        <f>SUMIFS('Đơn giá'!C:C,'Đơn giá'!B:B,XUẤT!O13)</f>
        <v>98000</v>
      </c>
      <c r="Y13" s="145">
        <f t="shared" ref="Y13:Y14" si="5">X13*P13</f>
        <v>980000</v>
      </c>
      <c r="Z13" s="261"/>
      <c r="AA13" s="236" t="s">
        <v>465</v>
      </c>
      <c r="AB13" s="143">
        <f t="shared" si="1"/>
        <v>10</v>
      </c>
      <c r="AC13" s="144">
        <f t="shared" si="2"/>
        <v>50000</v>
      </c>
    </row>
    <row r="14" spans="1:30" ht="85.2" customHeight="1" x14ac:dyDescent="0.4">
      <c r="A14" s="87">
        <v>4</v>
      </c>
      <c r="B14" s="274" t="s">
        <v>494</v>
      </c>
      <c r="C14" s="209" t="s">
        <v>500</v>
      </c>
      <c r="D14" s="100"/>
      <c r="E14" s="250" t="s">
        <v>431</v>
      </c>
      <c r="F14" s="250"/>
      <c r="G14" s="250"/>
      <c r="H14" s="250"/>
      <c r="I14" s="250"/>
      <c r="J14" s="236" t="s">
        <v>465</v>
      </c>
      <c r="K14" s="236"/>
      <c r="L14" s="236"/>
      <c r="M14" s="250" t="s">
        <v>41</v>
      </c>
      <c r="N14" s="250" t="s">
        <v>501</v>
      </c>
      <c r="O14" s="143" t="s">
        <v>25</v>
      </c>
      <c r="P14" s="298">
        <v>5</v>
      </c>
      <c r="Q14" s="298"/>
      <c r="R14" s="298"/>
      <c r="S14" s="298"/>
      <c r="T14" s="298"/>
      <c r="U14" s="298"/>
      <c r="V14" s="298"/>
      <c r="W14" s="199">
        <f t="shared" si="0"/>
        <v>5</v>
      </c>
      <c r="X14" s="144">
        <f>SUMIFS('Đơn giá'!C:C,'Đơn giá'!B:B,XUẤT!O14)</f>
        <v>98000</v>
      </c>
      <c r="Y14" s="145">
        <f t="shared" si="5"/>
        <v>490000</v>
      </c>
      <c r="Z14" s="261" t="s">
        <v>516</v>
      </c>
      <c r="AA14" s="236" t="s">
        <v>465</v>
      </c>
      <c r="AB14" s="143">
        <f t="shared" si="1"/>
        <v>5</v>
      </c>
      <c r="AC14" s="144">
        <f t="shared" si="2"/>
        <v>25000</v>
      </c>
    </row>
    <row r="15" spans="1:30" ht="85.2" customHeight="1" x14ac:dyDescent="0.4">
      <c r="A15" s="87">
        <v>5</v>
      </c>
      <c r="B15" s="274" t="s">
        <v>494</v>
      </c>
      <c r="C15" s="209" t="s">
        <v>503</v>
      </c>
      <c r="D15" s="147" t="s">
        <v>448</v>
      </c>
      <c r="E15" s="250" t="s">
        <v>431</v>
      </c>
      <c r="F15" s="250"/>
      <c r="G15" s="250">
        <v>2</v>
      </c>
      <c r="H15" s="250"/>
      <c r="I15" s="250"/>
      <c r="J15" s="236" t="s">
        <v>502</v>
      </c>
      <c r="K15" s="236" t="s">
        <v>426</v>
      </c>
      <c r="L15" s="236" t="s">
        <v>408</v>
      </c>
      <c r="M15" s="250" t="s">
        <v>30</v>
      </c>
      <c r="N15" s="237" t="s">
        <v>39</v>
      </c>
      <c r="O15" s="143" t="s">
        <v>38</v>
      </c>
      <c r="P15" s="298"/>
      <c r="Q15" s="298"/>
      <c r="R15" s="298"/>
      <c r="S15" s="298"/>
      <c r="T15" s="298"/>
      <c r="U15" s="298">
        <v>10</v>
      </c>
      <c r="V15" s="298">
        <v>1</v>
      </c>
      <c r="W15" s="199">
        <f t="shared" si="0"/>
        <v>11</v>
      </c>
      <c r="X15" s="144">
        <f>SUMIFS('Đơn giá'!C:C,'Đơn giá'!B:B,XUẤT!O15)</f>
        <v>48000</v>
      </c>
      <c r="Y15" s="145">
        <f>X15*U15</f>
        <v>480000</v>
      </c>
      <c r="Z15" s="261"/>
      <c r="AA15" s="236" t="s">
        <v>465</v>
      </c>
      <c r="AB15" s="143">
        <f t="shared" si="1"/>
        <v>10</v>
      </c>
      <c r="AC15" s="144">
        <f t="shared" si="2"/>
        <v>50000</v>
      </c>
    </row>
    <row r="16" spans="1:30" ht="51" customHeight="1" x14ac:dyDescent="0.4">
      <c r="A16" s="87">
        <v>6</v>
      </c>
      <c r="B16" s="274" t="s">
        <v>494</v>
      </c>
      <c r="C16" s="209" t="s">
        <v>510</v>
      </c>
      <c r="D16" s="147" t="s">
        <v>448</v>
      </c>
      <c r="E16" s="250" t="s">
        <v>192</v>
      </c>
      <c r="F16" s="250"/>
      <c r="G16" s="250">
        <v>5</v>
      </c>
      <c r="H16" s="250"/>
      <c r="I16" s="250"/>
      <c r="J16" s="236" t="s">
        <v>465</v>
      </c>
      <c r="K16" s="236"/>
      <c r="L16" s="236"/>
      <c r="M16" s="250" t="s">
        <v>30</v>
      </c>
      <c r="N16" s="10" t="s">
        <v>69</v>
      </c>
      <c r="O16" s="143" t="s">
        <v>28</v>
      </c>
      <c r="P16" s="298"/>
      <c r="Q16" s="298">
        <v>3</v>
      </c>
      <c r="R16" s="298"/>
      <c r="S16" s="298"/>
      <c r="T16" s="298"/>
      <c r="U16" s="298"/>
      <c r="V16" s="298"/>
      <c r="W16" s="199">
        <f t="shared" si="0"/>
        <v>3</v>
      </c>
      <c r="X16" s="144">
        <f>SUMIFS('Đơn giá'!C:C,'Đơn giá'!B:B,XUẤT!O16)</f>
        <v>85000</v>
      </c>
      <c r="Y16" s="145">
        <f>Q16*X16</f>
        <v>255000</v>
      </c>
      <c r="Z16" s="261" t="s">
        <v>511</v>
      </c>
      <c r="AA16" s="236" t="s">
        <v>34</v>
      </c>
      <c r="AB16" s="143">
        <f t="shared" si="1"/>
        <v>3</v>
      </c>
      <c r="AC16" s="144">
        <f t="shared" si="2"/>
        <v>15000</v>
      </c>
    </row>
    <row r="17" spans="1:32" ht="61.8" customHeight="1" x14ac:dyDescent="0.4">
      <c r="A17" s="87">
        <v>7</v>
      </c>
      <c r="B17" s="274" t="s">
        <v>494</v>
      </c>
      <c r="C17" s="209" t="s">
        <v>504</v>
      </c>
      <c r="D17" s="147" t="s">
        <v>448</v>
      </c>
      <c r="E17" s="250" t="s">
        <v>192</v>
      </c>
      <c r="F17" s="250"/>
      <c r="G17" s="250"/>
      <c r="H17" s="250"/>
      <c r="I17" s="250"/>
      <c r="J17" s="236" t="s">
        <v>465</v>
      </c>
      <c r="K17" s="236"/>
      <c r="L17" s="236"/>
      <c r="M17" s="250" t="s">
        <v>505</v>
      </c>
      <c r="N17" s="250" t="s">
        <v>506</v>
      </c>
      <c r="O17" s="143" t="s">
        <v>25</v>
      </c>
      <c r="P17" s="298">
        <v>5</v>
      </c>
      <c r="Q17" s="298"/>
      <c r="R17" s="298"/>
      <c r="S17" s="298"/>
      <c r="T17" s="298"/>
      <c r="U17" s="298"/>
      <c r="V17" s="298"/>
      <c r="W17" s="199">
        <f t="shared" si="0"/>
        <v>5</v>
      </c>
      <c r="X17" s="144">
        <f>SUMIFS('Đơn giá'!C:C,'Đơn giá'!B:B,XUẤT!O17)</f>
        <v>98000</v>
      </c>
      <c r="Y17" s="145">
        <f>P17*X17</f>
        <v>490000</v>
      </c>
      <c r="Z17" s="261"/>
      <c r="AA17" s="236" t="s">
        <v>465</v>
      </c>
      <c r="AB17" s="143">
        <f t="shared" si="1"/>
        <v>5</v>
      </c>
      <c r="AC17" s="144">
        <f t="shared" si="2"/>
        <v>25000</v>
      </c>
    </row>
    <row r="18" spans="1:32" ht="61.8" customHeight="1" x14ac:dyDescent="0.4">
      <c r="A18" s="87"/>
      <c r="B18" s="274" t="s">
        <v>494</v>
      </c>
      <c r="C18" s="209" t="s">
        <v>509</v>
      </c>
      <c r="D18" s="147" t="s">
        <v>448</v>
      </c>
      <c r="E18" s="250" t="s">
        <v>431</v>
      </c>
      <c r="F18" s="250"/>
      <c r="G18" s="250">
        <v>5</v>
      </c>
      <c r="H18" s="250"/>
      <c r="I18" s="250"/>
      <c r="J18" s="237" t="s">
        <v>220</v>
      </c>
      <c r="K18" s="236"/>
      <c r="L18" s="236"/>
      <c r="M18" s="250" t="s">
        <v>30</v>
      </c>
      <c r="N18" s="267" t="s">
        <v>220</v>
      </c>
      <c r="O18" s="143" t="s">
        <v>36</v>
      </c>
      <c r="P18" s="298"/>
      <c r="Q18" s="298"/>
      <c r="R18" s="298"/>
      <c r="S18" s="298"/>
      <c r="T18" s="298">
        <v>1</v>
      </c>
      <c r="U18" s="298"/>
      <c r="V18" s="298"/>
      <c r="W18" s="199">
        <f t="shared" si="0"/>
        <v>1</v>
      </c>
      <c r="X18" s="144">
        <f>SUMIFS('Đơn giá'!C:C,'Đơn giá'!B:B,XUẤT!O18)</f>
        <v>52000</v>
      </c>
      <c r="Y18" s="145">
        <f>T18*X18</f>
        <v>52000</v>
      </c>
      <c r="Z18" s="261"/>
      <c r="AA18" s="269" t="s">
        <v>220</v>
      </c>
      <c r="AB18" s="143">
        <f t="shared" si="1"/>
        <v>1</v>
      </c>
      <c r="AC18" s="144">
        <f t="shared" si="2"/>
        <v>5000</v>
      </c>
    </row>
    <row r="19" spans="1:32" ht="61.8" customHeight="1" x14ac:dyDescent="0.4">
      <c r="A19" s="87"/>
      <c r="B19" s="274" t="s">
        <v>494</v>
      </c>
      <c r="C19" s="148" t="s">
        <v>519</v>
      </c>
      <c r="D19" s="147" t="s">
        <v>448</v>
      </c>
      <c r="E19" s="250" t="s">
        <v>192</v>
      </c>
      <c r="F19" s="251"/>
      <c r="G19" s="251"/>
      <c r="H19" s="250"/>
      <c r="I19" s="250"/>
      <c r="J19" s="237" t="s">
        <v>34</v>
      </c>
      <c r="K19" s="236"/>
      <c r="L19" s="236"/>
      <c r="M19" s="250" t="s">
        <v>30</v>
      </c>
      <c r="N19" s="267" t="s">
        <v>64</v>
      </c>
      <c r="O19" s="143" t="s">
        <v>28</v>
      </c>
      <c r="P19" s="298"/>
      <c r="Q19" s="298">
        <v>5</v>
      </c>
      <c r="R19" s="298"/>
      <c r="S19" s="298"/>
      <c r="T19" s="298"/>
      <c r="U19" s="298"/>
      <c r="V19" s="298"/>
      <c r="W19" s="199">
        <f t="shared" si="0"/>
        <v>5</v>
      </c>
      <c r="X19" s="144">
        <f>SUMIFS('Đơn giá'!C:C,'Đơn giá'!B:B,XUẤT!O19)</f>
        <v>85000</v>
      </c>
      <c r="Y19" s="145">
        <f>Q19*X19</f>
        <v>425000</v>
      </c>
      <c r="Z19" s="261"/>
      <c r="AA19" s="236" t="s">
        <v>34</v>
      </c>
      <c r="AB19" s="143">
        <f>W19-V19</f>
        <v>5</v>
      </c>
      <c r="AC19" s="144">
        <f t="shared" si="2"/>
        <v>25000</v>
      </c>
    </row>
    <row r="20" spans="1:32" ht="61.8" customHeight="1" x14ac:dyDescent="0.4">
      <c r="A20" s="227">
        <v>8</v>
      </c>
      <c r="B20" s="287" t="s">
        <v>494</v>
      </c>
      <c r="C20" s="230" t="s">
        <v>508</v>
      </c>
      <c r="D20" s="226" t="s">
        <v>448</v>
      </c>
      <c r="E20" s="251" t="s">
        <v>431</v>
      </c>
      <c r="F20" s="250"/>
      <c r="G20" s="250">
        <v>22</v>
      </c>
      <c r="H20" s="251"/>
      <c r="I20" s="251"/>
      <c r="J20" s="238" t="s">
        <v>37</v>
      </c>
      <c r="K20" s="243"/>
      <c r="L20" s="243" t="s">
        <v>408</v>
      </c>
      <c r="M20" s="251" t="s">
        <v>30</v>
      </c>
      <c r="N20" s="268" t="s">
        <v>37</v>
      </c>
      <c r="O20" s="196" t="s">
        <v>36</v>
      </c>
      <c r="P20" s="299"/>
      <c r="Q20" s="299"/>
      <c r="R20" s="299"/>
      <c r="S20" s="299"/>
      <c r="T20" s="299">
        <v>3</v>
      </c>
      <c r="U20" s="299"/>
      <c r="V20" s="299"/>
      <c r="W20" s="300">
        <f t="shared" si="0"/>
        <v>3</v>
      </c>
      <c r="X20" s="206">
        <f>SUMIFS('Đơn giá'!C:C,'Đơn giá'!B:B,XUẤT!O20)</f>
        <v>52000</v>
      </c>
      <c r="Y20" s="204">
        <f>T20*X20</f>
        <v>156000</v>
      </c>
      <c r="Z20" s="262"/>
      <c r="AA20" s="282" t="s">
        <v>37</v>
      </c>
      <c r="AB20" s="196">
        <f t="shared" ref="AB20:AB21" si="6">W20-V20</f>
        <v>3</v>
      </c>
      <c r="AC20" s="206">
        <f t="shared" si="2"/>
        <v>15000</v>
      </c>
    </row>
    <row r="21" spans="1:32" s="255" customFormat="1" ht="78" customHeight="1" x14ac:dyDescent="0.4">
      <c r="A21" s="87">
        <v>1</v>
      </c>
      <c r="B21" s="288" t="s">
        <v>507</v>
      </c>
      <c r="C21" s="209" t="s">
        <v>513</v>
      </c>
      <c r="D21" s="226" t="s">
        <v>448</v>
      </c>
      <c r="E21" s="251" t="s">
        <v>431</v>
      </c>
      <c r="F21" s="240"/>
      <c r="G21" s="240">
        <v>33</v>
      </c>
      <c r="H21" s="250"/>
      <c r="I21" s="250"/>
      <c r="J21" s="87" t="s">
        <v>465</v>
      </c>
      <c r="K21" s="87"/>
      <c r="L21" s="239" t="s">
        <v>408</v>
      </c>
      <c r="M21" s="100" t="s">
        <v>41</v>
      </c>
      <c r="N21" s="250" t="s">
        <v>489</v>
      </c>
      <c r="O21" s="143" t="s">
        <v>28</v>
      </c>
      <c r="P21" s="298"/>
      <c r="Q21" s="298">
        <v>20</v>
      </c>
      <c r="R21" s="298"/>
      <c r="S21" s="298"/>
      <c r="T21" s="298"/>
      <c r="U21" s="298"/>
      <c r="V21" s="298">
        <v>2</v>
      </c>
      <c r="W21" s="300">
        <f t="shared" si="0"/>
        <v>22</v>
      </c>
      <c r="X21" s="206">
        <f>SUMIFS('Đơn giá'!C:C,'Đơn giá'!B:B,XUẤT!O21)</f>
        <v>85000</v>
      </c>
      <c r="Y21" s="204">
        <f>Q21*X21</f>
        <v>1700000</v>
      </c>
      <c r="Z21" s="261"/>
      <c r="AA21" s="236" t="s">
        <v>465</v>
      </c>
      <c r="AB21" s="196">
        <f t="shared" si="6"/>
        <v>20</v>
      </c>
      <c r="AC21" s="206">
        <f t="shared" si="2"/>
        <v>100000</v>
      </c>
      <c r="AD21" s="89"/>
    </row>
    <row r="22" spans="1:32" s="216" customFormat="1" ht="64.2" customHeight="1" x14ac:dyDescent="0.45">
      <c r="A22" s="141">
        <v>2</v>
      </c>
      <c r="B22" s="288" t="s">
        <v>507</v>
      </c>
      <c r="C22" s="209" t="s">
        <v>514</v>
      </c>
      <c r="D22" s="180" t="s">
        <v>448</v>
      </c>
      <c r="E22" s="240" t="s">
        <v>192</v>
      </c>
      <c r="F22" s="239"/>
      <c r="G22" s="239">
        <v>11</v>
      </c>
      <c r="H22" s="240"/>
      <c r="I22" s="240"/>
      <c r="J22" s="257" t="s">
        <v>34</v>
      </c>
      <c r="K22" s="257"/>
      <c r="L22" s="239" t="s">
        <v>408</v>
      </c>
      <c r="M22" s="250" t="s">
        <v>30</v>
      </c>
      <c r="N22" s="240" t="s">
        <v>34</v>
      </c>
      <c r="O22" s="143" t="s">
        <v>25</v>
      </c>
      <c r="P22" s="301">
        <v>30</v>
      </c>
      <c r="Q22" s="301"/>
      <c r="R22" s="301"/>
      <c r="S22" s="301"/>
      <c r="T22" s="301"/>
      <c r="U22" s="301"/>
      <c r="V22" s="301">
        <v>3</v>
      </c>
      <c r="W22" s="199">
        <f t="shared" ref="W22:W42" si="7">SUM(P22:V22)</f>
        <v>33</v>
      </c>
      <c r="X22" s="144">
        <f>SUMIFS('Đơn giá'!C:C,'Đơn giá'!B:B,XUẤT!O22)</f>
        <v>98000</v>
      </c>
      <c r="Y22" s="145">
        <f t="shared" ref="Y22:Y44" si="8">X22*P22</f>
        <v>2940000</v>
      </c>
      <c r="Z22" s="245"/>
      <c r="AA22" s="240" t="s">
        <v>34</v>
      </c>
      <c r="AB22" s="143">
        <f t="shared" ref="AB22:AB72" si="9">W22-V22</f>
        <v>30</v>
      </c>
      <c r="AC22" s="144">
        <f t="shared" ref="AC22:AC72" si="10">AB22*5000</f>
        <v>150000</v>
      </c>
      <c r="AD22" s="258"/>
      <c r="AE22" s="258"/>
      <c r="AF22" s="258"/>
    </row>
    <row r="23" spans="1:32" s="258" customFormat="1" ht="64.2" customHeight="1" x14ac:dyDescent="0.45">
      <c r="A23" s="87">
        <v>3</v>
      </c>
      <c r="B23" s="288" t="s">
        <v>507</v>
      </c>
      <c r="C23" s="209" t="s">
        <v>515</v>
      </c>
      <c r="D23" s="180" t="s">
        <v>448</v>
      </c>
      <c r="E23" s="239" t="s">
        <v>431</v>
      </c>
      <c r="F23" s="239"/>
      <c r="G23" s="239">
        <v>5</v>
      </c>
      <c r="H23" s="239"/>
      <c r="I23" s="239"/>
      <c r="J23" s="87" t="s">
        <v>465</v>
      </c>
      <c r="K23" s="256"/>
      <c r="L23" s="239" t="s">
        <v>408</v>
      </c>
      <c r="M23" s="250" t="s">
        <v>30</v>
      </c>
      <c r="N23" s="269" t="s">
        <v>146</v>
      </c>
      <c r="O23" s="143" t="s">
        <v>25</v>
      </c>
      <c r="P23" s="302">
        <v>10</v>
      </c>
      <c r="Q23" s="302"/>
      <c r="R23" s="302"/>
      <c r="S23" s="302"/>
      <c r="T23" s="302"/>
      <c r="U23" s="302"/>
      <c r="V23" s="302">
        <v>1</v>
      </c>
      <c r="W23" s="199">
        <f t="shared" si="7"/>
        <v>11</v>
      </c>
      <c r="X23" s="144">
        <f>SUMIFS('Đơn giá'!C:C,'Đơn giá'!B:B,XUẤT!O23)</f>
        <v>98000</v>
      </c>
      <c r="Y23" s="145">
        <f>P23*X23</f>
        <v>980000</v>
      </c>
      <c r="Z23" s="244"/>
      <c r="AA23" s="236" t="s">
        <v>465</v>
      </c>
      <c r="AB23" s="89">
        <f t="shared" si="9"/>
        <v>10</v>
      </c>
      <c r="AC23" s="90">
        <f t="shared" si="10"/>
        <v>50000</v>
      </c>
      <c r="AD23" s="255"/>
      <c r="AE23" s="255"/>
      <c r="AF23" s="255"/>
    </row>
    <row r="24" spans="1:32" s="146" customFormat="1" ht="64.2" customHeight="1" x14ac:dyDescent="0.45">
      <c r="A24" s="141">
        <v>4</v>
      </c>
      <c r="B24" s="288" t="s">
        <v>507</v>
      </c>
      <c r="C24" s="209" t="s">
        <v>518</v>
      </c>
      <c r="D24" s="180" t="s">
        <v>448</v>
      </c>
      <c r="E24" s="239" t="s">
        <v>49</v>
      </c>
      <c r="F24" s="239"/>
      <c r="G24" s="239">
        <v>11</v>
      </c>
      <c r="H24" s="239"/>
      <c r="I24" s="239"/>
      <c r="J24" s="87" t="s">
        <v>465</v>
      </c>
      <c r="K24" s="239"/>
      <c r="L24" s="239" t="s">
        <v>408</v>
      </c>
      <c r="M24" s="250" t="s">
        <v>30</v>
      </c>
      <c r="N24" s="269" t="s">
        <v>187</v>
      </c>
      <c r="O24" s="143" t="s">
        <v>25</v>
      </c>
      <c r="P24" s="303">
        <v>5</v>
      </c>
      <c r="Q24" s="289"/>
      <c r="R24" s="289"/>
      <c r="S24" s="289"/>
      <c r="T24" s="289"/>
      <c r="U24" s="289"/>
      <c r="V24" s="289"/>
      <c r="W24" s="199">
        <f t="shared" si="7"/>
        <v>5</v>
      </c>
      <c r="X24" s="144">
        <f>SUMIFS('Đơn giá'!C:C,'Đơn giá'!B:B,XUẤT!O24)</f>
        <v>98000</v>
      </c>
      <c r="Y24" s="145">
        <f t="shared" si="8"/>
        <v>490000</v>
      </c>
      <c r="Z24" s="244" t="s">
        <v>516</v>
      </c>
      <c r="AA24" s="236" t="s">
        <v>517</v>
      </c>
      <c r="AB24" s="89">
        <f t="shared" si="9"/>
        <v>5</v>
      </c>
      <c r="AC24" s="90">
        <f t="shared" si="10"/>
        <v>25000</v>
      </c>
      <c r="AD24"/>
      <c r="AE24"/>
      <c r="AF24"/>
    </row>
    <row r="25" spans="1:32" s="146" customFormat="1" ht="64.2" customHeight="1" x14ac:dyDescent="0.45">
      <c r="A25" s="87">
        <v>5</v>
      </c>
      <c r="B25" s="288" t="s">
        <v>507</v>
      </c>
      <c r="C25" s="148" t="s">
        <v>520</v>
      </c>
      <c r="D25" s="180" t="s">
        <v>448</v>
      </c>
      <c r="E25" s="239" t="s">
        <v>431</v>
      </c>
      <c r="F25" s="239"/>
      <c r="G25" s="239">
        <v>3</v>
      </c>
      <c r="H25" s="239"/>
      <c r="I25" s="239"/>
      <c r="J25" s="87" t="s">
        <v>465</v>
      </c>
      <c r="K25" s="233" t="s">
        <v>451</v>
      </c>
      <c r="L25" s="239" t="s">
        <v>408</v>
      </c>
      <c r="M25" s="250" t="s">
        <v>30</v>
      </c>
      <c r="N25" s="269" t="s">
        <v>251</v>
      </c>
      <c r="O25" s="89" t="s">
        <v>38</v>
      </c>
      <c r="P25" s="289"/>
      <c r="Q25" s="289"/>
      <c r="R25" s="289"/>
      <c r="S25" s="289"/>
      <c r="T25" s="289"/>
      <c r="U25" s="289">
        <v>10</v>
      </c>
      <c r="V25" s="289">
        <v>1</v>
      </c>
      <c r="W25" s="199">
        <f t="shared" si="7"/>
        <v>11</v>
      </c>
      <c r="X25" s="144">
        <f>SUMIFS('Đơn giá'!C:C,'Đơn giá'!B:B,XUẤT!O25)</f>
        <v>48000</v>
      </c>
      <c r="Y25" s="145">
        <f>U25*X25</f>
        <v>480000</v>
      </c>
      <c r="Z25" s="244"/>
      <c r="AA25" s="236" t="s">
        <v>465</v>
      </c>
      <c r="AB25" s="89">
        <f t="shared" si="9"/>
        <v>10</v>
      </c>
      <c r="AC25" s="90">
        <f t="shared" si="10"/>
        <v>50000</v>
      </c>
      <c r="AD25" s="143"/>
    </row>
    <row r="26" spans="1:32" s="146" customFormat="1" ht="64.2" customHeight="1" x14ac:dyDescent="0.45">
      <c r="A26" s="141">
        <v>6</v>
      </c>
      <c r="B26" s="288" t="s">
        <v>507</v>
      </c>
      <c r="C26" s="209" t="s">
        <v>521</v>
      </c>
      <c r="D26" s="180" t="s">
        <v>448</v>
      </c>
      <c r="E26" s="239" t="s">
        <v>431</v>
      </c>
      <c r="F26" s="239"/>
      <c r="G26" s="239">
        <v>11</v>
      </c>
      <c r="H26" s="239"/>
      <c r="I26" s="239"/>
      <c r="J26" s="87" t="s">
        <v>465</v>
      </c>
      <c r="K26" s="239"/>
      <c r="L26" s="239" t="s">
        <v>408</v>
      </c>
      <c r="M26" s="250" t="s">
        <v>30</v>
      </c>
      <c r="N26" s="269" t="s">
        <v>251</v>
      </c>
      <c r="O26" s="89" t="s">
        <v>38</v>
      </c>
      <c r="P26" s="289"/>
      <c r="Q26" s="289"/>
      <c r="R26" s="289"/>
      <c r="S26" s="289"/>
      <c r="T26" s="289"/>
      <c r="U26" s="289">
        <v>3</v>
      </c>
      <c r="V26" s="289"/>
      <c r="W26" s="199">
        <f t="shared" si="7"/>
        <v>3</v>
      </c>
      <c r="X26" s="144">
        <f>SUMIFS('Đơn giá'!C:C,'Đơn giá'!B:B,XUẤT!O26)</f>
        <v>48000</v>
      </c>
      <c r="Y26" s="145">
        <f>U26*X26</f>
        <v>144000</v>
      </c>
      <c r="Z26" s="244"/>
      <c r="AA26" s="236" t="s">
        <v>465</v>
      </c>
      <c r="AB26" s="89">
        <f t="shared" si="9"/>
        <v>3</v>
      </c>
      <c r="AC26" s="90">
        <f t="shared" si="10"/>
        <v>15000</v>
      </c>
      <c r="AD26" s="143"/>
    </row>
    <row r="27" spans="1:32" s="255" customFormat="1" ht="56.4" customHeight="1" x14ac:dyDescent="0.45">
      <c r="A27" s="87">
        <v>7</v>
      </c>
      <c r="B27" s="288" t="s">
        <v>507</v>
      </c>
      <c r="C27" s="148" t="s">
        <v>512</v>
      </c>
      <c r="D27" s="226" t="s">
        <v>448</v>
      </c>
      <c r="E27" s="239" t="s">
        <v>192</v>
      </c>
      <c r="F27" s="239"/>
      <c r="G27" s="239">
        <v>11</v>
      </c>
      <c r="H27" s="239"/>
      <c r="I27" s="239"/>
      <c r="J27" s="87" t="s">
        <v>465</v>
      </c>
      <c r="K27" s="256" t="s">
        <v>466</v>
      </c>
      <c r="L27" s="239" t="s">
        <v>408</v>
      </c>
      <c r="M27" s="250" t="s">
        <v>30</v>
      </c>
      <c r="N27" s="237" t="s">
        <v>121</v>
      </c>
      <c r="O27" s="89" t="s">
        <v>38</v>
      </c>
      <c r="P27" s="302"/>
      <c r="Q27" s="302"/>
      <c r="R27" s="302"/>
      <c r="S27" s="302"/>
      <c r="T27" s="302"/>
      <c r="U27" s="304">
        <v>10</v>
      </c>
      <c r="V27" s="302">
        <v>1</v>
      </c>
      <c r="W27" s="199">
        <f t="shared" ref="W27" si="11">SUM(P27:V27)</f>
        <v>11</v>
      </c>
      <c r="X27" s="144">
        <f>SUMIFS('Đơn giá'!C:C,'Đơn giá'!B:B,XUẤT!O27)</f>
        <v>48000</v>
      </c>
      <c r="Y27" s="145">
        <f>U27*X27</f>
        <v>480000</v>
      </c>
      <c r="Z27" s="244"/>
      <c r="AA27" s="10" t="s">
        <v>166</v>
      </c>
      <c r="AB27" s="89">
        <f t="shared" ref="AB27" si="12">W27-V27</f>
        <v>10</v>
      </c>
      <c r="AC27" s="90">
        <f t="shared" ref="AC27" si="13">AB27*5000</f>
        <v>50000</v>
      </c>
      <c r="AD27" s="89"/>
    </row>
    <row r="28" spans="1:32" s="146" customFormat="1" ht="59.4" customHeight="1" x14ac:dyDescent="0.45">
      <c r="A28" s="87">
        <v>8</v>
      </c>
      <c r="B28" s="288" t="s">
        <v>507</v>
      </c>
      <c r="C28" s="205" t="s">
        <v>522</v>
      </c>
      <c r="D28" s="226" t="s">
        <v>448</v>
      </c>
      <c r="E28" s="239" t="s">
        <v>431</v>
      </c>
      <c r="F28" s="239"/>
      <c r="G28" s="239">
        <v>11</v>
      </c>
      <c r="H28" s="239"/>
      <c r="I28" s="239"/>
      <c r="J28" s="87" t="s">
        <v>465</v>
      </c>
      <c r="K28" s="239"/>
      <c r="L28" s="239" t="s">
        <v>408</v>
      </c>
      <c r="M28" s="250" t="s">
        <v>30</v>
      </c>
      <c r="N28" s="269" t="s">
        <v>71</v>
      </c>
      <c r="O28" s="143" t="s">
        <v>28</v>
      </c>
      <c r="P28" s="289"/>
      <c r="Q28" s="289">
        <v>10</v>
      </c>
      <c r="R28" s="289"/>
      <c r="S28" s="289"/>
      <c r="T28" s="289"/>
      <c r="U28" s="289"/>
      <c r="V28" s="289">
        <v>1</v>
      </c>
      <c r="W28" s="199">
        <f t="shared" si="7"/>
        <v>11</v>
      </c>
      <c r="X28" s="144">
        <f>SUMIFS('Đơn giá'!C:C,'Đơn giá'!B:B,XUẤT!O28)</f>
        <v>85000</v>
      </c>
      <c r="Y28" s="145">
        <f>Q28*X28</f>
        <v>850000</v>
      </c>
      <c r="Z28" s="244"/>
      <c r="AA28" s="283" t="s">
        <v>465</v>
      </c>
      <c r="AB28" s="89">
        <f t="shared" si="9"/>
        <v>10</v>
      </c>
      <c r="AC28" s="90">
        <f t="shared" si="10"/>
        <v>50000</v>
      </c>
      <c r="AD28"/>
    </row>
    <row r="29" spans="1:32" s="146" customFormat="1" ht="63.6" customHeight="1" x14ac:dyDescent="0.45">
      <c r="A29" s="87">
        <v>9</v>
      </c>
      <c r="B29" s="288" t="s">
        <v>507</v>
      </c>
      <c r="C29" s="364" t="s">
        <v>533</v>
      </c>
      <c r="D29" s="226" t="s">
        <v>448</v>
      </c>
      <c r="E29" s="226" t="s">
        <v>523</v>
      </c>
      <c r="F29" s="239"/>
      <c r="G29" s="239"/>
      <c r="H29" s="239"/>
      <c r="I29" s="239"/>
      <c r="J29" s="239" t="s">
        <v>34</v>
      </c>
      <c r="K29" s="256" t="s">
        <v>466</v>
      </c>
      <c r="L29" s="239" t="s">
        <v>408</v>
      </c>
      <c r="M29" s="250" t="s">
        <v>30</v>
      </c>
      <c r="N29" s="269" t="s">
        <v>71</v>
      </c>
      <c r="O29" s="143" t="s">
        <v>28</v>
      </c>
      <c r="P29" s="289"/>
      <c r="Q29" s="289">
        <v>2</v>
      </c>
      <c r="R29" s="289"/>
      <c r="S29" s="289"/>
      <c r="T29" s="289"/>
      <c r="U29" s="289"/>
      <c r="V29" s="289"/>
      <c r="W29" s="199">
        <f t="shared" si="7"/>
        <v>2</v>
      </c>
      <c r="X29" s="144">
        <v>85000</v>
      </c>
      <c r="Y29" s="145">
        <f>Q29*X29</f>
        <v>170000</v>
      </c>
      <c r="Z29" s="244"/>
      <c r="AA29" s="283" t="s">
        <v>465</v>
      </c>
      <c r="AB29" s="89">
        <f t="shared" si="9"/>
        <v>2</v>
      </c>
      <c r="AC29" s="90">
        <f t="shared" si="10"/>
        <v>10000</v>
      </c>
      <c r="AD29"/>
    </row>
    <row r="30" spans="1:32" s="146" customFormat="1" ht="63.6" customHeight="1" x14ac:dyDescent="0.45">
      <c r="A30" s="87"/>
      <c r="B30" s="288" t="s">
        <v>507</v>
      </c>
      <c r="C30" s="365"/>
      <c r="D30" s="226"/>
      <c r="E30" s="226"/>
      <c r="F30" s="239"/>
      <c r="G30" s="239"/>
      <c r="H30" s="239"/>
      <c r="I30" s="239"/>
      <c r="J30" s="239"/>
      <c r="K30" s="256"/>
      <c r="L30" s="239" t="s">
        <v>408</v>
      </c>
      <c r="M30" s="250" t="s">
        <v>30</v>
      </c>
      <c r="N30" s="269" t="s">
        <v>71</v>
      </c>
      <c r="O30" s="89" t="s">
        <v>38</v>
      </c>
      <c r="P30" s="289"/>
      <c r="Q30" s="289"/>
      <c r="R30" s="289"/>
      <c r="S30" s="289"/>
      <c r="T30" s="289"/>
      <c r="U30" s="289">
        <v>16</v>
      </c>
      <c r="V30" s="289">
        <v>1</v>
      </c>
      <c r="W30" s="199">
        <f t="shared" si="7"/>
        <v>17</v>
      </c>
      <c r="X30" s="144"/>
      <c r="Y30" s="145"/>
      <c r="Z30" s="244"/>
      <c r="AA30" s="283"/>
      <c r="AB30" s="89"/>
      <c r="AC30" s="90"/>
      <c r="AD30"/>
    </row>
    <row r="31" spans="1:32" s="146" customFormat="1" ht="64.2" customHeight="1" x14ac:dyDescent="0.45">
      <c r="A31" s="141">
        <v>10</v>
      </c>
      <c r="B31" s="288" t="s">
        <v>507</v>
      </c>
      <c r="C31" s="148" t="s">
        <v>524</v>
      </c>
      <c r="D31" s="226" t="s">
        <v>448</v>
      </c>
      <c r="E31" s="239" t="s">
        <v>192</v>
      </c>
      <c r="F31" s="239">
        <v>15</v>
      </c>
      <c r="G31" s="239"/>
      <c r="H31" s="239"/>
      <c r="I31" s="239"/>
      <c r="J31" s="87" t="s">
        <v>465</v>
      </c>
      <c r="K31" s="239"/>
      <c r="L31" s="239" t="s">
        <v>408</v>
      </c>
      <c r="M31" s="252" t="s">
        <v>41</v>
      </c>
      <c r="N31" s="252"/>
      <c r="O31" s="89" t="s">
        <v>36</v>
      </c>
      <c r="P31" s="289"/>
      <c r="Q31" s="289"/>
      <c r="R31" s="289"/>
      <c r="S31" s="289"/>
      <c r="T31" s="289">
        <v>5</v>
      </c>
      <c r="U31" s="289"/>
      <c r="V31" s="289"/>
      <c r="W31" s="199">
        <f t="shared" ref="W31" si="14">SUM(P31:V31)</f>
        <v>5</v>
      </c>
      <c r="X31" s="144">
        <f>SUMIFS('Đơn giá'!C:C,'Đơn giá'!B:B,XUẤT!O31)</f>
        <v>52000</v>
      </c>
      <c r="Y31" s="145">
        <f>T31*X31</f>
        <v>260000</v>
      </c>
      <c r="Z31" s="244" t="s">
        <v>564</v>
      </c>
      <c r="AA31" s="283" t="s">
        <v>465</v>
      </c>
      <c r="AB31" s="89">
        <f t="shared" si="9"/>
        <v>5</v>
      </c>
      <c r="AC31" s="90">
        <f t="shared" si="10"/>
        <v>25000</v>
      </c>
      <c r="AD31"/>
    </row>
    <row r="32" spans="1:32" s="146" customFormat="1" ht="70.2" customHeight="1" x14ac:dyDescent="0.45">
      <c r="A32" s="87">
        <v>11</v>
      </c>
      <c r="B32" s="288" t="s">
        <v>507</v>
      </c>
      <c r="C32" s="148" t="s">
        <v>525</v>
      </c>
      <c r="D32" s="226" t="s">
        <v>448</v>
      </c>
      <c r="E32" s="239" t="s">
        <v>431</v>
      </c>
      <c r="F32" s="239">
        <v>3</v>
      </c>
      <c r="G32" s="239"/>
      <c r="H32" s="239"/>
      <c r="I32" s="239"/>
      <c r="J32" s="87" t="s">
        <v>527</v>
      </c>
      <c r="K32" s="239"/>
      <c r="L32" s="239" t="s">
        <v>408</v>
      </c>
      <c r="M32" s="252" t="s">
        <v>41</v>
      </c>
      <c r="N32" s="252" t="s">
        <v>572</v>
      </c>
      <c r="O32" s="143" t="s">
        <v>28</v>
      </c>
      <c r="P32" s="289"/>
      <c r="Q32" s="289">
        <v>14</v>
      </c>
      <c r="R32" s="289"/>
      <c r="S32" s="289"/>
      <c r="T32" s="289"/>
      <c r="U32" s="289"/>
      <c r="V32" s="289">
        <v>1</v>
      </c>
      <c r="W32" s="199">
        <f t="shared" si="7"/>
        <v>15</v>
      </c>
      <c r="X32" s="144">
        <v>85000</v>
      </c>
      <c r="Y32" s="145">
        <f t="shared" ref="Y32:Y33" si="15">T32+X32</f>
        <v>85000</v>
      </c>
      <c r="Z32" s="244"/>
      <c r="AA32" s="283" t="s">
        <v>465</v>
      </c>
      <c r="AB32" s="89">
        <f t="shared" si="9"/>
        <v>14</v>
      </c>
      <c r="AC32" s="90">
        <f t="shared" si="10"/>
        <v>70000</v>
      </c>
      <c r="AD32"/>
    </row>
    <row r="33" spans="1:30" s="146" customFormat="1" ht="48.6" customHeight="1" x14ac:dyDescent="0.45">
      <c r="A33" s="87">
        <v>12</v>
      </c>
      <c r="B33" s="288" t="s">
        <v>507</v>
      </c>
      <c r="C33" s="148" t="s">
        <v>526</v>
      </c>
      <c r="D33" s="226" t="s">
        <v>448</v>
      </c>
      <c r="E33" s="226" t="s">
        <v>49</v>
      </c>
      <c r="F33" s="240"/>
      <c r="G33" s="240"/>
      <c r="H33" s="239"/>
      <c r="I33" s="239"/>
      <c r="J33" s="239" t="s">
        <v>532</v>
      </c>
      <c r="K33" s="239"/>
      <c r="L33" s="239" t="s">
        <v>408</v>
      </c>
      <c r="M33" s="250" t="s">
        <v>30</v>
      </c>
      <c r="N33" s="269" t="s">
        <v>187</v>
      </c>
      <c r="O33" s="143" t="s">
        <v>25</v>
      </c>
      <c r="P33" s="289">
        <v>3</v>
      </c>
      <c r="Q33" s="289"/>
      <c r="R33" s="289"/>
      <c r="S33" s="289"/>
      <c r="T33" s="289"/>
      <c r="U33" s="289"/>
      <c r="V33" s="289"/>
      <c r="W33" s="199">
        <f t="shared" si="7"/>
        <v>3</v>
      </c>
      <c r="X33" s="144">
        <v>85000</v>
      </c>
      <c r="Y33" s="145">
        <f t="shared" si="15"/>
        <v>85000</v>
      </c>
      <c r="Z33" s="244"/>
      <c r="AA33" s="283" t="s">
        <v>517</v>
      </c>
      <c r="AB33" s="89">
        <f t="shared" si="9"/>
        <v>3</v>
      </c>
      <c r="AC33" s="90">
        <f t="shared" si="10"/>
        <v>15000</v>
      </c>
      <c r="AD33"/>
    </row>
    <row r="34" spans="1:30" s="146" customFormat="1" ht="54" customHeight="1" x14ac:dyDescent="0.45">
      <c r="A34" s="141">
        <v>13</v>
      </c>
      <c r="B34" s="288" t="s">
        <v>507</v>
      </c>
      <c r="C34" s="148" t="s">
        <v>528</v>
      </c>
      <c r="D34" s="226" t="s">
        <v>448</v>
      </c>
      <c r="E34" s="240" t="s">
        <v>431</v>
      </c>
      <c r="F34" s="239">
        <v>6</v>
      </c>
      <c r="G34" s="239"/>
      <c r="H34" s="240"/>
      <c r="I34" s="240"/>
      <c r="J34" s="240" t="s">
        <v>529</v>
      </c>
      <c r="K34" s="240"/>
      <c r="L34" s="239" t="s">
        <v>408</v>
      </c>
      <c r="M34" s="253" t="s">
        <v>41</v>
      </c>
      <c r="N34" s="269" t="s">
        <v>531</v>
      </c>
      <c r="O34" s="143" t="s">
        <v>36</v>
      </c>
      <c r="P34" s="290"/>
      <c r="Q34" s="290"/>
      <c r="R34" s="290"/>
      <c r="S34" s="290"/>
      <c r="T34" s="290">
        <v>1</v>
      </c>
      <c r="U34" s="290"/>
      <c r="V34" s="290"/>
      <c r="W34" s="199">
        <f t="shared" si="7"/>
        <v>1</v>
      </c>
      <c r="X34" s="144">
        <f>SUMIFS('Đơn giá'!C:C,'Đơn giá'!B:B,XUẤT!O34)</f>
        <v>52000</v>
      </c>
      <c r="Y34" s="145">
        <f>T34*X34</f>
        <v>52000</v>
      </c>
      <c r="Z34" s="245" t="s">
        <v>530</v>
      </c>
      <c r="AA34" s="269" t="s">
        <v>108</v>
      </c>
      <c r="AB34" s="143">
        <f t="shared" si="9"/>
        <v>1</v>
      </c>
      <c r="AC34" s="144">
        <f t="shared" si="10"/>
        <v>5000</v>
      </c>
    </row>
    <row r="35" spans="1:30" s="146" customFormat="1" ht="49.8" customHeight="1" x14ac:dyDescent="0.45">
      <c r="A35" s="87">
        <v>28</v>
      </c>
      <c r="B35" s="288" t="s">
        <v>507</v>
      </c>
      <c r="C35" s="205" t="s">
        <v>536</v>
      </c>
      <c r="D35" s="226" t="s">
        <v>448</v>
      </c>
      <c r="E35" s="239" t="s">
        <v>192</v>
      </c>
      <c r="F35" s="239"/>
      <c r="G35" s="239"/>
      <c r="H35" s="239"/>
      <c r="I35" s="239"/>
      <c r="J35" s="239" t="s">
        <v>34</v>
      </c>
      <c r="K35" s="239"/>
      <c r="L35" s="239" t="s">
        <v>408</v>
      </c>
      <c r="M35" s="252" t="s">
        <v>41</v>
      </c>
      <c r="N35" s="252" t="s">
        <v>535</v>
      </c>
      <c r="O35" s="143" t="s">
        <v>28</v>
      </c>
      <c r="P35" s="289"/>
      <c r="Q35" s="289">
        <v>6</v>
      </c>
      <c r="R35" s="289"/>
      <c r="S35" s="289"/>
      <c r="T35" s="289"/>
      <c r="U35" s="289"/>
      <c r="V35" s="289"/>
      <c r="W35" s="199">
        <f t="shared" si="7"/>
        <v>6</v>
      </c>
      <c r="X35" s="144">
        <f>SUMIFS('Đơn giá'!C:C,'Đơn giá'!B:B,XUẤT!O35)</f>
        <v>85000</v>
      </c>
      <c r="Y35" s="145">
        <f>Q35*X35</f>
        <v>510000</v>
      </c>
      <c r="Z35" s="244" t="s">
        <v>516</v>
      </c>
      <c r="AA35" s="283" t="s">
        <v>34</v>
      </c>
      <c r="AB35" s="89">
        <f t="shared" si="9"/>
        <v>6</v>
      </c>
      <c r="AC35" s="90">
        <f t="shared" si="10"/>
        <v>30000</v>
      </c>
      <c r="AD35" s="143"/>
    </row>
    <row r="36" spans="1:30" s="146" customFormat="1" ht="80.400000000000006" customHeight="1" x14ac:dyDescent="0.45">
      <c r="A36" s="141">
        <v>1</v>
      </c>
      <c r="B36" s="271">
        <v>46297</v>
      </c>
      <c r="C36" s="272" t="s">
        <v>539</v>
      </c>
      <c r="D36" s="273" t="s">
        <v>540</v>
      </c>
      <c r="E36" s="315" t="s">
        <v>192</v>
      </c>
      <c r="F36" s="250">
        <v>2</v>
      </c>
      <c r="G36" s="250">
        <v>11</v>
      </c>
      <c r="H36" s="250"/>
      <c r="I36" s="250"/>
      <c r="J36" s="274" t="s">
        <v>541</v>
      </c>
      <c r="K36" s="274"/>
      <c r="L36" s="274" t="s">
        <v>542</v>
      </c>
      <c r="M36" s="250" t="s">
        <v>30</v>
      </c>
      <c r="N36" s="275" t="s">
        <v>183</v>
      </c>
      <c r="O36" s="143" t="s">
        <v>25</v>
      </c>
      <c r="P36" s="289">
        <v>10</v>
      </c>
      <c r="Q36" s="289"/>
      <c r="R36" s="289"/>
      <c r="S36" s="289"/>
      <c r="T36" s="289"/>
      <c r="U36" s="307"/>
      <c r="V36" s="289">
        <v>1</v>
      </c>
      <c r="W36" s="199">
        <f t="shared" si="7"/>
        <v>11</v>
      </c>
      <c r="X36" s="144">
        <f>SUMIFS('Đơn giá'!C:C,'Đơn giá'!B:B,XUẤT!O36)</f>
        <v>98000</v>
      </c>
      <c r="Y36" s="145">
        <f>P36*X36</f>
        <v>980000</v>
      </c>
      <c r="Z36" s="244" t="s">
        <v>559</v>
      </c>
      <c r="AA36" s="283" t="s">
        <v>554</v>
      </c>
      <c r="AB36" s="89">
        <f t="shared" si="9"/>
        <v>10</v>
      </c>
      <c r="AC36" s="90">
        <f t="shared" si="10"/>
        <v>50000</v>
      </c>
      <c r="AD36" s="143"/>
    </row>
    <row r="37" spans="1:30" s="146" customFormat="1" ht="80.400000000000006" customHeight="1" x14ac:dyDescent="0.45">
      <c r="A37" s="141"/>
      <c r="B37" s="271">
        <v>46297</v>
      </c>
      <c r="C37" s="272" t="s">
        <v>539</v>
      </c>
      <c r="D37" s="273" t="s">
        <v>540</v>
      </c>
      <c r="E37" s="315" t="s">
        <v>192</v>
      </c>
      <c r="F37" s="250"/>
      <c r="G37" s="250"/>
      <c r="H37" s="250"/>
      <c r="I37" s="250"/>
      <c r="J37" s="274" t="s">
        <v>541</v>
      </c>
      <c r="K37" s="274" t="s">
        <v>431</v>
      </c>
      <c r="L37" s="274" t="s">
        <v>542</v>
      </c>
      <c r="M37" s="250" t="s">
        <v>30</v>
      </c>
      <c r="N37" s="275" t="s">
        <v>183</v>
      </c>
      <c r="O37" s="143" t="s">
        <v>28</v>
      </c>
      <c r="P37" s="289"/>
      <c r="Q37" s="289">
        <v>2</v>
      </c>
      <c r="R37" s="289"/>
      <c r="S37" s="289"/>
      <c r="T37" s="289"/>
      <c r="U37" s="289"/>
      <c r="V37" s="289"/>
      <c r="W37" s="199">
        <f t="shared" ref="W37" si="16">SUM(P37:V37)</f>
        <v>2</v>
      </c>
      <c r="X37" s="144">
        <f>SUMIFS('Đơn giá'!C:C,'Đơn giá'!B:B,XUẤT!O37)</f>
        <v>85000</v>
      </c>
      <c r="Y37" s="145">
        <f>Q37*X37</f>
        <v>170000</v>
      </c>
      <c r="Z37" s="244" t="s">
        <v>559</v>
      </c>
      <c r="AA37" s="283" t="s">
        <v>554</v>
      </c>
      <c r="AB37" s="89">
        <f t="shared" ref="AB37" si="17">W37-V37</f>
        <v>2</v>
      </c>
      <c r="AC37" s="90">
        <f t="shared" ref="AC37" si="18">AB37*5000</f>
        <v>10000</v>
      </c>
      <c r="AD37" s="143"/>
    </row>
    <row r="38" spans="1:30" s="146" customFormat="1" ht="124.2" customHeight="1" x14ac:dyDescent="0.45">
      <c r="A38" s="87">
        <v>2</v>
      </c>
      <c r="B38" s="271">
        <v>46297</v>
      </c>
      <c r="C38" s="272" t="s">
        <v>573</v>
      </c>
      <c r="D38" s="273" t="s">
        <v>540</v>
      </c>
      <c r="E38" s="315" t="s">
        <v>192</v>
      </c>
      <c r="F38" s="250">
        <v>11</v>
      </c>
      <c r="G38" s="250"/>
      <c r="H38" s="250"/>
      <c r="I38" s="250"/>
      <c r="J38" s="274" t="s">
        <v>541</v>
      </c>
      <c r="K38" s="274"/>
      <c r="L38" s="274" t="s">
        <v>542</v>
      </c>
      <c r="M38" s="273" t="s">
        <v>49</v>
      </c>
      <c r="N38" s="273" t="s">
        <v>49</v>
      </c>
      <c r="O38" s="143" t="s">
        <v>28</v>
      </c>
      <c r="P38" s="289"/>
      <c r="Q38" s="289">
        <v>14</v>
      </c>
      <c r="R38" s="289"/>
      <c r="S38" s="289"/>
      <c r="T38" s="289"/>
      <c r="U38" s="307"/>
      <c r="V38" s="289"/>
      <c r="W38" s="199">
        <f t="shared" si="7"/>
        <v>14</v>
      </c>
      <c r="X38" s="144">
        <f>SUMIFS('Đơn giá'!C:C,'Đơn giá'!B:B,XUẤT!O38)</f>
        <v>85000</v>
      </c>
      <c r="Y38" s="145">
        <f>Q38*X38</f>
        <v>1190000</v>
      </c>
      <c r="Z38" s="244"/>
      <c r="AA38" s="283" t="s">
        <v>554</v>
      </c>
      <c r="AB38" s="89">
        <f t="shared" si="9"/>
        <v>14</v>
      </c>
      <c r="AC38" s="90">
        <f t="shared" si="10"/>
        <v>70000</v>
      </c>
      <c r="AD38" s="143"/>
    </row>
    <row r="39" spans="1:30" s="146" customFormat="1" ht="97.8" customHeight="1" x14ac:dyDescent="0.45">
      <c r="A39" s="141">
        <v>3</v>
      </c>
      <c r="B39" s="271">
        <v>46297</v>
      </c>
      <c r="C39" s="272" t="s">
        <v>555</v>
      </c>
      <c r="D39" s="273" t="s">
        <v>540</v>
      </c>
      <c r="E39" s="315" t="s">
        <v>192</v>
      </c>
      <c r="F39" s="250"/>
      <c r="G39" s="250"/>
      <c r="H39" s="250">
        <v>2</v>
      </c>
      <c r="I39" s="250"/>
      <c r="J39" s="274" t="s">
        <v>541</v>
      </c>
      <c r="K39" s="274"/>
      <c r="L39" s="274" t="s">
        <v>542</v>
      </c>
      <c r="M39" s="273" t="s">
        <v>41</v>
      </c>
      <c r="N39" s="100" t="s">
        <v>594</v>
      </c>
      <c r="O39" s="143" t="s">
        <v>38</v>
      </c>
      <c r="P39" s="289"/>
      <c r="Q39" s="289"/>
      <c r="R39" s="289"/>
      <c r="S39" s="289"/>
      <c r="T39" s="289"/>
      <c r="U39" s="307">
        <v>2</v>
      </c>
      <c r="V39" s="289"/>
      <c r="W39" s="199">
        <f t="shared" ref="W39" si="19">SUM(P39:V39)</f>
        <v>2</v>
      </c>
      <c r="X39" s="144">
        <f>SUMIFS('Đơn giá'!C:C,'Đơn giá'!B:B,XUẤT!O39)</f>
        <v>48000</v>
      </c>
      <c r="Y39" s="145">
        <f>U39*X39</f>
        <v>96000</v>
      </c>
      <c r="Z39" s="244"/>
      <c r="AA39" s="283" t="s">
        <v>554</v>
      </c>
      <c r="AB39" s="89">
        <f t="shared" si="9"/>
        <v>2</v>
      </c>
      <c r="AC39" s="90">
        <f t="shared" si="10"/>
        <v>10000</v>
      </c>
      <c r="AD39" s="143"/>
    </row>
    <row r="40" spans="1:30" s="146" customFormat="1" ht="45" customHeight="1" x14ac:dyDescent="0.45">
      <c r="A40" s="87">
        <v>6</v>
      </c>
      <c r="B40" s="271">
        <v>46297</v>
      </c>
      <c r="C40" s="277" t="s">
        <v>556</v>
      </c>
      <c r="D40" s="273" t="s">
        <v>540</v>
      </c>
      <c r="E40" s="273" t="s">
        <v>49</v>
      </c>
      <c r="F40" s="250"/>
      <c r="G40" s="250">
        <v>2</v>
      </c>
      <c r="H40" s="250"/>
      <c r="I40" s="250"/>
      <c r="J40" s="274" t="s">
        <v>49</v>
      </c>
      <c r="K40" s="274"/>
      <c r="L40" s="274" t="s">
        <v>542</v>
      </c>
      <c r="M40" s="250" t="s">
        <v>30</v>
      </c>
      <c r="N40" s="100" t="s">
        <v>187</v>
      </c>
      <c r="O40" s="143" t="s">
        <v>25</v>
      </c>
      <c r="P40" s="289">
        <v>2</v>
      </c>
      <c r="Q40" s="289"/>
      <c r="R40" s="289"/>
      <c r="S40" s="289"/>
      <c r="T40" s="289"/>
      <c r="U40" s="289"/>
      <c r="V40" s="289">
        <v>1</v>
      </c>
      <c r="W40" s="199">
        <f t="shared" si="7"/>
        <v>3</v>
      </c>
      <c r="X40" s="144">
        <f>SUMIFS('Đơn giá'!C:C,'Đơn giá'!B:B,XUẤT!O40)</f>
        <v>98000</v>
      </c>
      <c r="Y40" s="145">
        <f>V40*X40</f>
        <v>98000</v>
      </c>
      <c r="Z40" s="244"/>
      <c r="AA40" s="283" t="s">
        <v>554</v>
      </c>
      <c r="AB40" s="89">
        <f t="shared" si="9"/>
        <v>2</v>
      </c>
      <c r="AC40" s="90">
        <f t="shared" si="10"/>
        <v>10000</v>
      </c>
      <c r="AD40" s="143"/>
    </row>
    <row r="41" spans="1:30" s="146" customFormat="1" ht="45" customHeight="1" x14ac:dyDescent="0.45">
      <c r="A41" s="141">
        <v>7</v>
      </c>
      <c r="B41" s="271">
        <v>46297</v>
      </c>
      <c r="C41" s="272" t="s">
        <v>544</v>
      </c>
      <c r="D41" s="273" t="s">
        <v>540</v>
      </c>
      <c r="E41" s="315" t="s">
        <v>192</v>
      </c>
      <c r="F41" s="250">
        <v>3</v>
      </c>
      <c r="G41" s="250"/>
      <c r="H41" s="250"/>
      <c r="I41" s="250"/>
      <c r="J41" s="274" t="s">
        <v>541</v>
      </c>
      <c r="K41" s="274"/>
      <c r="L41" s="274" t="s">
        <v>542</v>
      </c>
      <c r="M41" s="280" t="s">
        <v>545</v>
      </c>
      <c r="N41" s="100"/>
      <c r="O41" s="143" t="s">
        <v>28</v>
      </c>
      <c r="P41" s="289"/>
      <c r="Q41" s="289">
        <v>3</v>
      </c>
      <c r="R41" s="289"/>
      <c r="S41" s="289"/>
      <c r="T41" s="289"/>
      <c r="U41" s="307"/>
      <c r="V41" s="289"/>
      <c r="W41" s="199">
        <f t="shared" si="7"/>
        <v>3</v>
      </c>
      <c r="X41" s="144">
        <f>SUMIFS('Đơn giá'!C:C,'Đơn giá'!B:B,XUẤT!O41)</f>
        <v>85000</v>
      </c>
      <c r="Y41" s="145">
        <f>Q41*X41</f>
        <v>255000</v>
      </c>
      <c r="Z41" s="244"/>
      <c r="AA41" s="283" t="s">
        <v>554</v>
      </c>
      <c r="AB41" s="89">
        <f t="shared" ref="AB41" si="20">W41-V41</f>
        <v>3</v>
      </c>
      <c r="AC41" s="90">
        <f t="shared" ref="AC41" si="21">AB41*5000</f>
        <v>15000</v>
      </c>
      <c r="AD41" s="143"/>
    </row>
    <row r="42" spans="1:30" s="146" customFormat="1" ht="40.799999999999997" customHeight="1" x14ac:dyDescent="0.45">
      <c r="A42" s="141">
        <v>9</v>
      </c>
      <c r="B42" s="271">
        <v>46297</v>
      </c>
      <c r="C42" s="278" t="s">
        <v>546</v>
      </c>
      <c r="D42" s="273" t="s">
        <v>540</v>
      </c>
      <c r="E42" s="315" t="s">
        <v>192</v>
      </c>
      <c r="F42" s="250"/>
      <c r="G42" s="250">
        <v>11</v>
      </c>
      <c r="H42" s="250"/>
      <c r="I42" s="250"/>
      <c r="J42" s="274" t="s">
        <v>541</v>
      </c>
      <c r="K42" s="236"/>
      <c r="L42" s="236"/>
      <c r="M42" s="250" t="s">
        <v>30</v>
      </c>
      <c r="N42" s="100" t="s">
        <v>34</v>
      </c>
      <c r="O42" s="143" t="s">
        <v>25</v>
      </c>
      <c r="P42" s="289">
        <v>10</v>
      </c>
      <c r="Q42" s="289"/>
      <c r="R42" s="289"/>
      <c r="S42" s="289"/>
      <c r="T42" s="289"/>
      <c r="U42" s="307"/>
      <c r="V42" s="289">
        <v>1</v>
      </c>
      <c r="W42" s="199">
        <f t="shared" si="7"/>
        <v>11</v>
      </c>
      <c r="X42" s="144">
        <f>SUMIFS('Đơn giá'!C:C,'Đơn giá'!B:B,XUẤT!O42)</f>
        <v>98000</v>
      </c>
      <c r="Y42" s="145">
        <f>P42*X42</f>
        <v>980000</v>
      </c>
      <c r="Z42" s="244"/>
      <c r="AA42" s="283" t="s">
        <v>554</v>
      </c>
      <c r="AB42" s="89">
        <f t="shared" ref="AB42" si="22">W42-V42</f>
        <v>10</v>
      </c>
      <c r="AC42" s="90">
        <f t="shared" ref="AC42" si="23">AB42*5000</f>
        <v>50000</v>
      </c>
      <c r="AD42" s="143"/>
    </row>
    <row r="43" spans="1:30" s="146" customFormat="1" ht="40.799999999999997" customHeight="1" x14ac:dyDescent="0.45">
      <c r="A43" s="87">
        <v>10</v>
      </c>
      <c r="B43" s="271">
        <v>46297</v>
      </c>
      <c r="C43" s="278" t="s">
        <v>547</v>
      </c>
      <c r="D43" s="273" t="s">
        <v>540</v>
      </c>
      <c r="E43" s="315" t="s">
        <v>636</v>
      </c>
      <c r="F43" s="250"/>
      <c r="G43" s="250">
        <v>11</v>
      </c>
      <c r="H43" s="250"/>
      <c r="I43" s="250"/>
      <c r="J43" s="274" t="s">
        <v>541</v>
      </c>
      <c r="K43" s="236"/>
      <c r="L43" s="236"/>
      <c r="M43" s="250" t="s">
        <v>30</v>
      </c>
      <c r="N43" s="100" t="s">
        <v>34</v>
      </c>
      <c r="O43" s="143" t="s">
        <v>25</v>
      </c>
      <c r="P43" s="289">
        <v>10</v>
      </c>
      <c r="Q43" s="289"/>
      <c r="R43" s="289"/>
      <c r="S43" s="289"/>
      <c r="T43" s="289"/>
      <c r="U43" s="307"/>
      <c r="V43" s="289">
        <v>1</v>
      </c>
      <c r="W43" s="199">
        <f t="shared" ref="W43:W88" si="24">SUM(P43:V43)</f>
        <v>11</v>
      </c>
      <c r="X43" s="144">
        <f>SUMIFS('Đơn giá'!C:C,'Đơn giá'!B:B,XUẤT!O43)</f>
        <v>98000</v>
      </c>
      <c r="Y43" s="145">
        <f>X43*P43</f>
        <v>980000</v>
      </c>
      <c r="Z43" s="244"/>
      <c r="AA43" s="283" t="s">
        <v>554</v>
      </c>
      <c r="AB43" s="89">
        <f t="shared" si="9"/>
        <v>10</v>
      </c>
      <c r="AC43" s="90">
        <f t="shared" si="10"/>
        <v>50000</v>
      </c>
      <c r="AD43" s="143"/>
    </row>
    <row r="44" spans="1:30" s="146" customFormat="1" ht="61.8" customHeight="1" x14ac:dyDescent="0.45">
      <c r="A44" s="141">
        <v>11</v>
      </c>
      <c r="B44" s="271">
        <v>46297</v>
      </c>
      <c r="C44" s="278" t="s">
        <v>548</v>
      </c>
      <c r="D44" s="273" t="s">
        <v>537</v>
      </c>
      <c r="E44" s="273" t="s">
        <v>523</v>
      </c>
      <c r="F44" s="250"/>
      <c r="G44" s="250"/>
      <c r="H44" s="250">
        <v>44</v>
      </c>
      <c r="I44" s="250"/>
      <c r="J44" s="274" t="s">
        <v>543</v>
      </c>
      <c r="K44" s="276" t="s">
        <v>426</v>
      </c>
      <c r="L44" s="236"/>
      <c r="M44" s="273" t="s">
        <v>49</v>
      </c>
      <c r="N44" s="100"/>
      <c r="O44" s="143" t="s">
        <v>36</v>
      </c>
      <c r="P44" s="289"/>
      <c r="Q44" s="289"/>
      <c r="R44" s="289"/>
      <c r="S44" s="289"/>
      <c r="T44" s="289"/>
      <c r="U44" s="289"/>
      <c r="V44" s="289"/>
      <c r="W44" s="199">
        <f t="shared" si="24"/>
        <v>0</v>
      </c>
      <c r="X44" s="144">
        <f>SUMIFS('Đơn giá'!C:C,'Đơn giá'!B:B,XUẤT!O44)</f>
        <v>52000</v>
      </c>
      <c r="Y44" s="145">
        <f t="shared" si="8"/>
        <v>0</v>
      </c>
      <c r="Z44" s="244"/>
      <c r="AA44" s="283"/>
      <c r="AB44" s="89">
        <f t="shared" si="9"/>
        <v>0</v>
      </c>
      <c r="AC44" s="90">
        <f t="shared" si="10"/>
        <v>0</v>
      </c>
      <c r="AD44" s="143"/>
    </row>
    <row r="45" spans="1:30" s="146" customFormat="1" ht="83.4" x14ac:dyDescent="0.45">
      <c r="A45" s="141">
        <v>12</v>
      </c>
      <c r="B45" s="271">
        <v>46297</v>
      </c>
      <c r="C45" s="272" t="s">
        <v>549</v>
      </c>
      <c r="D45" s="273" t="s">
        <v>540</v>
      </c>
      <c r="E45" s="315" t="s">
        <v>192</v>
      </c>
      <c r="F45" s="250">
        <v>6</v>
      </c>
      <c r="G45" s="250"/>
      <c r="H45" s="250"/>
      <c r="I45" s="250"/>
      <c r="J45" s="274" t="s">
        <v>541</v>
      </c>
      <c r="K45" s="236"/>
      <c r="L45" s="236"/>
      <c r="M45" s="273" t="s">
        <v>49</v>
      </c>
      <c r="N45" s="100"/>
      <c r="O45" s="143" t="s">
        <v>28</v>
      </c>
      <c r="P45" s="289"/>
      <c r="Q45" s="289">
        <v>6</v>
      </c>
      <c r="R45" s="289"/>
      <c r="S45" s="289"/>
      <c r="T45" s="289"/>
      <c r="U45" s="307"/>
      <c r="V45" s="289"/>
      <c r="W45" s="199">
        <f t="shared" si="24"/>
        <v>6</v>
      </c>
      <c r="X45" s="144">
        <f>SUMIFS('Đơn giá'!C:C,'Đơn giá'!B:B,XUẤT!O45)</f>
        <v>85000</v>
      </c>
      <c r="Y45" s="145">
        <f>Q45*X45</f>
        <v>510000</v>
      </c>
      <c r="Z45" s="244"/>
      <c r="AA45" s="283" t="s">
        <v>554</v>
      </c>
      <c r="AB45" s="89">
        <f t="shared" si="9"/>
        <v>6</v>
      </c>
      <c r="AC45" s="90">
        <f t="shared" si="10"/>
        <v>30000</v>
      </c>
      <c r="AD45" s="143"/>
    </row>
    <row r="46" spans="1:30" s="146" customFormat="1" ht="85.2" customHeight="1" x14ac:dyDescent="0.45">
      <c r="A46" s="141">
        <v>13</v>
      </c>
      <c r="B46" s="271">
        <v>46297</v>
      </c>
      <c r="C46" s="272" t="s">
        <v>550</v>
      </c>
      <c r="D46" s="273" t="s">
        <v>540</v>
      </c>
      <c r="E46" s="315" t="s">
        <v>192</v>
      </c>
      <c r="F46" s="250">
        <v>12</v>
      </c>
      <c r="G46" s="250"/>
      <c r="H46" s="250"/>
      <c r="I46" s="250"/>
      <c r="J46" s="274" t="s">
        <v>541</v>
      </c>
      <c r="K46" s="236"/>
      <c r="L46" s="274" t="s">
        <v>542</v>
      </c>
      <c r="M46" s="273" t="s">
        <v>41</v>
      </c>
      <c r="N46" s="100" t="s">
        <v>557</v>
      </c>
      <c r="O46" s="143" t="s">
        <v>28</v>
      </c>
      <c r="P46" s="289"/>
      <c r="Q46" s="289">
        <v>10</v>
      </c>
      <c r="R46" s="289"/>
      <c r="S46" s="289"/>
      <c r="T46" s="289"/>
      <c r="U46" s="307"/>
      <c r="V46" s="289">
        <v>1</v>
      </c>
      <c r="W46" s="199">
        <f t="shared" si="24"/>
        <v>11</v>
      </c>
      <c r="X46" s="144">
        <f>SUMIFS('Đơn giá'!C:C,'Đơn giá'!B:B,XUẤT!O46)</f>
        <v>85000</v>
      </c>
      <c r="Y46" s="145">
        <f>Q46*X46</f>
        <v>850000</v>
      </c>
      <c r="Z46" s="244"/>
      <c r="AA46" s="283" t="s">
        <v>554</v>
      </c>
      <c r="AB46" s="89">
        <f t="shared" ref="AB46:AB47" si="25">W46-V46</f>
        <v>10</v>
      </c>
      <c r="AC46" s="90">
        <f t="shared" ref="AC46:AC47" si="26">AB46*5000</f>
        <v>50000</v>
      </c>
      <c r="AD46" s="143"/>
    </row>
    <row r="47" spans="1:30" s="146" customFormat="1" ht="63" customHeight="1" x14ac:dyDescent="0.45">
      <c r="A47" s="141">
        <v>14</v>
      </c>
      <c r="B47" s="271">
        <v>46297</v>
      </c>
      <c r="C47" s="272" t="s">
        <v>551</v>
      </c>
      <c r="D47" s="273" t="s">
        <v>540</v>
      </c>
      <c r="E47" s="273" t="s">
        <v>192</v>
      </c>
      <c r="F47" s="250"/>
      <c r="G47" s="250">
        <v>11</v>
      </c>
      <c r="H47" s="250"/>
      <c r="I47" s="250"/>
      <c r="J47" s="274" t="s">
        <v>541</v>
      </c>
      <c r="K47" s="236"/>
      <c r="L47" s="236"/>
      <c r="M47" s="273" t="s">
        <v>41</v>
      </c>
      <c r="N47" s="100"/>
      <c r="O47" s="143" t="s">
        <v>25</v>
      </c>
      <c r="P47" s="289">
        <v>10</v>
      </c>
      <c r="Q47" s="289"/>
      <c r="R47" s="289"/>
      <c r="S47" s="289"/>
      <c r="T47" s="289"/>
      <c r="U47" s="307"/>
      <c r="V47" s="289">
        <v>1</v>
      </c>
      <c r="W47" s="199">
        <f t="shared" si="24"/>
        <v>11</v>
      </c>
      <c r="X47" s="144">
        <f>SUMIFS('Đơn giá'!C:C,'Đơn giá'!B:B,XUẤT!O47)</f>
        <v>98000</v>
      </c>
      <c r="Y47" s="145">
        <f>P47*X47</f>
        <v>980000</v>
      </c>
      <c r="Z47" s="244" t="s">
        <v>559</v>
      </c>
      <c r="AA47" s="283" t="s">
        <v>554</v>
      </c>
      <c r="AB47" s="89">
        <f t="shared" si="25"/>
        <v>10</v>
      </c>
      <c r="AC47" s="90">
        <f t="shared" si="26"/>
        <v>50000</v>
      </c>
      <c r="AD47" s="143"/>
    </row>
    <row r="48" spans="1:30" s="146" customFormat="1" ht="54.6" customHeight="1" x14ac:dyDescent="0.45">
      <c r="A48" s="141">
        <v>15</v>
      </c>
      <c r="B48" s="271">
        <v>46297</v>
      </c>
      <c r="C48" s="279" t="s">
        <v>552</v>
      </c>
      <c r="D48" s="273" t="s">
        <v>540</v>
      </c>
      <c r="E48" s="273" t="s">
        <v>192</v>
      </c>
      <c r="F48" s="250"/>
      <c r="G48" s="250">
        <v>10</v>
      </c>
      <c r="H48" s="250"/>
      <c r="I48" s="250"/>
      <c r="J48" s="274" t="s">
        <v>541</v>
      </c>
      <c r="K48" s="236"/>
      <c r="L48" s="236"/>
      <c r="M48" s="250" t="s">
        <v>30</v>
      </c>
      <c r="N48" s="100" t="s">
        <v>187</v>
      </c>
      <c r="O48" s="143" t="s">
        <v>25</v>
      </c>
      <c r="P48" s="290">
        <v>10</v>
      </c>
      <c r="Q48" s="290"/>
      <c r="R48" s="290"/>
      <c r="S48" s="290"/>
      <c r="T48" s="290"/>
      <c r="U48" s="308"/>
      <c r="V48" s="290">
        <v>1</v>
      </c>
      <c r="W48" s="199">
        <f t="shared" si="24"/>
        <v>11</v>
      </c>
      <c r="X48" s="144">
        <f>SUMIFS('Đơn giá'!C:C,'Đơn giá'!B:B,XUẤT!O48)</f>
        <v>98000</v>
      </c>
      <c r="Y48" s="145">
        <f t="shared" ref="Y48:Y87" si="27">X48*P48</f>
        <v>980000</v>
      </c>
      <c r="Z48" s="245"/>
      <c r="AA48" s="283" t="s">
        <v>554</v>
      </c>
      <c r="AB48" s="143">
        <f t="shared" si="9"/>
        <v>10</v>
      </c>
      <c r="AC48" s="144">
        <f t="shared" si="10"/>
        <v>50000</v>
      </c>
      <c r="AD48" s="143"/>
    </row>
    <row r="49" spans="1:31" s="146" customFormat="1" ht="54.6" customHeight="1" x14ac:dyDescent="0.45">
      <c r="A49" s="141">
        <v>16</v>
      </c>
      <c r="B49" s="271">
        <v>46297</v>
      </c>
      <c r="C49" s="279" t="s">
        <v>583</v>
      </c>
      <c r="D49" s="273" t="s">
        <v>540</v>
      </c>
      <c r="E49" s="309" t="s">
        <v>431</v>
      </c>
      <c r="F49" s="251">
        <v>2</v>
      </c>
      <c r="G49" s="251"/>
      <c r="H49" s="251"/>
      <c r="I49" s="251"/>
      <c r="J49" s="287" t="s">
        <v>566</v>
      </c>
      <c r="K49" s="243"/>
      <c r="L49" s="236"/>
      <c r="M49" s="250" t="s">
        <v>49</v>
      </c>
      <c r="N49" s="100" t="s">
        <v>571</v>
      </c>
      <c r="O49" s="143" t="s">
        <v>28</v>
      </c>
      <c r="P49" s="290"/>
      <c r="Q49" s="290">
        <v>2</v>
      </c>
      <c r="R49" s="290"/>
      <c r="S49" s="290"/>
      <c r="T49" s="290"/>
      <c r="U49" s="308"/>
      <c r="V49" s="290"/>
      <c r="W49" s="199">
        <f t="shared" si="24"/>
        <v>2</v>
      </c>
      <c r="X49" s="144">
        <f>SUMIFS('Đơn giá'!C:C,'Đơn giá'!B:B,XUẤT!O49)</f>
        <v>85000</v>
      </c>
      <c r="Y49" s="145">
        <f>Q49*X49</f>
        <v>170000</v>
      </c>
      <c r="Z49" s="245"/>
      <c r="AA49" s="10" t="s">
        <v>45</v>
      </c>
      <c r="AB49" s="143">
        <f t="shared" ref="AB49" si="28">W49-V49</f>
        <v>2</v>
      </c>
      <c r="AC49" s="144">
        <f t="shared" ref="AC49" si="29">AB49*5000</f>
        <v>10000</v>
      </c>
      <c r="AD49" s="143"/>
    </row>
    <row r="50" spans="1:31" s="146" customFormat="1" ht="87" customHeight="1" x14ac:dyDescent="0.45">
      <c r="A50" s="141">
        <v>17</v>
      </c>
      <c r="B50" s="271">
        <v>46297</v>
      </c>
      <c r="C50" s="314" t="s">
        <v>565</v>
      </c>
      <c r="D50" s="273" t="s">
        <v>540</v>
      </c>
      <c r="E50" s="273" t="s">
        <v>431</v>
      </c>
      <c r="F50" s="250"/>
      <c r="G50" s="250"/>
      <c r="H50" s="250"/>
      <c r="I50" s="250"/>
      <c r="J50" s="274" t="s">
        <v>566</v>
      </c>
      <c r="K50" s="236"/>
      <c r="L50" s="236"/>
      <c r="M50" s="273" t="s">
        <v>30</v>
      </c>
      <c r="N50" s="10" t="s">
        <v>45</v>
      </c>
      <c r="O50" s="143" t="s">
        <v>36</v>
      </c>
      <c r="P50" s="290"/>
      <c r="Q50" s="290"/>
      <c r="R50" s="290"/>
      <c r="S50" s="290"/>
      <c r="T50" s="290">
        <v>1</v>
      </c>
      <c r="U50" s="290"/>
      <c r="V50" s="290"/>
      <c r="W50" s="199">
        <f t="shared" ref="W50" si="30">SUM(P50:V50)</f>
        <v>1</v>
      </c>
      <c r="X50" s="144">
        <f>SUMIFS('Đơn giá'!C:C,'Đơn giá'!B:B,XUẤT!O50)</f>
        <v>52000</v>
      </c>
      <c r="Y50" s="145">
        <f>T50*X50</f>
        <v>52000</v>
      </c>
      <c r="Z50" s="245" t="s">
        <v>567</v>
      </c>
      <c r="AA50" s="10" t="s">
        <v>45</v>
      </c>
      <c r="AB50" s="143">
        <f t="shared" ref="AB50" si="31">W50-V50</f>
        <v>1</v>
      </c>
      <c r="AC50" s="144">
        <f t="shared" ref="AC50" si="32">AB50*5000</f>
        <v>5000</v>
      </c>
      <c r="AD50" s="143"/>
    </row>
    <row r="51" spans="1:31" s="146" customFormat="1" ht="87" customHeight="1" x14ac:dyDescent="0.45">
      <c r="A51" s="141">
        <v>18</v>
      </c>
      <c r="B51" s="271">
        <v>46297</v>
      </c>
      <c r="C51" s="314" t="s">
        <v>575</v>
      </c>
      <c r="D51" s="273" t="s">
        <v>448</v>
      </c>
      <c r="E51" s="273" t="s">
        <v>58</v>
      </c>
      <c r="F51" s="250"/>
      <c r="G51" s="250">
        <v>3</v>
      </c>
      <c r="H51" s="250"/>
      <c r="I51" s="250"/>
      <c r="J51" s="274" t="s">
        <v>576</v>
      </c>
      <c r="K51" s="236"/>
      <c r="L51" s="236" t="s">
        <v>408</v>
      </c>
      <c r="M51" s="273" t="s">
        <v>30</v>
      </c>
      <c r="N51" s="185" t="s">
        <v>71</v>
      </c>
      <c r="O51" s="143" t="s">
        <v>25</v>
      </c>
      <c r="P51" s="290">
        <v>3</v>
      </c>
      <c r="Q51" s="290"/>
      <c r="R51" s="290"/>
      <c r="S51" s="290"/>
      <c r="T51" s="290"/>
      <c r="U51" s="290"/>
      <c r="V51" s="290"/>
      <c r="W51" s="199">
        <f t="shared" ref="W51:W53" si="33">SUM(P51:V51)</f>
        <v>3</v>
      </c>
      <c r="X51" s="144">
        <f>SUMIFS('Đơn giá'!C:C,'Đơn giá'!B:B,XUẤT!O51)</f>
        <v>98000</v>
      </c>
      <c r="Y51" s="145">
        <f>P51*X51</f>
        <v>294000</v>
      </c>
      <c r="Z51" s="245"/>
      <c r="AA51" s="185" t="s">
        <v>71</v>
      </c>
      <c r="AB51" s="143">
        <f t="shared" ref="AB51:AB54" si="34">W51-V51</f>
        <v>3</v>
      </c>
      <c r="AC51" s="144">
        <f t="shared" ref="AC51:AC54" si="35">AB51*5000</f>
        <v>15000</v>
      </c>
      <c r="AD51" s="143"/>
    </row>
    <row r="52" spans="1:31" s="146" customFormat="1" ht="87" customHeight="1" x14ac:dyDescent="0.45">
      <c r="A52" s="141">
        <v>19</v>
      </c>
      <c r="B52" s="271">
        <v>46297</v>
      </c>
      <c r="C52" s="314" t="s">
        <v>582</v>
      </c>
      <c r="D52" s="273" t="s">
        <v>448</v>
      </c>
      <c r="E52" s="273" t="s">
        <v>192</v>
      </c>
      <c r="F52" s="250">
        <v>11</v>
      </c>
      <c r="G52" s="250"/>
      <c r="H52" s="250"/>
      <c r="I52" s="250"/>
      <c r="J52" s="287" t="s">
        <v>541</v>
      </c>
      <c r="K52" s="236"/>
      <c r="L52" s="236" t="s">
        <v>408</v>
      </c>
      <c r="M52" s="273" t="s">
        <v>30</v>
      </c>
      <c r="N52" s="10" t="s">
        <v>212</v>
      </c>
      <c r="O52" s="143" t="s">
        <v>28</v>
      </c>
      <c r="P52" s="290"/>
      <c r="Q52" s="290">
        <v>10</v>
      </c>
      <c r="R52" s="290"/>
      <c r="S52" s="290"/>
      <c r="T52" s="290"/>
      <c r="U52" s="290"/>
      <c r="V52" s="290">
        <v>1</v>
      </c>
      <c r="W52" s="199">
        <f t="shared" si="33"/>
        <v>11</v>
      </c>
      <c r="X52" s="144">
        <f>SUMIFS('Đơn giá'!C:C,'Đơn giá'!B:B,XUẤT!O52)</f>
        <v>85000</v>
      </c>
      <c r="Y52" s="145">
        <f>Q52*X52</f>
        <v>850000</v>
      </c>
      <c r="Z52" s="245"/>
      <c r="AA52" s="283" t="s">
        <v>554</v>
      </c>
      <c r="AB52" s="143">
        <f t="shared" ref="AB52" si="36">W52-V52</f>
        <v>10</v>
      </c>
      <c r="AC52" s="144">
        <f t="shared" ref="AC52" si="37">AB52*5000</f>
        <v>50000</v>
      </c>
      <c r="AD52" s="143"/>
    </row>
    <row r="53" spans="1:31" s="146" customFormat="1" ht="87" customHeight="1" x14ac:dyDescent="0.45">
      <c r="A53" s="141">
        <v>19</v>
      </c>
      <c r="B53" s="271">
        <v>46297</v>
      </c>
      <c r="C53" s="314" t="s">
        <v>580</v>
      </c>
      <c r="D53" s="273" t="s">
        <v>448</v>
      </c>
      <c r="E53" s="273" t="s">
        <v>192</v>
      </c>
      <c r="F53" s="250"/>
      <c r="G53" s="250">
        <v>11</v>
      </c>
      <c r="H53" s="250"/>
      <c r="I53" s="250"/>
      <c r="J53" s="274" t="s">
        <v>581</v>
      </c>
      <c r="K53" s="236"/>
      <c r="L53" s="236" t="s">
        <v>408</v>
      </c>
      <c r="M53" s="273" t="s">
        <v>30</v>
      </c>
      <c r="N53" s="10" t="s">
        <v>146</v>
      </c>
      <c r="O53" s="143" t="s">
        <v>25</v>
      </c>
      <c r="P53" s="290">
        <v>10</v>
      </c>
      <c r="Q53" s="290"/>
      <c r="R53" s="290"/>
      <c r="S53" s="290"/>
      <c r="T53" s="290"/>
      <c r="U53" s="290"/>
      <c r="V53" s="290">
        <v>1</v>
      </c>
      <c r="W53" s="199">
        <f t="shared" si="33"/>
        <v>11</v>
      </c>
      <c r="X53" s="144">
        <f>SUMIFS('Đơn giá'!C:C,'Đơn giá'!B:B,XUẤT!O53)</f>
        <v>98000</v>
      </c>
      <c r="Y53" s="145">
        <f t="shared" ref="Y53" si="38">P53*X53</f>
        <v>980000</v>
      </c>
      <c r="Z53" s="245"/>
      <c r="AA53" s="283" t="s">
        <v>554</v>
      </c>
      <c r="AB53" s="143">
        <f t="shared" si="34"/>
        <v>10</v>
      </c>
      <c r="AC53" s="144">
        <f t="shared" si="35"/>
        <v>50000</v>
      </c>
      <c r="AD53" s="143"/>
    </row>
    <row r="54" spans="1:31" s="146" customFormat="1" ht="88.8" customHeight="1" x14ac:dyDescent="0.45">
      <c r="A54" s="141">
        <v>1</v>
      </c>
      <c r="B54" s="292" t="s">
        <v>560</v>
      </c>
      <c r="C54" s="313" t="s">
        <v>574</v>
      </c>
      <c r="D54" s="273" t="s">
        <v>540</v>
      </c>
      <c r="E54" s="253" t="s">
        <v>523</v>
      </c>
      <c r="F54" s="240"/>
      <c r="G54" s="240" t="s">
        <v>561</v>
      </c>
      <c r="H54" s="240"/>
      <c r="I54" s="240"/>
      <c r="J54" s="240" t="s">
        <v>562</v>
      </c>
      <c r="K54" s="240"/>
      <c r="L54" s="240"/>
      <c r="M54" s="253" t="s">
        <v>563</v>
      </c>
      <c r="N54" s="253" t="s">
        <v>563</v>
      </c>
      <c r="O54" s="143" t="s">
        <v>36</v>
      </c>
      <c r="P54" s="290"/>
      <c r="Q54" s="290"/>
      <c r="R54" s="290"/>
      <c r="S54" s="290"/>
      <c r="T54" s="290"/>
      <c r="U54" s="290"/>
      <c r="V54" s="290"/>
      <c r="W54" s="199">
        <f t="shared" si="24"/>
        <v>0</v>
      </c>
      <c r="X54" s="144">
        <f>SUMIFS('Đơn giá'!C:C,'Đơn giá'!B:B,XUẤT!O54)</f>
        <v>52000</v>
      </c>
      <c r="Y54" s="145">
        <f t="shared" si="27"/>
        <v>0</v>
      </c>
      <c r="Z54" s="245"/>
      <c r="AA54" s="284"/>
      <c r="AB54" s="143">
        <f t="shared" si="34"/>
        <v>0</v>
      </c>
      <c r="AC54" s="144">
        <f t="shared" si="35"/>
        <v>0</v>
      </c>
      <c r="AD54" s="143"/>
    </row>
    <row r="55" spans="1:31" s="146" customFormat="1" ht="64.8" customHeight="1" x14ac:dyDescent="0.45">
      <c r="A55" s="141">
        <v>2</v>
      </c>
      <c r="B55" s="310" t="s">
        <v>560</v>
      </c>
      <c r="C55" s="313" t="s">
        <v>570</v>
      </c>
      <c r="D55" s="311" t="s">
        <v>540</v>
      </c>
      <c r="E55" s="312" t="s">
        <v>431</v>
      </c>
      <c r="F55" s="312"/>
      <c r="G55" s="312">
        <v>2</v>
      </c>
      <c r="H55" s="312"/>
      <c r="I55" s="312"/>
      <c r="J55" s="312" t="s">
        <v>566</v>
      </c>
      <c r="K55" s="312"/>
      <c r="L55" s="239"/>
      <c r="M55" s="252" t="s">
        <v>49</v>
      </c>
      <c r="N55" s="252" t="s">
        <v>571</v>
      </c>
      <c r="O55" s="143" t="s">
        <v>25</v>
      </c>
      <c r="P55" s="289">
        <v>2</v>
      </c>
      <c r="Q55" s="289"/>
      <c r="R55" s="289"/>
      <c r="S55" s="289"/>
      <c r="T55" s="289"/>
      <c r="U55" s="289"/>
      <c r="V55" s="289"/>
      <c r="W55" s="199">
        <f t="shared" ref="W55:W61" si="39">SUM(P55:V55)</f>
        <v>2</v>
      </c>
      <c r="X55" s="144">
        <f>SUMIFS('Đơn giá'!C:C,'Đơn giá'!B:B,XUẤT!O55)</f>
        <v>98000</v>
      </c>
      <c r="Y55" s="145">
        <f t="shared" si="27"/>
        <v>196000</v>
      </c>
      <c r="Z55" s="244"/>
      <c r="AA55" s="283"/>
      <c r="AB55" s="89">
        <f t="shared" si="9"/>
        <v>2</v>
      </c>
      <c r="AC55" s="90">
        <f t="shared" si="10"/>
        <v>10000</v>
      </c>
      <c r="AD55" s="143"/>
    </row>
    <row r="56" spans="1:31" s="146" customFormat="1" ht="88.2" customHeight="1" x14ac:dyDescent="0.45">
      <c r="A56" s="141">
        <v>3</v>
      </c>
      <c r="B56" s="310" t="s">
        <v>560</v>
      </c>
      <c r="C56" s="313" t="s">
        <v>577</v>
      </c>
      <c r="D56" s="311" t="s">
        <v>540</v>
      </c>
      <c r="E56" s="312" t="s">
        <v>431</v>
      </c>
      <c r="F56" s="239">
        <v>2</v>
      </c>
      <c r="G56" s="239"/>
      <c r="H56" s="239"/>
      <c r="I56" s="239"/>
      <c r="J56" s="312" t="s">
        <v>566</v>
      </c>
      <c r="K56" s="239"/>
      <c r="L56" s="239"/>
      <c r="M56" s="250" t="s">
        <v>41</v>
      </c>
      <c r="N56" s="252" t="s">
        <v>535</v>
      </c>
      <c r="O56" s="143" t="s">
        <v>28</v>
      </c>
      <c r="P56" s="289"/>
      <c r="Q56" s="289">
        <v>2</v>
      </c>
      <c r="R56" s="289"/>
      <c r="S56" s="289"/>
      <c r="T56" s="289"/>
      <c r="U56" s="289"/>
      <c r="V56" s="289"/>
      <c r="W56" s="199">
        <f t="shared" si="39"/>
        <v>2</v>
      </c>
      <c r="X56" s="144">
        <f>SUMIFS('Đơn giá'!C:C,'Đơn giá'!B:B,XUẤT!O56)</f>
        <v>85000</v>
      </c>
      <c r="Y56" s="145">
        <f>Q56*X56</f>
        <v>170000</v>
      </c>
      <c r="Z56" s="244" t="s">
        <v>579</v>
      </c>
      <c r="AA56" s="10" t="s">
        <v>45</v>
      </c>
      <c r="AB56" s="89">
        <f t="shared" si="9"/>
        <v>2</v>
      </c>
      <c r="AC56" s="90">
        <f t="shared" si="10"/>
        <v>10000</v>
      </c>
      <c r="AD56" s="143"/>
    </row>
    <row r="57" spans="1:31" s="146" customFormat="1" ht="41.4" customHeight="1" x14ac:dyDescent="0.45">
      <c r="A57" s="141">
        <v>4</v>
      </c>
      <c r="B57" s="310" t="s">
        <v>560</v>
      </c>
      <c r="C57" s="313" t="s">
        <v>578</v>
      </c>
      <c r="D57" s="77"/>
      <c r="E57" s="315" t="s">
        <v>192</v>
      </c>
      <c r="F57" s="239"/>
      <c r="G57" s="239"/>
      <c r="H57" s="239">
        <v>5</v>
      </c>
      <c r="I57" s="239"/>
      <c r="J57" s="239" t="s">
        <v>541</v>
      </c>
      <c r="K57" s="239"/>
      <c r="L57" s="239"/>
      <c r="M57" s="252" t="s">
        <v>30</v>
      </c>
      <c r="N57" s="10" t="s">
        <v>186</v>
      </c>
      <c r="O57" s="143" t="s">
        <v>38</v>
      </c>
      <c r="P57" s="289"/>
      <c r="Q57" s="289"/>
      <c r="R57" s="289"/>
      <c r="S57" s="289"/>
      <c r="T57" s="289"/>
      <c r="U57" s="289">
        <v>5</v>
      </c>
      <c r="V57" s="289"/>
      <c r="W57" s="199">
        <f t="shared" si="39"/>
        <v>5</v>
      </c>
      <c r="X57" s="144">
        <f>SUMIFS('Đơn giá'!C:C,'Đơn giá'!B:B,XUẤT!O57)</f>
        <v>48000</v>
      </c>
      <c r="Y57" s="145">
        <f t="shared" si="27"/>
        <v>0</v>
      </c>
      <c r="Z57" s="244"/>
      <c r="AA57" s="283"/>
      <c r="AB57" s="89">
        <f t="shared" si="9"/>
        <v>5</v>
      </c>
      <c r="AC57" s="90">
        <f t="shared" si="10"/>
        <v>25000</v>
      </c>
      <c r="AD57" s="143"/>
    </row>
    <row r="58" spans="1:31" s="146" customFormat="1" ht="87" customHeight="1" x14ac:dyDescent="0.45">
      <c r="A58" s="141">
        <v>16</v>
      </c>
      <c r="B58" s="310" t="s">
        <v>560</v>
      </c>
      <c r="C58" s="306" t="s">
        <v>553</v>
      </c>
      <c r="D58" s="309" t="s">
        <v>540</v>
      </c>
      <c r="E58" s="309" t="s">
        <v>431</v>
      </c>
      <c r="F58" s="251"/>
      <c r="G58" s="251">
        <v>22</v>
      </c>
      <c r="H58" s="251"/>
      <c r="I58" s="251"/>
      <c r="J58" s="287" t="s">
        <v>541</v>
      </c>
      <c r="K58" s="243"/>
      <c r="L58" s="236"/>
      <c r="M58" s="273" t="s">
        <v>41</v>
      </c>
      <c r="N58" s="100" t="s">
        <v>558</v>
      </c>
      <c r="O58" s="143" t="s">
        <v>25</v>
      </c>
      <c r="P58" s="290">
        <v>20</v>
      </c>
      <c r="Q58" s="290"/>
      <c r="R58" s="290"/>
      <c r="S58" s="290"/>
      <c r="T58" s="290"/>
      <c r="U58" s="308"/>
      <c r="V58" s="290">
        <v>2</v>
      </c>
      <c r="W58" s="199">
        <f t="shared" si="39"/>
        <v>22</v>
      </c>
      <c r="X58" s="144">
        <f>SUMIFS('Đơn giá'!C:C,'Đơn giá'!B:B,XUẤT!O58)</f>
        <v>98000</v>
      </c>
      <c r="Y58" s="145">
        <f>P58*X58</f>
        <v>1960000</v>
      </c>
      <c r="Z58" s="245"/>
      <c r="AA58" s="283" t="s">
        <v>554</v>
      </c>
      <c r="AB58" s="143">
        <f t="shared" ref="AB58" si="40">W58-V58</f>
        <v>20</v>
      </c>
      <c r="AC58" s="144">
        <f t="shared" ref="AC58" si="41">AB58*5000</f>
        <v>100000</v>
      </c>
      <c r="AD58" s="143"/>
    </row>
    <row r="59" spans="1:31" s="146" customFormat="1" ht="52.2" customHeight="1" x14ac:dyDescent="0.45">
      <c r="A59" s="141">
        <v>6</v>
      </c>
      <c r="B59" s="310" t="s">
        <v>560</v>
      </c>
      <c r="C59" s="313" t="s">
        <v>584</v>
      </c>
      <c r="D59" s="309" t="s">
        <v>540</v>
      </c>
      <c r="E59" s="309" t="s">
        <v>431</v>
      </c>
      <c r="F59" s="239"/>
      <c r="G59" s="239">
        <v>11</v>
      </c>
      <c r="H59" s="239"/>
      <c r="I59" s="239"/>
      <c r="J59" s="287" t="s">
        <v>541</v>
      </c>
      <c r="K59" s="239"/>
      <c r="L59" s="239"/>
      <c r="M59" s="273" t="s">
        <v>41</v>
      </c>
      <c r="N59" s="252" t="s">
        <v>585</v>
      </c>
      <c r="O59" s="143" t="s">
        <v>25</v>
      </c>
      <c r="P59" s="289">
        <v>10</v>
      </c>
      <c r="Q59" s="289"/>
      <c r="R59" s="289"/>
      <c r="S59" s="289"/>
      <c r="T59" s="289"/>
      <c r="U59" s="289"/>
      <c r="V59" s="289">
        <v>1</v>
      </c>
      <c r="W59" s="199">
        <f t="shared" si="39"/>
        <v>11</v>
      </c>
      <c r="X59" s="144">
        <f>SUMIFS('Đơn giá'!C:C,'Đơn giá'!B:B,XUẤT!O59)</f>
        <v>98000</v>
      </c>
      <c r="Y59" s="145">
        <f>P59*X59</f>
        <v>980000</v>
      </c>
      <c r="Z59" s="244"/>
      <c r="AA59" s="283" t="s">
        <v>554</v>
      </c>
      <c r="AB59" s="89">
        <f t="shared" si="9"/>
        <v>10</v>
      </c>
      <c r="AC59" s="90">
        <f t="shared" si="10"/>
        <v>50000</v>
      </c>
      <c r="AD59" s="143"/>
    </row>
    <row r="60" spans="1:31" s="146" customFormat="1" ht="43.8" customHeight="1" x14ac:dyDescent="0.45">
      <c r="A60" s="141">
        <v>7</v>
      </c>
      <c r="B60" s="310" t="s">
        <v>560</v>
      </c>
      <c r="C60" s="313" t="s">
        <v>586</v>
      </c>
      <c r="D60" s="309" t="s">
        <v>540</v>
      </c>
      <c r="E60" s="309" t="s">
        <v>431</v>
      </c>
      <c r="F60" s="239"/>
      <c r="G60" s="239">
        <v>11</v>
      </c>
      <c r="H60" s="239"/>
      <c r="I60" s="239"/>
      <c r="J60" s="287" t="s">
        <v>541</v>
      </c>
      <c r="K60" s="239"/>
      <c r="L60" s="239"/>
      <c r="M60" s="252" t="s">
        <v>30</v>
      </c>
      <c r="N60" s="134" t="s">
        <v>587</v>
      </c>
      <c r="O60" s="143" t="s">
        <v>25</v>
      </c>
      <c r="P60" s="289">
        <v>10</v>
      </c>
      <c r="Q60" s="289"/>
      <c r="R60" s="289"/>
      <c r="S60" s="289"/>
      <c r="T60" s="289"/>
      <c r="U60" s="289"/>
      <c r="V60" s="289">
        <v>1</v>
      </c>
      <c r="W60" s="199">
        <f t="shared" si="39"/>
        <v>11</v>
      </c>
      <c r="X60" s="144">
        <f>SUMIFS('Đơn giá'!C:C,'Đơn giá'!B:B,XUẤT!O60)</f>
        <v>98000</v>
      </c>
      <c r="Y60" s="145">
        <f>P60*X60</f>
        <v>980000</v>
      </c>
      <c r="Z60" s="244"/>
      <c r="AA60" s="283" t="s">
        <v>554</v>
      </c>
      <c r="AB60" s="89">
        <f t="shared" si="9"/>
        <v>10</v>
      </c>
      <c r="AC60" s="90">
        <f t="shared" si="10"/>
        <v>50000</v>
      </c>
      <c r="AD60" s="143"/>
    </row>
    <row r="61" spans="1:31" s="146" customFormat="1" ht="70.2" customHeight="1" x14ac:dyDescent="0.45">
      <c r="A61" s="141">
        <v>8</v>
      </c>
      <c r="B61" s="310" t="s">
        <v>560</v>
      </c>
      <c r="C61" s="313" t="s">
        <v>588</v>
      </c>
      <c r="D61" s="309" t="s">
        <v>540</v>
      </c>
      <c r="E61" s="309" t="s">
        <v>192</v>
      </c>
      <c r="F61" s="239"/>
      <c r="G61" s="239"/>
      <c r="H61" s="239">
        <v>3</v>
      </c>
      <c r="I61" s="239"/>
      <c r="J61" s="287" t="s">
        <v>541</v>
      </c>
      <c r="K61" s="239"/>
      <c r="L61" s="239"/>
      <c r="M61" s="273" t="s">
        <v>41</v>
      </c>
      <c r="N61" s="252" t="s">
        <v>589</v>
      </c>
      <c r="O61" s="143" t="s">
        <v>38</v>
      </c>
      <c r="P61" s="289"/>
      <c r="Q61" s="289"/>
      <c r="R61" s="289"/>
      <c r="S61" s="289"/>
      <c r="T61" s="289"/>
      <c r="U61" s="289">
        <v>3</v>
      </c>
      <c r="V61" s="289"/>
      <c r="W61" s="199">
        <f t="shared" si="39"/>
        <v>3</v>
      </c>
      <c r="X61" s="144">
        <f>SUMIFS('Đơn giá'!C:C,'Đơn giá'!B:B,XUẤT!O61)</f>
        <v>48000</v>
      </c>
      <c r="Y61" s="145">
        <f>U61*X61</f>
        <v>144000</v>
      </c>
      <c r="Z61" s="244" t="s">
        <v>621</v>
      </c>
      <c r="AA61" s="283" t="s">
        <v>554</v>
      </c>
      <c r="AB61" s="89">
        <f t="shared" si="9"/>
        <v>3</v>
      </c>
      <c r="AC61" s="90">
        <f t="shared" si="10"/>
        <v>15000</v>
      </c>
      <c r="AD61" s="143"/>
    </row>
    <row r="62" spans="1:31" s="146" customFormat="1" ht="89.4" customHeight="1" x14ac:dyDescent="0.45">
      <c r="A62" s="141">
        <v>9</v>
      </c>
      <c r="B62" s="310" t="s">
        <v>560</v>
      </c>
      <c r="C62" s="313" t="s">
        <v>590</v>
      </c>
      <c r="D62" s="309" t="s">
        <v>540</v>
      </c>
      <c r="E62" s="309" t="s">
        <v>192</v>
      </c>
      <c r="F62" s="239"/>
      <c r="G62" s="239"/>
      <c r="H62" s="239"/>
      <c r="I62" s="239">
        <v>5</v>
      </c>
      <c r="J62" s="287" t="s">
        <v>541</v>
      </c>
      <c r="K62" s="239"/>
      <c r="L62" s="239"/>
      <c r="M62" s="273" t="s">
        <v>41</v>
      </c>
      <c r="N62" s="252" t="s">
        <v>591</v>
      </c>
      <c r="O62" s="143" t="s">
        <v>36</v>
      </c>
      <c r="P62" s="289"/>
      <c r="Q62" s="289"/>
      <c r="R62" s="289"/>
      <c r="S62" s="289"/>
      <c r="T62" s="289">
        <v>5</v>
      </c>
      <c r="U62" s="289"/>
      <c r="V62" s="289"/>
      <c r="W62" s="199">
        <f t="shared" si="24"/>
        <v>5</v>
      </c>
      <c r="X62" s="144">
        <f>SUMIFS('Đơn giá'!C:C,'Đơn giá'!B:B,XUẤT!O62)</f>
        <v>52000</v>
      </c>
      <c r="Y62" s="145">
        <f>T62*X62</f>
        <v>260000</v>
      </c>
      <c r="Z62" s="244"/>
      <c r="AA62" s="283" t="s">
        <v>554</v>
      </c>
      <c r="AB62" s="89">
        <f t="shared" si="9"/>
        <v>5</v>
      </c>
      <c r="AC62" s="90">
        <f t="shared" si="10"/>
        <v>25000</v>
      </c>
      <c r="AD62" s="143"/>
    </row>
    <row r="63" spans="1:31" s="148" customFormat="1" ht="52.2" customHeight="1" x14ac:dyDescent="0.45">
      <c r="A63" s="141">
        <v>10</v>
      </c>
      <c r="B63" s="310" t="s">
        <v>560</v>
      </c>
      <c r="C63" s="313" t="s">
        <v>592</v>
      </c>
      <c r="D63" s="309" t="s">
        <v>540</v>
      </c>
      <c r="E63" s="239" t="s">
        <v>192</v>
      </c>
      <c r="F63" s="239"/>
      <c r="G63" s="239">
        <v>55</v>
      </c>
      <c r="H63" s="239"/>
      <c r="I63" s="239"/>
      <c r="J63" s="239" t="s">
        <v>34</v>
      </c>
      <c r="K63" s="239"/>
      <c r="L63" s="239"/>
      <c r="M63" s="252" t="s">
        <v>30</v>
      </c>
      <c r="N63" s="239" t="s">
        <v>34</v>
      </c>
      <c r="O63" s="143" t="s">
        <v>25</v>
      </c>
      <c r="P63" s="289">
        <v>50</v>
      </c>
      <c r="Q63" s="289"/>
      <c r="R63" s="289"/>
      <c r="S63" s="289"/>
      <c r="T63" s="289"/>
      <c r="U63" s="289"/>
      <c r="V63" s="289">
        <v>5</v>
      </c>
      <c r="W63" s="305">
        <f t="shared" si="24"/>
        <v>55</v>
      </c>
      <c r="X63" s="148">
        <f>SUMIFS('Đơn giá'!C:C,'Đơn giá'!B:B,XUẤT!O63)</f>
        <v>98000</v>
      </c>
      <c r="Y63" s="145">
        <f t="shared" si="27"/>
        <v>4900000</v>
      </c>
      <c r="Z63" s="244"/>
      <c r="AA63" s="283" t="s">
        <v>554</v>
      </c>
      <c r="AB63" s="89">
        <f t="shared" si="9"/>
        <v>50</v>
      </c>
      <c r="AC63" s="90">
        <f t="shared" si="10"/>
        <v>250000</v>
      </c>
      <c r="AE63" s="228"/>
    </row>
    <row r="64" spans="1:31" s="146" customFormat="1" ht="62.4" customHeight="1" x14ac:dyDescent="0.45">
      <c r="A64" s="141">
        <v>11</v>
      </c>
      <c r="B64" s="289" t="s">
        <v>560</v>
      </c>
      <c r="C64" s="313" t="s">
        <v>593</v>
      </c>
      <c r="D64" s="309" t="s">
        <v>540</v>
      </c>
      <c r="E64" s="239" t="s">
        <v>431</v>
      </c>
      <c r="F64" s="239"/>
      <c r="G64" s="239">
        <v>5</v>
      </c>
      <c r="H64" s="239"/>
      <c r="I64" s="239"/>
      <c r="J64" s="10" t="s">
        <v>172</v>
      </c>
      <c r="K64" s="239"/>
      <c r="L64" s="239"/>
      <c r="M64" s="252" t="s">
        <v>30</v>
      </c>
      <c r="N64" s="10" t="s">
        <v>172</v>
      </c>
      <c r="O64" s="143" t="s">
        <v>25</v>
      </c>
      <c r="P64" s="289">
        <v>5</v>
      </c>
      <c r="Q64" s="289"/>
      <c r="R64" s="289"/>
      <c r="S64" s="289"/>
      <c r="T64" s="289"/>
      <c r="U64" s="289"/>
      <c r="V64" s="289"/>
      <c r="W64" s="199">
        <f t="shared" si="24"/>
        <v>5</v>
      </c>
      <c r="X64" s="144">
        <f>SUMIFS('Đơn giá'!C:C,'Đơn giá'!B:B,XUẤT!O64)</f>
        <v>98000</v>
      </c>
      <c r="Y64" s="145">
        <f t="shared" si="27"/>
        <v>490000</v>
      </c>
      <c r="Z64" s="244" t="s">
        <v>579</v>
      </c>
      <c r="AA64" s="10" t="s">
        <v>172</v>
      </c>
      <c r="AB64" s="89">
        <f t="shared" si="9"/>
        <v>5</v>
      </c>
      <c r="AC64" s="90">
        <f t="shared" si="10"/>
        <v>25000</v>
      </c>
      <c r="AD64" s="143"/>
    </row>
    <row r="65" spans="1:30" s="146" customFormat="1" ht="46.2" customHeight="1" x14ac:dyDescent="0.45">
      <c r="A65" s="234"/>
      <c r="B65" s="317">
        <v>46122</v>
      </c>
      <c r="C65" s="313" t="s">
        <v>598</v>
      </c>
      <c r="D65" s="309" t="s">
        <v>540</v>
      </c>
      <c r="E65" s="239" t="s">
        <v>192</v>
      </c>
      <c r="F65" s="239"/>
      <c r="G65" s="239"/>
      <c r="H65" s="239"/>
      <c r="I65" s="239">
        <v>2</v>
      </c>
      <c r="J65" s="10" t="s">
        <v>106</v>
      </c>
      <c r="K65" s="239"/>
      <c r="L65" s="239"/>
      <c r="M65" s="252" t="s">
        <v>30</v>
      </c>
      <c r="N65" s="10" t="s">
        <v>106</v>
      </c>
      <c r="O65" s="143" t="s">
        <v>36</v>
      </c>
      <c r="P65" s="289"/>
      <c r="Q65" s="289"/>
      <c r="R65" s="289"/>
      <c r="S65" s="289"/>
      <c r="T65" s="289">
        <v>2</v>
      </c>
      <c r="U65" s="289"/>
      <c r="V65" s="289"/>
      <c r="W65" s="199">
        <f t="shared" si="24"/>
        <v>2</v>
      </c>
      <c r="X65" s="144">
        <f>SUMIFS('Đơn giá'!C:C,'Đơn giá'!B:B,XUẤT!O65)</f>
        <v>52000</v>
      </c>
      <c r="Y65" s="145">
        <f>T65*X65</f>
        <v>104000</v>
      </c>
      <c r="Z65" s="244"/>
      <c r="AA65" s="10" t="s">
        <v>106</v>
      </c>
      <c r="AB65" s="89">
        <f t="shared" si="9"/>
        <v>2</v>
      </c>
      <c r="AC65" s="90">
        <f t="shared" si="10"/>
        <v>10000</v>
      </c>
      <c r="AD65" s="143"/>
    </row>
    <row r="66" spans="1:30" s="146" customFormat="1" ht="63" customHeight="1" x14ac:dyDescent="0.45">
      <c r="A66" s="234"/>
      <c r="B66" s="317">
        <v>46122</v>
      </c>
      <c r="C66" s="313" t="s">
        <v>599</v>
      </c>
      <c r="D66" s="309" t="s">
        <v>540</v>
      </c>
      <c r="E66" s="239" t="s">
        <v>58</v>
      </c>
      <c r="F66" s="239"/>
      <c r="G66" s="239">
        <v>5</v>
      </c>
      <c r="H66" s="239"/>
      <c r="I66" s="239"/>
      <c r="J66" s="10" t="s">
        <v>108</v>
      </c>
      <c r="K66" s="239"/>
      <c r="L66" s="239"/>
      <c r="M66" s="252" t="s">
        <v>30</v>
      </c>
      <c r="N66" s="10" t="s">
        <v>108</v>
      </c>
      <c r="O66" s="143" t="s">
        <v>25</v>
      </c>
      <c r="P66" s="289">
        <v>5</v>
      </c>
      <c r="Q66" s="289"/>
      <c r="R66" s="289"/>
      <c r="S66" s="289"/>
      <c r="T66" s="289"/>
      <c r="U66" s="289"/>
      <c r="V66" s="289"/>
      <c r="W66" s="199">
        <f t="shared" si="24"/>
        <v>5</v>
      </c>
      <c r="X66" s="144">
        <f>SUMIFS('Đơn giá'!C:C,'Đơn giá'!B:B,XUẤT!O66)</f>
        <v>98000</v>
      </c>
      <c r="Y66" s="145">
        <f t="shared" si="27"/>
        <v>490000</v>
      </c>
      <c r="Z66" s="244"/>
      <c r="AA66" s="10" t="s">
        <v>108</v>
      </c>
      <c r="AB66" s="89">
        <f t="shared" si="9"/>
        <v>5</v>
      </c>
      <c r="AC66" s="90">
        <f t="shared" si="10"/>
        <v>25000</v>
      </c>
      <c r="AD66" s="143"/>
    </row>
    <row r="67" spans="1:30" s="146" customFormat="1" ht="96" customHeight="1" x14ac:dyDescent="0.45">
      <c r="A67" s="234">
        <v>1</v>
      </c>
      <c r="B67" s="319" t="s">
        <v>595</v>
      </c>
      <c r="C67" s="313" t="s">
        <v>597</v>
      </c>
      <c r="D67" s="309" t="s">
        <v>540</v>
      </c>
      <c r="E67" s="239" t="s">
        <v>49</v>
      </c>
      <c r="F67" s="239"/>
      <c r="G67" s="239">
        <v>11</v>
      </c>
      <c r="H67" s="239"/>
      <c r="I67" s="239"/>
      <c r="J67" s="239" t="s">
        <v>49</v>
      </c>
      <c r="K67" s="239"/>
      <c r="L67" s="239" t="s">
        <v>408</v>
      </c>
      <c r="M67" s="252" t="s">
        <v>30</v>
      </c>
      <c r="N67" s="10" t="s">
        <v>274</v>
      </c>
      <c r="O67" s="143" t="s">
        <v>25</v>
      </c>
      <c r="P67" s="289">
        <v>10</v>
      </c>
      <c r="Q67" s="289"/>
      <c r="R67" s="289"/>
      <c r="S67" s="289"/>
      <c r="T67" s="289"/>
      <c r="U67" s="289"/>
      <c r="V67" s="289">
        <v>1</v>
      </c>
      <c r="W67" s="199">
        <f t="shared" si="24"/>
        <v>11</v>
      </c>
      <c r="X67" s="144">
        <f>SUMIFS('Đơn giá'!C:C,'Đơn giá'!B:B,XUẤT!O67)</f>
        <v>98000</v>
      </c>
      <c r="Y67" s="145">
        <f t="shared" si="27"/>
        <v>980000</v>
      </c>
      <c r="Z67" s="244"/>
      <c r="AA67" s="283" t="s">
        <v>517</v>
      </c>
      <c r="AB67" s="89">
        <f t="shared" si="9"/>
        <v>10</v>
      </c>
      <c r="AC67" s="90">
        <f t="shared" si="10"/>
        <v>50000</v>
      </c>
      <c r="AD67" s="143"/>
    </row>
    <row r="68" spans="1:30" s="146" customFormat="1" ht="90.6" customHeight="1" x14ac:dyDescent="0.45">
      <c r="A68" s="234">
        <v>2</v>
      </c>
      <c r="B68" s="319" t="s">
        <v>595</v>
      </c>
      <c r="C68" s="318" t="s">
        <v>596</v>
      </c>
      <c r="D68" s="309" t="s">
        <v>540</v>
      </c>
      <c r="E68" s="239" t="s">
        <v>192</v>
      </c>
      <c r="F68" s="239"/>
      <c r="G68" s="239"/>
      <c r="H68" s="239">
        <v>1</v>
      </c>
      <c r="I68" s="239"/>
      <c r="J68" s="239" t="s">
        <v>465</v>
      </c>
      <c r="K68" s="239"/>
      <c r="L68" s="239" t="s">
        <v>408</v>
      </c>
      <c r="M68" s="252" t="s">
        <v>41</v>
      </c>
      <c r="N68" s="252" t="s">
        <v>589</v>
      </c>
      <c r="O68" s="143" t="s">
        <v>38</v>
      </c>
      <c r="P68" s="289"/>
      <c r="Q68" s="289"/>
      <c r="R68" s="289"/>
      <c r="S68" s="289"/>
      <c r="T68" s="289"/>
      <c r="U68" s="289">
        <v>1</v>
      </c>
      <c r="V68" s="289"/>
      <c r="W68" s="199">
        <f t="shared" si="24"/>
        <v>1</v>
      </c>
      <c r="X68" s="144">
        <f>SUMIFS('Đơn giá'!C:C,'Đơn giá'!B:B,XUẤT!O68)</f>
        <v>48000</v>
      </c>
      <c r="Y68" s="145">
        <f>U68*X68</f>
        <v>48000</v>
      </c>
      <c r="Z68" s="244" t="s">
        <v>617</v>
      </c>
      <c r="AA68" s="239" t="s">
        <v>465</v>
      </c>
      <c r="AB68" s="89">
        <f t="shared" si="9"/>
        <v>1</v>
      </c>
      <c r="AC68" s="90">
        <f t="shared" si="10"/>
        <v>5000</v>
      </c>
      <c r="AD68" s="143"/>
    </row>
    <row r="69" spans="1:30" s="146" customFormat="1" ht="128.4" customHeight="1" x14ac:dyDescent="0.45">
      <c r="A69" s="141">
        <v>3</v>
      </c>
      <c r="B69" s="319" t="s">
        <v>595</v>
      </c>
      <c r="C69" s="318" t="s">
        <v>611</v>
      </c>
      <c r="D69" s="309" t="s">
        <v>540</v>
      </c>
      <c r="E69" s="239" t="s">
        <v>58</v>
      </c>
      <c r="F69" s="239"/>
      <c r="G69" s="239"/>
      <c r="H69" s="239"/>
      <c r="I69" s="239">
        <v>15</v>
      </c>
      <c r="J69" s="239" t="s">
        <v>608</v>
      </c>
      <c r="K69" s="239"/>
      <c r="L69" s="239" t="s">
        <v>408</v>
      </c>
      <c r="M69" s="252" t="s">
        <v>41</v>
      </c>
      <c r="N69" s="252" t="s">
        <v>606</v>
      </c>
      <c r="O69" s="143" t="s">
        <v>36</v>
      </c>
      <c r="P69" s="289"/>
      <c r="Q69" s="289"/>
      <c r="R69" s="289"/>
      <c r="S69" s="289"/>
      <c r="T69" s="289">
        <v>14</v>
      </c>
      <c r="U69" s="289"/>
      <c r="V69" s="289">
        <v>1</v>
      </c>
      <c r="W69" s="199">
        <f t="shared" si="24"/>
        <v>15</v>
      </c>
      <c r="X69" s="144">
        <f>SUMIFS('Đơn giá'!C:C,'Đơn giá'!B:B,XUẤT!O69)</f>
        <v>52000</v>
      </c>
      <c r="Y69" s="145">
        <f>T69*X69</f>
        <v>728000</v>
      </c>
      <c r="Z69" s="244"/>
      <c r="AA69" s="283" t="s">
        <v>625</v>
      </c>
      <c r="AB69" s="143">
        <f t="shared" si="9"/>
        <v>14</v>
      </c>
      <c r="AC69" s="144">
        <f t="shared" si="10"/>
        <v>70000</v>
      </c>
      <c r="AD69" s="143"/>
    </row>
    <row r="70" spans="1:30" s="146" customFormat="1" ht="102.6" customHeight="1" x14ac:dyDescent="0.45">
      <c r="A70" s="141">
        <v>4</v>
      </c>
      <c r="B70" s="319" t="s">
        <v>595</v>
      </c>
      <c r="C70" s="318" t="s">
        <v>600</v>
      </c>
      <c r="D70" s="309" t="s">
        <v>540</v>
      </c>
      <c r="E70" s="240" t="s">
        <v>192</v>
      </c>
      <c r="F70" s="240"/>
      <c r="G70" s="240">
        <v>1</v>
      </c>
      <c r="H70" s="240"/>
      <c r="I70" s="240"/>
      <c r="J70" s="239" t="s">
        <v>465</v>
      </c>
      <c r="K70" s="240"/>
      <c r="L70" s="240"/>
      <c r="M70" s="253" t="s">
        <v>601</v>
      </c>
      <c r="N70" s="253"/>
      <c r="O70" s="143" t="s">
        <v>25</v>
      </c>
      <c r="P70" s="290">
        <v>10</v>
      </c>
      <c r="Q70" s="290"/>
      <c r="R70" s="290"/>
      <c r="S70" s="290"/>
      <c r="T70" s="290"/>
      <c r="U70" s="290"/>
      <c r="V70" s="290">
        <v>1</v>
      </c>
      <c r="W70" s="199">
        <f>SUM(P70:V70)</f>
        <v>11</v>
      </c>
      <c r="X70" s="144">
        <f>SUMIFS('Đơn giá'!C:C,'Đơn giá'!B:B,XUẤT!O70)</f>
        <v>98000</v>
      </c>
      <c r="Y70" s="145">
        <f t="shared" si="27"/>
        <v>980000</v>
      </c>
      <c r="Z70" s="245"/>
      <c r="AA70" s="284" t="s">
        <v>465</v>
      </c>
      <c r="AB70" s="143">
        <f t="shared" si="9"/>
        <v>10</v>
      </c>
      <c r="AC70" s="144">
        <f t="shared" si="10"/>
        <v>50000</v>
      </c>
      <c r="AD70" s="143"/>
    </row>
    <row r="71" spans="1:30" s="146" customFormat="1" ht="113.4" customHeight="1" x14ac:dyDescent="0.45">
      <c r="A71" s="141">
        <v>5</v>
      </c>
      <c r="B71" s="319" t="s">
        <v>595</v>
      </c>
      <c r="C71" s="318" t="s">
        <v>607</v>
      </c>
      <c r="D71" s="309" t="s">
        <v>540</v>
      </c>
      <c r="E71" s="239" t="s">
        <v>192</v>
      </c>
      <c r="F71" s="239"/>
      <c r="G71" s="239">
        <v>22</v>
      </c>
      <c r="H71" s="239"/>
      <c r="I71" s="239"/>
      <c r="J71" s="239" t="s">
        <v>465</v>
      </c>
      <c r="K71" s="239"/>
      <c r="L71" s="239" t="s">
        <v>408</v>
      </c>
      <c r="M71" s="252" t="s">
        <v>30</v>
      </c>
      <c r="N71" s="252" t="s">
        <v>168</v>
      </c>
      <c r="O71" s="143" t="s">
        <v>25</v>
      </c>
      <c r="P71" s="289">
        <v>20</v>
      </c>
      <c r="Q71" s="289"/>
      <c r="R71" s="289"/>
      <c r="S71" s="289"/>
      <c r="T71" s="289"/>
      <c r="U71" s="289"/>
      <c r="V71" s="289">
        <v>2</v>
      </c>
      <c r="W71" s="199">
        <f t="shared" si="24"/>
        <v>22</v>
      </c>
      <c r="X71" s="144">
        <f>SUMIFS('Đơn giá'!C:C,'Đơn giá'!B:B,XUẤT!O71)</f>
        <v>98000</v>
      </c>
      <c r="Y71" s="145">
        <f t="shared" si="27"/>
        <v>1960000</v>
      </c>
      <c r="Z71" s="244"/>
      <c r="AA71" s="10" t="s">
        <v>168</v>
      </c>
      <c r="AB71" s="89">
        <f t="shared" si="9"/>
        <v>20</v>
      </c>
      <c r="AC71" s="90">
        <f t="shared" si="10"/>
        <v>100000</v>
      </c>
      <c r="AD71" s="143"/>
    </row>
    <row r="72" spans="1:30" s="146" customFormat="1" ht="53.4" customHeight="1" x14ac:dyDescent="0.45">
      <c r="A72" s="141">
        <v>6</v>
      </c>
      <c r="B72" s="319" t="s">
        <v>595</v>
      </c>
      <c r="C72" s="318" t="s">
        <v>604</v>
      </c>
      <c r="D72" s="309" t="s">
        <v>540</v>
      </c>
      <c r="E72" s="239" t="s">
        <v>192</v>
      </c>
      <c r="F72" s="239"/>
      <c r="G72" s="239"/>
      <c r="H72" s="239"/>
      <c r="I72" s="239">
        <v>5</v>
      </c>
      <c r="J72" s="239" t="s">
        <v>465</v>
      </c>
      <c r="K72" s="239"/>
      <c r="L72" s="239" t="s">
        <v>408</v>
      </c>
      <c r="M72" s="252" t="s">
        <v>41</v>
      </c>
      <c r="N72" s="252" t="s">
        <v>605</v>
      </c>
      <c r="O72" s="143" t="s">
        <v>36</v>
      </c>
      <c r="P72" s="289"/>
      <c r="Q72" s="289"/>
      <c r="R72" s="289"/>
      <c r="S72" s="289"/>
      <c r="T72" s="289">
        <v>5</v>
      </c>
      <c r="U72" s="289"/>
      <c r="V72" s="289"/>
      <c r="W72" s="199">
        <f t="shared" si="24"/>
        <v>5</v>
      </c>
      <c r="X72" s="144">
        <f>SUMIFS('Đơn giá'!C:C,'Đơn giá'!B:B,XUẤT!O72)</f>
        <v>52000</v>
      </c>
      <c r="Y72" s="145">
        <f>T72*X72</f>
        <v>260000</v>
      </c>
      <c r="Z72" s="244"/>
      <c r="AA72" s="284" t="s">
        <v>465</v>
      </c>
      <c r="AB72" s="89">
        <f t="shared" si="9"/>
        <v>5</v>
      </c>
      <c r="AC72" s="90">
        <f t="shared" si="10"/>
        <v>25000</v>
      </c>
      <c r="AD72" s="143"/>
    </row>
    <row r="73" spans="1:30" s="146" customFormat="1" ht="135.6" customHeight="1" x14ac:dyDescent="0.45">
      <c r="A73" s="141">
        <v>7</v>
      </c>
      <c r="B73" s="319" t="s">
        <v>595</v>
      </c>
      <c r="C73" s="318" t="s">
        <v>609</v>
      </c>
      <c r="D73" s="309" t="s">
        <v>537</v>
      </c>
      <c r="E73" s="239" t="s">
        <v>602</v>
      </c>
      <c r="F73" s="239"/>
      <c r="G73" s="239"/>
      <c r="H73" s="239">
        <v>20</v>
      </c>
      <c r="I73" s="239"/>
      <c r="J73" s="239"/>
      <c r="K73" s="239"/>
      <c r="L73" s="239" t="s">
        <v>408</v>
      </c>
      <c r="M73" s="252" t="s">
        <v>610</v>
      </c>
      <c r="N73" s="252" t="s">
        <v>610</v>
      </c>
      <c r="O73" s="143" t="s">
        <v>38</v>
      </c>
      <c r="P73" s="289"/>
      <c r="Q73" s="289"/>
      <c r="R73" s="289"/>
      <c r="S73" s="289"/>
      <c r="T73" s="289"/>
      <c r="U73" s="289">
        <v>20</v>
      </c>
      <c r="V73" s="289">
        <v>2</v>
      </c>
      <c r="W73" s="199">
        <f t="shared" si="24"/>
        <v>22</v>
      </c>
      <c r="X73" s="144">
        <f>SUMIFS('Đơn giá'!C:C,'Đơn giá'!B:B,XUẤT!O73)</f>
        <v>48000</v>
      </c>
      <c r="Y73" s="145">
        <f>T73*X73</f>
        <v>0</v>
      </c>
      <c r="Z73" s="244"/>
      <c r="AA73" s="70" t="s">
        <v>626</v>
      </c>
      <c r="AB73" s="89">
        <f t="shared" ref="AB73:AB90" si="42">W73-V73</f>
        <v>20</v>
      </c>
      <c r="AC73" s="90">
        <f t="shared" ref="AC73:AC90" si="43">AB73*5000</f>
        <v>100000</v>
      </c>
      <c r="AD73" s="143"/>
    </row>
    <row r="74" spans="1:30" s="146" customFormat="1" ht="146.4" customHeight="1" x14ac:dyDescent="0.45">
      <c r="A74" s="346">
        <v>8</v>
      </c>
      <c r="B74" s="319" t="s">
        <v>595</v>
      </c>
      <c r="C74" s="344" t="s">
        <v>613</v>
      </c>
      <c r="D74" s="309" t="s">
        <v>448</v>
      </c>
      <c r="E74" s="239" t="s">
        <v>192</v>
      </c>
      <c r="F74" s="239"/>
      <c r="G74" s="239">
        <v>11</v>
      </c>
      <c r="H74" s="239"/>
      <c r="I74" s="239"/>
      <c r="J74" s="239" t="s">
        <v>612</v>
      </c>
      <c r="K74" s="239"/>
      <c r="L74" s="239" t="s">
        <v>408</v>
      </c>
      <c r="M74" s="252" t="s">
        <v>30</v>
      </c>
      <c r="N74" s="10" t="s">
        <v>201</v>
      </c>
      <c r="O74" s="143" t="s">
        <v>25</v>
      </c>
      <c r="P74" s="289">
        <v>10</v>
      </c>
      <c r="Q74" s="289"/>
      <c r="R74" s="289"/>
      <c r="S74" s="289"/>
      <c r="T74" s="289"/>
      <c r="U74" s="289"/>
      <c r="V74" s="289">
        <v>1</v>
      </c>
      <c r="W74" s="199">
        <f t="shared" si="24"/>
        <v>11</v>
      </c>
      <c r="X74" s="144">
        <v>85000</v>
      </c>
      <c r="Y74" s="145">
        <f>P74*X74</f>
        <v>850000</v>
      </c>
      <c r="Z74" s="244"/>
      <c r="AA74" s="10" t="s">
        <v>201</v>
      </c>
      <c r="AB74" s="89">
        <f t="shared" si="42"/>
        <v>10</v>
      </c>
      <c r="AC74" s="90">
        <f t="shared" si="43"/>
        <v>50000</v>
      </c>
      <c r="AD74" s="143"/>
    </row>
    <row r="75" spans="1:30" s="146" customFormat="1" ht="46.2" customHeight="1" x14ac:dyDescent="0.45">
      <c r="A75" s="347"/>
      <c r="B75" s="319" t="s">
        <v>595</v>
      </c>
      <c r="C75" s="345"/>
      <c r="D75" s="309" t="s">
        <v>448</v>
      </c>
      <c r="E75" s="239" t="s">
        <v>431</v>
      </c>
      <c r="F75" s="239"/>
      <c r="G75" s="239">
        <v>11</v>
      </c>
      <c r="H75" s="239"/>
      <c r="I75" s="239"/>
      <c r="J75" s="239" t="s">
        <v>612</v>
      </c>
      <c r="K75" s="239"/>
      <c r="L75" s="239" t="s">
        <v>408</v>
      </c>
      <c r="M75" s="252" t="s">
        <v>30</v>
      </c>
      <c r="N75" s="10" t="s">
        <v>33</v>
      </c>
      <c r="O75" s="143" t="s">
        <v>25</v>
      </c>
      <c r="P75" s="289">
        <v>10</v>
      </c>
      <c r="Q75" s="289"/>
      <c r="R75" s="289"/>
      <c r="S75" s="289"/>
      <c r="T75" s="289"/>
      <c r="U75" s="289"/>
      <c r="V75" s="289">
        <v>1</v>
      </c>
      <c r="W75" s="199">
        <f t="shared" si="24"/>
        <v>11</v>
      </c>
      <c r="X75" s="144">
        <f>SUMIFS('Đơn giá'!C:C,'Đơn giá'!B:B,XUẤT!O75)</f>
        <v>98000</v>
      </c>
      <c r="Y75" s="145">
        <f t="shared" si="27"/>
        <v>980000</v>
      </c>
      <c r="Z75" s="244"/>
      <c r="AA75" s="10" t="s">
        <v>201</v>
      </c>
      <c r="AB75" s="89">
        <f t="shared" si="42"/>
        <v>10</v>
      </c>
      <c r="AC75" s="90">
        <f t="shared" si="43"/>
        <v>50000</v>
      </c>
      <c r="AD75" s="143"/>
    </row>
    <row r="76" spans="1:30" s="146" customFormat="1" ht="107.4" customHeight="1" x14ac:dyDescent="0.45">
      <c r="A76" s="141">
        <v>9</v>
      </c>
      <c r="B76" s="319" t="s">
        <v>595</v>
      </c>
      <c r="C76" s="318" t="s">
        <v>616</v>
      </c>
      <c r="D76" s="309" t="s">
        <v>448</v>
      </c>
      <c r="E76" s="239" t="s">
        <v>192</v>
      </c>
      <c r="F76" s="239"/>
      <c r="G76" s="239">
        <v>11</v>
      </c>
      <c r="H76" s="239"/>
      <c r="I76" s="239"/>
      <c r="J76" s="239" t="s">
        <v>612</v>
      </c>
      <c r="K76" s="239"/>
      <c r="L76" s="239" t="s">
        <v>408</v>
      </c>
      <c r="M76" s="252" t="s">
        <v>30</v>
      </c>
      <c r="N76" s="10" t="s">
        <v>205</v>
      </c>
      <c r="O76" s="143" t="s">
        <v>25</v>
      </c>
      <c r="P76" s="289">
        <v>10</v>
      </c>
      <c r="Q76" s="289"/>
      <c r="R76" s="289"/>
      <c r="S76" s="289"/>
      <c r="T76" s="289"/>
      <c r="U76" s="289"/>
      <c r="V76" s="289">
        <v>1</v>
      </c>
      <c r="W76" s="199">
        <f t="shared" si="24"/>
        <v>11</v>
      </c>
      <c r="X76" s="144">
        <f>SUMIFS('Đơn giá'!C:C,'Đơn giá'!B:B,XUẤT!O76)</f>
        <v>98000</v>
      </c>
      <c r="Y76" s="145">
        <f t="shared" si="27"/>
        <v>980000</v>
      </c>
      <c r="Z76" s="244" t="s">
        <v>619</v>
      </c>
      <c r="AA76" s="283" t="s">
        <v>465</v>
      </c>
      <c r="AB76" s="89">
        <f t="shared" si="42"/>
        <v>10</v>
      </c>
      <c r="AC76" s="90">
        <f t="shared" si="43"/>
        <v>50000</v>
      </c>
      <c r="AD76" s="143"/>
    </row>
    <row r="77" spans="1:30" s="146" customFormat="1" ht="87" customHeight="1" x14ac:dyDescent="0.45">
      <c r="A77" s="141">
        <v>10</v>
      </c>
      <c r="B77" s="319" t="s">
        <v>595</v>
      </c>
      <c r="C77" s="318" t="s">
        <v>618</v>
      </c>
      <c r="D77" s="309" t="s">
        <v>448</v>
      </c>
      <c r="E77" s="239" t="s">
        <v>49</v>
      </c>
      <c r="F77" s="239"/>
      <c r="G77" s="239">
        <v>11</v>
      </c>
      <c r="H77" s="239"/>
      <c r="I77" s="239"/>
      <c r="J77" s="239" t="s">
        <v>49</v>
      </c>
      <c r="K77" s="239"/>
      <c r="L77" s="239" t="s">
        <v>408</v>
      </c>
      <c r="M77" s="252" t="s">
        <v>30</v>
      </c>
      <c r="N77" s="10" t="s">
        <v>237</v>
      </c>
      <c r="O77" s="143" t="s">
        <v>25</v>
      </c>
      <c r="P77" s="289">
        <v>10</v>
      </c>
      <c r="Q77" s="289"/>
      <c r="R77" s="289"/>
      <c r="S77" s="289"/>
      <c r="T77" s="289"/>
      <c r="U77" s="289"/>
      <c r="V77" s="289">
        <v>1</v>
      </c>
      <c r="W77" s="199">
        <f t="shared" si="24"/>
        <v>11</v>
      </c>
      <c r="X77" s="144">
        <f>SUMIFS('Đơn giá'!C:C,'Đơn giá'!B:B,XUẤT!O77)</f>
        <v>98000</v>
      </c>
      <c r="Y77" s="145">
        <f t="shared" si="27"/>
        <v>980000</v>
      </c>
      <c r="Z77" s="244" t="s">
        <v>619</v>
      </c>
      <c r="AA77" s="283" t="s">
        <v>517</v>
      </c>
      <c r="AB77" s="89">
        <f t="shared" si="42"/>
        <v>10</v>
      </c>
      <c r="AC77" s="90">
        <f t="shared" si="43"/>
        <v>50000</v>
      </c>
      <c r="AD77" s="143"/>
    </row>
    <row r="78" spans="1:30" s="146" customFormat="1" ht="90" customHeight="1" x14ac:dyDescent="0.45">
      <c r="A78" s="141">
        <v>11</v>
      </c>
      <c r="B78" s="319" t="s">
        <v>595</v>
      </c>
      <c r="C78" s="318" t="s">
        <v>620</v>
      </c>
      <c r="D78" s="309" t="s">
        <v>448</v>
      </c>
      <c r="E78" s="239" t="s">
        <v>192</v>
      </c>
      <c r="F78" s="239"/>
      <c r="G78" s="239"/>
      <c r="H78" s="239"/>
      <c r="I78" s="239"/>
      <c r="J78" s="239" t="s">
        <v>612</v>
      </c>
      <c r="K78" s="239"/>
      <c r="L78" s="239" t="s">
        <v>408</v>
      </c>
      <c r="M78" s="252" t="s">
        <v>30</v>
      </c>
      <c r="N78" s="10" t="s">
        <v>34</v>
      </c>
      <c r="O78" s="143" t="s">
        <v>25</v>
      </c>
      <c r="P78" s="289">
        <v>10</v>
      </c>
      <c r="Q78" s="289"/>
      <c r="R78" s="289"/>
      <c r="S78" s="289"/>
      <c r="T78" s="289"/>
      <c r="U78" s="289"/>
      <c r="V78" s="289">
        <v>1</v>
      </c>
      <c r="W78" s="199">
        <f t="shared" si="24"/>
        <v>11</v>
      </c>
      <c r="X78" s="144">
        <f>SUMIFS('Đơn giá'!C:C,'Đơn giá'!B:B,XUẤT!O78)</f>
        <v>98000</v>
      </c>
      <c r="Y78" s="145">
        <f t="shared" si="27"/>
        <v>980000</v>
      </c>
      <c r="Z78" s="244"/>
      <c r="AA78" s="10" t="s">
        <v>34</v>
      </c>
      <c r="AB78" s="89">
        <f t="shared" si="42"/>
        <v>10</v>
      </c>
      <c r="AC78" s="90">
        <f t="shared" si="43"/>
        <v>50000</v>
      </c>
      <c r="AD78"/>
    </row>
    <row r="79" spans="1:30" s="225" customFormat="1" ht="58.8" customHeight="1" x14ac:dyDescent="0.45">
      <c r="A79" s="351">
        <v>12</v>
      </c>
      <c r="B79" s="349" t="s">
        <v>595</v>
      </c>
      <c r="C79" s="348" t="s">
        <v>622</v>
      </c>
      <c r="D79" s="309" t="s">
        <v>448</v>
      </c>
      <c r="E79" s="239" t="s">
        <v>192</v>
      </c>
      <c r="F79" s="239"/>
      <c r="G79" s="239"/>
      <c r="H79" s="239">
        <v>10</v>
      </c>
      <c r="I79" s="239"/>
      <c r="J79" s="239" t="s">
        <v>612</v>
      </c>
      <c r="K79" s="239"/>
      <c r="L79" s="239" t="s">
        <v>408</v>
      </c>
      <c r="M79" s="252" t="s">
        <v>30</v>
      </c>
      <c r="N79" s="10" t="s">
        <v>203</v>
      </c>
      <c r="O79" s="143" t="s">
        <v>38</v>
      </c>
      <c r="P79" s="289"/>
      <c r="Q79" s="289"/>
      <c r="R79" s="289"/>
      <c r="S79" s="289"/>
      <c r="T79" s="289"/>
      <c r="U79" s="289">
        <v>10</v>
      </c>
      <c r="V79" s="289"/>
      <c r="W79" s="199">
        <f t="shared" si="24"/>
        <v>10</v>
      </c>
      <c r="X79" s="144">
        <f>SUMIFS('Đơn giá'!C:C,'Đơn giá'!B:B,XUẤT!O79)</f>
        <v>48000</v>
      </c>
      <c r="Y79" s="145">
        <f>U79*X79</f>
        <v>480000</v>
      </c>
      <c r="Z79" s="244"/>
      <c r="AA79" s="10" t="s">
        <v>203</v>
      </c>
      <c r="AB79" s="223">
        <f t="shared" si="42"/>
        <v>10</v>
      </c>
      <c r="AC79" s="224">
        <f t="shared" si="43"/>
        <v>50000</v>
      </c>
      <c r="AD79"/>
    </row>
    <row r="80" spans="1:30" s="146" customFormat="1" ht="59.4" customHeight="1" x14ac:dyDescent="0.45">
      <c r="A80" s="352"/>
      <c r="B80" s="350"/>
      <c r="C80" s="345"/>
      <c r="D80" s="309" t="s">
        <v>448</v>
      </c>
      <c r="E80" s="239" t="s">
        <v>192</v>
      </c>
      <c r="F80" s="239">
        <v>11</v>
      </c>
      <c r="G80" s="239"/>
      <c r="H80" s="239"/>
      <c r="I80" s="239"/>
      <c r="J80" s="239" t="s">
        <v>612</v>
      </c>
      <c r="K80" s="239"/>
      <c r="L80" s="239"/>
      <c r="M80" s="252" t="s">
        <v>30</v>
      </c>
      <c r="N80" s="10" t="s">
        <v>212</v>
      </c>
      <c r="O80" s="143" t="s">
        <v>28</v>
      </c>
      <c r="P80" s="289"/>
      <c r="Q80" s="289">
        <v>10</v>
      </c>
      <c r="R80" s="289"/>
      <c r="S80" s="289"/>
      <c r="T80" s="289"/>
      <c r="U80" s="289"/>
      <c r="V80" s="289">
        <v>1</v>
      </c>
      <c r="W80" s="199">
        <f t="shared" si="24"/>
        <v>11</v>
      </c>
      <c r="X80" s="144">
        <f>SUMIFS('Đơn giá'!C:C,'Đơn giá'!B:B,XUẤT!O80)</f>
        <v>85000</v>
      </c>
      <c r="Y80" s="145">
        <f>Q80*X80</f>
        <v>850000</v>
      </c>
      <c r="Z80" s="244"/>
      <c r="AA80" s="10" t="s">
        <v>203</v>
      </c>
      <c r="AB80" s="89">
        <f t="shared" si="42"/>
        <v>10</v>
      </c>
      <c r="AC80" s="90">
        <f t="shared" si="43"/>
        <v>50000</v>
      </c>
      <c r="AD80"/>
    </row>
    <row r="81" spans="1:30" s="146" customFormat="1" ht="87.6" customHeight="1" x14ac:dyDescent="0.45">
      <c r="A81" s="141">
        <v>13</v>
      </c>
      <c r="B81" s="319" t="s">
        <v>595</v>
      </c>
      <c r="C81" s="318" t="s">
        <v>623</v>
      </c>
      <c r="D81" s="309" t="s">
        <v>448</v>
      </c>
      <c r="E81" s="239" t="s">
        <v>431</v>
      </c>
      <c r="F81" s="239"/>
      <c r="G81" s="239"/>
      <c r="H81" s="239"/>
      <c r="I81" s="239"/>
      <c r="J81" s="239" t="s">
        <v>612</v>
      </c>
      <c r="K81" s="239"/>
      <c r="L81" s="239"/>
      <c r="M81" s="252" t="s">
        <v>49</v>
      </c>
      <c r="N81" s="252"/>
      <c r="O81" s="143" t="s">
        <v>25</v>
      </c>
      <c r="P81" s="289">
        <v>10</v>
      </c>
      <c r="Q81" s="289"/>
      <c r="R81" s="289"/>
      <c r="S81" s="289"/>
      <c r="T81" s="289"/>
      <c r="U81" s="289"/>
      <c r="V81" s="289">
        <v>1</v>
      </c>
      <c r="W81" s="199">
        <f t="shared" si="24"/>
        <v>11</v>
      </c>
      <c r="X81" s="144">
        <f>SUMIFS('Đơn giá'!C:C,'Đơn giá'!B:B,XUẤT!O81)</f>
        <v>98000</v>
      </c>
      <c r="Y81" s="145">
        <f t="shared" si="27"/>
        <v>980000</v>
      </c>
      <c r="Z81" s="244"/>
      <c r="AA81" s="283" t="s">
        <v>465</v>
      </c>
      <c r="AB81" s="89">
        <f t="shared" si="42"/>
        <v>10</v>
      </c>
      <c r="AC81" s="90">
        <f t="shared" si="43"/>
        <v>50000</v>
      </c>
      <c r="AD81"/>
    </row>
    <row r="82" spans="1:30" s="146" customFormat="1" ht="66.599999999999994" customHeight="1" x14ac:dyDescent="0.45">
      <c r="A82" s="141">
        <v>14</v>
      </c>
      <c r="B82" s="319" t="s">
        <v>595</v>
      </c>
      <c r="C82" s="318" t="s">
        <v>624</v>
      </c>
      <c r="D82" s="309" t="s">
        <v>448</v>
      </c>
      <c r="E82" s="239" t="s">
        <v>192</v>
      </c>
      <c r="F82" s="239"/>
      <c r="G82" s="239"/>
      <c r="H82" s="239"/>
      <c r="I82" s="239"/>
      <c r="J82" s="34" t="s">
        <v>34</v>
      </c>
      <c r="K82" s="239"/>
      <c r="L82" s="239"/>
      <c r="M82" s="252" t="s">
        <v>49</v>
      </c>
      <c r="N82" s="252" t="s">
        <v>49</v>
      </c>
      <c r="O82" s="143" t="s">
        <v>28</v>
      </c>
      <c r="P82" s="289"/>
      <c r="Q82" s="289">
        <v>1</v>
      </c>
      <c r="R82" s="289"/>
      <c r="S82" s="289"/>
      <c r="T82" s="289"/>
      <c r="U82" s="289"/>
      <c r="V82" s="289"/>
      <c r="W82" s="199">
        <f t="shared" si="24"/>
        <v>1</v>
      </c>
      <c r="X82" s="144">
        <f>SUMIFS('Đơn giá'!C:C,'Đơn giá'!B:B,XUẤT!O82)</f>
        <v>85000</v>
      </c>
      <c r="Y82" s="145">
        <f>Q82*X82</f>
        <v>85000</v>
      </c>
      <c r="Z82" s="244"/>
      <c r="AA82" s="10" t="s">
        <v>34</v>
      </c>
      <c r="AB82" s="143">
        <f t="shared" si="42"/>
        <v>1</v>
      </c>
      <c r="AC82" s="144">
        <f t="shared" si="43"/>
        <v>5000</v>
      </c>
      <c r="AD82"/>
    </row>
    <row r="83" spans="1:30" s="146" customFormat="1" ht="55.8" customHeight="1" x14ac:dyDescent="0.45">
      <c r="A83" s="141">
        <v>15</v>
      </c>
      <c r="B83" s="319" t="s">
        <v>595</v>
      </c>
      <c r="C83" s="318" t="s">
        <v>627</v>
      </c>
      <c r="D83" s="309" t="s">
        <v>448</v>
      </c>
      <c r="E83" s="239" t="s">
        <v>58</v>
      </c>
      <c r="F83" s="239"/>
      <c r="G83" s="239"/>
      <c r="H83" s="239"/>
      <c r="I83" s="239"/>
      <c r="J83" s="321" t="s">
        <v>449</v>
      </c>
      <c r="K83" s="239"/>
      <c r="L83" s="239" t="s">
        <v>408</v>
      </c>
      <c r="M83" s="252" t="s">
        <v>30</v>
      </c>
      <c r="N83" s="31" t="s">
        <v>449</v>
      </c>
      <c r="O83" s="143" t="s">
        <v>25</v>
      </c>
      <c r="P83" s="289">
        <v>3</v>
      </c>
      <c r="Q83" s="289"/>
      <c r="R83" s="289"/>
      <c r="S83" s="289"/>
      <c r="T83" s="289"/>
      <c r="U83" s="289"/>
      <c r="V83" s="289">
        <v>1</v>
      </c>
      <c r="W83" s="199">
        <f t="shared" si="24"/>
        <v>4</v>
      </c>
      <c r="X83" s="144">
        <f>SUMIFS('Đơn giá'!C:C,'Đơn giá'!B:B,XUẤT!O83)</f>
        <v>98000</v>
      </c>
      <c r="Y83" s="145">
        <f t="shared" si="27"/>
        <v>294000</v>
      </c>
      <c r="Z83" s="244" t="s">
        <v>619</v>
      </c>
      <c r="AA83" s="31" t="s">
        <v>449</v>
      </c>
      <c r="AB83" s="89">
        <f t="shared" si="42"/>
        <v>3</v>
      </c>
      <c r="AC83" s="90">
        <f t="shared" si="43"/>
        <v>15000</v>
      </c>
      <c r="AD83"/>
    </row>
    <row r="84" spans="1:30" s="146" customFormat="1" ht="70.8" customHeight="1" x14ac:dyDescent="0.45">
      <c r="A84" s="141">
        <v>16</v>
      </c>
      <c r="B84" s="319" t="s">
        <v>595</v>
      </c>
      <c r="C84" s="318" t="s">
        <v>629</v>
      </c>
      <c r="D84" s="309" t="s">
        <v>448</v>
      </c>
      <c r="E84" s="239" t="s">
        <v>431</v>
      </c>
      <c r="F84" s="239"/>
      <c r="G84" s="239"/>
      <c r="H84" s="239"/>
      <c r="I84" s="239"/>
      <c r="J84" s="239" t="s">
        <v>612</v>
      </c>
      <c r="K84" s="239"/>
      <c r="L84" s="239" t="s">
        <v>408</v>
      </c>
      <c r="M84" s="252" t="s">
        <v>30</v>
      </c>
      <c r="N84" s="10" t="s">
        <v>139</v>
      </c>
      <c r="O84" s="143" t="s">
        <v>25</v>
      </c>
      <c r="P84" s="289">
        <v>10</v>
      </c>
      <c r="Q84" s="289"/>
      <c r="R84" s="289"/>
      <c r="S84" s="289"/>
      <c r="T84" s="289"/>
      <c r="U84" s="289"/>
      <c r="V84" s="289">
        <v>1</v>
      </c>
      <c r="W84" s="199">
        <f t="shared" si="24"/>
        <v>11</v>
      </c>
      <c r="X84" s="144">
        <f>SUMIFS('Đơn giá'!C:C,'Đơn giá'!B:B,XUẤT!O84)</f>
        <v>98000</v>
      </c>
      <c r="Y84" s="145">
        <f t="shared" si="27"/>
        <v>980000</v>
      </c>
      <c r="Z84" s="244"/>
      <c r="AA84" s="283" t="s">
        <v>465</v>
      </c>
      <c r="AB84" s="89">
        <f t="shared" si="42"/>
        <v>10</v>
      </c>
      <c r="AC84" s="90">
        <f t="shared" si="43"/>
        <v>50000</v>
      </c>
      <c r="AD84" t="s">
        <v>628</v>
      </c>
    </row>
    <row r="85" spans="1:30" s="146" customFormat="1" ht="67.8" customHeight="1" x14ac:dyDescent="0.45">
      <c r="A85" s="141">
        <v>17</v>
      </c>
      <c r="B85" s="319" t="s">
        <v>595</v>
      </c>
      <c r="C85" s="318" t="s">
        <v>630</v>
      </c>
      <c r="D85" s="309" t="s">
        <v>537</v>
      </c>
      <c r="E85" s="239" t="s">
        <v>602</v>
      </c>
      <c r="F85" s="239"/>
      <c r="G85" s="239"/>
      <c r="H85" s="239"/>
      <c r="I85" s="239"/>
      <c r="J85" s="239" t="s">
        <v>633</v>
      </c>
      <c r="K85" s="239"/>
      <c r="L85" s="239"/>
      <c r="M85" s="252" t="s">
        <v>545</v>
      </c>
      <c r="N85" s="252" t="s">
        <v>545</v>
      </c>
      <c r="O85" s="143" t="s">
        <v>36</v>
      </c>
      <c r="P85" s="289"/>
      <c r="Q85" s="289"/>
      <c r="R85" s="289"/>
      <c r="S85" s="289"/>
      <c r="T85" s="289"/>
      <c r="U85" s="289"/>
      <c r="V85" s="289"/>
      <c r="W85" s="199">
        <f t="shared" si="24"/>
        <v>0</v>
      </c>
      <c r="X85" s="144">
        <f>SUMIFS('Đơn giá'!C:C,'Đơn giá'!B:B,XUẤT!O85)</f>
        <v>52000</v>
      </c>
      <c r="Y85" s="145">
        <f t="shared" si="27"/>
        <v>0</v>
      </c>
      <c r="Z85" s="244"/>
      <c r="AA85" s="283"/>
      <c r="AB85" s="89">
        <f t="shared" si="42"/>
        <v>0</v>
      </c>
      <c r="AC85" s="90">
        <f t="shared" si="43"/>
        <v>0</v>
      </c>
      <c r="AD85"/>
    </row>
    <row r="86" spans="1:30" s="146" customFormat="1" ht="45" customHeight="1" x14ac:dyDescent="0.45">
      <c r="A86" s="141">
        <v>2</v>
      </c>
      <c r="B86" s="319" t="s">
        <v>595</v>
      </c>
      <c r="C86" s="318" t="s">
        <v>635</v>
      </c>
      <c r="D86" s="309" t="s">
        <v>448</v>
      </c>
      <c r="E86" s="239" t="s">
        <v>192</v>
      </c>
      <c r="F86" s="239"/>
      <c r="G86" s="239">
        <v>55</v>
      </c>
      <c r="H86" s="239"/>
      <c r="I86" s="239"/>
      <c r="J86" s="239" t="s">
        <v>34</v>
      </c>
      <c r="K86" s="239"/>
      <c r="L86" s="239" t="s">
        <v>542</v>
      </c>
      <c r="M86" s="252" t="s">
        <v>30</v>
      </c>
      <c r="N86" s="239" t="s">
        <v>34</v>
      </c>
      <c r="O86" s="143" t="s">
        <v>25</v>
      </c>
      <c r="P86" s="289">
        <v>50</v>
      </c>
      <c r="Q86" s="289"/>
      <c r="R86" s="289"/>
      <c r="S86" s="289"/>
      <c r="T86" s="289"/>
      <c r="U86" s="289"/>
      <c r="V86" s="289">
        <v>5</v>
      </c>
      <c r="W86" s="199">
        <f t="shared" si="24"/>
        <v>55</v>
      </c>
      <c r="X86" s="144">
        <f>SUMIFS('Đơn giá'!C:C,'Đơn giá'!B:B,XUẤT!O86)</f>
        <v>98000</v>
      </c>
      <c r="Y86" s="145">
        <f t="shared" si="27"/>
        <v>4900000</v>
      </c>
      <c r="Z86" s="244"/>
      <c r="AA86" s="239" t="s">
        <v>34</v>
      </c>
      <c r="AB86" s="89">
        <f t="shared" si="42"/>
        <v>50</v>
      </c>
      <c r="AC86" s="90">
        <f t="shared" si="43"/>
        <v>250000</v>
      </c>
      <c r="AD86"/>
    </row>
    <row r="87" spans="1:30" s="146" customFormat="1" ht="45" customHeight="1" x14ac:dyDescent="0.45">
      <c r="A87" s="141">
        <v>3</v>
      </c>
      <c r="B87" s="319" t="s">
        <v>595</v>
      </c>
      <c r="C87" s="318" t="s">
        <v>637</v>
      </c>
      <c r="D87" s="309" t="s">
        <v>448</v>
      </c>
      <c r="E87" s="239" t="s">
        <v>431</v>
      </c>
      <c r="F87" s="239"/>
      <c r="G87" s="239">
        <v>3</v>
      </c>
      <c r="H87" s="239"/>
      <c r="I87" s="239"/>
      <c r="J87" s="34" t="s">
        <v>172</v>
      </c>
      <c r="K87" s="239"/>
      <c r="L87" s="239" t="s">
        <v>542</v>
      </c>
      <c r="M87" s="252" t="s">
        <v>30</v>
      </c>
      <c r="N87" s="34" t="s">
        <v>172</v>
      </c>
      <c r="O87" s="143" t="s">
        <v>25</v>
      </c>
      <c r="P87" s="289">
        <v>3</v>
      </c>
      <c r="Q87" s="289"/>
      <c r="R87" s="289"/>
      <c r="S87" s="289"/>
      <c r="T87" s="289"/>
      <c r="U87" s="289"/>
      <c r="V87" s="289"/>
      <c r="W87" s="199">
        <f t="shared" si="24"/>
        <v>3</v>
      </c>
      <c r="X87" s="144">
        <f>SUMIFS('Đơn giá'!C:C,'Đơn giá'!B:B,XUẤT!O87)</f>
        <v>98000</v>
      </c>
      <c r="Y87" s="145">
        <f t="shared" si="27"/>
        <v>294000</v>
      </c>
      <c r="Z87" s="244" t="s">
        <v>619</v>
      </c>
      <c r="AA87" s="34" t="s">
        <v>172</v>
      </c>
      <c r="AB87" s="89">
        <f t="shared" si="42"/>
        <v>3</v>
      </c>
      <c r="AC87" s="90">
        <f t="shared" si="43"/>
        <v>15000</v>
      </c>
      <c r="AD87"/>
    </row>
    <row r="88" spans="1:30" s="146" customFormat="1" ht="45" customHeight="1" x14ac:dyDescent="0.45">
      <c r="A88" s="141">
        <v>4</v>
      </c>
      <c r="B88" s="319" t="s">
        <v>595</v>
      </c>
      <c r="C88" s="318" t="s">
        <v>638</v>
      </c>
      <c r="D88" s="309" t="s">
        <v>448</v>
      </c>
      <c r="E88" s="239" t="s">
        <v>431</v>
      </c>
      <c r="F88" s="239"/>
      <c r="G88" s="239"/>
      <c r="H88" s="239"/>
      <c r="I88" s="239">
        <v>3</v>
      </c>
      <c r="J88" s="10" t="s">
        <v>181</v>
      </c>
      <c r="K88" s="239"/>
      <c r="L88" s="239" t="s">
        <v>542</v>
      </c>
      <c r="M88" s="252" t="s">
        <v>30</v>
      </c>
      <c r="N88" s="10" t="s">
        <v>181</v>
      </c>
      <c r="O88" s="143" t="s">
        <v>36</v>
      </c>
      <c r="P88" s="289"/>
      <c r="Q88" s="289"/>
      <c r="R88" s="289"/>
      <c r="S88" s="289"/>
      <c r="T88" s="289">
        <v>3</v>
      </c>
      <c r="U88" s="289"/>
      <c r="V88" s="289"/>
      <c r="W88" s="199">
        <f t="shared" si="24"/>
        <v>3</v>
      </c>
      <c r="X88" s="144">
        <f>SUMIFS('Đơn giá'!C:C,'Đơn giá'!B:B,XUẤT!O88)</f>
        <v>52000</v>
      </c>
      <c r="Y88" s="145">
        <f>T88*X88</f>
        <v>156000</v>
      </c>
      <c r="Z88" s="244"/>
      <c r="AA88" s="10" t="s">
        <v>181</v>
      </c>
      <c r="AB88" s="89">
        <f t="shared" si="42"/>
        <v>3</v>
      </c>
      <c r="AC88" s="90">
        <f t="shared" si="43"/>
        <v>15000</v>
      </c>
      <c r="AD88"/>
    </row>
    <row r="89" spans="1:30" s="146" customFormat="1" ht="45" customHeight="1" x14ac:dyDescent="0.45">
      <c r="A89" s="141"/>
      <c r="B89" s="319" t="s">
        <v>595</v>
      </c>
      <c r="C89" s="318" t="s">
        <v>639</v>
      </c>
      <c r="D89" s="309" t="s">
        <v>448</v>
      </c>
      <c r="E89" s="239" t="s">
        <v>58</v>
      </c>
      <c r="F89" s="239"/>
      <c r="G89" s="239">
        <v>4</v>
      </c>
      <c r="H89" s="239"/>
      <c r="I89" s="239"/>
      <c r="J89" s="10" t="s">
        <v>152</v>
      </c>
      <c r="K89" s="239"/>
      <c r="L89" s="239" t="s">
        <v>542</v>
      </c>
      <c r="M89" s="252" t="s">
        <v>30</v>
      </c>
      <c r="N89" s="10" t="s">
        <v>152</v>
      </c>
      <c r="O89" s="143" t="s">
        <v>25</v>
      </c>
      <c r="P89" s="289">
        <v>4</v>
      </c>
      <c r="Q89" s="289"/>
      <c r="R89" s="289"/>
      <c r="S89" s="289"/>
      <c r="T89" s="289"/>
      <c r="U89" s="289"/>
      <c r="V89" s="289"/>
      <c r="W89" s="199">
        <f t="shared" ref="W89" si="44">SUM(P89:V89)</f>
        <v>4</v>
      </c>
      <c r="X89" s="144">
        <f>SUMIFS('Đơn giá'!C:C,'Đơn giá'!B:B,XUẤT!O89)</f>
        <v>98000</v>
      </c>
      <c r="Y89" s="145">
        <f>P89*X89</f>
        <v>392000</v>
      </c>
      <c r="Z89" s="244"/>
      <c r="AA89" s="10" t="s">
        <v>152</v>
      </c>
      <c r="AB89" s="89">
        <f t="shared" ref="AB89" si="45">W89-V89</f>
        <v>4</v>
      </c>
      <c r="AC89" s="90">
        <f t="shared" ref="AC89" si="46">AB89*5000</f>
        <v>20000</v>
      </c>
      <c r="AD89"/>
    </row>
    <row r="90" spans="1:30" s="146" customFormat="1" ht="110.4" customHeight="1" x14ac:dyDescent="0.45">
      <c r="A90" s="141">
        <v>5</v>
      </c>
      <c r="B90" s="317">
        <v>46183</v>
      </c>
      <c r="C90" s="318" t="s">
        <v>634</v>
      </c>
      <c r="D90" s="77"/>
      <c r="E90" s="239"/>
      <c r="F90" s="239"/>
      <c r="G90" s="239"/>
      <c r="H90" s="239"/>
      <c r="I90" s="239"/>
      <c r="J90" s="239"/>
      <c r="K90" s="239"/>
      <c r="L90" s="239"/>
      <c r="M90" s="252"/>
      <c r="N90" s="252"/>
      <c r="O90" s="143" t="s">
        <v>38</v>
      </c>
      <c r="P90" s="289"/>
      <c r="Q90" s="289"/>
      <c r="R90" s="289"/>
      <c r="S90" s="289"/>
      <c r="T90" s="289"/>
      <c r="U90" s="289">
        <v>10</v>
      </c>
      <c r="V90" s="289">
        <v>1</v>
      </c>
      <c r="W90" s="199">
        <f t="shared" ref="W90" si="47">SUM(P90:V90)</f>
        <v>11</v>
      </c>
      <c r="X90" s="144">
        <f>SUMIFS('Đơn giá'!C:C,'Đơn giá'!B:B,XUẤT!O90)</f>
        <v>48000</v>
      </c>
      <c r="Y90" s="145">
        <f>U90*X90</f>
        <v>480000</v>
      </c>
      <c r="Z90" s="244"/>
      <c r="AA90" s="283"/>
      <c r="AB90" s="89">
        <f t="shared" si="42"/>
        <v>10</v>
      </c>
      <c r="AC90" s="90">
        <f t="shared" si="43"/>
        <v>50000</v>
      </c>
      <c r="AD90" s="143"/>
    </row>
  </sheetData>
  <autoFilter ref="A4:AF90" xr:uid="{00000000-0001-0000-0000-000000000000}"/>
  <mergeCells count="16">
    <mergeCell ref="P3:W3"/>
    <mergeCell ref="L3:L4"/>
    <mergeCell ref="J3:J4"/>
    <mergeCell ref="K3:K4"/>
    <mergeCell ref="A3:A4"/>
    <mergeCell ref="B3:B4"/>
    <mergeCell ref="C3:C4"/>
    <mergeCell ref="D3:D4"/>
    <mergeCell ref="E3:E4"/>
    <mergeCell ref="F3:I3"/>
    <mergeCell ref="C29:C30"/>
    <mergeCell ref="C74:C75"/>
    <mergeCell ref="A74:A75"/>
    <mergeCell ref="C79:C80"/>
    <mergeCell ref="B79:B80"/>
    <mergeCell ref="A79:A80"/>
  </mergeCells>
  <phoneticPr fontId="31" type="noConversion"/>
  <conditionalFormatting sqref="J18:J19">
    <cfRule type="duplicateValues" dxfId="95" priority="64"/>
  </conditionalFormatting>
  <conditionalFormatting sqref="J20">
    <cfRule type="duplicateValues" dxfId="94" priority="66"/>
  </conditionalFormatting>
  <conditionalFormatting sqref="J64">
    <cfRule type="duplicateValues" dxfId="93" priority="39"/>
  </conditionalFormatting>
  <conditionalFormatting sqref="J65">
    <cfRule type="duplicateValues" dxfId="92" priority="35"/>
  </conditionalFormatting>
  <conditionalFormatting sqref="J66">
    <cfRule type="duplicateValues" dxfId="91" priority="32"/>
  </conditionalFormatting>
  <conditionalFormatting sqref="J82">
    <cfRule type="duplicateValues" dxfId="90" priority="11"/>
  </conditionalFormatting>
  <conditionalFormatting sqref="J83">
    <cfRule type="duplicateValues" dxfId="89" priority="15"/>
  </conditionalFormatting>
  <conditionalFormatting sqref="J87">
    <cfRule type="duplicateValues" dxfId="88" priority="9"/>
  </conditionalFormatting>
  <conditionalFormatting sqref="J88">
    <cfRule type="duplicateValues" dxfId="87" priority="6"/>
  </conditionalFormatting>
  <conditionalFormatting sqref="J89">
    <cfRule type="duplicateValues" dxfId="86" priority="3"/>
  </conditionalFormatting>
  <conditionalFormatting sqref="N6">
    <cfRule type="duplicateValues" dxfId="85" priority="69"/>
  </conditionalFormatting>
  <conditionalFormatting sqref="N13">
    <cfRule type="duplicateValues" dxfId="84" priority="67"/>
  </conditionalFormatting>
  <conditionalFormatting sqref="N15">
    <cfRule type="duplicateValues" dxfId="83" priority="68"/>
  </conditionalFormatting>
  <conditionalFormatting sqref="N16">
    <cfRule type="duplicateValues" dxfId="82" priority="48"/>
  </conditionalFormatting>
  <conditionalFormatting sqref="N18">
    <cfRule type="duplicateValues" dxfId="81" priority="63"/>
  </conditionalFormatting>
  <conditionalFormatting sqref="N19">
    <cfRule type="duplicateValues" dxfId="80" priority="61"/>
  </conditionalFormatting>
  <conditionalFormatting sqref="N20">
    <cfRule type="duplicateValues" dxfId="79" priority="65"/>
  </conditionalFormatting>
  <conditionalFormatting sqref="N23">
    <cfRule type="duplicateValues" dxfId="78" priority="57"/>
  </conditionalFormatting>
  <conditionalFormatting sqref="N24">
    <cfRule type="duplicateValues" dxfId="77" priority="56"/>
  </conditionalFormatting>
  <conditionalFormatting sqref="N25">
    <cfRule type="duplicateValues" dxfId="76" priority="54"/>
  </conditionalFormatting>
  <conditionalFormatting sqref="N26">
    <cfRule type="duplicateValues" dxfId="75" priority="53"/>
  </conditionalFormatting>
  <conditionalFormatting sqref="N27">
    <cfRule type="duplicateValues" dxfId="74" priority="55"/>
  </conditionalFormatting>
  <conditionalFormatting sqref="N28:N30">
    <cfRule type="duplicateValues" dxfId="73" priority="52"/>
  </conditionalFormatting>
  <conditionalFormatting sqref="N33:N34">
    <cfRule type="duplicateValues" dxfId="72" priority="51"/>
  </conditionalFormatting>
  <conditionalFormatting sqref="N50:N51">
    <cfRule type="duplicateValues" dxfId="71" priority="47"/>
  </conditionalFormatting>
  <conditionalFormatting sqref="N52">
    <cfRule type="duplicateValues" dxfId="70" priority="41"/>
  </conditionalFormatting>
  <conditionalFormatting sqref="N53">
    <cfRule type="duplicateValues" dxfId="69" priority="42"/>
  </conditionalFormatting>
  <conditionalFormatting sqref="N57">
    <cfRule type="duplicateValues" dxfId="68" priority="44"/>
  </conditionalFormatting>
  <conditionalFormatting sqref="N64">
    <cfRule type="duplicateValues" dxfId="67" priority="38"/>
  </conditionalFormatting>
  <conditionalFormatting sqref="N65">
    <cfRule type="duplicateValues" dxfId="66" priority="34"/>
  </conditionalFormatting>
  <conditionalFormatting sqref="N66">
    <cfRule type="duplicateValues" dxfId="65" priority="31"/>
  </conditionalFormatting>
  <conditionalFormatting sqref="N67">
    <cfRule type="duplicateValues" dxfId="64" priority="36"/>
  </conditionalFormatting>
  <conditionalFormatting sqref="N74">
    <cfRule type="duplicateValues" dxfId="63" priority="29"/>
  </conditionalFormatting>
  <conditionalFormatting sqref="N75">
    <cfRule type="duplicateValues" dxfId="62" priority="27"/>
  </conditionalFormatting>
  <conditionalFormatting sqref="N76">
    <cfRule type="duplicateValues" dxfId="61" priority="26"/>
  </conditionalFormatting>
  <conditionalFormatting sqref="N77">
    <cfRule type="duplicateValues" dxfId="60" priority="25"/>
  </conditionalFormatting>
  <conditionalFormatting sqref="N78">
    <cfRule type="duplicateValues" dxfId="59" priority="24"/>
  </conditionalFormatting>
  <conditionalFormatting sqref="N79">
    <cfRule type="duplicateValues" dxfId="58" priority="22"/>
  </conditionalFormatting>
  <conditionalFormatting sqref="N80">
    <cfRule type="duplicateValues" dxfId="57" priority="20"/>
  </conditionalFormatting>
  <conditionalFormatting sqref="N83">
    <cfRule type="duplicateValues" dxfId="56" priority="14"/>
  </conditionalFormatting>
  <conditionalFormatting sqref="N84">
    <cfRule type="duplicateValues" dxfId="55" priority="12"/>
  </conditionalFormatting>
  <conditionalFormatting sqref="N87">
    <cfRule type="duplicateValues" dxfId="54" priority="8"/>
  </conditionalFormatting>
  <conditionalFormatting sqref="N88">
    <cfRule type="duplicateValues" dxfId="53" priority="5"/>
  </conditionalFormatting>
  <conditionalFormatting sqref="N89">
    <cfRule type="duplicateValues" dxfId="52" priority="2"/>
  </conditionalFormatting>
  <conditionalFormatting sqref="AA18">
    <cfRule type="duplicateValues" dxfId="51" priority="60"/>
  </conditionalFormatting>
  <conditionalFormatting sqref="AA20">
    <cfRule type="duplicateValues" dxfId="50" priority="59"/>
  </conditionalFormatting>
  <conditionalFormatting sqref="AA27">
    <cfRule type="duplicateValues" dxfId="49" priority="49"/>
  </conditionalFormatting>
  <conditionalFormatting sqref="AA34">
    <cfRule type="duplicateValues" dxfId="48" priority="50"/>
  </conditionalFormatting>
  <conditionalFormatting sqref="AA49">
    <cfRule type="duplicateValues" dxfId="47" priority="40"/>
  </conditionalFormatting>
  <conditionalFormatting sqref="AA50">
    <cfRule type="duplicateValues" dxfId="46" priority="46"/>
  </conditionalFormatting>
  <conditionalFormatting sqref="AA51">
    <cfRule type="duplicateValues" dxfId="45" priority="45"/>
  </conditionalFormatting>
  <conditionalFormatting sqref="AA56">
    <cfRule type="duplicateValues" dxfId="44" priority="43"/>
  </conditionalFormatting>
  <conditionalFormatting sqref="AA64">
    <cfRule type="duplicateValues" dxfId="43" priority="37"/>
  </conditionalFormatting>
  <conditionalFormatting sqref="AA65">
    <cfRule type="duplicateValues" dxfId="42" priority="33"/>
  </conditionalFormatting>
  <conditionalFormatting sqref="AA66">
    <cfRule type="duplicateValues" dxfId="41" priority="30"/>
  </conditionalFormatting>
  <conditionalFormatting sqref="AA71">
    <cfRule type="duplicateValues" dxfId="40" priority="18"/>
    <cfRule type="duplicateValues" dxfId="39" priority="19"/>
  </conditionalFormatting>
  <conditionalFormatting sqref="AA73">
    <cfRule type="duplicateValues" dxfId="38" priority="16"/>
    <cfRule type="duplicateValues" dxfId="37" priority="17"/>
  </conditionalFormatting>
  <conditionalFormatting sqref="AA74:AA75">
    <cfRule type="duplicateValues" dxfId="36" priority="28"/>
  </conditionalFormatting>
  <conditionalFormatting sqref="AA78">
    <cfRule type="duplicateValues" dxfId="35" priority="23"/>
  </conditionalFormatting>
  <conditionalFormatting sqref="AA79:AA80">
    <cfRule type="duplicateValues" dxfId="34" priority="21"/>
  </conditionalFormatting>
  <conditionalFormatting sqref="AA82">
    <cfRule type="duplicateValues" dxfId="33" priority="10"/>
  </conditionalFormatting>
  <conditionalFormatting sqref="AA83">
    <cfRule type="duplicateValues" dxfId="32" priority="13"/>
  </conditionalFormatting>
  <conditionalFormatting sqref="AA87">
    <cfRule type="duplicateValues" dxfId="31" priority="7"/>
  </conditionalFormatting>
  <conditionalFormatting sqref="AA88">
    <cfRule type="duplicateValues" dxfId="30" priority="4"/>
  </conditionalFormatting>
  <conditionalFormatting sqref="AA89">
    <cfRule type="duplicateValues" dxfId="29" priority="1"/>
  </conditionalFormatting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4BF4A5-AD76-4A62-AD76-3FF57B79CC26}">
          <x14:formula1>
            <xm:f>'Đơn giá'!$B$4:$B$9</xm:f>
          </x14:formula1>
          <xm:sqref>O6:O90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T200"/>
  <sheetViews>
    <sheetView zoomScale="70" zoomScaleNormal="70" workbookViewId="0">
      <pane ySplit="6" topLeftCell="A45" activePane="bottomLeft" state="frozen"/>
      <selection pane="bottomLeft" activeCell="B75" sqref="B75"/>
    </sheetView>
  </sheetViews>
  <sheetFormatPr defaultColWidth="9.109375" defaultRowHeight="18" x14ac:dyDescent="0.3"/>
  <cols>
    <col min="1" max="1" width="7.6640625" style="12" customWidth="1"/>
    <col min="2" max="2" width="31.44140625" style="12" customWidth="1"/>
    <col min="3" max="3" width="26" style="15" customWidth="1"/>
    <col min="4" max="4" width="20.6640625" style="15" customWidth="1"/>
    <col min="5" max="15" width="15" style="12" customWidth="1"/>
    <col min="16" max="16" width="17.109375" style="12" customWidth="1"/>
    <col min="17" max="17" width="12.33203125" style="16" bestFit="1" customWidth="1"/>
    <col min="18" max="18" width="9.109375" style="16"/>
    <col min="19" max="19" width="43" style="12" customWidth="1"/>
    <col min="20" max="20" width="16.33203125" style="12" customWidth="1"/>
    <col min="21" max="16384" width="9.109375" style="12"/>
  </cols>
  <sheetData>
    <row r="1" spans="1:20" ht="18.75" customHeight="1" x14ac:dyDescent="0.3">
      <c r="A1" s="366" t="s">
        <v>51</v>
      </c>
      <c r="B1" s="366" t="s">
        <v>52</v>
      </c>
      <c r="C1" s="366" t="s">
        <v>53</v>
      </c>
      <c r="D1" s="366" t="s">
        <v>54</v>
      </c>
      <c r="E1" s="140" t="s">
        <v>12</v>
      </c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7"/>
    </row>
    <row r="2" spans="1:20" x14ac:dyDescent="0.3">
      <c r="A2" s="366"/>
      <c r="B2" s="366"/>
      <c r="C2" s="366"/>
      <c r="D2" s="366"/>
      <c r="E2" s="18" t="s">
        <v>25</v>
      </c>
      <c r="F2" s="18"/>
      <c r="G2" s="18" t="s">
        <v>28</v>
      </c>
      <c r="H2" s="18"/>
      <c r="I2" s="18" t="s">
        <v>32</v>
      </c>
      <c r="J2" s="18"/>
      <c r="K2" s="18" t="s">
        <v>35</v>
      </c>
      <c r="L2" s="18"/>
      <c r="M2" s="18" t="s">
        <v>36</v>
      </c>
      <c r="N2" s="18"/>
      <c r="O2" s="18" t="s">
        <v>38</v>
      </c>
      <c r="P2" s="18"/>
      <c r="Q2" s="19"/>
    </row>
    <row r="3" spans="1:20" x14ac:dyDescent="0.3">
      <c r="A3" s="366"/>
      <c r="B3" s="366"/>
      <c r="C3" s="366"/>
      <c r="D3" s="366"/>
      <c r="E3" s="1" t="s">
        <v>7</v>
      </c>
      <c r="F3" s="1" t="s">
        <v>55</v>
      </c>
      <c r="G3" s="1" t="s">
        <v>7</v>
      </c>
      <c r="H3" s="1" t="s">
        <v>55</v>
      </c>
      <c r="I3" s="1" t="s">
        <v>7</v>
      </c>
      <c r="J3" s="1" t="s">
        <v>55</v>
      </c>
      <c r="K3" s="1" t="s">
        <v>7</v>
      </c>
      <c r="L3" s="1" t="s">
        <v>55</v>
      </c>
      <c r="M3" s="1" t="s">
        <v>7</v>
      </c>
      <c r="N3" s="1" t="s">
        <v>55</v>
      </c>
      <c r="O3" s="1" t="s">
        <v>7</v>
      </c>
      <c r="P3" s="1" t="s">
        <v>55</v>
      </c>
      <c r="Q3" s="153" t="s">
        <v>30</v>
      </c>
    </row>
    <row r="4" spans="1:20" s="25" customFormat="1" ht="17.399999999999999" x14ac:dyDescent="0.3">
      <c r="A4" s="154"/>
      <c r="B4" s="154" t="s">
        <v>22</v>
      </c>
      <c r="C4" s="155"/>
      <c r="D4" s="155"/>
      <c r="E4" s="156">
        <f>SUM(E7:E200)</f>
        <v>323</v>
      </c>
      <c r="F4" s="156">
        <f t="shared" ref="F4:P4" si="0">SUM(F7:F200)</f>
        <v>31654000</v>
      </c>
      <c r="G4" s="156">
        <f t="shared" si="0"/>
        <v>42</v>
      </c>
      <c r="H4" s="156">
        <f t="shared" si="0"/>
        <v>3570000</v>
      </c>
      <c r="I4" s="156">
        <f t="shared" si="0"/>
        <v>0</v>
      </c>
      <c r="J4" s="156">
        <f t="shared" si="0"/>
        <v>0</v>
      </c>
      <c r="K4" s="156">
        <f t="shared" si="0"/>
        <v>0</v>
      </c>
      <c r="L4" s="156">
        <f t="shared" si="0"/>
        <v>0</v>
      </c>
      <c r="M4" s="156">
        <f t="shared" si="0"/>
        <v>10</v>
      </c>
      <c r="N4" s="156">
        <f t="shared" si="0"/>
        <v>520000</v>
      </c>
      <c r="O4" s="156">
        <f t="shared" si="0"/>
        <v>94</v>
      </c>
      <c r="P4" s="156">
        <f t="shared" si="0"/>
        <v>4512000</v>
      </c>
      <c r="Q4" s="23"/>
      <c r="R4" s="23"/>
    </row>
    <row r="5" spans="1:20" s="25" customFormat="1" ht="17.399999999999999" x14ac:dyDescent="0.3">
      <c r="A5" s="154"/>
      <c r="B5" s="154" t="s">
        <v>410</v>
      </c>
      <c r="C5" s="155"/>
      <c r="D5" s="155"/>
      <c r="E5" s="156">
        <f>SUMIFS(XUẤT!P:P,XUẤT!$M:$M,CBCNV!$Q$3)-E4</f>
        <v>10</v>
      </c>
      <c r="F5" s="156"/>
      <c r="G5" s="156">
        <f>SUMIFS(XUẤT!Q:Q,XUẤT!M:M,CBCNV!$Q$3)-CBCNV!G4</f>
        <v>0</v>
      </c>
      <c r="H5" s="156"/>
      <c r="I5" s="156">
        <f>SUMIFS(XUẤT!R:R,XUẤT!$M:$M,CBCNV!$Q$3)-CBCNV!I4</f>
        <v>0</v>
      </c>
      <c r="J5" s="156"/>
      <c r="K5" s="156">
        <f>SUMIFS(XUẤT!S:S,XUẤT!M:M,CBCNV!$Q$3)-CBCNV!K4</f>
        <v>0</v>
      </c>
      <c r="L5" s="156"/>
      <c r="M5" s="156">
        <f>SUMIFS(XUẤT!T:T,XUẤT!M:M,CBCNV!$Q$3)-CBCNV!M4</f>
        <v>0</v>
      </c>
      <c r="N5" s="156"/>
      <c r="O5" s="156">
        <f>SUMIFS(XUẤT!U:U,XUẤT!M:M,CBCNV!$Q$3)-CBCNV!O4</f>
        <v>5</v>
      </c>
      <c r="P5" s="156"/>
      <c r="Q5" s="23"/>
      <c r="R5" s="23"/>
    </row>
    <row r="6" spans="1:20" s="25" customFormat="1" ht="17.399999999999999" x14ac:dyDescent="0.3">
      <c r="A6" s="20"/>
      <c r="B6" s="20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3"/>
      <c r="R6" s="24"/>
    </row>
    <row r="7" spans="1:20" s="130" customFormat="1" x14ac:dyDescent="0.3">
      <c r="A7" s="126">
        <v>1</v>
      </c>
      <c r="B7" s="26" t="s">
        <v>56</v>
      </c>
      <c r="C7" s="127" t="s">
        <v>57</v>
      </c>
      <c r="D7" s="127" t="s">
        <v>58</v>
      </c>
      <c r="E7" s="128">
        <f>SUMIFS(XUẤT!P:P,XUẤT!N:N,CBCNV!B7,XUẤT!O:O,CBCNV!$E$2)</f>
        <v>0</v>
      </c>
      <c r="F7" s="129">
        <f t="shared" ref="F7:F38" si="1">E7*$T$10</f>
        <v>0</v>
      </c>
      <c r="G7" s="128">
        <f>SUMIFS(XUẤT!Q:Q,XUẤT!N:N,CBCNV!B7,XUẤT!O:O,CBCNV!$G$2)</f>
        <v>0</v>
      </c>
      <c r="H7" s="128">
        <f t="shared" ref="H7:H38" si="2">G7*$T$8</f>
        <v>0</v>
      </c>
      <c r="I7" s="128">
        <f>SUMIFS(XUẤT!R:R,XUẤT!N:N,CBCNV!B7,XUẤT!O:O,CBCNV!$I$2)</f>
        <v>0</v>
      </c>
      <c r="J7" s="129">
        <f t="shared" ref="J7:J38" si="3">I7*$T$9</f>
        <v>0</v>
      </c>
      <c r="K7" s="128">
        <f>SUMIFS(XUẤT!S:S,XUẤT!N:N,CBCNV!B7,XUẤT!O:O,CBCNV!$K$2)</f>
        <v>0</v>
      </c>
      <c r="L7" s="129">
        <f t="shared" ref="L7:L38" si="4">K7*$T$11</f>
        <v>0</v>
      </c>
      <c r="M7" s="128">
        <f>SUMIFS(XUẤT!T:T,XUẤT!N:N,CBCNV!B7,XUẤT!O:O,CBCNV!$M$2)</f>
        <v>0</v>
      </c>
      <c r="N7" s="129">
        <f t="shared" ref="N7:N38" si="5">M7*$T$12</f>
        <v>0</v>
      </c>
      <c r="O7" s="128">
        <f>SUMIFS(XUẤT!U:U,XUẤT!N:N,CBCNV!B7,XUẤT!O:O,CBCNV!$O$2)</f>
        <v>0</v>
      </c>
      <c r="P7" s="129">
        <f t="shared" ref="P7:P38" si="6">O7*$T$13</f>
        <v>0</v>
      </c>
      <c r="Q7" s="27"/>
      <c r="R7" s="28" t="s">
        <v>3</v>
      </c>
      <c r="S7" s="4" t="s">
        <v>19</v>
      </c>
      <c r="T7" s="4" t="s">
        <v>20</v>
      </c>
    </row>
    <row r="8" spans="1:20" s="134" customFormat="1" x14ac:dyDescent="0.3">
      <c r="A8" s="131">
        <v>2</v>
      </c>
      <c r="B8" s="10" t="s">
        <v>59</v>
      </c>
      <c r="C8" s="131" t="s">
        <v>60</v>
      </c>
      <c r="D8" s="131" t="s">
        <v>58</v>
      </c>
      <c r="E8" s="128">
        <f>SUMIFS(XUẤT!P:P,XUẤT!N:N,CBCNV!B8,XUẤT!O:O,CBCNV!$E$2)</f>
        <v>0</v>
      </c>
      <c r="F8" s="133">
        <f t="shared" si="1"/>
        <v>0</v>
      </c>
      <c r="G8" s="128">
        <f>SUMIFS(XUẤT!Q:Q,XUẤT!N:N,CBCNV!B8,XUẤT!O:O,CBCNV!$G$2)</f>
        <v>0</v>
      </c>
      <c r="H8" s="132">
        <f t="shared" si="2"/>
        <v>0</v>
      </c>
      <c r="I8" s="128">
        <f>SUMIFS(XUẤT!R:R,XUẤT!N:N,CBCNV!B8,XUẤT!O:O,CBCNV!$I$2)</f>
        <v>0</v>
      </c>
      <c r="J8" s="133">
        <f t="shared" si="3"/>
        <v>0</v>
      </c>
      <c r="K8" s="128">
        <f>SUMIFS(XUẤT!S:S,XUẤT!N:N,CBCNV!B8,XUẤT!O:O,CBCNV!$K$2)</f>
        <v>0</v>
      </c>
      <c r="L8" s="133">
        <f t="shared" si="4"/>
        <v>0</v>
      </c>
      <c r="M8" s="128">
        <f>SUMIFS(XUẤT!T:T,XUẤT!N:N,CBCNV!B8,XUẤT!O:O,CBCNV!$M$2)</f>
        <v>0</v>
      </c>
      <c r="N8" s="133">
        <f t="shared" si="5"/>
        <v>0</v>
      </c>
      <c r="O8" s="128">
        <f>SUMIFS(XUẤT!U:U,XUẤT!N:N,CBCNV!B8,XUẤT!O:O,CBCNV!$O$2)</f>
        <v>0</v>
      </c>
      <c r="P8" s="133">
        <f t="shared" si="6"/>
        <v>0</v>
      </c>
      <c r="Q8" s="27"/>
      <c r="R8" s="29">
        <v>1</v>
      </c>
      <c r="S8" s="5" t="s">
        <v>28</v>
      </c>
      <c r="T8" s="6">
        <v>85000</v>
      </c>
    </row>
    <row r="9" spans="1:20" s="134" customFormat="1" x14ac:dyDescent="0.3">
      <c r="A9" s="131">
        <v>3</v>
      </c>
      <c r="B9" s="10" t="s">
        <v>61</v>
      </c>
      <c r="C9" s="131" t="s">
        <v>62</v>
      </c>
      <c r="D9" s="131" t="s">
        <v>58</v>
      </c>
      <c r="E9" s="128">
        <f>SUMIFS(XUẤT!P:P,XUẤT!N:N,CBCNV!B9,XUẤT!O:O,CBCNV!$E$2)</f>
        <v>0</v>
      </c>
      <c r="F9" s="133">
        <f t="shared" si="1"/>
        <v>0</v>
      </c>
      <c r="G9" s="128">
        <f>SUMIFS(XUẤT!Q:Q,XUẤT!N:N,CBCNV!B9,XUẤT!O:O,CBCNV!$G$2)</f>
        <v>0</v>
      </c>
      <c r="H9" s="132">
        <f t="shared" si="2"/>
        <v>0</v>
      </c>
      <c r="I9" s="128">
        <f>SUMIFS(XUẤT!R:R,XUẤT!N:N,CBCNV!B9,XUẤT!O:O,CBCNV!$I$2)</f>
        <v>0</v>
      </c>
      <c r="J9" s="133">
        <f t="shared" si="3"/>
        <v>0</v>
      </c>
      <c r="K9" s="128">
        <f>SUMIFS(XUẤT!S:S,XUẤT!N:N,CBCNV!B9,XUẤT!O:O,CBCNV!$K$2)</f>
        <v>0</v>
      </c>
      <c r="L9" s="133">
        <f t="shared" si="4"/>
        <v>0</v>
      </c>
      <c r="M9" s="128">
        <f>SUMIFS(XUẤT!T:T,XUẤT!N:N,CBCNV!B9,XUẤT!O:O,CBCNV!$M$2)</f>
        <v>0</v>
      </c>
      <c r="N9" s="133">
        <f t="shared" si="5"/>
        <v>0</v>
      </c>
      <c r="O9" s="128">
        <f>SUMIFS(XUẤT!U:U,XUẤT!N:N,CBCNV!B9,XUẤT!O:O,CBCNV!$O$2)</f>
        <v>0</v>
      </c>
      <c r="P9" s="133">
        <f t="shared" si="6"/>
        <v>0</v>
      </c>
      <c r="Q9" s="27"/>
      <c r="R9" s="29">
        <v>2</v>
      </c>
      <c r="S9" s="5" t="s">
        <v>32</v>
      </c>
      <c r="T9" s="6">
        <v>93000</v>
      </c>
    </row>
    <row r="10" spans="1:20" s="134" customFormat="1" x14ac:dyDescent="0.3">
      <c r="A10" s="131">
        <v>4</v>
      </c>
      <c r="B10" s="10" t="s">
        <v>63</v>
      </c>
      <c r="C10" s="131" t="s">
        <v>62</v>
      </c>
      <c r="D10" s="131" t="s">
        <v>58</v>
      </c>
      <c r="E10" s="128">
        <f>SUMIFS(XUẤT!P:P,XUẤT!N:N,CBCNV!B10,XUẤT!O:O,CBCNV!$E$2)</f>
        <v>0</v>
      </c>
      <c r="F10" s="133">
        <f t="shared" si="1"/>
        <v>0</v>
      </c>
      <c r="G10" s="128">
        <f>SUMIFS(XUẤT!Q:Q,XUẤT!N:N,CBCNV!B10,XUẤT!O:O,CBCNV!$G$2)</f>
        <v>0</v>
      </c>
      <c r="H10" s="132">
        <f t="shared" si="2"/>
        <v>0</v>
      </c>
      <c r="I10" s="128">
        <f>SUMIFS(XUẤT!R:R,XUẤT!N:N,CBCNV!B10,XUẤT!O:O,CBCNV!$I$2)</f>
        <v>0</v>
      </c>
      <c r="J10" s="133">
        <f t="shared" si="3"/>
        <v>0</v>
      </c>
      <c r="K10" s="128">
        <f>SUMIFS(XUẤT!S:S,XUẤT!N:N,CBCNV!B10,XUẤT!O:O,CBCNV!$K$2)</f>
        <v>0</v>
      </c>
      <c r="L10" s="133">
        <f t="shared" si="4"/>
        <v>0</v>
      </c>
      <c r="M10" s="128">
        <f>SUMIFS(XUẤT!T:T,XUẤT!N:N,CBCNV!B10,XUẤT!O:O,CBCNV!$M$2)</f>
        <v>0</v>
      </c>
      <c r="N10" s="133">
        <f t="shared" si="5"/>
        <v>0</v>
      </c>
      <c r="O10" s="128">
        <f>SUMIFS(XUẤT!U:U,XUẤT!N:N,CBCNV!B10,XUẤT!O:O,CBCNV!$O$2)</f>
        <v>0</v>
      </c>
      <c r="P10" s="133">
        <f t="shared" si="6"/>
        <v>0</v>
      </c>
      <c r="Q10" s="27"/>
      <c r="R10" s="29">
        <v>3</v>
      </c>
      <c r="S10" s="5" t="s">
        <v>25</v>
      </c>
      <c r="T10" s="6">
        <v>98000</v>
      </c>
    </row>
    <row r="11" spans="1:20" s="134" customFormat="1" x14ac:dyDescent="0.3">
      <c r="A11" s="131">
        <v>5</v>
      </c>
      <c r="B11" s="10" t="s">
        <v>64</v>
      </c>
      <c r="C11" s="131" t="s">
        <v>65</v>
      </c>
      <c r="D11" s="131" t="s">
        <v>58</v>
      </c>
      <c r="E11" s="128">
        <f>SUMIFS(XUẤT!P:P,XUẤT!N:N,CBCNV!B11,XUẤT!O:O,CBCNV!$E$2)</f>
        <v>0</v>
      </c>
      <c r="F11" s="133">
        <f t="shared" si="1"/>
        <v>0</v>
      </c>
      <c r="G11" s="128">
        <f>SUMIFS(XUẤT!Q:Q,XUẤT!N:N,CBCNV!B11,XUẤT!O:O,CBCNV!$G$2)</f>
        <v>5</v>
      </c>
      <c r="H11" s="132">
        <f t="shared" si="2"/>
        <v>425000</v>
      </c>
      <c r="I11" s="128">
        <f>SUMIFS(XUẤT!R:R,XUẤT!N:N,CBCNV!B11,XUẤT!O:O,CBCNV!$I$2)</f>
        <v>0</v>
      </c>
      <c r="J11" s="133">
        <f t="shared" si="3"/>
        <v>0</v>
      </c>
      <c r="K11" s="128">
        <f>SUMIFS(XUẤT!S:S,XUẤT!N:N,CBCNV!B11,XUẤT!O:O,CBCNV!$K$2)</f>
        <v>0</v>
      </c>
      <c r="L11" s="133">
        <f t="shared" si="4"/>
        <v>0</v>
      </c>
      <c r="M11" s="128">
        <f>SUMIFS(XUẤT!T:T,XUẤT!N:N,CBCNV!B11,XUẤT!O:O,CBCNV!$M$2)</f>
        <v>0</v>
      </c>
      <c r="N11" s="133">
        <f t="shared" si="5"/>
        <v>0</v>
      </c>
      <c r="O11" s="128">
        <f>SUMIFS(XUẤT!U:U,XUẤT!N:N,CBCNV!B11,XUẤT!O:O,CBCNV!$O$2)</f>
        <v>0</v>
      </c>
      <c r="P11" s="133">
        <f t="shared" si="6"/>
        <v>0</v>
      </c>
      <c r="Q11" s="27"/>
      <c r="R11" s="29">
        <v>4</v>
      </c>
      <c r="S11" s="5" t="s">
        <v>35</v>
      </c>
      <c r="T11" s="6">
        <v>106000</v>
      </c>
    </row>
    <row r="12" spans="1:20" s="134" customFormat="1" x14ac:dyDescent="0.3">
      <c r="A12" s="131">
        <v>6</v>
      </c>
      <c r="B12" s="10" t="s">
        <v>66</v>
      </c>
      <c r="C12" s="131" t="s">
        <v>67</v>
      </c>
      <c r="D12" s="131" t="s">
        <v>58</v>
      </c>
      <c r="E12" s="128">
        <f>SUMIFS(XUẤT!P:P,XUẤT!N:N,CBCNV!B12,XUẤT!O:O,CBCNV!$E$2)</f>
        <v>0</v>
      </c>
      <c r="F12" s="133">
        <f t="shared" si="1"/>
        <v>0</v>
      </c>
      <c r="G12" s="128">
        <f>SUMIFS(XUẤT!Q:Q,XUẤT!N:N,CBCNV!B12,XUẤT!O:O,CBCNV!$G$2)</f>
        <v>0</v>
      </c>
      <c r="H12" s="132">
        <f t="shared" si="2"/>
        <v>0</v>
      </c>
      <c r="I12" s="128">
        <f>SUMIFS(XUẤT!R:R,XUẤT!N:N,CBCNV!B12,XUẤT!O:O,CBCNV!$I$2)</f>
        <v>0</v>
      </c>
      <c r="J12" s="133">
        <f t="shared" si="3"/>
        <v>0</v>
      </c>
      <c r="K12" s="128">
        <f>SUMIFS(XUẤT!S:S,XUẤT!N:N,CBCNV!B12,XUẤT!O:O,CBCNV!$K$2)</f>
        <v>0</v>
      </c>
      <c r="L12" s="133">
        <f t="shared" si="4"/>
        <v>0</v>
      </c>
      <c r="M12" s="128">
        <f>SUMIFS(XUẤT!T:T,XUẤT!N:N,CBCNV!B12,XUẤT!O:O,CBCNV!$M$2)</f>
        <v>0</v>
      </c>
      <c r="N12" s="133">
        <f t="shared" si="5"/>
        <v>0</v>
      </c>
      <c r="O12" s="128">
        <f>SUMIFS(XUẤT!U:U,XUẤT!N:N,CBCNV!B12,XUẤT!O:O,CBCNV!$O$2)</f>
        <v>0</v>
      </c>
      <c r="P12" s="133">
        <f t="shared" si="6"/>
        <v>0</v>
      </c>
      <c r="Q12" s="27"/>
      <c r="R12" s="29">
        <v>5</v>
      </c>
      <c r="S12" s="5" t="s">
        <v>36</v>
      </c>
      <c r="T12" s="6">
        <v>52000</v>
      </c>
    </row>
    <row r="13" spans="1:20" s="134" customFormat="1" x14ac:dyDescent="0.3">
      <c r="A13" s="131">
        <v>7</v>
      </c>
      <c r="B13" s="10" t="s">
        <v>68</v>
      </c>
      <c r="C13" s="131" t="s">
        <v>67</v>
      </c>
      <c r="D13" s="131" t="s">
        <v>58</v>
      </c>
      <c r="E13" s="128">
        <f>SUMIFS(XUẤT!P:P,XUẤT!N:N,CBCNV!B13,XUẤT!O:O,CBCNV!$E$2)</f>
        <v>0</v>
      </c>
      <c r="F13" s="133">
        <f t="shared" si="1"/>
        <v>0</v>
      </c>
      <c r="G13" s="128">
        <f>SUMIFS(XUẤT!Q:Q,XUẤT!N:N,CBCNV!B13,XUẤT!O:O,CBCNV!$G$2)</f>
        <v>0</v>
      </c>
      <c r="H13" s="132">
        <f t="shared" si="2"/>
        <v>0</v>
      </c>
      <c r="I13" s="128">
        <f>SUMIFS(XUẤT!R:R,XUẤT!N:N,CBCNV!B13,XUẤT!O:O,CBCNV!$I$2)</f>
        <v>0</v>
      </c>
      <c r="J13" s="133">
        <f t="shared" si="3"/>
        <v>0</v>
      </c>
      <c r="K13" s="128">
        <f>SUMIFS(XUẤT!S:S,XUẤT!N:N,CBCNV!B13,XUẤT!O:O,CBCNV!$K$2)</f>
        <v>0</v>
      </c>
      <c r="L13" s="133">
        <f t="shared" si="4"/>
        <v>0</v>
      </c>
      <c r="M13" s="128">
        <f>SUMIFS(XUẤT!T:T,XUẤT!N:N,CBCNV!B13,XUẤT!O:O,CBCNV!$M$2)</f>
        <v>0</v>
      </c>
      <c r="N13" s="133">
        <f t="shared" si="5"/>
        <v>0</v>
      </c>
      <c r="O13" s="128">
        <f>SUMIFS(XUẤT!U:U,XUẤT!N:N,CBCNV!B13,XUẤT!O:O,CBCNV!$O$2)</f>
        <v>0</v>
      </c>
      <c r="P13" s="133">
        <f t="shared" si="6"/>
        <v>0</v>
      </c>
      <c r="Q13" s="27"/>
      <c r="R13" s="29">
        <v>6</v>
      </c>
      <c r="S13" s="5" t="s">
        <v>38</v>
      </c>
      <c r="T13" s="6">
        <v>48000</v>
      </c>
    </row>
    <row r="14" spans="1:20" s="134" customFormat="1" x14ac:dyDescent="0.3">
      <c r="A14" s="131">
        <v>8</v>
      </c>
      <c r="B14" s="10" t="s">
        <v>69</v>
      </c>
      <c r="C14" s="131" t="s">
        <v>67</v>
      </c>
      <c r="D14" s="131" t="s">
        <v>58</v>
      </c>
      <c r="E14" s="128">
        <f>SUMIFS(XUẤT!P:P,XUẤT!N:N,CBCNV!B14,XUẤT!O:O,CBCNV!$E$2)</f>
        <v>0</v>
      </c>
      <c r="F14" s="133">
        <f t="shared" si="1"/>
        <v>0</v>
      </c>
      <c r="G14" s="128">
        <f>SUMIFS(XUẤT!Q:Q,XUẤT!N:N,CBCNV!B14,XUẤT!O:O,CBCNV!$G$2)</f>
        <v>3</v>
      </c>
      <c r="H14" s="132">
        <f t="shared" si="2"/>
        <v>255000</v>
      </c>
      <c r="I14" s="128">
        <f>SUMIFS(XUẤT!R:R,XUẤT!N:N,CBCNV!B14,XUẤT!O:O,CBCNV!$I$2)</f>
        <v>0</v>
      </c>
      <c r="J14" s="133">
        <f t="shared" si="3"/>
        <v>0</v>
      </c>
      <c r="K14" s="128">
        <f>SUMIFS(XUẤT!S:S,XUẤT!N:N,CBCNV!B14,XUẤT!O:O,CBCNV!$K$2)</f>
        <v>0</v>
      </c>
      <c r="L14" s="133">
        <f t="shared" si="4"/>
        <v>0</v>
      </c>
      <c r="M14" s="128">
        <f>SUMIFS(XUẤT!T:T,XUẤT!N:N,CBCNV!B14,XUẤT!O:O,CBCNV!$M$2)</f>
        <v>0</v>
      </c>
      <c r="N14" s="133">
        <f t="shared" si="5"/>
        <v>0</v>
      </c>
      <c r="O14" s="128">
        <f>SUMIFS(XUẤT!U:U,XUẤT!N:N,CBCNV!B14,XUẤT!O:O,CBCNV!$O$2)</f>
        <v>0</v>
      </c>
      <c r="P14" s="133">
        <f t="shared" si="6"/>
        <v>0</v>
      </c>
      <c r="Q14" s="30"/>
      <c r="R14" s="16"/>
    </row>
    <row r="15" spans="1:20" s="134" customFormat="1" x14ac:dyDescent="0.3">
      <c r="A15" s="131">
        <v>9</v>
      </c>
      <c r="B15" s="10" t="s">
        <v>70</v>
      </c>
      <c r="C15" s="131" t="s">
        <v>67</v>
      </c>
      <c r="D15" s="131" t="s">
        <v>58</v>
      </c>
      <c r="E15" s="128">
        <f>SUMIFS(XUẤT!P:P,XUẤT!N:N,CBCNV!B15,XUẤT!O:O,CBCNV!$E$2)</f>
        <v>0</v>
      </c>
      <c r="F15" s="133">
        <f t="shared" si="1"/>
        <v>0</v>
      </c>
      <c r="G15" s="128">
        <f>SUMIFS(XUẤT!Q:Q,XUẤT!N:N,CBCNV!B15,XUẤT!O:O,CBCNV!$G$2)</f>
        <v>0</v>
      </c>
      <c r="H15" s="132">
        <f t="shared" si="2"/>
        <v>0</v>
      </c>
      <c r="I15" s="128">
        <f>SUMIFS(XUẤT!R:R,XUẤT!N:N,CBCNV!B15,XUẤT!O:O,CBCNV!$I$2)</f>
        <v>0</v>
      </c>
      <c r="J15" s="133">
        <f t="shared" si="3"/>
        <v>0</v>
      </c>
      <c r="K15" s="128">
        <f>SUMIFS(XUẤT!S:S,XUẤT!N:N,CBCNV!B15,XUẤT!O:O,CBCNV!$K$2)</f>
        <v>0</v>
      </c>
      <c r="L15" s="133">
        <f t="shared" si="4"/>
        <v>0</v>
      </c>
      <c r="M15" s="128">
        <f>SUMIFS(XUẤT!T:T,XUẤT!N:N,CBCNV!B15,XUẤT!O:O,CBCNV!$M$2)</f>
        <v>0</v>
      </c>
      <c r="N15" s="133">
        <f t="shared" si="5"/>
        <v>0</v>
      </c>
      <c r="O15" s="128">
        <f>SUMIFS(XUẤT!U:U,XUẤT!N:N,CBCNV!B15,XUẤT!O:O,CBCNV!$O$2)</f>
        <v>0</v>
      </c>
      <c r="P15" s="133">
        <f t="shared" si="6"/>
        <v>0</v>
      </c>
      <c r="Q15" s="30"/>
      <c r="R15" s="16"/>
    </row>
    <row r="16" spans="1:20" s="134" customFormat="1" x14ac:dyDescent="0.3">
      <c r="A16" s="131">
        <v>10</v>
      </c>
      <c r="B16" s="10" t="s">
        <v>71</v>
      </c>
      <c r="C16" s="131" t="s">
        <v>67</v>
      </c>
      <c r="D16" s="131" t="s">
        <v>58</v>
      </c>
      <c r="E16" s="128">
        <f>SUMIFS(XUẤT!P:P,XUẤT!N:N,CBCNV!B16,XUẤT!O:O,CBCNV!$E$2)</f>
        <v>3</v>
      </c>
      <c r="F16" s="133">
        <f t="shared" si="1"/>
        <v>294000</v>
      </c>
      <c r="G16" s="128">
        <f>SUMIFS(XUẤT!Q:Q,XUẤT!N:N,CBCNV!B16,XUẤT!O:O,CBCNV!$G$2)</f>
        <v>12</v>
      </c>
      <c r="H16" s="132">
        <f t="shared" si="2"/>
        <v>1020000</v>
      </c>
      <c r="I16" s="128">
        <f>SUMIFS(XUẤT!R:R,XUẤT!N:N,CBCNV!B16,XUẤT!O:O,CBCNV!$I$2)</f>
        <v>0</v>
      </c>
      <c r="J16" s="133">
        <f t="shared" si="3"/>
        <v>0</v>
      </c>
      <c r="K16" s="128">
        <f>SUMIFS(XUẤT!S:S,XUẤT!N:N,CBCNV!B16,XUẤT!O:O,CBCNV!$K$2)</f>
        <v>0</v>
      </c>
      <c r="L16" s="133">
        <f t="shared" si="4"/>
        <v>0</v>
      </c>
      <c r="M16" s="128">
        <f>SUMIFS(XUẤT!T:T,XUẤT!N:N,CBCNV!B16,XUẤT!O:O,CBCNV!$M$2)</f>
        <v>0</v>
      </c>
      <c r="N16" s="133">
        <f t="shared" si="5"/>
        <v>0</v>
      </c>
      <c r="O16" s="128">
        <f>SUMIFS(XUẤT!U:U,XUẤT!N:N,CBCNV!B16,XUẤT!O:O,CBCNV!$O$2)</f>
        <v>16</v>
      </c>
      <c r="P16" s="133">
        <f t="shared" si="6"/>
        <v>768000</v>
      </c>
      <c r="Q16" s="30"/>
      <c r="R16" s="16"/>
    </row>
    <row r="17" spans="1:20" s="134" customFormat="1" x14ac:dyDescent="0.3">
      <c r="A17" s="131">
        <v>11</v>
      </c>
      <c r="B17" s="10" t="s">
        <v>72</v>
      </c>
      <c r="C17" s="131" t="s">
        <v>67</v>
      </c>
      <c r="D17" s="131" t="s">
        <v>58</v>
      </c>
      <c r="E17" s="128">
        <f>SUMIFS(XUẤT!P:P,XUẤT!N:N,CBCNV!B17,XUẤT!O:O,CBCNV!$E$2)</f>
        <v>0</v>
      </c>
      <c r="F17" s="133">
        <f t="shared" si="1"/>
        <v>0</v>
      </c>
      <c r="G17" s="128">
        <f>SUMIFS(XUẤT!Q:Q,XUẤT!N:N,CBCNV!B17,XUẤT!O:O,CBCNV!$G$2)</f>
        <v>0</v>
      </c>
      <c r="H17" s="132">
        <f t="shared" si="2"/>
        <v>0</v>
      </c>
      <c r="I17" s="128">
        <f>SUMIFS(XUẤT!R:R,XUẤT!N:N,CBCNV!B17,XUẤT!O:O,CBCNV!$I$2)</f>
        <v>0</v>
      </c>
      <c r="J17" s="133">
        <f t="shared" si="3"/>
        <v>0</v>
      </c>
      <c r="K17" s="128">
        <f>SUMIFS(XUẤT!S:S,XUẤT!N:N,CBCNV!B17,XUẤT!O:O,CBCNV!$K$2)</f>
        <v>0</v>
      </c>
      <c r="L17" s="133">
        <f t="shared" si="4"/>
        <v>0</v>
      </c>
      <c r="M17" s="128">
        <f>SUMIFS(XUẤT!T:T,XUẤT!N:N,CBCNV!B17,XUẤT!O:O,CBCNV!$M$2)</f>
        <v>0</v>
      </c>
      <c r="N17" s="133">
        <f t="shared" si="5"/>
        <v>0</v>
      </c>
      <c r="O17" s="128">
        <f>SUMIFS(XUẤT!U:U,XUẤT!N:N,CBCNV!B17,XUẤT!O:O,CBCNV!$O$2)</f>
        <v>0</v>
      </c>
      <c r="P17" s="133">
        <f t="shared" si="6"/>
        <v>0</v>
      </c>
      <c r="Q17" s="30"/>
      <c r="R17" s="16"/>
    </row>
    <row r="18" spans="1:20" s="134" customFormat="1" x14ac:dyDescent="0.3">
      <c r="A18" s="131">
        <v>12</v>
      </c>
      <c r="B18" s="10" t="s">
        <v>73</v>
      </c>
      <c r="C18" s="131" t="s">
        <v>67</v>
      </c>
      <c r="D18" s="131" t="s">
        <v>58</v>
      </c>
      <c r="E18" s="128">
        <f>SUMIFS(XUẤT!P:P,XUẤT!N:N,CBCNV!B18,XUẤT!O:O,CBCNV!$E$2)</f>
        <v>0</v>
      </c>
      <c r="F18" s="133">
        <f t="shared" si="1"/>
        <v>0</v>
      </c>
      <c r="G18" s="128">
        <f>SUMIFS(XUẤT!Q:Q,XUẤT!N:N,CBCNV!B18,XUẤT!O:O,CBCNV!$G$2)</f>
        <v>0</v>
      </c>
      <c r="H18" s="132">
        <f t="shared" si="2"/>
        <v>0</v>
      </c>
      <c r="I18" s="128">
        <f>SUMIFS(XUẤT!R:R,XUẤT!N:N,CBCNV!B18,XUẤT!O:O,CBCNV!$I$2)</f>
        <v>0</v>
      </c>
      <c r="J18" s="133">
        <f t="shared" si="3"/>
        <v>0</v>
      </c>
      <c r="K18" s="128">
        <f>SUMIFS(XUẤT!S:S,XUẤT!N:N,CBCNV!B18,XUẤT!O:O,CBCNV!$K$2)</f>
        <v>0</v>
      </c>
      <c r="L18" s="133">
        <f t="shared" si="4"/>
        <v>0</v>
      </c>
      <c r="M18" s="128">
        <f>SUMIFS(XUẤT!T:T,XUẤT!N:N,CBCNV!B18,XUẤT!O:O,CBCNV!$M$2)</f>
        <v>0</v>
      </c>
      <c r="N18" s="133">
        <f t="shared" si="5"/>
        <v>0</v>
      </c>
      <c r="O18" s="128">
        <f>SUMIFS(XUẤT!U:U,XUẤT!N:N,CBCNV!B18,XUẤT!O:O,CBCNV!$O$2)</f>
        <v>0</v>
      </c>
      <c r="P18" s="133">
        <f t="shared" si="6"/>
        <v>0</v>
      </c>
      <c r="Q18" s="30"/>
      <c r="R18" s="16"/>
    </row>
    <row r="19" spans="1:20" s="134" customFormat="1" x14ac:dyDescent="0.3">
      <c r="A19" s="131">
        <v>13</v>
      </c>
      <c r="B19" s="10" t="s">
        <v>74</v>
      </c>
      <c r="C19" s="131" t="s">
        <v>67</v>
      </c>
      <c r="D19" s="131" t="s">
        <v>58</v>
      </c>
      <c r="E19" s="128">
        <f>SUMIFS(XUẤT!P:P,XUẤT!N:N,CBCNV!B19,XUẤT!O:O,CBCNV!$E$2)</f>
        <v>0</v>
      </c>
      <c r="F19" s="133">
        <f t="shared" si="1"/>
        <v>0</v>
      </c>
      <c r="G19" s="128">
        <f>SUMIFS(XUẤT!Q:Q,XUẤT!N:N,CBCNV!B19,XUẤT!O:O,CBCNV!$G$2)</f>
        <v>0</v>
      </c>
      <c r="H19" s="132">
        <f t="shared" si="2"/>
        <v>0</v>
      </c>
      <c r="I19" s="128">
        <f>SUMIFS(XUẤT!R:R,XUẤT!N:N,CBCNV!B19,XUẤT!O:O,CBCNV!$I$2)</f>
        <v>0</v>
      </c>
      <c r="J19" s="133">
        <f t="shared" si="3"/>
        <v>0</v>
      </c>
      <c r="K19" s="128">
        <f>SUMIFS(XUẤT!S:S,XUẤT!N:N,CBCNV!B19,XUẤT!O:O,CBCNV!$K$2)</f>
        <v>0</v>
      </c>
      <c r="L19" s="133">
        <f t="shared" si="4"/>
        <v>0</v>
      </c>
      <c r="M19" s="128">
        <f>SUMIFS(XUẤT!T:T,XUẤT!N:N,CBCNV!B19,XUẤT!O:O,CBCNV!$M$2)</f>
        <v>0</v>
      </c>
      <c r="N19" s="133">
        <f t="shared" si="5"/>
        <v>0</v>
      </c>
      <c r="O19" s="128">
        <f>SUMIFS(XUẤT!U:U,XUẤT!N:N,CBCNV!B19,XUẤT!O:O,CBCNV!$O$2)</f>
        <v>0</v>
      </c>
      <c r="P19" s="133">
        <f t="shared" si="6"/>
        <v>0</v>
      </c>
      <c r="Q19" s="30"/>
      <c r="R19" s="16"/>
    </row>
    <row r="20" spans="1:20" s="134" customFormat="1" x14ac:dyDescent="0.3">
      <c r="A20" s="131">
        <v>14</v>
      </c>
      <c r="B20" s="10" t="s">
        <v>45</v>
      </c>
      <c r="C20" s="131" t="s">
        <v>67</v>
      </c>
      <c r="D20" s="131" t="s">
        <v>58</v>
      </c>
      <c r="E20" s="128">
        <f>SUMIFS(XUẤT!P:P,XUẤT!N:N,CBCNV!B20,XUẤT!O:O,CBCNV!$E$2)</f>
        <v>0</v>
      </c>
      <c r="F20" s="133">
        <f t="shared" si="1"/>
        <v>0</v>
      </c>
      <c r="G20" s="128">
        <f>SUMIFS(XUẤT!Q:Q,XUẤT!N:N,CBCNV!B20,XUẤT!O:O,CBCNV!$G$2)</f>
        <v>0</v>
      </c>
      <c r="H20" s="132">
        <f t="shared" si="2"/>
        <v>0</v>
      </c>
      <c r="I20" s="128">
        <f>SUMIFS(XUẤT!R:R,XUẤT!N:N,CBCNV!B20,XUẤT!O:O,CBCNV!$I$2)</f>
        <v>0</v>
      </c>
      <c r="J20" s="133">
        <f t="shared" si="3"/>
        <v>0</v>
      </c>
      <c r="K20" s="128">
        <f>SUMIFS(XUẤT!S:S,XUẤT!N:N,CBCNV!B20,XUẤT!O:O,CBCNV!$K$2)</f>
        <v>0</v>
      </c>
      <c r="L20" s="133">
        <f t="shared" si="4"/>
        <v>0</v>
      </c>
      <c r="M20" s="128">
        <f>SUMIFS(XUẤT!T:T,XUẤT!N:N,CBCNV!B20,XUẤT!O:O,CBCNV!$M$2)</f>
        <v>1</v>
      </c>
      <c r="N20" s="133">
        <f t="shared" si="5"/>
        <v>52000</v>
      </c>
      <c r="O20" s="128">
        <f>SUMIFS(XUẤT!U:U,XUẤT!N:N,CBCNV!B20,XUẤT!O:O,CBCNV!$O$2)</f>
        <v>0</v>
      </c>
      <c r="P20" s="133">
        <f t="shared" si="6"/>
        <v>0</v>
      </c>
      <c r="Q20" s="30"/>
      <c r="R20" s="16"/>
    </row>
    <row r="21" spans="1:20" s="134" customFormat="1" x14ac:dyDescent="0.3">
      <c r="A21" s="131">
        <v>15</v>
      </c>
      <c r="B21" s="10" t="s">
        <v>75</v>
      </c>
      <c r="C21" s="131" t="s">
        <v>67</v>
      </c>
      <c r="D21" s="131" t="s">
        <v>58</v>
      </c>
      <c r="E21" s="128">
        <f>SUMIFS(XUẤT!P:P,XUẤT!N:N,CBCNV!B21,XUẤT!O:O,CBCNV!$E$2)</f>
        <v>0</v>
      </c>
      <c r="F21" s="133">
        <f t="shared" si="1"/>
        <v>0</v>
      </c>
      <c r="G21" s="128">
        <f>SUMIFS(XUẤT!Q:Q,XUẤT!N:N,CBCNV!B21,XUẤT!O:O,CBCNV!$G$2)</f>
        <v>0</v>
      </c>
      <c r="H21" s="132">
        <f t="shared" si="2"/>
        <v>0</v>
      </c>
      <c r="I21" s="128">
        <f>SUMIFS(XUẤT!R:R,XUẤT!N:N,CBCNV!B21,XUẤT!O:O,CBCNV!$I$2)</f>
        <v>0</v>
      </c>
      <c r="J21" s="133">
        <f t="shared" si="3"/>
        <v>0</v>
      </c>
      <c r="K21" s="128">
        <f>SUMIFS(XUẤT!S:S,XUẤT!N:N,CBCNV!B21,XUẤT!O:O,CBCNV!$K$2)</f>
        <v>0</v>
      </c>
      <c r="L21" s="133">
        <f t="shared" si="4"/>
        <v>0</v>
      </c>
      <c r="M21" s="128">
        <f>SUMIFS(XUẤT!T:T,XUẤT!N:N,CBCNV!B21,XUẤT!O:O,CBCNV!$M$2)</f>
        <v>0</v>
      </c>
      <c r="N21" s="133">
        <f t="shared" si="5"/>
        <v>0</v>
      </c>
      <c r="O21" s="128">
        <f>SUMIFS(XUẤT!U:U,XUẤT!N:N,CBCNV!B21,XUẤT!O:O,CBCNV!$O$2)</f>
        <v>0</v>
      </c>
      <c r="P21" s="133">
        <f t="shared" si="6"/>
        <v>0</v>
      </c>
      <c r="Q21" s="30"/>
      <c r="R21" s="16"/>
    </row>
    <row r="22" spans="1:20" s="134" customFormat="1" x14ac:dyDescent="0.3">
      <c r="A22" s="131">
        <v>16</v>
      </c>
      <c r="B22" s="10" t="s">
        <v>76</v>
      </c>
      <c r="C22" s="131" t="s">
        <v>77</v>
      </c>
      <c r="D22" s="131" t="s">
        <v>58</v>
      </c>
      <c r="E22" s="128">
        <f>SUMIFS(XUẤT!P:P,XUẤT!N:N,CBCNV!B22,XUẤT!O:O,CBCNV!$E$2)</f>
        <v>0</v>
      </c>
      <c r="F22" s="133">
        <f t="shared" si="1"/>
        <v>0</v>
      </c>
      <c r="G22" s="128">
        <f>SUMIFS(XUẤT!Q:Q,XUẤT!N:N,CBCNV!B22,XUẤT!O:O,CBCNV!$G$2)</f>
        <v>0</v>
      </c>
      <c r="H22" s="132">
        <f t="shared" si="2"/>
        <v>0</v>
      </c>
      <c r="I22" s="128">
        <f>SUMIFS(XUẤT!R:R,XUẤT!N:N,CBCNV!B22,XUẤT!O:O,CBCNV!$I$2)</f>
        <v>0</v>
      </c>
      <c r="J22" s="133">
        <f t="shared" si="3"/>
        <v>0</v>
      </c>
      <c r="K22" s="128">
        <f>SUMIFS(XUẤT!S:S,XUẤT!N:N,CBCNV!B22,XUẤT!O:O,CBCNV!$K$2)</f>
        <v>0</v>
      </c>
      <c r="L22" s="133">
        <f t="shared" si="4"/>
        <v>0</v>
      </c>
      <c r="M22" s="128">
        <f>SUMIFS(XUẤT!T:T,XUẤT!N:N,CBCNV!B22,XUẤT!O:O,CBCNV!$M$2)</f>
        <v>0</v>
      </c>
      <c r="N22" s="133">
        <f t="shared" si="5"/>
        <v>0</v>
      </c>
      <c r="O22" s="128">
        <f>SUMIFS(XUẤT!U:U,XUẤT!N:N,CBCNV!B22,XUẤT!O:O,CBCNV!$O$2)</f>
        <v>0</v>
      </c>
      <c r="P22" s="133">
        <f t="shared" si="6"/>
        <v>0</v>
      </c>
      <c r="Q22" s="30"/>
      <c r="R22" s="16"/>
    </row>
    <row r="23" spans="1:20" s="134" customFormat="1" x14ac:dyDescent="0.3">
      <c r="A23" s="131">
        <v>17</v>
      </c>
      <c r="B23" s="10" t="s">
        <v>78</v>
      </c>
      <c r="C23" s="131" t="s">
        <v>79</v>
      </c>
      <c r="D23" s="131" t="s">
        <v>58</v>
      </c>
      <c r="E23" s="128">
        <f>SUMIFS(XUẤT!P:P,XUẤT!N:N,CBCNV!B23,XUẤT!O:O,CBCNV!$E$2)</f>
        <v>0</v>
      </c>
      <c r="F23" s="133">
        <f t="shared" si="1"/>
        <v>0</v>
      </c>
      <c r="G23" s="128">
        <f>SUMIFS(XUẤT!Q:Q,XUẤT!N:N,CBCNV!B23,XUẤT!O:O,CBCNV!$G$2)</f>
        <v>0</v>
      </c>
      <c r="H23" s="132">
        <f t="shared" si="2"/>
        <v>0</v>
      </c>
      <c r="I23" s="128">
        <f>SUMIFS(XUẤT!R:R,XUẤT!N:N,CBCNV!B23,XUẤT!O:O,CBCNV!$I$2)</f>
        <v>0</v>
      </c>
      <c r="J23" s="133">
        <f t="shared" si="3"/>
        <v>0</v>
      </c>
      <c r="K23" s="128">
        <f>SUMIFS(XUẤT!S:S,XUẤT!N:N,CBCNV!B23,XUẤT!O:O,CBCNV!$K$2)</f>
        <v>0</v>
      </c>
      <c r="L23" s="133">
        <f t="shared" si="4"/>
        <v>0</v>
      </c>
      <c r="M23" s="128">
        <f>SUMIFS(XUẤT!T:T,XUẤT!N:N,CBCNV!B23,XUẤT!O:O,CBCNV!$M$2)</f>
        <v>0</v>
      </c>
      <c r="N23" s="133">
        <f t="shared" si="5"/>
        <v>0</v>
      </c>
      <c r="O23" s="128">
        <f>SUMIFS(XUẤT!U:U,XUẤT!N:N,CBCNV!B23,XUẤT!O:O,CBCNV!$O$2)</f>
        <v>0</v>
      </c>
      <c r="P23" s="133">
        <f t="shared" si="6"/>
        <v>0</v>
      </c>
      <c r="Q23" s="30"/>
      <c r="R23" s="16"/>
    </row>
    <row r="24" spans="1:20" s="130" customFormat="1" x14ac:dyDescent="0.3">
      <c r="A24" s="131">
        <v>18</v>
      </c>
      <c r="B24" s="31" t="s">
        <v>80</v>
      </c>
      <c r="C24" s="131" t="s">
        <v>81</v>
      </c>
      <c r="D24" s="131" t="s">
        <v>58</v>
      </c>
      <c r="E24" s="128">
        <f>SUMIFS(XUẤT!P:P,XUẤT!N:N,CBCNV!B24,XUẤT!O:O,CBCNV!$E$2)</f>
        <v>0</v>
      </c>
      <c r="F24" s="133">
        <f t="shared" si="1"/>
        <v>0</v>
      </c>
      <c r="G24" s="128">
        <f>SUMIFS(XUẤT!Q:Q,XUẤT!N:N,CBCNV!B24,XUẤT!O:O,CBCNV!$G$2)</f>
        <v>0</v>
      </c>
      <c r="H24" s="132">
        <f t="shared" si="2"/>
        <v>0</v>
      </c>
      <c r="I24" s="128">
        <f>SUMIFS(XUẤT!R:R,XUẤT!N:N,CBCNV!B24,XUẤT!O:O,CBCNV!$I$2)</f>
        <v>0</v>
      </c>
      <c r="J24" s="133">
        <f t="shared" si="3"/>
        <v>0</v>
      </c>
      <c r="K24" s="128">
        <f>SUMIFS(XUẤT!S:S,XUẤT!N:N,CBCNV!B24,XUẤT!O:O,CBCNV!$K$2)</f>
        <v>0</v>
      </c>
      <c r="L24" s="133">
        <f t="shared" si="4"/>
        <v>0</v>
      </c>
      <c r="M24" s="128">
        <f>SUMIFS(XUẤT!T:T,XUẤT!N:N,CBCNV!B24,XUẤT!O:O,CBCNV!$M$2)</f>
        <v>0</v>
      </c>
      <c r="N24" s="133">
        <f t="shared" si="5"/>
        <v>0</v>
      </c>
      <c r="O24" s="128">
        <f>SUMIFS(XUẤT!U:U,XUẤT!N:N,CBCNV!B24,XUẤT!O:O,CBCNV!$O$2)</f>
        <v>0</v>
      </c>
      <c r="P24" s="133">
        <f t="shared" si="6"/>
        <v>0</v>
      </c>
      <c r="Q24" s="30"/>
      <c r="R24" s="16"/>
      <c r="S24" s="134"/>
      <c r="T24" s="134"/>
    </row>
    <row r="25" spans="1:20" s="134" customFormat="1" x14ac:dyDescent="0.3">
      <c r="A25" s="131">
        <v>19</v>
      </c>
      <c r="B25" s="31" t="s">
        <v>82</v>
      </c>
      <c r="C25" s="131" t="s">
        <v>81</v>
      </c>
      <c r="D25" s="131" t="s">
        <v>58</v>
      </c>
      <c r="E25" s="128">
        <f>SUMIFS(XUẤT!P:P,XUẤT!N:N,CBCNV!B25,XUẤT!O:O,CBCNV!$E$2)</f>
        <v>0</v>
      </c>
      <c r="F25" s="133">
        <f t="shared" si="1"/>
        <v>0</v>
      </c>
      <c r="G25" s="128">
        <f>SUMIFS(XUẤT!Q:Q,XUẤT!N:N,CBCNV!B25,XUẤT!O:O,CBCNV!$G$2)</f>
        <v>0</v>
      </c>
      <c r="H25" s="132">
        <f t="shared" si="2"/>
        <v>0</v>
      </c>
      <c r="I25" s="128">
        <f>SUMIFS(XUẤT!R:R,XUẤT!N:N,CBCNV!B25,XUẤT!O:O,CBCNV!$I$2)</f>
        <v>0</v>
      </c>
      <c r="J25" s="133">
        <f t="shared" si="3"/>
        <v>0</v>
      </c>
      <c r="K25" s="128">
        <f>SUMIFS(XUẤT!S:S,XUẤT!N:N,CBCNV!B25,XUẤT!O:O,CBCNV!$K$2)</f>
        <v>0</v>
      </c>
      <c r="L25" s="133">
        <f t="shared" si="4"/>
        <v>0</v>
      </c>
      <c r="M25" s="128">
        <f>SUMIFS(XUẤT!T:T,XUẤT!N:N,CBCNV!B25,XUẤT!O:O,CBCNV!$M$2)</f>
        <v>0</v>
      </c>
      <c r="N25" s="133">
        <f t="shared" si="5"/>
        <v>0</v>
      </c>
      <c r="O25" s="128">
        <f>SUMIFS(XUẤT!U:U,XUẤT!N:N,CBCNV!B25,XUẤT!O:O,CBCNV!$O$2)</f>
        <v>0</v>
      </c>
      <c r="P25" s="133">
        <f t="shared" si="6"/>
        <v>0</v>
      </c>
      <c r="Q25" s="30"/>
      <c r="R25" s="16"/>
    </row>
    <row r="26" spans="1:20" s="134" customFormat="1" x14ac:dyDescent="0.3">
      <c r="A26" s="131"/>
      <c r="B26" s="31" t="s">
        <v>449</v>
      </c>
      <c r="C26" s="131" t="s">
        <v>450</v>
      </c>
      <c r="D26" s="131" t="s">
        <v>58</v>
      </c>
      <c r="E26" s="128">
        <f>SUMIFS(XUẤT!P:P,XUẤT!N:N,CBCNV!B26,XUẤT!O:O,CBCNV!$E$2)</f>
        <v>3</v>
      </c>
      <c r="F26" s="133">
        <f t="shared" si="1"/>
        <v>294000</v>
      </c>
      <c r="G26" s="128">
        <f>SUMIFS(XUẤT!Q:Q,XUẤT!N:N,CBCNV!B26,XUẤT!O:O,CBCNV!$G$2)</f>
        <v>0</v>
      </c>
      <c r="H26" s="132">
        <f t="shared" si="2"/>
        <v>0</v>
      </c>
      <c r="I26" s="128">
        <f>SUMIFS(XUẤT!R:R,XUẤT!N:N,CBCNV!B26,XUẤT!O:O,CBCNV!$I$2)</f>
        <v>0</v>
      </c>
      <c r="J26" s="133">
        <f t="shared" si="3"/>
        <v>0</v>
      </c>
      <c r="K26" s="128">
        <f>SUMIFS(XUẤT!S:S,XUẤT!N:N,CBCNV!B26,XUẤT!O:O,CBCNV!$K$2)</f>
        <v>0</v>
      </c>
      <c r="L26" s="133">
        <f t="shared" si="4"/>
        <v>0</v>
      </c>
      <c r="M26" s="128">
        <f>SUMIFS(XUẤT!T:T,XUẤT!N:N,CBCNV!B26,XUẤT!O:O,CBCNV!$M$2)</f>
        <v>0</v>
      </c>
      <c r="N26" s="133">
        <f t="shared" si="5"/>
        <v>0</v>
      </c>
      <c r="O26" s="128">
        <f>SUMIFS(XUẤT!U:U,XUẤT!N:N,CBCNV!B26,XUẤT!O:O,CBCNV!$O$2)</f>
        <v>0</v>
      </c>
      <c r="P26" s="133">
        <f t="shared" si="6"/>
        <v>0</v>
      </c>
      <c r="Q26" s="30"/>
      <c r="R26" s="16"/>
    </row>
    <row r="27" spans="1:20" s="134" customFormat="1" x14ac:dyDescent="0.3">
      <c r="A27" s="131">
        <v>20</v>
      </c>
      <c r="B27" s="32" t="s">
        <v>83</v>
      </c>
      <c r="C27" s="135" t="s">
        <v>84</v>
      </c>
      <c r="D27" s="135" t="s">
        <v>58</v>
      </c>
      <c r="E27" s="128">
        <f>SUMIFS(XUẤT!P:P,XUẤT!N:N,CBCNV!B27,XUẤT!O:O,CBCNV!$E$2)</f>
        <v>0</v>
      </c>
      <c r="F27" s="133">
        <f t="shared" si="1"/>
        <v>0</v>
      </c>
      <c r="G27" s="128">
        <f>SUMIFS(XUẤT!Q:Q,XUẤT!N:N,CBCNV!B27,XUẤT!O:O,CBCNV!$G$2)</f>
        <v>0</v>
      </c>
      <c r="H27" s="132">
        <f t="shared" si="2"/>
        <v>0</v>
      </c>
      <c r="I27" s="128">
        <f>SUMIFS(XUẤT!R:R,XUẤT!N:N,CBCNV!B27,XUẤT!O:O,CBCNV!$I$2)</f>
        <v>0</v>
      </c>
      <c r="J27" s="133">
        <f t="shared" si="3"/>
        <v>0</v>
      </c>
      <c r="K27" s="128">
        <f>SUMIFS(XUẤT!S:S,XUẤT!N:N,CBCNV!B27,XUẤT!O:O,CBCNV!$K$2)</f>
        <v>0</v>
      </c>
      <c r="L27" s="133">
        <f t="shared" si="4"/>
        <v>0</v>
      </c>
      <c r="M27" s="128">
        <f>SUMIFS(XUẤT!T:T,XUẤT!N:N,CBCNV!B27,XUẤT!O:O,CBCNV!$M$2)</f>
        <v>0</v>
      </c>
      <c r="N27" s="133">
        <f t="shared" si="5"/>
        <v>0</v>
      </c>
      <c r="O27" s="128">
        <f>SUMIFS(XUẤT!U:U,XUẤT!N:N,CBCNV!B27,XUẤT!O:O,CBCNV!$O$2)</f>
        <v>0</v>
      </c>
      <c r="P27" s="133">
        <f t="shared" si="6"/>
        <v>0</v>
      </c>
      <c r="Q27" s="30"/>
      <c r="R27" s="19"/>
      <c r="S27" s="130"/>
      <c r="T27" s="130"/>
    </row>
    <row r="28" spans="1:20" s="134" customFormat="1" x14ac:dyDescent="0.3">
      <c r="A28" s="131">
        <v>21</v>
      </c>
      <c r="B28" s="10" t="s">
        <v>40</v>
      </c>
      <c r="C28" s="131" t="s">
        <v>85</v>
      </c>
      <c r="D28" s="131" t="s">
        <v>58</v>
      </c>
      <c r="E28" s="128">
        <f>SUMIFS(XUẤT!P:P,XUẤT!N:N,CBCNV!B28,XUẤT!O:O,CBCNV!$E$2)</f>
        <v>0</v>
      </c>
      <c r="F28" s="133">
        <f t="shared" si="1"/>
        <v>0</v>
      </c>
      <c r="G28" s="128">
        <f>SUMIFS(XUẤT!Q:Q,XUẤT!N:N,CBCNV!B28,XUẤT!O:O,CBCNV!$G$2)</f>
        <v>0</v>
      </c>
      <c r="H28" s="132">
        <f t="shared" si="2"/>
        <v>0</v>
      </c>
      <c r="I28" s="128">
        <f>SUMIFS(XUẤT!R:R,XUẤT!N:N,CBCNV!B28,XUẤT!O:O,CBCNV!$I$2)</f>
        <v>0</v>
      </c>
      <c r="J28" s="133">
        <f t="shared" si="3"/>
        <v>0</v>
      </c>
      <c r="K28" s="128">
        <f>SUMIFS(XUẤT!S:S,XUẤT!N:N,CBCNV!B28,XUẤT!O:O,CBCNV!$K$2)</f>
        <v>0</v>
      </c>
      <c r="L28" s="133">
        <f t="shared" si="4"/>
        <v>0</v>
      </c>
      <c r="M28" s="128">
        <f>SUMIFS(XUẤT!T:T,XUẤT!N:N,CBCNV!B28,XUẤT!O:O,CBCNV!$M$2)</f>
        <v>0</v>
      </c>
      <c r="N28" s="133">
        <f t="shared" si="5"/>
        <v>0</v>
      </c>
      <c r="O28" s="128">
        <f>SUMIFS(XUẤT!U:U,XUẤT!N:N,CBCNV!B28,XUẤT!O:O,CBCNV!$O$2)</f>
        <v>0</v>
      </c>
      <c r="P28" s="133">
        <f t="shared" si="6"/>
        <v>0</v>
      </c>
      <c r="Q28" s="30"/>
      <c r="R28" s="16"/>
    </row>
    <row r="29" spans="1:20" s="134" customFormat="1" x14ac:dyDescent="0.3">
      <c r="A29" s="131">
        <v>22</v>
      </c>
      <c r="B29" s="10" t="s">
        <v>86</v>
      </c>
      <c r="C29" s="131" t="s">
        <v>87</v>
      </c>
      <c r="D29" s="131" t="s">
        <v>58</v>
      </c>
      <c r="E29" s="128">
        <f>SUMIFS(XUẤT!P:P,XUẤT!N:N,CBCNV!B29,XUẤT!O:O,CBCNV!$E$2)</f>
        <v>0</v>
      </c>
      <c r="F29" s="133">
        <f t="shared" si="1"/>
        <v>0</v>
      </c>
      <c r="G29" s="128">
        <f>SUMIFS(XUẤT!Q:Q,XUẤT!N:N,CBCNV!B29,XUẤT!O:O,CBCNV!$G$2)</f>
        <v>0</v>
      </c>
      <c r="H29" s="132">
        <f t="shared" si="2"/>
        <v>0</v>
      </c>
      <c r="I29" s="128">
        <f>SUMIFS(XUẤT!R:R,XUẤT!N:N,CBCNV!B29,XUẤT!O:O,CBCNV!$I$2)</f>
        <v>0</v>
      </c>
      <c r="J29" s="133">
        <f t="shared" si="3"/>
        <v>0</v>
      </c>
      <c r="K29" s="128">
        <f>SUMIFS(XUẤT!S:S,XUẤT!N:N,CBCNV!B29,XUẤT!O:O,CBCNV!$K$2)</f>
        <v>0</v>
      </c>
      <c r="L29" s="133">
        <f t="shared" si="4"/>
        <v>0</v>
      </c>
      <c r="M29" s="128">
        <f>SUMIFS(XUẤT!T:T,XUẤT!N:N,CBCNV!B29,XUẤT!O:O,CBCNV!$M$2)</f>
        <v>0</v>
      </c>
      <c r="N29" s="133">
        <f t="shared" si="5"/>
        <v>0</v>
      </c>
      <c r="O29" s="128">
        <f>SUMIFS(XUẤT!U:U,XUẤT!N:N,CBCNV!B29,XUẤT!O:O,CBCNV!$O$2)</f>
        <v>0</v>
      </c>
      <c r="P29" s="133">
        <f t="shared" si="6"/>
        <v>0</v>
      </c>
      <c r="Q29" s="30"/>
      <c r="R29" s="16"/>
    </row>
    <row r="30" spans="1:20" s="130" customFormat="1" x14ac:dyDescent="0.3">
      <c r="A30" s="131">
        <v>23</v>
      </c>
      <c r="B30" s="10" t="s">
        <v>88</v>
      </c>
      <c r="C30" s="131" t="s">
        <v>87</v>
      </c>
      <c r="D30" s="131" t="s">
        <v>58</v>
      </c>
      <c r="E30" s="128">
        <f>SUMIFS(XUẤT!P:P,XUẤT!N:N,CBCNV!B30,XUẤT!O:O,CBCNV!$E$2)</f>
        <v>0</v>
      </c>
      <c r="F30" s="133">
        <f t="shared" si="1"/>
        <v>0</v>
      </c>
      <c r="G30" s="128">
        <f>SUMIFS(XUẤT!Q:Q,XUẤT!N:N,CBCNV!B30,XUẤT!O:O,CBCNV!$G$2)</f>
        <v>0</v>
      </c>
      <c r="H30" s="132">
        <f t="shared" si="2"/>
        <v>0</v>
      </c>
      <c r="I30" s="128">
        <f>SUMIFS(XUẤT!R:R,XUẤT!N:N,CBCNV!B30,XUẤT!O:O,CBCNV!$I$2)</f>
        <v>0</v>
      </c>
      <c r="J30" s="133">
        <f t="shared" si="3"/>
        <v>0</v>
      </c>
      <c r="K30" s="128">
        <f>SUMIFS(XUẤT!S:S,XUẤT!N:N,CBCNV!B30,XUẤT!O:O,CBCNV!$K$2)</f>
        <v>0</v>
      </c>
      <c r="L30" s="133">
        <f t="shared" si="4"/>
        <v>0</v>
      </c>
      <c r="M30" s="128">
        <f>SUMIFS(XUẤT!T:T,XUẤT!N:N,CBCNV!B30,XUẤT!O:O,CBCNV!$M$2)</f>
        <v>0</v>
      </c>
      <c r="N30" s="133">
        <f t="shared" si="5"/>
        <v>0</v>
      </c>
      <c r="O30" s="128">
        <f>SUMIFS(XUẤT!U:U,XUẤT!N:N,CBCNV!B30,XUẤT!O:O,CBCNV!$O$2)</f>
        <v>0</v>
      </c>
      <c r="P30" s="133">
        <f t="shared" si="6"/>
        <v>0</v>
      </c>
      <c r="Q30" s="30"/>
      <c r="R30" s="16"/>
      <c r="S30" s="134"/>
      <c r="T30" s="134"/>
    </row>
    <row r="31" spans="1:20" s="134" customFormat="1" x14ac:dyDescent="0.3">
      <c r="A31" s="131">
        <v>24</v>
      </c>
      <c r="B31" s="10" t="s">
        <v>89</v>
      </c>
      <c r="C31" s="131" t="s">
        <v>87</v>
      </c>
      <c r="D31" s="131" t="s">
        <v>58</v>
      </c>
      <c r="E31" s="128">
        <f>SUMIFS(XUẤT!P:P,XUẤT!N:N,CBCNV!B31,XUẤT!O:O,CBCNV!$E$2)</f>
        <v>0</v>
      </c>
      <c r="F31" s="133">
        <f t="shared" si="1"/>
        <v>0</v>
      </c>
      <c r="G31" s="128">
        <f>SUMIFS(XUẤT!Q:Q,XUẤT!N:N,CBCNV!B31,XUẤT!O:O,CBCNV!$G$2)</f>
        <v>0</v>
      </c>
      <c r="H31" s="132">
        <f t="shared" si="2"/>
        <v>0</v>
      </c>
      <c r="I31" s="128">
        <f>SUMIFS(XUẤT!R:R,XUẤT!N:N,CBCNV!B31,XUẤT!O:O,CBCNV!$I$2)</f>
        <v>0</v>
      </c>
      <c r="J31" s="133">
        <f t="shared" si="3"/>
        <v>0</v>
      </c>
      <c r="K31" s="128">
        <f>SUMIFS(XUẤT!S:S,XUẤT!N:N,CBCNV!B31,XUẤT!O:O,CBCNV!$K$2)</f>
        <v>0</v>
      </c>
      <c r="L31" s="133">
        <f t="shared" si="4"/>
        <v>0</v>
      </c>
      <c r="M31" s="128">
        <f>SUMIFS(XUẤT!T:T,XUẤT!N:N,CBCNV!B31,XUẤT!O:O,CBCNV!$M$2)</f>
        <v>0</v>
      </c>
      <c r="N31" s="133">
        <f t="shared" si="5"/>
        <v>0</v>
      </c>
      <c r="O31" s="128">
        <f>SUMIFS(XUẤT!U:U,XUẤT!N:N,CBCNV!B31,XUẤT!O:O,CBCNV!$O$2)</f>
        <v>0</v>
      </c>
      <c r="P31" s="133">
        <f t="shared" si="6"/>
        <v>0</v>
      </c>
      <c r="Q31" s="30"/>
      <c r="R31" s="16"/>
    </row>
    <row r="32" spans="1:20" s="134" customFormat="1" x14ac:dyDescent="0.3">
      <c r="A32" s="131">
        <v>25</v>
      </c>
      <c r="B32" s="10" t="s">
        <v>90</v>
      </c>
      <c r="C32" s="131" t="s">
        <v>87</v>
      </c>
      <c r="D32" s="131" t="s">
        <v>58</v>
      </c>
      <c r="E32" s="128">
        <f>SUMIFS(XUẤT!P:P,XUẤT!N:N,CBCNV!B32,XUẤT!O:O,CBCNV!$E$2)</f>
        <v>0</v>
      </c>
      <c r="F32" s="133">
        <f t="shared" si="1"/>
        <v>0</v>
      </c>
      <c r="G32" s="128">
        <f>SUMIFS(XUẤT!Q:Q,XUẤT!N:N,CBCNV!B32,XUẤT!O:O,CBCNV!$G$2)</f>
        <v>0</v>
      </c>
      <c r="H32" s="132">
        <f t="shared" si="2"/>
        <v>0</v>
      </c>
      <c r="I32" s="128">
        <f>SUMIFS(XUẤT!R:R,XUẤT!N:N,CBCNV!B32,XUẤT!O:O,CBCNV!$I$2)</f>
        <v>0</v>
      </c>
      <c r="J32" s="133">
        <f t="shared" si="3"/>
        <v>0</v>
      </c>
      <c r="K32" s="128">
        <f>SUMIFS(XUẤT!S:S,XUẤT!N:N,CBCNV!B32,XUẤT!O:O,CBCNV!$K$2)</f>
        <v>0</v>
      </c>
      <c r="L32" s="133">
        <f t="shared" si="4"/>
        <v>0</v>
      </c>
      <c r="M32" s="128">
        <f>SUMIFS(XUẤT!T:T,XUẤT!N:N,CBCNV!B32,XUẤT!O:O,CBCNV!$M$2)</f>
        <v>0</v>
      </c>
      <c r="N32" s="133">
        <f t="shared" si="5"/>
        <v>0</v>
      </c>
      <c r="O32" s="128">
        <f>SUMIFS(XUẤT!U:U,XUẤT!N:N,CBCNV!B32,XUẤT!O:O,CBCNV!$O$2)</f>
        <v>0</v>
      </c>
      <c r="P32" s="133">
        <f t="shared" si="6"/>
        <v>0</v>
      </c>
      <c r="Q32" s="30"/>
      <c r="R32" s="16"/>
    </row>
    <row r="33" spans="1:20" s="134" customFormat="1" x14ac:dyDescent="0.3">
      <c r="A33" s="131">
        <v>26</v>
      </c>
      <c r="B33" s="32" t="s">
        <v>91</v>
      </c>
      <c r="C33" s="135" t="s">
        <v>92</v>
      </c>
      <c r="D33" s="135" t="s">
        <v>58</v>
      </c>
      <c r="E33" s="128">
        <f>SUMIFS(XUẤT!P:P,XUẤT!N:N,CBCNV!B33,XUẤT!O:O,CBCNV!$E$2)</f>
        <v>0</v>
      </c>
      <c r="F33" s="133">
        <f t="shared" si="1"/>
        <v>0</v>
      </c>
      <c r="G33" s="128">
        <f>SUMIFS(XUẤT!Q:Q,XUẤT!N:N,CBCNV!B33,XUẤT!O:O,CBCNV!$G$2)</f>
        <v>0</v>
      </c>
      <c r="H33" s="132">
        <f t="shared" si="2"/>
        <v>0</v>
      </c>
      <c r="I33" s="128">
        <f>SUMIFS(XUẤT!R:R,XUẤT!N:N,CBCNV!B33,XUẤT!O:O,CBCNV!$I$2)</f>
        <v>0</v>
      </c>
      <c r="J33" s="133">
        <f t="shared" si="3"/>
        <v>0</v>
      </c>
      <c r="K33" s="128">
        <f>SUMIFS(XUẤT!S:S,XUẤT!N:N,CBCNV!B33,XUẤT!O:O,CBCNV!$K$2)</f>
        <v>0</v>
      </c>
      <c r="L33" s="133">
        <f t="shared" si="4"/>
        <v>0</v>
      </c>
      <c r="M33" s="128">
        <f>SUMIFS(XUẤT!T:T,XUẤT!N:N,CBCNV!B33,XUẤT!O:O,CBCNV!$M$2)</f>
        <v>0</v>
      </c>
      <c r="N33" s="133">
        <f t="shared" si="5"/>
        <v>0</v>
      </c>
      <c r="O33" s="128">
        <f>SUMIFS(XUẤT!U:U,XUẤT!N:N,CBCNV!B33,XUẤT!O:O,CBCNV!$O$2)</f>
        <v>0</v>
      </c>
      <c r="P33" s="133">
        <f t="shared" si="6"/>
        <v>0</v>
      </c>
      <c r="Q33" s="30"/>
      <c r="R33" s="19"/>
      <c r="S33" s="130"/>
      <c r="T33" s="130"/>
    </row>
    <row r="34" spans="1:20" s="134" customFormat="1" x14ac:dyDescent="0.3">
      <c r="A34" s="131">
        <v>27</v>
      </c>
      <c r="B34" s="10" t="s">
        <v>93</v>
      </c>
      <c r="C34" s="131" t="s">
        <v>94</v>
      </c>
      <c r="D34" s="131" t="s">
        <v>58</v>
      </c>
      <c r="E34" s="128">
        <f>SUMIFS(XUẤT!P:P,XUẤT!N:N,CBCNV!B34,XUẤT!O:O,CBCNV!$E$2)</f>
        <v>0</v>
      </c>
      <c r="F34" s="133">
        <f t="shared" si="1"/>
        <v>0</v>
      </c>
      <c r="G34" s="128">
        <f>SUMIFS(XUẤT!Q:Q,XUẤT!N:N,CBCNV!B34,XUẤT!O:O,CBCNV!$G$2)</f>
        <v>0</v>
      </c>
      <c r="H34" s="132">
        <f t="shared" si="2"/>
        <v>0</v>
      </c>
      <c r="I34" s="128">
        <f>SUMIFS(XUẤT!R:R,XUẤT!N:N,CBCNV!B34,XUẤT!O:O,CBCNV!$I$2)</f>
        <v>0</v>
      </c>
      <c r="J34" s="133">
        <f t="shared" si="3"/>
        <v>0</v>
      </c>
      <c r="K34" s="128">
        <f>SUMIFS(XUẤT!S:S,XUẤT!N:N,CBCNV!B34,XUẤT!O:O,CBCNV!$K$2)</f>
        <v>0</v>
      </c>
      <c r="L34" s="133">
        <f t="shared" si="4"/>
        <v>0</v>
      </c>
      <c r="M34" s="128">
        <f>SUMIFS(XUẤT!T:T,XUẤT!N:N,CBCNV!B34,XUẤT!O:O,CBCNV!$M$2)</f>
        <v>0</v>
      </c>
      <c r="N34" s="133">
        <f t="shared" si="5"/>
        <v>0</v>
      </c>
      <c r="O34" s="128">
        <f>SUMIFS(XUẤT!U:U,XUẤT!N:N,CBCNV!B34,XUẤT!O:O,CBCNV!$O$2)</f>
        <v>0</v>
      </c>
      <c r="P34" s="133">
        <f t="shared" si="6"/>
        <v>0</v>
      </c>
      <c r="Q34" s="30"/>
      <c r="R34" s="16"/>
    </row>
    <row r="35" spans="1:20" s="134" customFormat="1" x14ac:dyDescent="0.3">
      <c r="A35" s="131">
        <v>28</v>
      </c>
      <c r="B35" s="10" t="s">
        <v>95</v>
      </c>
      <c r="C35" s="131" t="s">
        <v>96</v>
      </c>
      <c r="D35" s="131" t="s">
        <v>58</v>
      </c>
      <c r="E35" s="128">
        <f>SUMIFS(XUẤT!P:P,XUẤT!N:N,CBCNV!B35,XUẤT!O:O,CBCNV!$E$2)</f>
        <v>0</v>
      </c>
      <c r="F35" s="133">
        <f t="shared" si="1"/>
        <v>0</v>
      </c>
      <c r="G35" s="128">
        <f>SUMIFS(XUẤT!Q:Q,XUẤT!N:N,CBCNV!B35,XUẤT!O:O,CBCNV!$G$2)</f>
        <v>0</v>
      </c>
      <c r="H35" s="132">
        <f t="shared" si="2"/>
        <v>0</v>
      </c>
      <c r="I35" s="128">
        <f>SUMIFS(XUẤT!R:R,XUẤT!N:N,CBCNV!B35,XUẤT!O:O,CBCNV!$I$2)</f>
        <v>0</v>
      </c>
      <c r="J35" s="133">
        <f t="shared" si="3"/>
        <v>0</v>
      </c>
      <c r="K35" s="128">
        <f>SUMIFS(XUẤT!S:S,XUẤT!N:N,CBCNV!B35,XUẤT!O:O,CBCNV!$K$2)</f>
        <v>0</v>
      </c>
      <c r="L35" s="133">
        <f t="shared" si="4"/>
        <v>0</v>
      </c>
      <c r="M35" s="128">
        <f>SUMIFS(XUẤT!T:T,XUẤT!N:N,CBCNV!B35,XUẤT!O:O,CBCNV!$M$2)</f>
        <v>0</v>
      </c>
      <c r="N35" s="133">
        <f t="shared" si="5"/>
        <v>0</v>
      </c>
      <c r="O35" s="128">
        <f>SUMIFS(XUẤT!U:U,XUẤT!N:N,CBCNV!B35,XUẤT!O:O,CBCNV!$O$2)</f>
        <v>0</v>
      </c>
      <c r="P35" s="133">
        <f t="shared" si="6"/>
        <v>0</v>
      </c>
      <c r="Q35" s="30"/>
      <c r="R35" s="16"/>
    </row>
    <row r="36" spans="1:20" s="134" customFormat="1" x14ac:dyDescent="0.3">
      <c r="A36" s="131">
        <v>29</v>
      </c>
      <c r="B36" s="10" t="s">
        <v>97</v>
      </c>
      <c r="C36" s="131" t="s">
        <v>98</v>
      </c>
      <c r="D36" s="131" t="s">
        <v>58</v>
      </c>
      <c r="E36" s="128">
        <f>SUMIFS(XUẤT!P:P,XUẤT!N:N,CBCNV!B36,XUẤT!O:O,CBCNV!$E$2)</f>
        <v>0</v>
      </c>
      <c r="F36" s="133">
        <f t="shared" si="1"/>
        <v>0</v>
      </c>
      <c r="G36" s="128">
        <f>SUMIFS(XUẤT!Q:Q,XUẤT!N:N,CBCNV!B36,XUẤT!O:O,CBCNV!$G$2)</f>
        <v>0</v>
      </c>
      <c r="H36" s="132">
        <f t="shared" si="2"/>
        <v>0</v>
      </c>
      <c r="I36" s="128">
        <f>SUMIFS(XUẤT!R:R,XUẤT!N:N,CBCNV!B36,XUẤT!O:O,CBCNV!$I$2)</f>
        <v>0</v>
      </c>
      <c r="J36" s="133">
        <f t="shared" si="3"/>
        <v>0</v>
      </c>
      <c r="K36" s="128">
        <f>SUMIFS(XUẤT!S:S,XUẤT!N:N,CBCNV!B36,XUẤT!O:O,CBCNV!$K$2)</f>
        <v>0</v>
      </c>
      <c r="L36" s="133">
        <f t="shared" si="4"/>
        <v>0</v>
      </c>
      <c r="M36" s="128">
        <f>SUMIFS(XUẤT!T:T,XUẤT!N:N,CBCNV!B36,XUẤT!O:O,CBCNV!$M$2)</f>
        <v>0</v>
      </c>
      <c r="N36" s="133">
        <f t="shared" si="5"/>
        <v>0</v>
      </c>
      <c r="O36" s="128">
        <f>SUMIFS(XUẤT!U:U,XUẤT!N:N,CBCNV!B36,XUẤT!O:O,CBCNV!$O$2)</f>
        <v>0</v>
      </c>
      <c r="P36" s="133">
        <f t="shared" si="6"/>
        <v>0</v>
      </c>
      <c r="Q36" s="30"/>
      <c r="R36" s="16"/>
    </row>
    <row r="37" spans="1:20" s="134" customFormat="1" x14ac:dyDescent="0.3">
      <c r="A37" s="131">
        <v>30</v>
      </c>
      <c r="B37" s="10" t="s">
        <v>99</v>
      </c>
      <c r="C37" s="131" t="s">
        <v>98</v>
      </c>
      <c r="D37" s="131" t="s">
        <v>58</v>
      </c>
      <c r="E37" s="128">
        <f>SUMIFS(XUẤT!P:P,XUẤT!N:N,CBCNV!B37,XUẤT!O:O,CBCNV!$E$2)</f>
        <v>0</v>
      </c>
      <c r="F37" s="133">
        <f t="shared" si="1"/>
        <v>0</v>
      </c>
      <c r="G37" s="128">
        <f>SUMIFS(XUẤT!Q:Q,XUẤT!N:N,CBCNV!B37,XUẤT!O:O,CBCNV!$G$2)</f>
        <v>0</v>
      </c>
      <c r="H37" s="132">
        <f t="shared" si="2"/>
        <v>0</v>
      </c>
      <c r="I37" s="128">
        <f>SUMIFS(XUẤT!R:R,XUẤT!N:N,CBCNV!B37,XUẤT!O:O,CBCNV!$I$2)</f>
        <v>0</v>
      </c>
      <c r="J37" s="133">
        <f t="shared" si="3"/>
        <v>0</v>
      </c>
      <c r="K37" s="128">
        <f>SUMIFS(XUẤT!S:S,XUẤT!N:N,CBCNV!B37,XUẤT!O:O,CBCNV!$K$2)</f>
        <v>0</v>
      </c>
      <c r="L37" s="133">
        <f t="shared" si="4"/>
        <v>0</v>
      </c>
      <c r="M37" s="128">
        <f>SUMIFS(XUẤT!T:T,XUẤT!N:N,CBCNV!B37,XUẤT!O:O,CBCNV!$M$2)</f>
        <v>0</v>
      </c>
      <c r="N37" s="133">
        <f t="shared" si="5"/>
        <v>0</v>
      </c>
      <c r="O37" s="128">
        <f>SUMIFS(XUẤT!U:U,XUẤT!N:N,CBCNV!B37,XUẤT!O:O,CBCNV!$O$2)</f>
        <v>0</v>
      </c>
      <c r="P37" s="133">
        <f t="shared" si="6"/>
        <v>0</v>
      </c>
      <c r="Q37" s="30"/>
      <c r="R37" s="16"/>
    </row>
    <row r="38" spans="1:20" s="134" customFormat="1" x14ac:dyDescent="0.3">
      <c r="A38" s="131">
        <v>31</v>
      </c>
      <c r="B38" s="10" t="s">
        <v>100</v>
      </c>
      <c r="C38" s="131" t="s">
        <v>101</v>
      </c>
      <c r="D38" s="131" t="s">
        <v>58</v>
      </c>
      <c r="E38" s="128">
        <f>SUMIFS(XUẤT!P:P,XUẤT!N:N,CBCNV!B38,XUẤT!O:O,CBCNV!$E$2)</f>
        <v>0</v>
      </c>
      <c r="F38" s="133">
        <f t="shared" si="1"/>
        <v>0</v>
      </c>
      <c r="G38" s="128">
        <f>SUMIFS(XUẤT!Q:Q,XUẤT!N:N,CBCNV!B38,XUẤT!O:O,CBCNV!$G$2)</f>
        <v>0</v>
      </c>
      <c r="H38" s="132">
        <f t="shared" si="2"/>
        <v>0</v>
      </c>
      <c r="I38" s="128">
        <f>SUMIFS(XUẤT!R:R,XUẤT!N:N,CBCNV!B38,XUẤT!O:O,CBCNV!$I$2)</f>
        <v>0</v>
      </c>
      <c r="J38" s="133">
        <f t="shared" si="3"/>
        <v>0</v>
      </c>
      <c r="K38" s="128">
        <f>SUMIFS(XUẤT!S:S,XUẤT!N:N,CBCNV!B38,XUẤT!O:O,CBCNV!$K$2)</f>
        <v>0</v>
      </c>
      <c r="L38" s="133">
        <f t="shared" si="4"/>
        <v>0</v>
      </c>
      <c r="M38" s="128">
        <f>SUMIFS(XUẤT!T:T,XUẤT!N:N,CBCNV!B38,XUẤT!O:O,CBCNV!$M$2)</f>
        <v>0</v>
      </c>
      <c r="N38" s="133">
        <f t="shared" si="5"/>
        <v>0</v>
      </c>
      <c r="O38" s="128">
        <f>SUMIFS(XUẤT!U:U,XUẤT!N:N,CBCNV!B38,XUẤT!O:O,CBCNV!$O$2)</f>
        <v>0</v>
      </c>
      <c r="P38" s="133">
        <f t="shared" si="6"/>
        <v>0</v>
      </c>
      <c r="Q38" s="30"/>
      <c r="R38" s="16"/>
    </row>
    <row r="39" spans="1:20" s="134" customFormat="1" x14ac:dyDescent="0.3">
      <c r="A39" s="131">
        <v>32</v>
      </c>
      <c r="B39" s="10" t="s">
        <v>102</v>
      </c>
      <c r="C39" s="131" t="s">
        <v>103</v>
      </c>
      <c r="D39" s="131" t="s">
        <v>58</v>
      </c>
      <c r="E39" s="128">
        <f>SUMIFS(XUẤT!P:P,XUẤT!N:N,CBCNV!B39,XUẤT!O:O,CBCNV!$E$2)</f>
        <v>0</v>
      </c>
      <c r="F39" s="133">
        <f t="shared" ref="F39:F70" si="7">E39*$T$10</f>
        <v>0</v>
      </c>
      <c r="G39" s="128">
        <f>SUMIFS(XUẤT!Q:Q,XUẤT!N:N,CBCNV!B39,XUẤT!O:O,CBCNV!$G$2)</f>
        <v>0</v>
      </c>
      <c r="H39" s="132">
        <f t="shared" ref="H39:H70" si="8">G39*$T$8</f>
        <v>0</v>
      </c>
      <c r="I39" s="128">
        <f>SUMIFS(XUẤT!R:R,XUẤT!N:N,CBCNV!B39,XUẤT!O:O,CBCNV!$I$2)</f>
        <v>0</v>
      </c>
      <c r="J39" s="133">
        <f t="shared" ref="J39:J70" si="9">I39*$T$9</f>
        <v>0</v>
      </c>
      <c r="K39" s="128">
        <f>SUMIFS(XUẤT!S:S,XUẤT!N:N,CBCNV!B39,XUẤT!O:O,CBCNV!$K$2)</f>
        <v>0</v>
      </c>
      <c r="L39" s="133">
        <f t="shared" ref="L39:L70" si="10">K39*$T$11</f>
        <v>0</v>
      </c>
      <c r="M39" s="128">
        <f>SUMIFS(XUẤT!T:T,XUẤT!N:N,CBCNV!B39,XUẤT!O:O,CBCNV!$M$2)</f>
        <v>0</v>
      </c>
      <c r="N39" s="133">
        <f t="shared" ref="N39:N70" si="11">M39*$T$12</f>
        <v>0</v>
      </c>
      <c r="O39" s="128">
        <f>SUMIFS(XUẤT!U:U,XUẤT!N:N,CBCNV!B39,XUẤT!O:O,CBCNV!$O$2)</f>
        <v>0</v>
      </c>
      <c r="P39" s="133">
        <f t="shared" ref="P39:P70" si="12">O39*$T$13</f>
        <v>0</v>
      </c>
      <c r="Q39" s="30"/>
      <c r="R39" s="16"/>
    </row>
    <row r="40" spans="1:20" s="134" customFormat="1" x14ac:dyDescent="0.3">
      <c r="A40" s="131">
        <v>33</v>
      </c>
      <c r="B40" s="10" t="s">
        <v>104</v>
      </c>
      <c r="C40" s="131" t="s">
        <v>103</v>
      </c>
      <c r="D40" s="131" t="s">
        <v>58</v>
      </c>
      <c r="E40" s="128">
        <f>SUMIFS(XUẤT!P:P,XUẤT!N:N,CBCNV!B40,XUẤT!O:O,CBCNV!$E$2)</f>
        <v>0</v>
      </c>
      <c r="F40" s="133">
        <f t="shared" si="7"/>
        <v>0</v>
      </c>
      <c r="G40" s="128">
        <f>SUMIFS(XUẤT!Q:Q,XUẤT!N:N,CBCNV!B40,XUẤT!O:O,CBCNV!$G$2)</f>
        <v>0</v>
      </c>
      <c r="H40" s="132">
        <f t="shared" si="8"/>
        <v>0</v>
      </c>
      <c r="I40" s="128">
        <f>SUMIFS(XUẤT!R:R,XUẤT!N:N,CBCNV!B40,XUẤT!O:O,CBCNV!$I$2)</f>
        <v>0</v>
      </c>
      <c r="J40" s="133">
        <f t="shared" si="9"/>
        <v>0</v>
      </c>
      <c r="K40" s="128">
        <f>SUMIFS(XUẤT!S:S,XUẤT!N:N,CBCNV!B40,XUẤT!O:O,CBCNV!$K$2)</f>
        <v>0</v>
      </c>
      <c r="L40" s="133">
        <f t="shared" si="10"/>
        <v>0</v>
      </c>
      <c r="M40" s="128">
        <f>SUMIFS(XUẤT!T:T,XUẤT!N:N,CBCNV!B40,XUẤT!O:O,CBCNV!$M$2)</f>
        <v>0</v>
      </c>
      <c r="N40" s="133">
        <f t="shared" si="11"/>
        <v>0</v>
      </c>
      <c r="O40" s="128">
        <f>SUMIFS(XUẤT!U:U,XUẤT!N:N,CBCNV!B40,XUẤT!O:O,CBCNV!$O$2)</f>
        <v>0</v>
      </c>
      <c r="P40" s="133">
        <f t="shared" si="12"/>
        <v>0</v>
      </c>
      <c r="Q40" s="30"/>
      <c r="R40" s="16"/>
    </row>
    <row r="41" spans="1:20" s="134" customFormat="1" x14ac:dyDescent="0.3">
      <c r="A41" s="131">
        <v>34</v>
      </c>
      <c r="B41" s="10" t="s">
        <v>105</v>
      </c>
      <c r="C41" s="131" t="s">
        <v>103</v>
      </c>
      <c r="D41" s="131" t="s">
        <v>58</v>
      </c>
      <c r="E41" s="128">
        <f>SUMIFS(XUẤT!P:P,XUẤT!N:N,CBCNV!B41,XUẤT!O:O,CBCNV!$E$2)</f>
        <v>0</v>
      </c>
      <c r="F41" s="133">
        <f t="shared" si="7"/>
        <v>0</v>
      </c>
      <c r="G41" s="128">
        <f>SUMIFS(XUẤT!Q:Q,XUẤT!N:N,CBCNV!B41,XUẤT!O:O,CBCNV!$G$2)</f>
        <v>0</v>
      </c>
      <c r="H41" s="132">
        <f t="shared" si="8"/>
        <v>0</v>
      </c>
      <c r="I41" s="128">
        <f>SUMIFS(XUẤT!R:R,XUẤT!N:N,CBCNV!B41,XUẤT!O:O,CBCNV!$I$2)</f>
        <v>0</v>
      </c>
      <c r="J41" s="133">
        <f t="shared" si="9"/>
        <v>0</v>
      </c>
      <c r="K41" s="128">
        <f>SUMIFS(XUẤT!S:S,XUẤT!N:N,CBCNV!B41,XUẤT!O:O,CBCNV!$K$2)</f>
        <v>0</v>
      </c>
      <c r="L41" s="133">
        <f t="shared" si="10"/>
        <v>0</v>
      </c>
      <c r="M41" s="128">
        <f>SUMIFS(XUẤT!T:T,XUẤT!N:N,CBCNV!B41,XUẤT!O:O,CBCNV!$M$2)</f>
        <v>0</v>
      </c>
      <c r="N41" s="133">
        <f t="shared" si="11"/>
        <v>0</v>
      </c>
      <c r="O41" s="128">
        <f>SUMIFS(XUẤT!U:U,XUẤT!N:N,CBCNV!B41,XUẤT!O:O,CBCNV!$O$2)</f>
        <v>0</v>
      </c>
      <c r="P41" s="133">
        <f t="shared" si="12"/>
        <v>0</v>
      </c>
      <c r="Q41" s="30"/>
      <c r="R41" s="16"/>
    </row>
    <row r="42" spans="1:20" s="134" customFormat="1" x14ac:dyDescent="0.3">
      <c r="A42" s="131">
        <v>35</v>
      </c>
      <c r="B42" s="10" t="s">
        <v>106</v>
      </c>
      <c r="C42" s="131" t="s">
        <v>103</v>
      </c>
      <c r="D42" s="131" t="s">
        <v>58</v>
      </c>
      <c r="E42" s="128">
        <f>SUMIFS(XUẤT!P:P,XUẤT!N:N,CBCNV!B42,XUẤT!O:O,CBCNV!$E$2)</f>
        <v>0</v>
      </c>
      <c r="F42" s="133">
        <f t="shared" si="7"/>
        <v>0</v>
      </c>
      <c r="G42" s="128">
        <f>SUMIFS(XUẤT!Q:Q,XUẤT!N:N,CBCNV!B42,XUẤT!O:O,CBCNV!$G$2)</f>
        <v>0</v>
      </c>
      <c r="H42" s="132">
        <f t="shared" si="8"/>
        <v>0</v>
      </c>
      <c r="I42" s="128">
        <f>SUMIFS(XUẤT!R:R,XUẤT!N:N,CBCNV!B42,XUẤT!O:O,CBCNV!$I$2)</f>
        <v>0</v>
      </c>
      <c r="J42" s="133">
        <f t="shared" si="9"/>
        <v>0</v>
      </c>
      <c r="K42" s="128">
        <f>SUMIFS(XUẤT!S:S,XUẤT!N:N,CBCNV!B42,XUẤT!O:O,CBCNV!$K$2)</f>
        <v>0</v>
      </c>
      <c r="L42" s="133">
        <f t="shared" si="10"/>
        <v>0</v>
      </c>
      <c r="M42" s="128">
        <f>SUMIFS(XUẤT!T:T,XUẤT!N:N,CBCNV!B42,XUẤT!O:O,CBCNV!$M$2)</f>
        <v>2</v>
      </c>
      <c r="N42" s="133">
        <f t="shared" si="11"/>
        <v>104000</v>
      </c>
      <c r="O42" s="128">
        <f>SUMIFS(XUẤT!U:U,XUẤT!N:N,CBCNV!B42,XUẤT!O:O,CBCNV!$O$2)</f>
        <v>0</v>
      </c>
      <c r="P42" s="133">
        <f t="shared" si="12"/>
        <v>0</v>
      </c>
      <c r="Q42" s="30"/>
      <c r="R42" s="16"/>
    </row>
    <row r="43" spans="1:20" s="134" customFormat="1" x14ac:dyDescent="0.3">
      <c r="A43" s="131">
        <v>36</v>
      </c>
      <c r="B43" s="10" t="s">
        <v>107</v>
      </c>
      <c r="C43" s="131" t="s">
        <v>103</v>
      </c>
      <c r="D43" s="131" t="s">
        <v>58</v>
      </c>
      <c r="E43" s="128">
        <f>SUMIFS(XUẤT!P:P,XUẤT!N:N,CBCNV!B43,XUẤT!O:O,CBCNV!$E$2)</f>
        <v>0</v>
      </c>
      <c r="F43" s="133">
        <f t="shared" si="7"/>
        <v>0</v>
      </c>
      <c r="G43" s="128">
        <f>SUMIFS(XUẤT!Q:Q,XUẤT!N:N,CBCNV!B43,XUẤT!O:O,CBCNV!$G$2)</f>
        <v>0</v>
      </c>
      <c r="H43" s="132">
        <f t="shared" si="8"/>
        <v>0</v>
      </c>
      <c r="I43" s="128">
        <f>SUMIFS(XUẤT!R:R,XUẤT!N:N,CBCNV!B43,XUẤT!O:O,CBCNV!$I$2)</f>
        <v>0</v>
      </c>
      <c r="J43" s="133">
        <f t="shared" si="9"/>
        <v>0</v>
      </c>
      <c r="K43" s="128">
        <f>SUMIFS(XUẤT!S:S,XUẤT!N:N,CBCNV!B43,XUẤT!O:O,CBCNV!$K$2)</f>
        <v>0</v>
      </c>
      <c r="L43" s="133">
        <f t="shared" si="10"/>
        <v>0</v>
      </c>
      <c r="M43" s="128">
        <f>SUMIFS(XUẤT!T:T,XUẤT!N:N,CBCNV!B43,XUẤT!O:O,CBCNV!$M$2)</f>
        <v>0</v>
      </c>
      <c r="N43" s="133">
        <f t="shared" si="11"/>
        <v>0</v>
      </c>
      <c r="O43" s="128">
        <f>SUMIFS(XUẤT!U:U,XUẤT!N:N,CBCNV!B43,XUẤT!O:O,CBCNV!$O$2)</f>
        <v>0</v>
      </c>
      <c r="P43" s="133">
        <f t="shared" si="12"/>
        <v>0</v>
      </c>
      <c r="Q43" s="30"/>
      <c r="R43" s="16"/>
    </row>
    <row r="44" spans="1:20" s="134" customFormat="1" x14ac:dyDescent="0.3">
      <c r="A44" s="131">
        <v>37</v>
      </c>
      <c r="B44" s="10" t="s">
        <v>108</v>
      </c>
      <c r="C44" s="131" t="s">
        <v>109</v>
      </c>
      <c r="D44" s="131" t="s">
        <v>58</v>
      </c>
      <c r="E44" s="128">
        <f>SUMIFS(XUẤT!P:P,XUẤT!N:N,CBCNV!B44,XUẤT!O:O,CBCNV!$E$2)</f>
        <v>15</v>
      </c>
      <c r="F44" s="133">
        <f t="shared" si="7"/>
        <v>1470000</v>
      </c>
      <c r="G44" s="128">
        <f>SUMIFS(XUẤT!Q:Q,XUẤT!N:N,CBCNV!B44,XUẤT!O:O,CBCNV!$G$2)</f>
        <v>0</v>
      </c>
      <c r="H44" s="132">
        <f t="shared" si="8"/>
        <v>0</v>
      </c>
      <c r="I44" s="128">
        <f>SUMIFS(XUẤT!R:R,XUẤT!N:N,CBCNV!B44,XUẤT!O:O,CBCNV!$I$2)</f>
        <v>0</v>
      </c>
      <c r="J44" s="133">
        <f t="shared" si="9"/>
        <v>0</v>
      </c>
      <c r="K44" s="128">
        <f>SUMIFS(XUẤT!S:S,XUẤT!N:N,CBCNV!B44,XUẤT!O:O,CBCNV!$K$2)</f>
        <v>0</v>
      </c>
      <c r="L44" s="133">
        <f t="shared" si="10"/>
        <v>0</v>
      </c>
      <c r="M44" s="128">
        <f>SUMIFS(XUẤT!T:T,XUẤT!N:N,CBCNV!B44,XUẤT!O:O,CBCNV!$M$2)</f>
        <v>0</v>
      </c>
      <c r="N44" s="133">
        <f t="shared" si="11"/>
        <v>0</v>
      </c>
      <c r="O44" s="128">
        <f>SUMIFS(XUẤT!U:U,XUẤT!N:N,CBCNV!B44,XUẤT!O:O,CBCNV!$O$2)</f>
        <v>0</v>
      </c>
      <c r="P44" s="133">
        <f t="shared" si="12"/>
        <v>0</v>
      </c>
      <c r="Q44" s="30"/>
      <c r="R44" s="16"/>
    </row>
    <row r="45" spans="1:20" s="134" customFormat="1" x14ac:dyDescent="0.3">
      <c r="A45" s="131">
        <v>38</v>
      </c>
      <c r="B45" s="10" t="s">
        <v>110</v>
      </c>
      <c r="C45" s="131" t="s">
        <v>111</v>
      </c>
      <c r="D45" s="131" t="s">
        <v>58</v>
      </c>
      <c r="E45" s="128">
        <f>SUMIFS(XUẤT!P:P,XUẤT!N:N,CBCNV!B45,XUẤT!O:O,CBCNV!$E$2)</f>
        <v>0</v>
      </c>
      <c r="F45" s="133">
        <f t="shared" si="7"/>
        <v>0</v>
      </c>
      <c r="G45" s="128">
        <f>SUMIFS(XUẤT!Q:Q,XUẤT!N:N,CBCNV!B45,XUẤT!O:O,CBCNV!$G$2)</f>
        <v>0</v>
      </c>
      <c r="H45" s="132">
        <f t="shared" si="8"/>
        <v>0</v>
      </c>
      <c r="I45" s="128">
        <f>SUMIFS(XUẤT!R:R,XUẤT!N:N,CBCNV!B45,XUẤT!O:O,CBCNV!$I$2)</f>
        <v>0</v>
      </c>
      <c r="J45" s="133">
        <f t="shared" si="9"/>
        <v>0</v>
      </c>
      <c r="K45" s="128">
        <f>SUMIFS(XUẤT!S:S,XUẤT!N:N,CBCNV!B45,XUẤT!O:O,CBCNV!$K$2)</f>
        <v>0</v>
      </c>
      <c r="L45" s="133">
        <f t="shared" si="10"/>
        <v>0</v>
      </c>
      <c r="M45" s="128">
        <f>SUMIFS(XUẤT!T:T,XUẤT!N:N,CBCNV!B45,XUẤT!O:O,CBCNV!$M$2)</f>
        <v>0</v>
      </c>
      <c r="N45" s="133">
        <f t="shared" si="11"/>
        <v>0</v>
      </c>
      <c r="O45" s="128">
        <f>SUMIFS(XUẤT!U:U,XUẤT!N:N,CBCNV!B45,XUẤT!O:O,CBCNV!$O$2)</f>
        <v>0</v>
      </c>
      <c r="P45" s="133">
        <f t="shared" si="12"/>
        <v>0</v>
      </c>
      <c r="Q45" s="30"/>
      <c r="R45" s="16"/>
    </row>
    <row r="46" spans="1:20" s="134" customFormat="1" x14ac:dyDescent="0.3">
      <c r="A46" s="131">
        <v>39</v>
      </c>
      <c r="B46" s="10" t="s">
        <v>112</v>
      </c>
      <c r="C46" s="131" t="s">
        <v>113</v>
      </c>
      <c r="D46" s="131" t="s">
        <v>58</v>
      </c>
      <c r="E46" s="128">
        <f>SUMIFS(XUẤT!P:P,XUẤT!N:N,CBCNV!B46,XUẤT!O:O,CBCNV!$E$2)</f>
        <v>0</v>
      </c>
      <c r="F46" s="133">
        <f t="shared" si="7"/>
        <v>0</v>
      </c>
      <c r="G46" s="128">
        <f>SUMIFS(XUẤT!Q:Q,XUẤT!N:N,CBCNV!B46,XUẤT!O:O,CBCNV!$G$2)</f>
        <v>0</v>
      </c>
      <c r="H46" s="132">
        <f t="shared" si="8"/>
        <v>0</v>
      </c>
      <c r="I46" s="128">
        <f>SUMIFS(XUẤT!R:R,XUẤT!N:N,CBCNV!B46,XUẤT!O:O,CBCNV!$I$2)</f>
        <v>0</v>
      </c>
      <c r="J46" s="133">
        <f t="shared" si="9"/>
        <v>0</v>
      </c>
      <c r="K46" s="128">
        <f>SUMIFS(XUẤT!S:S,XUẤT!N:N,CBCNV!B46,XUẤT!O:O,CBCNV!$K$2)</f>
        <v>0</v>
      </c>
      <c r="L46" s="133">
        <f t="shared" si="10"/>
        <v>0</v>
      </c>
      <c r="M46" s="128">
        <f>SUMIFS(XUẤT!T:T,XUẤT!N:N,CBCNV!B46,XUẤT!O:O,CBCNV!$M$2)</f>
        <v>0</v>
      </c>
      <c r="N46" s="133">
        <f t="shared" si="11"/>
        <v>0</v>
      </c>
      <c r="O46" s="128">
        <f>SUMIFS(XUẤT!U:U,XUẤT!N:N,CBCNV!B46,XUẤT!O:O,CBCNV!$O$2)</f>
        <v>0</v>
      </c>
      <c r="P46" s="133">
        <f t="shared" si="12"/>
        <v>0</v>
      </c>
      <c r="Q46" s="30"/>
      <c r="R46" s="16"/>
    </row>
    <row r="47" spans="1:20" s="134" customFormat="1" x14ac:dyDescent="0.3">
      <c r="A47" s="131">
        <v>40</v>
      </c>
      <c r="B47" s="10" t="s">
        <v>114</v>
      </c>
      <c r="C47" s="131" t="s">
        <v>115</v>
      </c>
      <c r="D47" s="131" t="s">
        <v>58</v>
      </c>
      <c r="E47" s="128">
        <f>SUMIFS(XUẤT!P:P,XUẤT!N:N,CBCNV!B47,XUẤT!O:O,CBCNV!$E$2)</f>
        <v>0</v>
      </c>
      <c r="F47" s="133">
        <f t="shared" si="7"/>
        <v>0</v>
      </c>
      <c r="G47" s="128">
        <f>SUMIFS(XUẤT!Q:Q,XUẤT!N:N,CBCNV!B47,XUẤT!O:O,CBCNV!$G$2)</f>
        <v>0</v>
      </c>
      <c r="H47" s="132">
        <f t="shared" si="8"/>
        <v>0</v>
      </c>
      <c r="I47" s="128">
        <f>SUMIFS(XUẤT!R:R,XUẤT!N:N,CBCNV!B47,XUẤT!O:O,CBCNV!$I$2)</f>
        <v>0</v>
      </c>
      <c r="J47" s="133">
        <f t="shared" si="9"/>
        <v>0</v>
      </c>
      <c r="K47" s="128">
        <f>SUMIFS(XUẤT!S:S,XUẤT!N:N,CBCNV!B47,XUẤT!O:O,CBCNV!$K$2)</f>
        <v>0</v>
      </c>
      <c r="L47" s="133">
        <f t="shared" si="10"/>
        <v>0</v>
      </c>
      <c r="M47" s="128">
        <f>SUMIFS(XUẤT!T:T,XUẤT!N:N,CBCNV!B47,XUẤT!O:O,CBCNV!$M$2)</f>
        <v>0</v>
      </c>
      <c r="N47" s="133">
        <f t="shared" si="11"/>
        <v>0</v>
      </c>
      <c r="O47" s="128">
        <f>SUMIFS(XUẤT!U:U,XUẤT!N:N,CBCNV!B47,XUẤT!O:O,CBCNV!$O$2)</f>
        <v>0</v>
      </c>
      <c r="P47" s="133">
        <f t="shared" si="12"/>
        <v>0</v>
      </c>
      <c r="Q47" s="30"/>
      <c r="R47" s="16"/>
    </row>
    <row r="48" spans="1:20" s="134" customFormat="1" x14ac:dyDescent="0.3">
      <c r="A48" s="131">
        <v>41</v>
      </c>
      <c r="B48" s="10" t="s">
        <v>116</v>
      </c>
      <c r="C48" s="131" t="s">
        <v>115</v>
      </c>
      <c r="D48" s="131" t="s">
        <v>58</v>
      </c>
      <c r="E48" s="128">
        <f>SUMIFS(XUẤT!P:P,XUẤT!N:N,CBCNV!B48,XUẤT!O:O,CBCNV!$E$2)</f>
        <v>0</v>
      </c>
      <c r="F48" s="133">
        <f t="shared" si="7"/>
        <v>0</v>
      </c>
      <c r="G48" s="128">
        <f>SUMIFS(XUẤT!Q:Q,XUẤT!N:N,CBCNV!B48,XUẤT!O:O,CBCNV!$G$2)</f>
        <v>0</v>
      </c>
      <c r="H48" s="132">
        <f t="shared" si="8"/>
        <v>0</v>
      </c>
      <c r="I48" s="128">
        <f>SUMIFS(XUẤT!R:R,XUẤT!N:N,CBCNV!B48,XUẤT!O:O,CBCNV!$I$2)</f>
        <v>0</v>
      </c>
      <c r="J48" s="133">
        <f t="shared" si="9"/>
        <v>0</v>
      </c>
      <c r="K48" s="128">
        <f>SUMIFS(XUẤT!S:S,XUẤT!N:N,CBCNV!B48,XUẤT!O:O,CBCNV!$K$2)</f>
        <v>0</v>
      </c>
      <c r="L48" s="133">
        <f t="shared" si="10"/>
        <v>0</v>
      </c>
      <c r="M48" s="128">
        <f>SUMIFS(XUẤT!T:T,XUẤT!N:N,CBCNV!B48,XUẤT!O:O,CBCNV!$M$2)</f>
        <v>0</v>
      </c>
      <c r="N48" s="133">
        <f t="shared" si="11"/>
        <v>0</v>
      </c>
      <c r="O48" s="128">
        <f>SUMIFS(XUẤT!U:U,XUẤT!N:N,CBCNV!B48,XUẤT!O:O,CBCNV!$O$2)</f>
        <v>0</v>
      </c>
      <c r="P48" s="133">
        <f t="shared" si="12"/>
        <v>0</v>
      </c>
      <c r="Q48" s="30"/>
      <c r="R48" s="16"/>
    </row>
    <row r="49" spans="1:20" s="134" customFormat="1" x14ac:dyDescent="0.3">
      <c r="A49" s="131">
        <v>42</v>
      </c>
      <c r="B49" s="134" t="s">
        <v>587</v>
      </c>
      <c r="C49" s="131" t="s">
        <v>115</v>
      </c>
      <c r="D49" s="131" t="s">
        <v>58</v>
      </c>
      <c r="E49" s="128">
        <f>SUMIFS(XUẤT!P:P,XUẤT!N:N,XUẤT!#REF!,XUẤT!O:O,CBCNV!$E$2)</f>
        <v>0</v>
      </c>
      <c r="F49" s="133">
        <f t="shared" si="7"/>
        <v>0</v>
      </c>
      <c r="G49" s="128">
        <f>SUMIFS(XUẤT!Q:Q,XUẤT!N:N,XUẤT!#REF!,XUẤT!O:O,CBCNV!$G$2)</f>
        <v>0</v>
      </c>
      <c r="H49" s="132">
        <f t="shared" si="8"/>
        <v>0</v>
      </c>
      <c r="I49" s="128">
        <f>SUMIFS(XUẤT!R:R,XUẤT!N:N,XUẤT!#REF!,XUẤT!O:O,CBCNV!$I$2)</f>
        <v>0</v>
      </c>
      <c r="J49" s="133">
        <f t="shared" si="9"/>
        <v>0</v>
      </c>
      <c r="K49" s="128">
        <f>SUMIFS(XUẤT!S:S,XUẤT!N:N,XUẤT!#REF!,XUẤT!O:O,CBCNV!$K$2)</f>
        <v>0</v>
      </c>
      <c r="L49" s="133">
        <f t="shared" si="10"/>
        <v>0</v>
      </c>
      <c r="M49" s="128">
        <f>SUMIFS(XUẤT!T:T,XUẤT!N:N,XUẤT!#REF!,XUẤT!O:O,CBCNV!$M$2)</f>
        <v>0</v>
      </c>
      <c r="N49" s="133">
        <f t="shared" si="11"/>
        <v>0</v>
      </c>
      <c r="O49" s="128">
        <f>SUMIFS(XUẤT!U:U,XUẤT!N:N,XUẤT!#REF!,XUẤT!O:O,CBCNV!$O$2)</f>
        <v>0</v>
      </c>
      <c r="P49" s="133">
        <f t="shared" si="12"/>
        <v>0</v>
      </c>
      <c r="Q49" s="30"/>
      <c r="R49" s="16"/>
    </row>
    <row r="50" spans="1:20" s="134" customFormat="1" x14ac:dyDescent="0.3">
      <c r="A50" s="131">
        <v>43</v>
      </c>
      <c r="B50" s="10" t="s">
        <v>117</v>
      </c>
      <c r="C50" s="131" t="s">
        <v>115</v>
      </c>
      <c r="D50" s="131" t="s">
        <v>58</v>
      </c>
      <c r="E50" s="128">
        <f>SUMIFS(XUẤT!P:P,XUẤT!N:N,CBCNV!B50,XUẤT!O:O,CBCNV!$E$2)</f>
        <v>0</v>
      </c>
      <c r="F50" s="133">
        <f t="shared" si="7"/>
        <v>0</v>
      </c>
      <c r="G50" s="128">
        <f>SUMIFS(XUẤT!Q:Q,XUẤT!N:N,CBCNV!B50,XUẤT!O:O,CBCNV!$G$2)</f>
        <v>0</v>
      </c>
      <c r="H50" s="132">
        <f t="shared" si="8"/>
        <v>0</v>
      </c>
      <c r="I50" s="128">
        <f>SUMIFS(XUẤT!R:R,XUẤT!N:N,CBCNV!B50,XUẤT!O:O,CBCNV!$I$2)</f>
        <v>0</v>
      </c>
      <c r="J50" s="133">
        <f t="shared" si="9"/>
        <v>0</v>
      </c>
      <c r="K50" s="128">
        <f>SUMIFS(XUẤT!S:S,XUẤT!N:N,CBCNV!B50,XUẤT!O:O,CBCNV!$K$2)</f>
        <v>0</v>
      </c>
      <c r="L50" s="133">
        <f t="shared" si="10"/>
        <v>0</v>
      </c>
      <c r="M50" s="128">
        <f>SUMIFS(XUẤT!T:T,XUẤT!N:N,CBCNV!B50,XUẤT!O:O,CBCNV!$M$2)</f>
        <v>0</v>
      </c>
      <c r="N50" s="133">
        <f t="shared" si="11"/>
        <v>0</v>
      </c>
      <c r="O50" s="128">
        <f>SUMIFS(XUẤT!U:U,XUẤT!N:N,CBCNV!B50,XUẤT!O:O,CBCNV!$O$2)</f>
        <v>0</v>
      </c>
      <c r="P50" s="133">
        <f t="shared" si="12"/>
        <v>0</v>
      </c>
      <c r="Q50" s="30"/>
      <c r="R50" s="16"/>
    </row>
    <row r="51" spans="1:20" s="134" customFormat="1" x14ac:dyDescent="0.3">
      <c r="A51" s="131">
        <v>44</v>
      </c>
      <c r="B51" s="10" t="s">
        <v>118</v>
      </c>
      <c r="C51" s="131" t="s">
        <v>119</v>
      </c>
      <c r="D51" s="131" t="s">
        <v>58</v>
      </c>
      <c r="E51" s="128">
        <f>SUMIFS(XUẤT!P:P,XUẤT!N:N,CBCNV!B51,XUẤT!O:O,CBCNV!$E$2)</f>
        <v>0</v>
      </c>
      <c r="F51" s="133">
        <f t="shared" si="7"/>
        <v>0</v>
      </c>
      <c r="G51" s="128">
        <f>SUMIFS(XUẤT!Q:Q,XUẤT!N:N,CBCNV!B51,XUẤT!O:O,CBCNV!$G$2)</f>
        <v>0</v>
      </c>
      <c r="H51" s="132">
        <f t="shared" si="8"/>
        <v>0</v>
      </c>
      <c r="I51" s="128">
        <f>SUMIFS(XUẤT!R:R,XUẤT!N:N,CBCNV!B51,XUẤT!O:O,CBCNV!$I$2)</f>
        <v>0</v>
      </c>
      <c r="J51" s="133">
        <f t="shared" si="9"/>
        <v>0</v>
      </c>
      <c r="K51" s="128">
        <f>SUMIFS(XUẤT!S:S,XUẤT!N:N,CBCNV!B51,XUẤT!O:O,CBCNV!$K$2)</f>
        <v>0</v>
      </c>
      <c r="L51" s="133">
        <f t="shared" si="10"/>
        <v>0</v>
      </c>
      <c r="M51" s="128">
        <f>SUMIFS(XUẤT!T:T,XUẤT!N:N,CBCNV!B51,XUẤT!O:O,CBCNV!$M$2)</f>
        <v>0</v>
      </c>
      <c r="N51" s="133">
        <f t="shared" si="11"/>
        <v>0</v>
      </c>
      <c r="O51" s="128">
        <f>SUMIFS(XUẤT!U:U,XUẤT!N:N,CBCNV!B51,XUẤT!O:O,CBCNV!$O$2)</f>
        <v>0</v>
      </c>
      <c r="P51" s="133">
        <f t="shared" si="12"/>
        <v>0</v>
      </c>
      <c r="Q51" s="30"/>
      <c r="R51" s="16"/>
    </row>
    <row r="52" spans="1:20" s="134" customFormat="1" x14ac:dyDescent="0.3">
      <c r="A52" s="131">
        <v>45</v>
      </c>
      <c r="B52" s="10" t="s">
        <v>120</v>
      </c>
      <c r="C52" s="131" t="s">
        <v>115</v>
      </c>
      <c r="D52" s="131" t="s">
        <v>58</v>
      </c>
      <c r="E52" s="128">
        <f>SUMIFS(XUẤT!P:P,XUẤT!N:N,CBCNV!B52,XUẤT!O:O,CBCNV!$E$2)</f>
        <v>0</v>
      </c>
      <c r="F52" s="133">
        <f t="shared" si="7"/>
        <v>0</v>
      </c>
      <c r="G52" s="128">
        <f>SUMIFS(XUẤT!Q:Q,XUẤT!N:N,CBCNV!B52,XUẤT!O:O,CBCNV!$G$2)</f>
        <v>0</v>
      </c>
      <c r="H52" s="132">
        <f t="shared" si="8"/>
        <v>0</v>
      </c>
      <c r="I52" s="128">
        <f>SUMIFS(XUẤT!R:R,XUẤT!N:N,CBCNV!B52,XUẤT!O:O,CBCNV!$I$2)</f>
        <v>0</v>
      </c>
      <c r="J52" s="133">
        <f t="shared" si="9"/>
        <v>0</v>
      </c>
      <c r="K52" s="128">
        <f>SUMIFS(XUẤT!S:S,XUẤT!N:N,CBCNV!B52,XUẤT!O:O,CBCNV!$K$2)</f>
        <v>0</v>
      </c>
      <c r="L52" s="133">
        <f t="shared" si="10"/>
        <v>0</v>
      </c>
      <c r="M52" s="128">
        <f>SUMIFS(XUẤT!T:T,XUẤT!N:N,CBCNV!B52,XUẤT!O:O,CBCNV!$M$2)</f>
        <v>0</v>
      </c>
      <c r="N52" s="133">
        <f t="shared" si="11"/>
        <v>0</v>
      </c>
      <c r="O52" s="128">
        <f>SUMIFS(XUẤT!U:U,XUẤT!N:N,CBCNV!B52,XUẤT!O:O,CBCNV!$O$2)</f>
        <v>0</v>
      </c>
      <c r="P52" s="133">
        <f t="shared" si="12"/>
        <v>0</v>
      </c>
      <c r="Q52" s="30"/>
      <c r="R52" s="16"/>
    </row>
    <row r="53" spans="1:20" s="134" customFormat="1" x14ac:dyDescent="0.3">
      <c r="A53" s="131">
        <v>46</v>
      </c>
      <c r="B53" s="10" t="s">
        <v>121</v>
      </c>
      <c r="C53" s="131" t="s">
        <v>122</v>
      </c>
      <c r="D53" s="131" t="s">
        <v>58</v>
      </c>
      <c r="E53" s="128">
        <f>SUMIFS(XUẤT!P:P,XUẤT!N:N,CBCNV!B53,XUẤT!O:O,CBCNV!$E$2)</f>
        <v>0</v>
      </c>
      <c r="F53" s="133">
        <f t="shared" si="7"/>
        <v>0</v>
      </c>
      <c r="G53" s="128">
        <f>SUMIFS(XUẤT!Q:Q,XUẤT!N:N,CBCNV!B53,XUẤT!O:O,CBCNV!$G$2)</f>
        <v>0</v>
      </c>
      <c r="H53" s="132">
        <f t="shared" si="8"/>
        <v>0</v>
      </c>
      <c r="I53" s="128">
        <f>SUMIFS(XUẤT!R:R,XUẤT!N:N,CBCNV!B53,XUẤT!O:O,CBCNV!$I$2)</f>
        <v>0</v>
      </c>
      <c r="J53" s="133">
        <f t="shared" si="9"/>
        <v>0</v>
      </c>
      <c r="K53" s="128">
        <f>SUMIFS(XUẤT!S:S,XUẤT!N:N,CBCNV!B53,XUẤT!O:O,CBCNV!$K$2)</f>
        <v>0</v>
      </c>
      <c r="L53" s="133">
        <f t="shared" si="10"/>
        <v>0</v>
      </c>
      <c r="M53" s="128">
        <f>SUMIFS(XUẤT!T:T,XUẤT!N:N,CBCNV!B53,XUẤT!O:O,CBCNV!$M$2)</f>
        <v>0</v>
      </c>
      <c r="N53" s="133">
        <f t="shared" si="11"/>
        <v>0</v>
      </c>
      <c r="O53" s="128">
        <f>SUMIFS(XUẤT!U:U,XUẤT!N:N,CBCNV!B53,XUẤT!O:O,CBCNV!$O$2)</f>
        <v>10</v>
      </c>
      <c r="P53" s="133">
        <f t="shared" si="12"/>
        <v>480000</v>
      </c>
      <c r="Q53" s="30"/>
      <c r="R53" s="16"/>
    </row>
    <row r="54" spans="1:20" s="134" customFormat="1" x14ac:dyDescent="0.3">
      <c r="A54" s="131">
        <v>47</v>
      </c>
      <c r="B54" s="10" t="s">
        <v>123</v>
      </c>
      <c r="C54" s="131" t="s">
        <v>124</v>
      </c>
      <c r="D54" s="131" t="s">
        <v>58</v>
      </c>
      <c r="E54" s="128">
        <f>SUMIFS(XUẤT!P:P,XUẤT!N:N,CBCNV!B54,XUẤT!O:O,CBCNV!$E$2)</f>
        <v>0</v>
      </c>
      <c r="F54" s="133">
        <f t="shared" si="7"/>
        <v>0</v>
      </c>
      <c r="G54" s="128">
        <f>SUMIFS(XUẤT!Q:Q,XUẤT!N:N,CBCNV!B54,XUẤT!O:O,CBCNV!$G$2)</f>
        <v>0</v>
      </c>
      <c r="H54" s="132">
        <f t="shared" si="8"/>
        <v>0</v>
      </c>
      <c r="I54" s="128">
        <f>SUMIFS(XUẤT!R:R,XUẤT!N:N,CBCNV!B54,XUẤT!O:O,CBCNV!$I$2)</f>
        <v>0</v>
      </c>
      <c r="J54" s="133">
        <f t="shared" si="9"/>
        <v>0</v>
      </c>
      <c r="K54" s="128">
        <f>SUMIFS(XUẤT!S:S,XUẤT!N:N,CBCNV!B54,XUẤT!O:O,CBCNV!$K$2)</f>
        <v>0</v>
      </c>
      <c r="L54" s="133">
        <f t="shared" si="10"/>
        <v>0</v>
      </c>
      <c r="M54" s="128">
        <f>SUMIFS(XUẤT!T:T,XUẤT!N:N,CBCNV!B54,XUẤT!O:O,CBCNV!$M$2)</f>
        <v>0</v>
      </c>
      <c r="N54" s="133">
        <f t="shared" si="11"/>
        <v>0</v>
      </c>
      <c r="O54" s="128">
        <f>SUMIFS(XUẤT!U:U,XUẤT!N:N,CBCNV!B54,XUẤT!O:O,CBCNV!$O$2)</f>
        <v>0</v>
      </c>
      <c r="P54" s="133">
        <f t="shared" si="12"/>
        <v>0</v>
      </c>
      <c r="Q54" s="30"/>
      <c r="R54" s="16"/>
    </row>
    <row r="55" spans="1:20" s="134" customFormat="1" x14ac:dyDescent="0.3">
      <c r="A55" s="131">
        <v>48</v>
      </c>
      <c r="B55" s="10" t="s">
        <v>125</v>
      </c>
      <c r="C55" s="131" t="s">
        <v>115</v>
      </c>
      <c r="D55" s="131" t="s">
        <v>58</v>
      </c>
      <c r="E55" s="128">
        <f>SUMIFS(XUẤT!P:P,XUẤT!N:N,CBCNV!B55,XUẤT!O:O,CBCNV!$E$2)</f>
        <v>0</v>
      </c>
      <c r="F55" s="133">
        <f t="shared" si="7"/>
        <v>0</v>
      </c>
      <c r="G55" s="128">
        <f>SUMIFS(XUẤT!Q:Q,XUẤT!N:N,CBCNV!B55,XUẤT!O:O,CBCNV!$G$2)</f>
        <v>0</v>
      </c>
      <c r="H55" s="132">
        <f t="shared" si="8"/>
        <v>0</v>
      </c>
      <c r="I55" s="128">
        <f>SUMIFS(XUẤT!R:R,XUẤT!N:N,CBCNV!B55,XUẤT!O:O,CBCNV!$I$2)</f>
        <v>0</v>
      </c>
      <c r="J55" s="133">
        <f t="shared" si="9"/>
        <v>0</v>
      </c>
      <c r="K55" s="128">
        <f>SUMIFS(XUẤT!S:S,XUẤT!N:N,CBCNV!B55,XUẤT!O:O,CBCNV!$K$2)</f>
        <v>0</v>
      </c>
      <c r="L55" s="133">
        <f t="shared" si="10"/>
        <v>0</v>
      </c>
      <c r="M55" s="128">
        <f>SUMIFS(XUẤT!T:T,XUẤT!N:N,CBCNV!B55,XUẤT!O:O,CBCNV!$M$2)</f>
        <v>0</v>
      </c>
      <c r="N55" s="133">
        <f t="shared" si="11"/>
        <v>0</v>
      </c>
      <c r="O55" s="128">
        <f>SUMIFS(XUẤT!U:U,XUẤT!N:N,CBCNV!B55,XUẤT!O:O,CBCNV!$O$2)</f>
        <v>0</v>
      </c>
      <c r="P55" s="133">
        <f t="shared" si="12"/>
        <v>0</v>
      </c>
      <c r="Q55" s="30"/>
      <c r="R55" s="16"/>
    </row>
    <row r="56" spans="1:20" s="130" customFormat="1" x14ac:dyDescent="0.3">
      <c r="A56" s="131">
        <v>49</v>
      </c>
      <c r="B56" s="10" t="s">
        <v>126</v>
      </c>
      <c r="C56" s="131" t="s">
        <v>127</v>
      </c>
      <c r="D56" s="131" t="s">
        <v>58</v>
      </c>
      <c r="E56" s="128">
        <f>SUMIFS(XUẤT!P:P,XUẤT!N:N,CBCNV!B56,XUẤT!O:O,CBCNV!$E$2)</f>
        <v>0</v>
      </c>
      <c r="F56" s="133">
        <f t="shared" si="7"/>
        <v>0</v>
      </c>
      <c r="G56" s="128">
        <f>SUMIFS(XUẤT!Q:Q,XUẤT!N:N,CBCNV!B56,XUẤT!O:O,CBCNV!$G$2)</f>
        <v>0</v>
      </c>
      <c r="H56" s="132">
        <f t="shared" si="8"/>
        <v>0</v>
      </c>
      <c r="I56" s="128">
        <f>SUMIFS(XUẤT!R:R,XUẤT!N:N,CBCNV!B56,XUẤT!O:O,CBCNV!$I$2)</f>
        <v>0</v>
      </c>
      <c r="J56" s="133">
        <f t="shared" si="9"/>
        <v>0</v>
      </c>
      <c r="K56" s="128">
        <f>SUMIFS(XUẤT!S:S,XUẤT!N:N,CBCNV!B56,XUẤT!O:O,CBCNV!$K$2)</f>
        <v>0</v>
      </c>
      <c r="L56" s="133">
        <f t="shared" si="10"/>
        <v>0</v>
      </c>
      <c r="M56" s="128">
        <f>SUMIFS(XUẤT!T:T,XUẤT!N:N,CBCNV!B56,XUẤT!O:O,CBCNV!$M$2)</f>
        <v>0</v>
      </c>
      <c r="N56" s="133">
        <f t="shared" si="11"/>
        <v>0</v>
      </c>
      <c r="O56" s="128">
        <f>SUMIFS(XUẤT!U:U,XUẤT!N:N,CBCNV!B56,XUẤT!O:O,CBCNV!$O$2)</f>
        <v>0</v>
      </c>
      <c r="P56" s="133">
        <f t="shared" si="12"/>
        <v>0</v>
      </c>
      <c r="Q56" s="30"/>
      <c r="R56" s="16"/>
      <c r="S56" s="134"/>
      <c r="T56" s="134"/>
    </row>
    <row r="57" spans="1:20" s="134" customFormat="1" x14ac:dyDescent="0.3">
      <c r="A57" s="131">
        <v>50</v>
      </c>
      <c r="B57" s="10" t="s">
        <v>34</v>
      </c>
      <c r="C57" s="131" t="s">
        <v>128</v>
      </c>
      <c r="D57" s="131" t="s">
        <v>58</v>
      </c>
      <c r="E57" s="128">
        <f>SUMIFS(XUẤT!P:P,XUẤT!N:N,CBCNV!B57,XUẤT!O:O,CBCNV!$E$2)</f>
        <v>160</v>
      </c>
      <c r="F57" s="133">
        <f t="shared" si="7"/>
        <v>15680000</v>
      </c>
      <c r="G57" s="128">
        <f>SUMIFS(XUẤT!Q:Q,XUẤT!N:N,CBCNV!B57,XUẤT!O:O,CBCNV!$G$2)</f>
        <v>0</v>
      </c>
      <c r="H57" s="132">
        <f t="shared" si="8"/>
        <v>0</v>
      </c>
      <c r="I57" s="128">
        <f>SUMIFS(XUẤT!R:R,XUẤT!N:N,CBCNV!B57,XUẤT!O:O,CBCNV!$I$2)</f>
        <v>0</v>
      </c>
      <c r="J57" s="133">
        <f t="shared" si="9"/>
        <v>0</v>
      </c>
      <c r="K57" s="128">
        <f>SUMIFS(XUẤT!S:S,XUẤT!N:N,CBCNV!B57,XUẤT!O:O,CBCNV!$K$2)</f>
        <v>0</v>
      </c>
      <c r="L57" s="133">
        <f t="shared" si="10"/>
        <v>0</v>
      </c>
      <c r="M57" s="128">
        <f>SUMIFS(XUẤT!T:T,XUẤT!N:N,CBCNV!B57,XUẤT!O:O,CBCNV!$M$2)</f>
        <v>0</v>
      </c>
      <c r="N57" s="133">
        <f t="shared" si="11"/>
        <v>0</v>
      </c>
      <c r="O57" s="128">
        <f>SUMIFS(XUẤT!U:U,XUẤT!N:N,CBCNV!B57,XUẤT!O:O,CBCNV!$O$2)</f>
        <v>0</v>
      </c>
      <c r="P57" s="133">
        <f t="shared" si="12"/>
        <v>0</v>
      </c>
      <c r="Q57" s="30"/>
      <c r="R57" s="16"/>
    </row>
    <row r="58" spans="1:20" s="134" customFormat="1" x14ac:dyDescent="0.3">
      <c r="A58" s="131">
        <v>51</v>
      </c>
      <c r="B58" s="136" t="s">
        <v>129</v>
      </c>
      <c r="C58" s="131" t="s">
        <v>128</v>
      </c>
      <c r="D58" s="131" t="s">
        <v>58</v>
      </c>
      <c r="E58" s="128">
        <f>SUMIFS(XUẤT!P:P,XUẤT!N:N,CBCNV!B58,XUẤT!O:O,CBCNV!$E$2)</f>
        <v>0</v>
      </c>
      <c r="F58" s="133">
        <f t="shared" si="7"/>
        <v>0</v>
      </c>
      <c r="G58" s="128">
        <f>SUMIFS(XUẤT!Q:Q,XUẤT!N:N,CBCNV!B58,XUẤT!O:O,CBCNV!$G$2)</f>
        <v>0</v>
      </c>
      <c r="H58" s="132">
        <f t="shared" si="8"/>
        <v>0</v>
      </c>
      <c r="I58" s="128">
        <f>SUMIFS(XUẤT!R:R,XUẤT!N:N,CBCNV!B58,XUẤT!O:O,CBCNV!$I$2)</f>
        <v>0</v>
      </c>
      <c r="J58" s="133">
        <f t="shared" si="9"/>
        <v>0</v>
      </c>
      <c r="K58" s="128">
        <f>SUMIFS(XUẤT!S:S,XUẤT!N:N,CBCNV!B58,XUẤT!O:O,CBCNV!$K$2)</f>
        <v>0</v>
      </c>
      <c r="L58" s="133">
        <f t="shared" si="10"/>
        <v>0</v>
      </c>
      <c r="M58" s="128">
        <f>SUMIFS(XUẤT!T:T,XUẤT!N:N,CBCNV!B58,XUẤT!O:O,CBCNV!$M$2)</f>
        <v>0</v>
      </c>
      <c r="N58" s="133">
        <f t="shared" si="11"/>
        <v>0</v>
      </c>
      <c r="O58" s="128">
        <f>SUMIFS(XUẤT!U:U,XUẤT!N:N,CBCNV!B58,XUẤT!O:O,CBCNV!$O$2)</f>
        <v>0</v>
      </c>
      <c r="P58" s="133">
        <f t="shared" si="12"/>
        <v>0</v>
      </c>
      <c r="Q58" s="30"/>
      <c r="R58" s="16"/>
    </row>
    <row r="59" spans="1:20" s="134" customFormat="1" x14ac:dyDescent="0.3">
      <c r="A59" s="131">
        <v>52</v>
      </c>
      <c r="B59" s="32" t="s">
        <v>130</v>
      </c>
      <c r="C59" s="135" t="s">
        <v>131</v>
      </c>
      <c r="D59" s="135" t="s">
        <v>132</v>
      </c>
      <c r="E59" s="128">
        <f>SUMIFS(XUẤT!P:P,XUẤT!N:N,CBCNV!B59,XUẤT!O:O,CBCNV!$E$2)</f>
        <v>0</v>
      </c>
      <c r="F59" s="133">
        <f t="shared" si="7"/>
        <v>0</v>
      </c>
      <c r="G59" s="128">
        <f>SUMIFS(XUẤT!Q:Q,XUẤT!N:N,CBCNV!B59,XUẤT!O:O,CBCNV!$G$2)</f>
        <v>0</v>
      </c>
      <c r="H59" s="132">
        <f t="shared" si="8"/>
        <v>0</v>
      </c>
      <c r="I59" s="128">
        <f>SUMIFS(XUẤT!R:R,XUẤT!N:N,CBCNV!B59,XUẤT!O:O,CBCNV!$I$2)</f>
        <v>0</v>
      </c>
      <c r="J59" s="133">
        <f t="shared" si="9"/>
        <v>0</v>
      </c>
      <c r="K59" s="128">
        <f>SUMIFS(XUẤT!S:S,XUẤT!N:N,CBCNV!B59,XUẤT!O:O,CBCNV!$K$2)</f>
        <v>0</v>
      </c>
      <c r="L59" s="133">
        <f t="shared" si="10"/>
        <v>0</v>
      </c>
      <c r="M59" s="128">
        <f>SUMIFS(XUẤT!T:T,XUẤT!N:N,CBCNV!B59,XUẤT!O:O,CBCNV!$M$2)</f>
        <v>0</v>
      </c>
      <c r="N59" s="133">
        <f t="shared" si="11"/>
        <v>0</v>
      </c>
      <c r="O59" s="128">
        <f>SUMIFS(XUẤT!U:U,XUẤT!N:N,CBCNV!B59,XUẤT!O:O,CBCNV!$O$2)</f>
        <v>0</v>
      </c>
      <c r="P59" s="133">
        <f t="shared" si="12"/>
        <v>0</v>
      </c>
      <c r="Q59" s="30"/>
      <c r="R59" s="19"/>
      <c r="S59" s="130"/>
      <c r="T59" s="130"/>
    </row>
    <row r="60" spans="1:20" s="134" customFormat="1" x14ac:dyDescent="0.3">
      <c r="A60" s="131">
        <v>53</v>
      </c>
      <c r="B60" s="10" t="s">
        <v>133</v>
      </c>
      <c r="C60" s="131" t="s">
        <v>134</v>
      </c>
      <c r="D60" s="131" t="s">
        <v>132</v>
      </c>
      <c r="E60" s="128">
        <f>SUMIFS(XUẤT!P:P,XUẤT!N:N,CBCNV!B60,XUẤT!O:O,CBCNV!$E$2)</f>
        <v>0</v>
      </c>
      <c r="F60" s="133">
        <f t="shared" si="7"/>
        <v>0</v>
      </c>
      <c r="G60" s="128">
        <f>SUMIFS(XUẤT!Q:Q,XUẤT!N:N,CBCNV!B60,XUẤT!O:O,CBCNV!$G$2)</f>
        <v>0</v>
      </c>
      <c r="H60" s="132">
        <f t="shared" si="8"/>
        <v>0</v>
      </c>
      <c r="I60" s="128">
        <f>SUMIFS(XUẤT!R:R,XUẤT!N:N,CBCNV!B60,XUẤT!O:O,CBCNV!$I$2)</f>
        <v>0</v>
      </c>
      <c r="J60" s="133">
        <f t="shared" si="9"/>
        <v>0</v>
      </c>
      <c r="K60" s="128">
        <f>SUMIFS(XUẤT!S:S,XUẤT!N:N,CBCNV!B60,XUẤT!O:O,CBCNV!$K$2)</f>
        <v>0</v>
      </c>
      <c r="L60" s="133">
        <f t="shared" si="10"/>
        <v>0</v>
      </c>
      <c r="M60" s="128">
        <f>SUMIFS(XUẤT!T:T,XUẤT!N:N,CBCNV!B60,XUẤT!O:O,CBCNV!$M$2)</f>
        <v>0</v>
      </c>
      <c r="N60" s="133">
        <f t="shared" si="11"/>
        <v>0</v>
      </c>
      <c r="O60" s="128">
        <f>SUMIFS(XUẤT!U:U,XUẤT!N:N,CBCNV!B60,XUẤT!O:O,CBCNV!$O$2)</f>
        <v>0</v>
      </c>
      <c r="P60" s="133">
        <f t="shared" si="12"/>
        <v>0</v>
      </c>
      <c r="Q60" s="30"/>
      <c r="R60" s="16"/>
    </row>
    <row r="61" spans="1:20" s="134" customFormat="1" x14ac:dyDescent="0.3">
      <c r="A61" s="131">
        <v>54</v>
      </c>
      <c r="B61" s="10" t="s">
        <v>39</v>
      </c>
      <c r="C61" s="131" t="s">
        <v>134</v>
      </c>
      <c r="D61" s="131" t="s">
        <v>132</v>
      </c>
      <c r="E61" s="128">
        <f>SUMIFS(XUẤT!P:P,XUẤT!N:N,CBCNV!B61,XUẤT!O:O,CBCNV!$E$2)</f>
        <v>0</v>
      </c>
      <c r="F61" s="133">
        <f t="shared" si="7"/>
        <v>0</v>
      </c>
      <c r="G61" s="128">
        <f>SUMIFS(XUẤT!Q:Q,XUẤT!N:N,CBCNV!B61,XUẤT!O:O,CBCNV!$G$2)</f>
        <v>0</v>
      </c>
      <c r="H61" s="132">
        <f t="shared" si="8"/>
        <v>0</v>
      </c>
      <c r="I61" s="128">
        <f>SUMIFS(XUẤT!R:R,XUẤT!N:N,CBCNV!B61,XUẤT!O:O,CBCNV!$I$2)</f>
        <v>0</v>
      </c>
      <c r="J61" s="133">
        <f t="shared" si="9"/>
        <v>0</v>
      </c>
      <c r="K61" s="128">
        <f>SUMIFS(XUẤT!S:S,XUẤT!N:N,CBCNV!B61,XUẤT!O:O,CBCNV!$K$2)</f>
        <v>0</v>
      </c>
      <c r="L61" s="133">
        <f t="shared" si="10"/>
        <v>0</v>
      </c>
      <c r="M61" s="128">
        <f>SUMIFS(XUẤT!T:T,XUẤT!N:N,CBCNV!B61,XUẤT!O:O,CBCNV!$M$2)</f>
        <v>0</v>
      </c>
      <c r="N61" s="133">
        <f t="shared" si="11"/>
        <v>0</v>
      </c>
      <c r="O61" s="128">
        <f>SUMIFS(XUẤT!U:U,XUẤT!N:N,CBCNV!B61,XUẤT!O:O,CBCNV!$O$2)</f>
        <v>10</v>
      </c>
      <c r="P61" s="133">
        <f t="shared" si="12"/>
        <v>480000</v>
      </c>
      <c r="Q61" s="30"/>
      <c r="R61" s="16"/>
    </row>
    <row r="62" spans="1:20" s="134" customFormat="1" x14ac:dyDescent="0.3">
      <c r="A62" s="131">
        <v>55</v>
      </c>
      <c r="B62" s="10" t="s">
        <v>135</v>
      </c>
      <c r="C62" s="131" t="s">
        <v>79</v>
      </c>
      <c r="D62" s="131" t="s">
        <v>132</v>
      </c>
      <c r="E62" s="128">
        <f>SUMIFS(XUẤT!P:P,XUẤT!N:N,CBCNV!B62,XUẤT!O:O,CBCNV!$E$2)</f>
        <v>0</v>
      </c>
      <c r="F62" s="133">
        <f t="shared" si="7"/>
        <v>0</v>
      </c>
      <c r="G62" s="128">
        <f>SUMIFS(XUẤT!Q:Q,XUẤT!N:N,CBCNV!B62,XUẤT!O:O,CBCNV!$G$2)</f>
        <v>0</v>
      </c>
      <c r="H62" s="132">
        <f t="shared" si="8"/>
        <v>0</v>
      </c>
      <c r="I62" s="128">
        <f>SUMIFS(XUẤT!R:R,XUẤT!N:N,CBCNV!B62,XUẤT!O:O,CBCNV!$I$2)</f>
        <v>0</v>
      </c>
      <c r="J62" s="133">
        <f t="shared" si="9"/>
        <v>0</v>
      </c>
      <c r="K62" s="128">
        <f>SUMIFS(XUẤT!S:S,XUẤT!N:N,CBCNV!B62,XUẤT!O:O,CBCNV!$K$2)</f>
        <v>0</v>
      </c>
      <c r="L62" s="133">
        <f t="shared" si="10"/>
        <v>0</v>
      </c>
      <c r="M62" s="128">
        <f>SUMIFS(XUẤT!T:T,XUẤT!N:N,CBCNV!B62,XUẤT!O:O,CBCNV!$M$2)</f>
        <v>0</v>
      </c>
      <c r="N62" s="133">
        <f t="shared" si="11"/>
        <v>0</v>
      </c>
      <c r="O62" s="128">
        <f>SUMIFS(XUẤT!U:U,XUẤT!N:N,CBCNV!B62,XUẤT!O:O,CBCNV!$O$2)</f>
        <v>0</v>
      </c>
      <c r="P62" s="133">
        <f t="shared" si="12"/>
        <v>0</v>
      </c>
      <c r="Q62" s="30"/>
      <c r="R62" s="16"/>
    </row>
    <row r="63" spans="1:20" s="134" customFormat="1" x14ac:dyDescent="0.3">
      <c r="A63" s="131">
        <v>56</v>
      </c>
      <c r="B63" s="10" t="s">
        <v>136</v>
      </c>
      <c r="C63" s="131" t="s">
        <v>79</v>
      </c>
      <c r="D63" s="131" t="s">
        <v>132</v>
      </c>
      <c r="E63" s="128">
        <f>SUMIFS(XUẤT!P:P,XUẤT!N:N,CBCNV!B63,XUẤT!O:O,CBCNV!$E$2)</f>
        <v>0</v>
      </c>
      <c r="F63" s="133">
        <f t="shared" si="7"/>
        <v>0</v>
      </c>
      <c r="G63" s="128">
        <f>SUMIFS(XUẤT!Q:Q,XUẤT!N:N,CBCNV!B63,XUẤT!O:O,CBCNV!$G$2)</f>
        <v>0</v>
      </c>
      <c r="H63" s="132">
        <f t="shared" si="8"/>
        <v>0</v>
      </c>
      <c r="I63" s="128">
        <f>SUMIFS(XUẤT!R:R,XUẤT!N:N,CBCNV!B63,XUẤT!O:O,CBCNV!$I$2)</f>
        <v>0</v>
      </c>
      <c r="J63" s="133">
        <f t="shared" si="9"/>
        <v>0</v>
      </c>
      <c r="K63" s="128">
        <f>SUMIFS(XUẤT!S:S,XUẤT!N:N,CBCNV!B63,XUẤT!O:O,CBCNV!$K$2)</f>
        <v>0</v>
      </c>
      <c r="L63" s="133">
        <f t="shared" si="10"/>
        <v>0</v>
      </c>
      <c r="M63" s="128">
        <f>SUMIFS(XUẤT!T:T,XUẤT!N:N,CBCNV!B63,XUẤT!O:O,CBCNV!$M$2)</f>
        <v>0</v>
      </c>
      <c r="N63" s="133">
        <f t="shared" si="11"/>
        <v>0</v>
      </c>
      <c r="O63" s="128">
        <f>SUMIFS(XUẤT!U:U,XUẤT!N:N,CBCNV!B63,XUẤT!O:O,CBCNV!$O$2)</f>
        <v>0</v>
      </c>
      <c r="P63" s="133">
        <f t="shared" si="12"/>
        <v>0</v>
      </c>
      <c r="Q63" s="30"/>
      <c r="R63" s="16"/>
    </row>
    <row r="64" spans="1:20" s="134" customFormat="1" x14ac:dyDescent="0.3">
      <c r="A64" s="131">
        <v>57</v>
      </c>
      <c r="B64" s="10" t="s">
        <v>137</v>
      </c>
      <c r="C64" s="131" t="s">
        <v>79</v>
      </c>
      <c r="D64" s="131" t="s">
        <v>132</v>
      </c>
      <c r="E64" s="128">
        <f>SUMIFS(XUẤT!P:P,XUẤT!N:N,CBCNV!B64,XUẤT!O:O,CBCNV!$E$2)</f>
        <v>0</v>
      </c>
      <c r="F64" s="133">
        <f t="shared" si="7"/>
        <v>0</v>
      </c>
      <c r="G64" s="128">
        <f>SUMIFS(XUẤT!Q:Q,XUẤT!N:N,CBCNV!B64,XUẤT!O:O,CBCNV!$G$2)</f>
        <v>0</v>
      </c>
      <c r="H64" s="132">
        <f t="shared" si="8"/>
        <v>0</v>
      </c>
      <c r="I64" s="128">
        <f>SUMIFS(XUẤT!R:R,XUẤT!N:N,CBCNV!B64,XUẤT!O:O,CBCNV!$I$2)</f>
        <v>0</v>
      </c>
      <c r="J64" s="133">
        <f t="shared" si="9"/>
        <v>0</v>
      </c>
      <c r="K64" s="128">
        <f>SUMIFS(XUẤT!S:S,XUẤT!N:N,CBCNV!B64,XUẤT!O:O,CBCNV!$K$2)</f>
        <v>0</v>
      </c>
      <c r="L64" s="133">
        <f t="shared" si="10"/>
        <v>0</v>
      </c>
      <c r="M64" s="128">
        <f>SUMIFS(XUẤT!T:T,XUẤT!N:N,CBCNV!B64,XUẤT!O:O,CBCNV!$M$2)</f>
        <v>0</v>
      </c>
      <c r="N64" s="133">
        <f t="shared" si="11"/>
        <v>0</v>
      </c>
      <c r="O64" s="128">
        <f>SUMIFS(XUẤT!U:U,XUẤT!N:N,CBCNV!B64,XUẤT!O:O,CBCNV!$O$2)</f>
        <v>0</v>
      </c>
      <c r="P64" s="133">
        <f t="shared" si="12"/>
        <v>0</v>
      </c>
      <c r="Q64" s="30"/>
      <c r="R64" s="16"/>
    </row>
    <row r="65" spans="1:20" s="134" customFormat="1" x14ac:dyDescent="0.3">
      <c r="A65" s="131">
        <v>58</v>
      </c>
      <c r="B65" s="10" t="s">
        <v>138</v>
      </c>
      <c r="C65" s="131" t="s">
        <v>79</v>
      </c>
      <c r="D65" s="131" t="s">
        <v>132</v>
      </c>
      <c r="E65" s="128">
        <f>SUMIFS(XUẤT!P:P,XUẤT!N:N,CBCNV!B65,XUẤT!O:O,CBCNV!$E$2)</f>
        <v>0</v>
      </c>
      <c r="F65" s="133">
        <f t="shared" si="7"/>
        <v>0</v>
      </c>
      <c r="G65" s="128">
        <f>SUMIFS(XUẤT!Q:Q,XUẤT!N:N,CBCNV!B65,XUẤT!O:O,CBCNV!$G$2)</f>
        <v>0</v>
      </c>
      <c r="H65" s="132">
        <f t="shared" si="8"/>
        <v>0</v>
      </c>
      <c r="I65" s="128">
        <f>SUMIFS(XUẤT!R:R,XUẤT!N:N,CBCNV!B65,XUẤT!O:O,CBCNV!$I$2)</f>
        <v>0</v>
      </c>
      <c r="J65" s="133">
        <f t="shared" si="9"/>
        <v>0</v>
      </c>
      <c r="K65" s="128">
        <f>SUMIFS(XUẤT!S:S,XUẤT!N:N,CBCNV!B65,XUẤT!O:O,CBCNV!$K$2)</f>
        <v>0</v>
      </c>
      <c r="L65" s="133">
        <f t="shared" si="10"/>
        <v>0</v>
      </c>
      <c r="M65" s="128">
        <f>SUMIFS(XUẤT!T:T,XUẤT!N:N,CBCNV!B65,XUẤT!O:O,CBCNV!$M$2)</f>
        <v>0</v>
      </c>
      <c r="N65" s="133">
        <f t="shared" si="11"/>
        <v>0</v>
      </c>
      <c r="O65" s="128">
        <f>SUMIFS(XUẤT!U:U,XUẤT!N:N,CBCNV!B65,XUẤT!O:O,CBCNV!$O$2)</f>
        <v>0</v>
      </c>
      <c r="P65" s="133">
        <f t="shared" si="12"/>
        <v>0</v>
      </c>
      <c r="Q65" s="30"/>
      <c r="R65" s="16"/>
    </row>
    <row r="66" spans="1:20" s="134" customFormat="1" x14ac:dyDescent="0.3">
      <c r="A66" s="131">
        <v>59</v>
      </c>
      <c r="B66" s="10" t="s">
        <v>139</v>
      </c>
      <c r="C66" s="131" t="s">
        <v>79</v>
      </c>
      <c r="D66" s="131" t="s">
        <v>132</v>
      </c>
      <c r="E66" s="128">
        <f>SUMIFS(XUẤT!P:P,XUẤT!N:N,CBCNV!B66,XUẤT!O:O,CBCNV!$E$2)</f>
        <v>10</v>
      </c>
      <c r="F66" s="133">
        <f t="shared" si="7"/>
        <v>980000</v>
      </c>
      <c r="G66" s="128">
        <f>SUMIFS(XUẤT!Q:Q,XUẤT!N:N,CBCNV!B66,XUẤT!O:O,CBCNV!$G$2)</f>
        <v>0</v>
      </c>
      <c r="H66" s="132">
        <f t="shared" si="8"/>
        <v>0</v>
      </c>
      <c r="I66" s="128">
        <f>SUMIFS(XUẤT!R:R,XUẤT!N:N,CBCNV!B66,XUẤT!O:O,CBCNV!$I$2)</f>
        <v>0</v>
      </c>
      <c r="J66" s="133">
        <f t="shared" si="9"/>
        <v>0</v>
      </c>
      <c r="K66" s="128">
        <f>SUMIFS(XUẤT!S:S,XUẤT!N:N,CBCNV!B66,XUẤT!O:O,CBCNV!$K$2)</f>
        <v>0</v>
      </c>
      <c r="L66" s="133">
        <f t="shared" si="10"/>
        <v>0</v>
      </c>
      <c r="M66" s="128">
        <f>SUMIFS(XUẤT!T:T,XUẤT!N:N,CBCNV!B66,XUẤT!O:O,CBCNV!$M$2)</f>
        <v>0</v>
      </c>
      <c r="N66" s="133">
        <f t="shared" si="11"/>
        <v>0</v>
      </c>
      <c r="O66" s="128">
        <f>SUMIFS(XUẤT!U:U,XUẤT!N:N,CBCNV!B66,XUẤT!O:O,CBCNV!$O$2)</f>
        <v>0</v>
      </c>
      <c r="P66" s="133">
        <f t="shared" si="12"/>
        <v>0</v>
      </c>
      <c r="Q66" s="30"/>
      <c r="R66" s="16"/>
    </row>
    <row r="67" spans="1:20" s="134" customFormat="1" x14ac:dyDescent="0.3">
      <c r="A67" s="131">
        <v>60</v>
      </c>
      <c r="B67" s="10" t="s">
        <v>140</v>
      </c>
      <c r="C67" s="131" t="s">
        <v>79</v>
      </c>
      <c r="D67" s="131" t="s">
        <v>132</v>
      </c>
      <c r="E67" s="128">
        <f>SUMIFS(XUẤT!P:P,XUẤT!N:N,CBCNV!B67,XUẤT!O:O,CBCNV!$E$2)</f>
        <v>0</v>
      </c>
      <c r="F67" s="133">
        <f t="shared" si="7"/>
        <v>0</v>
      </c>
      <c r="G67" s="128">
        <f>SUMIFS(XUẤT!Q:Q,XUẤT!N:N,CBCNV!B67,XUẤT!O:O,CBCNV!$G$2)</f>
        <v>0</v>
      </c>
      <c r="H67" s="132">
        <f t="shared" si="8"/>
        <v>0</v>
      </c>
      <c r="I67" s="128">
        <f>SUMIFS(XUẤT!R:R,XUẤT!N:N,CBCNV!B67,XUẤT!O:O,CBCNV!$I$2)</f>
        <v>0</v>
      </c>
      <c r="J67" s="133">
        <f t="shared" si="9"/>
        <v>0</v>
      </c>
      <c r="K67" s="128">
        <f>SUMIFS(XUẤT!S:S,XUẤT!N:N,CBCNV!B67,XUẤT!O:O,CBCNV!$K$2)</f>
        <v>0</v>
      </c>
      <c r="L67" s="133">
        <f t="shared" si="10"/>
        <v>0</v>
      </c>
      <c r="M67" s="128">
        <f>SUMIFS(XUẤT!T:T,XUẤT!N:N,CBCNV!B67,XUẤT!O:O,CBCNV!$M$2)</f>
        <v>0</v>
      </c>
      <c r="N67" s="133">
        <f t="shared" si="11"/>
        <v>0</v>
      </c>
      <c r="O67" s="128">
        <f>SUMIFS(XUẤT!U:U,XUẤT!N:N,CBCNV!B67,XUẤT!O:O,CBCNV!$O$2)</f>
        <v>0</v>
      </c>
      <c r="P67" s="133">
        <f t="shared" si="12"/>
        <v>0</v>
      </c>
      <c r="Q67" s="30"/>
      <c r="R67" s="16"/>
    </row>
    <row r="68" spans="1:20" s="134" customFormat="1" x14ac:dyDescent="0.3">
      <c r="A68" s="131">
        <v>61</v>
      </c>
      <c r="B68" s="10" t="s">
        <v>141</v>
      </c>
      <c r="C68" s="131" t="s">
        <v>142</v>
      </c>
      <c r="D68" s="131" t="s">
        <v>132</v>
      </c>
      <c r="E68" s="128">
        <f>SUMIFS(XUẤT!P:P,XUẤT!N:N,CBCNV!B68,XUẤT!O:O,CBCNV!$E$2)</f>
        <v>0</v>
      </c>
      <c r="F68" s="133">
        <f t="shared" si="7"/>
        <v>0</v>
      </c>
      <c r="G68" s="128">
        <f>SUMIFS(XUẤT!Q:Q,XUẤT!N:N,CBCNV!B68,XUẤT!O:O,CBCNV!$G$2)</f>
        <v>0</v>
      </c>
      <c r="H68" s="132">
        <f t="shared" si="8"/>
        <v>0</v>
      </c>
      <c r="I68" s="128">
        <f>SUMIFS(XUẤT!R:R,XUẤT!N:N,CBCNV!B68,XUẤT!O:O,CBCNV!$I$2)</f>
        <v>0</v>
      </c>
      <c r="J68" s="133">
        <f t="shared" si="9"/>
        <v>0</v>
      </c>
      <c r="K68" s="128">
        <f>SUMIFS(XUẤT!S:S,XUẤT!N:N,CBCNV!B68,XUẤT!O:O,CBCNV!$K$2)</f>
        <v>0</v>
      </c>
      <c r="L68" s="133">
        <f t="shared" si="10"/>
        <v>0</v>
      </c>
      <c r="M68" s="128">
        <f>SUMIFS(XUẤT!T:T,XUẤT!N:N,CBCNV!B68,XUẤT!O:O,CBCNV!$M$2)</f>
        <v>0</v>
      </c>
      <c r="N68" s="133">
        <f t="shared" si="11"/>
        <v>0</v>
      </c>
      <c r="O68" s="128">
        <f>SUMIFS(XUẤT!U:U,XUẤT!N:N,CBCNV!B68,XUẤT!O:O,CBCNV!$O$2)</f>
        <v>0</v>
      </c>
      <c r="P68" s="133">
        <f t="shared" si="12"/>
        <v>0</v>
      </c>
      <c r="Q68" s="30"/>
      <c r="R68" s="16"/>
    </row>
    <row r="69" spans="1:20" s="134" customFormat="1" x14ac:dyDescent="0.3">
      <c r="A69" s="131">
        <v>62</v>
      </c>
      <c r="B69" s="10" t="s">
        <v>143</v>
      </c>
      <c r="C69" s="131" t="s">
        <v>142</v>
      </c>
      <c r="D69" s="131" t="s">
        <v>132</v>
      </c>
      <c r="E69" s="128">
        <f>SUMIFS(XUẤT!P:P,XUẤT!N:N,CBCNV!B69,XUẤT!O:O,CBCNV!$E$2)</f>
        <v>0</v>
      </c>
      <c r="F69" s="133">
        <f t="shared" si="7"/>
        <v>0</v>
      </c>
      <c r="G69" s="128">
        <f>SUMIFS(XUẤT!Q:Q,XUẤT!N:N,CBCNV!B69,XUẤT!O:O,CBCNV!$G$2)</f>
        <v>0</v>
      </c>
      <c r="H69" s="132">
        <f t="shared" si="8"/>
        <v>0</v>
      </c>
      <c r="I69" s="128">
        <f>SUMIFS(XUẤT!R:R,XUẤT!N:N,CBCNV!B69,XUẤT!O:O,CBCNV!$I$2)</f>
        <v>0</v>
      </c>
      <c r="J69" s="133">
        <f t="shared" si="9"/>
        <v>0</v>
      </c>
      <c r="K69" s="128">
        <f>SUMIFS(XUẤT!S:S,XUẤT!N:N,CBCNV!B69,XUẤT!O:O,CBCNV!$K$2)</f>
        <v>0</v>
      </c>
      <c r="L69" s="133">
        <f t="shared" si="10"/>
        <v>0</v>
      </c>
      <c r="M69" s="128">
        <f>SUMIFS(XUẤT!T:T,XUẤT!N:N,CBCNV!B69,XUẤT!O:O,CBCNV!$M$2)</f>
        <v>0</v>
      </c>
      <c r="N69" s="133">
        <f t="shared" si="11"/>
        <v>0</v>
      </c>
      <c r="O69" s="128">
        <f>SUMIFS(XUẤT!U:U,XUẤT!N:N,CBCNV!B69,XUẤT!O:O,CBCNV!$O$2)</f>
        <v>0</v>
      </c>
      <c r="P69" s="133">
        <f t="shared" si="12"/>
        <v>0</v>
      </c>
      <c r="Q69" s="30"/>
      <c r="R69" s="16"/>
    </row>
    <row r="70" spans="1:20" s="134" customFormat="1" x14ac:dyDescent="0.3">
      <c r="A70" s="131">
        <v>63</v>
      </c>
      <c r="B70" s="10" t="s">
        <v>144</v>
      </c>
      <c r="C70" s="131" t="s">
        <v>142</v>
      </c>
      <c r="D70" s="131" t="s">
        <v>132</v>
      </c>
      <c r="E70" s="128">
        <f>SUMIFS(XUẤT!P:P,XUẤT!N:N,CBCNV!B70,XUẤT!O:O,CBCNV!$E$2)</f>
        <v>0</v>
      </c>
      <c r="F70" s="133">
        <f t="shared" si="7"/>
        <v>0</v>
      </c>
      <c r="G70" s="128">
        <f>SUMIFS(XUẤT!Q:Q,XUẤT!N:N,CBCNV!B70,XUẤT!O:O,CBCNV!$G$2)</f>
        <v>0</v>
      </c>
      <c r="H70" s="132">
        <f t="shared" si="8"/>
        <v>0</v>
      </c>
      <c r="I70" s="128">
        <f>SUMIFS(XUẤT!R:R,XUẤT!N:N,CBCNV!B70,XUẤT!O:O,CBCNV!$I$2)</f>
        <v>0</v>
      </c>
      <c r="J70" s="133">
        <f t="shared" si="9"/>
        <v>0</v>
      </c>
      <c r="K70" s="128">
        <f>SUMIFS(XUẤT!S:S,XUẤT!N:N,CBCNV!B70,XUẤT!O:O,CBCNV!$K$2)</f>
        <v>0</v>
      </c>
      <c r="L70" s="133">
        <f t="shared" si="10"/>
        <v>0</v>
      </c>
      <c r="M70" s="128">
        <f>SUMIFS(XUẤT!T:T,XUẤT!N:N,CBCNV!B70,XUẤT!O:O,CBCNV!$M$2)</f>
        <v>0</v>
      </c>
      <c r="N70" s="133">
        <f t="shared" si="11"/>
        <v>0</v>
      </c>
      <c r="O70" s="128">
        <f>SUMIFS(XUẤT!U:U,XUẤT!N:N,CBCNV!B70,XUẤT!O:O,CBCNV!$O$2)</f>
        <v>0</v>
      </c>
      <c r="P70" s="133">
        <f t="shared" si="12"/>
        <v>0</v>
      </c>
      <c r="Q70" s="30"/>
      <c r="R70" s="16"/>
    </row>
    <row r="71" spans="1:20" s="130" customFormat="1" x14ac:dyDescent="0.3">
      <c r="A71" s="131">
        <v>64</v>
      </c>
      <c r="B71" s="10" t="s">
        <v>145</v>
      </c>
      <c r="C71" s="131" t="s">
        <v>142</v>
      </c>
      <c r="D71" s="131" t="s">
        <v>132</v>
      </c>
      <c r="E71" s="128">
        <f>SUMIFS(XUẤT!P:P,XUẤT!N:N,CBCNV!B71,XUẤT!O:O,CBCNV!$E$2)</f>
        <v>0</v>
      </c>
      <c r="F71" s="133">
        <f t="shared" ref="F71:F102" si="13">E71*$T$10</f>
        <v>0</v>
      </c>
      <c r="G71" s="128">
        <f>SUMIFS(XUẤT!Q:Q,XUẤT!N:N,CBCNV!B71,XUẤT!O:O,CBCNV!$G$2)</f>
        <v>0</v>
      </c>
      <c r="H71" s="132">
        <f t="shared" ref="H71:H102" si="14">G71*$T$8</f>
        <v>0</v>
      </c>
      <c r="I71" s="128">
        <f>SUMIFS(XUẤT!R:R,XUẤT!N:N,CBCNV!B71,XUẤT!O:O,CBCNV!$I$2)</f>
        <v>0</v>
      </c>
      <c r="J71" s="133">
        <f t="shared" ref="J71:J102" si="15">I71*$T$9</f>
        <v>0</v>
      </c>
      <c r="K71" s="128">
        <f>SUMIFS(XUẤT!S:S,XUẤT!N:N,CBCNV!B71,XUẤT!O:O,CBCNV!$K$2)</f>
        <v>0</v>
      </c>
      <c r="L71" s="133">
        <f t="shared" ref="L71:L102" si="16">K71*$T$11</f>
        <v>0</v>
      </c>
      <c r="M71" s="128">
        <f>SUMIFS(XUẤT!T:T,XUẤT!N:N,CBCNV!B71,XUẤT!O:O,CBCNV!$M$2)</f>
        <v>0</v>
      </c>
      <c r="N71" s="133">
        <f t="shared" ref="N71:N102" si="17">M71*$T$12</f>
        <v>0</v>
      </c>
      <c r="O71" s="128">
        <f>SUMIFS(XUẤT!U:U,XUẤT!N:N,CBCNV!B71,XUẤT!O:O,CBCNV!$O$2)</f>
        <v>0</v>
      </c>
      <c r="P71" s="133">
        <f t="shared" ref="P71:P102" si="18">O71*$T$13</f>
        <v>0</v>
      </c>
      <c r="Q71" s="30"/>
      <c r="R71" s="16"/>
      <c r="S71" s="134"/>
      <c r="T71" s="134"/>
    </row>
    <row r="72" spans="1:20" s="134" customFormat="1" x14ac:dyDescent="0.3">
      <c r="A72" s="131">
        <v>65</v>
      </c>
      <c r="B72" s="10" t="s">
        <v>146</v>
      </c>
      <c r="C72" s="131" t="s">
        <v>142</v>
      </c>
      <c r="D72" s="131" t="s">
        <v>132</v>
      </c>
      <c r="E72" s="128">
        <f>SUMIFS(XUẤT!P:P,XUẤT!N:N,CBCNV!B72,XUẤT!O:O,CBCNV!$E$2)</f>
        <v>20</v>
      </c>
      <c r="F72" s="133">
        <f t="shared" si="13"/>
        <v>1960000</v>
      </c>
      <c r="G72" s="128">
        <f>SUMIFS(XUẤT!Q:Q,XUẤT!N:N,CBCNV!B72,XUẤT!O:O,CBCNV!$G$2)</f>
        <v>0</v>
      </c>
      <c r="H72" s="132">
        <f t="shared" si="14"/>
        <v>0</v>
      </c>
      <c r="I72" s="128">
        <f>SUMIFS(XUẤT!R:R,XUẤT!N:N,CBCNV!B72,XUẤT!O:O,CBCNV!$I$2)</f>
        <v>0</v>
      </c>
      <c r="J72" s="133">
        <f t="shared" si="15"/>
        <v>0</v>
      </c>
      <c r="K72" s="128">
        <f>SUMIFS(XUẤT!S:S,XUẤT!N:N,CBCNV!B72,XUẤT!O:O,CBCNV!$K$2)</f>
        <v>0</v>
      </c>
      <c r="L72" s="133">
        <f t="shared" si="16"/>
        <v>0</v>
      </c>
      <c r="M72" s="128">
        <f>SUMIFS(XUẤT!T:T,XUẤT!N:N,CBCNV!B72,XUẤT!O:O,CBCNV!$M$2)</f>
        <v>0</v>
      </c>
      <c r="N72" s="133">
        <f t="shared" si="17"/>
        <v>0</v>
      </c>
      <c r="O72" s="128">
        <f>SUMIFS(XUẤT!U:U,XUẤT!N:N,CBCNV!B72,XUẤT!O:O,CBCNV!$O$2)</f>
        <v>0</v>
      </c>
      <c r="P72" s="133">
        <f t="shared" si="18"/>
        <v>0</v>
      </c>
      <c r="Q72" s="30"/>
      <c r="R72" s="16"/>
    </row>
    <row r="73" spans="1:20" s="134" customFormat="1" x14ac:dyDescent="0.3">
      <c r="A73" s="131">
        <v>66</v>
      </c>
      <c r="B73" s="136" t="s">
        <v>147</v>
      </c>
      <c r="C73" s="131" t="s">
        <v>148</v>
      </c>
      <c r="D73" s="131" t="s">
        <v>132</v>
      </c>
      <c r="E73" s="128">
        <f>SUMIFS(XUẤT!P:P,XUẤT!N:N,CBCNV!B73,XUẤT!O:O,CBCNV!$E$2)</f>
        <v>0</v>
      </c>
      <c r="F73" s="133">
        <f t="shared" si="13"/>
        <v>0</v>
      </c>
      <c r="G73" s="128">
        <f>SUMIFS(XUẤT!Q:Q,XUẤT!N:N,CBCNV!B73,XUẤT!O:O,CBCNV!$G$2)</f>
        <v>0</v>
      </c>
      <c r="H73" s="132">
        <f t="shared" si="14"/>
        <v>0</v>
      </c>
      <c r="I73" s="128">
        <f>SUMIFS(XUẤT!R:R,XUẤT!N:N,CBCNV!B73,XUẤT!O:O,CBCNV!$I$2)</f>
        <v>0</v>
      </c>
      <c r="J73" s="133">
        <f t="shared" si="15"/>
        <v>0</v>
      </c>
      <c r="K73" s="128">
        <f>SUMIFS(XUẤT!S:S,XUẤT!N:N,CBCNV!B73,XUẤT!O:O,CBCNV!$K$2)</f>
        <v>0</v>
      </c>
      <c r="L73" s="133">
        <f t="shared" si="16"/>
        <v>0</v>
      </c>
      <c r="M73" s="128">
        <f>SUMIFS(XUẤT!T:T,XUẤT!N:N,CBCNV!B73,XUẤT!O:O,CBCNV!$M$2)</f>
        <v>0</v>
      </c>
      <c r="N73" s="133">
        <f t="shared" si="17"/>
        <v>0</v>
      </c>
      <c r="O73" s="128">
        <f>SUMIFS(XUẤT!U:U,XUẤT!N:N,CBCNV!B73,XUẤT!O:O,CBCNV!$O$2)</f>
        <v>0</v>
      </c>
      <c r="P73" s="133">
        <f t="shared" si="18"/>
        <v>0</v>
      </c>
      <c r="Q73" s="30"/>
      <c r="R73" s="16"/>
    </row>
    <row r="74" spans="1:20" s="134" customFormat="1" x14ac:dyDescent="0.3">
      <c r="A74" s="131">
        <v>67</v>
      </c>
      <c r="B74" s="32" t="s">
        <v>149</v>
      </c>
      <c r="C74" s="135" t="s">
        <v>150</v>
      </c>
      <c r="D74" s="135" t="s">
        <v>151</v>
      </c>
      <c r="E74" s="128">
        <f>SUMIFS(XUẤT!P:P,XUẤT!N:N,CBCNV!B74,XUẤT!O:O,CBCNV!$E$2)</f>
        <v>0</v>
      </c>
      <c r="F74" s="133">
        <f t="shared" si="13"/>
        <v>0</v>
      </c>
      <c r="G74" s="128">
        <f>SUMIFS(XUẤT!Q:Q,XUẤT!N:N,CBCNV!B74,XUẤT!O:O,CBCNV!$G$2)</f>
        <v>0</v>
      </c>
      <c r="H74" s="132">
        <f t="shared" si="14"/>
        <v>0</v>
      </c>
      <c r="I74" s="128">
        <f>SUMIFS(XUẤT!R:R,XUẤT!N:N,CBCNV!B74,XUẤT!O:O,CBCNV!$I$2)</f>
        <v>0</v>
      </c>
      <c r="J74" s="133">
        <f t="shared" si="15"/>
        <v>0</v>
      </c>
      <c r="K74" s="128">
        <f>SUMIFS(XUẤT!S:S,XUẤT!N:N,CBCNV!B74,XUẤT!O:O,CBCNV!$K$2)</f>
        <v>0</v>
      </c>
      <c r="L74" s="133">
        <f t="shared" si="16"/>
        <v>0</v>
      </c>
      <c r="M74" s="128">
        <f>SUMIFS(XUẤT!T:T,XUẤT!N:N,CBCNV!B74,XUẤT!O:O,CBCNV!$M$2)</f>
        <v>0</v>
      </c>
      <c r="N74" s="133">
        <f t="shared" si="17"/>
        <v>0</v>
      </c>
      <c r="O74" s="128">
        <f>SUMIFS(XUẤT!U:U,XUẤT!N:N,CBCNV!B74,XUẤT!O:O,CBCNV!$O$2)</f>
        <v>0</v>
      </c>
      <c r="P74" s="133">
        <f t="shared" si="18"/>
        <v>0</v>
      </c>
      <c r="Q74" s="30"/>
      <c r="R74" s="19"/>
      <c r="S74" s="130"/>
      <c r="T74" s="130"/>
    </row>
    <row r="75" spans="1:20" s="134" customFormat="1" x14ac:dyDescent="0.3">
      <c r="A75" s="131">
        <v>68</v>
      </c>
      <c r="B75" s="10" t="s">
        <v>152</v>
      </c>
      <c r="C75" s="131" t="s">
        <v>153</v>
      </c>
      <c r="D75" s="131" t="s">
        <v>151</v>
      </c>
      <c r="E75" s="128">
        <f>SUMIFS(XUẤT!P:P,XUẤT!N:N,CBCNV!B75,XUẤT!O:O,CBCNV!$E$2)</f>
        <v>4</v>
      </c>
      <c r="F75" s="133">
        <f t="shared" si="13"/>
        <v>392000</v>
      </c>
      <c r="G75" s="128">
        <f>SUMIFS(XUẤT!Q:Q,XUẤT!N:N,CBCNV!B75,XUẤT!O:O,CBCNV!$G$2)</f>
        <v>0</v>
      </c>
      <c r="H75" s="132">
        <f t="shared" si="14"/>
        <v>0</v>
      </c>
      <c r="I75" s="128">
        <f>SUMIFS(XUẤT!R:R,XUẤT!N:N,CBCNV!B75,XUẤT!O:O,CBCNV!$I$2)</f>
        <v>0</v>
      </c>
      <c r="J75" s="133">
        <f t="shared" si="15"/>
        <v>0</v>
      </c>
      <c r="K75" s="128">
        <f>SUMIFS(XUẤT!S:S,XUẤT!N:N,CBCNV!B75,XUẤT!O:O,CBCNV!$K$2)</f>
        <v>0</v>
      </c>
      <c r="L75" s="133">
        <f t="shared" si="16"/>
        <v>0</v>
      </c>
      <c r="M75" s="128">
        <f>SUMIFS(XUẤT!T:T,XUẤT!N:N,CBCNV!B75,XUẤT!O:O,CBCNV!$M$2)</f>
        <v>0</v>
      </c>
      <c r="N75" s="133">
        <f t="shared" si="17"/>
        <v>0</v>
      </c>
      <c r="O75" s="128">
        <f>SUMIFS(XUẤT!U:U,XUẤT!N:N,CBCNV!B75,XUẤT!O:O,CBCNV!$O$2)</f>
        <v>0</v>
      </c>
      <c r="P75" s="133">
        <f t="shared" si="18"/>
        <v>0</v>
      </c>
      <c r="Q75" s="30"/>
      <c r="R75" s="16"/>
    </row>
    <row r="76" spans="1:20" s="134" customFormat="1" x14ac:dyDescent="0.3">
      <c r="A76" s="131">
        <v>69</v>
      </c>
      <c r="B76" s="10" t="s">
        <v>154</v>
      </c>
      <c r="C76" s="131" t="s">
        <v>153</v>
      </c>
      <c r="D76" s="131" t="s">
        <v>151</v>
      </c>
      <c r="E76" s="128">
        <f>SUMIFS(XUẤT!P:P,XUẤT!N:N,CBCNV!B76,XUẤT!O:O,CBCNV!$E$2)</f>
        <v>0</v>
      </c>
      <c r="F76" s="133">
        <f t="shared" si="13"/>
        <v>0</v>
      </c>
      <c r="G76" s="128">
        <f>SUMIFS(XUẤT!Q:Q,XUẤT!N:N,CBCNV!B76,XUẤT!O:O,CBCNV!$G$2)</f>
        <v>0</v>
      </c>
      <c r="H76" s="132">
        <f t="shared" si="14"/>
        <v>0</v>
      </c>
      <c r="I76" s="128">
        <f>SUMIFS(XUẤT!R:R,XUẤT!N:N,CBCNV!B76,XUẤT!O:O,CBCNV!$I$2)</f>
        <v>0</v>
      </c>
      <c r="J76" s="133">
        <f t="shared" si="15"/>
        <v>0</v>
      </c>
      <c r="K76" s="128">
        <f>SUMIFS(XUẤT!S:S,XUẤT!N:N,CBCNV!B76,XUẤT!O:O,CBCNV!$K$2)</f>
        <v>0</v>
      </c>
      <c r="L76" s="133">
        <f t="shared" si="16"/>
        <v>0</v>
      </c>
      <c r="M76" s="128">
        <f>SUMIFS(XUẤT!T:T,XUẤT!N:N,CBCNV!B76,XUẤT!O:O,CBCNV!$M$2)</f>
        <v>0</v>
      </c>
      <c r="N76" s="133">
        <f t="shared" si="17"/>
        <v>0</v>
      </c>
      <c r="O76" s="128">
        <f>SUMIFS(XUẤT!U:U,XUẤT!N:N,CBCNV!B76,XUẤT!O:O,CBCNV!$O$2)</f>
        <v>0</v>
      </c>
      <c r="P76" s="133">
        <f t="shared" si="18"/>
        <v>0</v>
      </c>
      <c r="Q76" s="30"/>
      <c r="R76" s="16"/>
    </row>
    <row r="77" spans="1:20" s="134" customFormat="1" x14ac:dyDescent="0.3">
      <c r="A77" s="131">
        <v>70</v>
      </c>
      <c r="B77" s="10" t="s">
        <v>155</v>
      </c>
      <c r="C77" s="131" t="s">
        <v>79</v>
      </c>
      <c r="D77" s="131" t="s">
        <v>151</v>
      </c>
      <c r="E77" s="128">
        <f>SUMIFS(XUẤT!P:P,XUẤT!N:N,CBCNV!B77,XUẤT!O:O,CBCNV!$E$2)</f>
        <v>0</v>
      </c>
      <c r="F77" s="133">
        <f t="shared" si="13"/>
        <v>0</v>
      </c>
      <c r="G77" s="128">
        <f>SUMIFS(XUẤT!Q:Q,XUẤT!N:N,CBCNV!B77,XUẤT!O:O,CBCNV!$G$2)</f>
        <v>0</v>
      </c>
      <c r="H77" s="132">
        <f t="shared" si="14"/>
        <v>0</v>
      </c>
      <c r="I77" s="128">
        <f>SUMIFS(XUẤT!R:R,XUẤT!N:N,CBCNV!B77,XUẤT!O:O,CBCNV!$I$2)</f>
        <v>0</v>
      </c>
      <c r="J77" s="133">
        <f t="shared" si="15"/>
        <v>0</v>
      </c>
      <c r="K77" s="128">
        <f>SUMIFS(XUẤT!S:S,XUẤT!N:N,CBCNV!B77,XUẤT!O:O,CBCNV!$K$2)</f>
        <v>0</v>
      </c>
      <c r="L77" s="133">
        <f t="shared" si="16"/>
        <v>0</v>
      </c>
      <c r="M77" s="128">
        <f>SUMIFS(XUẤT!T:T,XUẤT!N:N,CBCNV!B77,XUẤT!O:O,CBCNV!$M$2)</f>
        <v>0</v>
      </c>
      <c r="N77" s="133">
        <f t="shared" si="17"/>
        <v>0</v>
      </c>
      <c r="O77" s="128">
        <f>SUMIFS(XUẤT!U:U,XUẤT!N:N,CBCNV!B77,XUẤT!O:O,CBCNV!$O$2)</f>
        <v>0</v>
      </c>
      <c r="P77" s="133">
        <f t="shared" si="18"/>
        <v>0</v>
      </c>
      <c r="Q77" s="30"/>
      <c r="R77" s="16"/>
    </row>
    <row r="78" spans="1:20" s="134" customFormat="1" x14ac:dyDescent="0.3">
      <c r="A78" s="131">
        <v>71</v>
      </c>
      <c r="B78" s="10" t="s">
        <v>156</v>
      </c>
      <c r="C78" s="131" t="s">
        <v>79</v>
      </c>
      <c r="D78" s="131" t="s">
        <v>151</v>
      </c>
      <c r="E78" s="128">
        <f>SUMIFS(XUẤT!P:P,XUẤT!N:N,CBCNV!B78,XUẤT!O:O,CBCNV!$E$2)</f>
        <v>0</v>
      </c>
      <c r="F78" s="133">
        <f t="shared" si="13"/>
        <v>0</v>
      </c>
      <c r="G78" s="128">
        <f>SUMIFS(XUẤT!Q:Q,XUẤT!N:N,CBCNV!B78,XUẤT!O:O,CBCNV!$G$2)</f>
        <v>0</v>
      </c>
      <c r="H78" s="132">
        <f t="shared" si="14"/>
        <v>0</v>
      </c>
      <c r="I78" s="128">
        <f>SUMIFS(XUẤT!R:R,XUẤT!N:N,CBCNV!B78,XUẤT!O:O,CBCNV!$I$2)</f>
        <v>0</v>
      </c>
      <c r="J78" s="133">
        <f t="shared" si="15"/>
        <v>0</v>
      </c>
      <c r="K78" s="128">
        <f>SUMIFS(XUẤT!S:S,XUẤT!N:N,CBCNV!B78,XUẤT!O:O,CBCNV!$K$2)</f>
        <v>0</v>
      </c>
      <c r="L78" s="133">
        <f t="shared" si="16"/>
        <v>0</v>
      </c>
      <c r="M78" s="128">
        <f>SUMIFS(XUẤT!T:T,XUẤT!N:N,CBCNV!B78,XUẤT!O:O,CBCNV!$M$2)</f>
        <v>0</v>
      </c>
      <c r="N78" s="133">
        <f t="shared" si="17"/>
        <v>0</v>
      </c>
      <c r="O78" s="128">
        <f>SUMIFS(XUẤT!U:U,XUẤT!N:N,CBCNV!B78,XUẤT!O:O,CBCNV!$O$2)</f>
        <v>0</v>
      </c>
      <c r="P78" s="133">
        <f t="shared" si="18"/>
        <v>0</v>
      </c>
      <c r="Q78" s="30"/>
      <c r="R78" s="16"/>
    </row>
    <row r="79" spans="1:20" s="134" customFormat="1" x14ac:dyDescent="0.3">
      <c r="A79" s="131">
        <v>72</v>
      </c>
      <c r="B79" s="10" t="s">
        <v>157</v>
      </c>
      <c r="C79" s="131" t="s">
        <v>79</v>
      </c>
      <c r="D79" s="131" t="s">
        <v>151</v>
      </c>
      <c r="E79" s="128">
        <f>SUMIFS(XUẤT!P:P,XUẤT!N:N,CBCNV!B79,XUẤT!O:O,CBCNV!$E$2)</f>
        <v>0</v>
      </c>
      <c r="F79" s="133">
        <f t="shared" si="13"/>
        <v>0</v>
      </c>
      <c r="G79" s="128">
        <f>SUMIFS(XUẤT!Q:Q,XUẤT!N:N,CBCNV!B79,XUẤT!O:O,CBCNV!$G$2)</f>
        <v>0</v>
      </c>
      <c r="H79" s="132">
        <f t="shared" si="14"/>
        <v>0</v>
      </c>
      <c r="I79" s="128">
        <f>SUMIFS(XUẤT!R:R,XUẤT!N:N,CBCNV!B79,XUẤT!O:O,CBCNV!$I$2)</f>
        <v>0</v>
      </c>
      <c r="J79" s="133">
        <f t="shared" si="15"/>
        <v>0</v>
      </c>
      <c r="K79" s="128">
        <f>SUMIFS(XUẤT!S:S,XUẤT!N:N,CBCNV!B79,XUẤT!O:O,CBCNV!$K$2)</f>
        <v>0</v>
      </c>
      <c r="L79" s="133">
        <f t="shared" si="16"/>
        <v>0</v>
      </c>
      <c r="M79" s="128">
        <f>SUMIFS(XUẤT!T:T,XUẤT!N:N,CBCNV!B79,XUẤT!O:O,CBCNV!$M$2)</f>
        <v>0</v>
      </c>
      <c r="N79" s="133">
        <f t="shared" si="17"/>
        <v>0</v>
      </c>
      <c r="O79" s="128">
        <f>SUMIFS(XUẤT!U:U,XUẤT!N:N,CBCNV!B79,XUẤT!O:O,CBCNV!$O$2)</f>
        <v>0</v>
      </c>
      <c r="P79" s="133">
        <f t="shared" si="18"/>
        <v>0</v>
      </c>
      <c r="Q79" s="30"/>
      <c r="R79" s="16"/>
    </row>
    <row r="80" spans="1:20" s="134" customFormat="1" x14ac:dyDescent="0.3">
      <c r="A80" s="131">
        <v>73</v>
      </c>
      <c r="B80" s="10" t="s">
        <v>158</v>
      </c>
      <c r="C80" s="131" t="s">
        <v>79</v>
      </c>
      <c r="D80" s="131" t="s">
        <v>151</v>
      </c>
      <c r="E80" s="128">
        <f>SUMIFS(XUẤT!P:P,XUẤT!N:N,CBCNV!B80,XUẤT!O:O,CBCNV!$E$2)</f>
        <v>0</v>
      </c>
      <c r="F80" s="133">
        <f t="shared" si="13"/>
        <v>0</v>
      </c>
      <c r="G80" s="128">
        <f>SUMIFS(XUẤT!Q:Q,XUẤT!N:N,CBCNV!B80,XUẤT!O:O,CBCNV!$G$2)</f>
        <v>0</v>
      </c>
      <c r="H80" s="132">
        <f t="shared" si="14"/>
        <v>0</v>
      </c>
      <c r="I80" s="128">
        <f>SUMIFS(XUẤT!R:R,XUẤT!N:N,CBCNV!B80,XUẤT!O:O,CBCNV!$I$2)</f>
        <v>0</v>
      </c>
      <c r="J80" s="133">
        <f t="shared" si="15"/>
        <v>0</v>
      </c>
      <c r="K80" s="128">
        <f>SUMIFS(XUẤT!S:S,XUẤT!N:N,CBCNV!B80,XUẤT!O:O,CBCNV!$K$2)</f>
        <v>0</v>
      </c>
      <c r="L80" s="133">
        <f t="shared" si="16"/>
        <v>0</v>
      </c>
      <c r="M80" s="128">
        <f>SUMIFS(XUẤT!T:T,XUẤT!N:N,CBCNV!B80,XUẤT!O:O,CBCNV!$M$2)</f>
        <v>0</v>
      </c>
      <c r="N80" s="133">
        <f t="shared" si="17"/>
        <v>0</v>
      </c>
      <c r="O80" s="128">
        <f>SUMIFS(XUẤT!U:U,XUẤT!N:N,CBCNV!B80,XUẤT!O:O,CBCNV!$O$2)</f>
        <v>0</v>
      </c>
      <c r="P80" s="133">
        <f t="shared" si="18"/>
        <v>0</v>
      </c>
      <c r="Q80" s="30"/>
      <c r="R80" s="16"/>
    </row>
    <row r="81" spans="1:20" s="134" customFormat="1" x14ac:dyDescent="0.3">
      <c r="A81" s="131">
        <v>74</v>
      </c>
      <c r="B81" s="10" t="s">
        <v>159</v>
      </c>
      <c r="C81" s="131" t="s">
        <v>79</v>
      </c>
      <c r="D81" s="131" t="s">
        <v>151</v>
      </c>
      <c r="E81" s="128">
        <f>SUMIFS(XUẤT!P:P,XUẤT!N:N,CBCNV!B81,XUẤT!O:O,CBCNV!$E$2)</f>
        <v>0</v>
      </c>
      <c r="F81" s="133">
        <f t="shared" si="13"/>
        <v>0</v>
      </c>
      <c r="G81" s="128">
        <f>SUMIFS(XUẤT!Q:Q,XUẤT!N:N,CBCNV!B81,XUẤT!O:O,CBCNV!$G$2)</f>
        <v>0</v>
      </c>
      <c r="H81" s="132">
        <f t="shared" si="14"/>
        <v>0</v>
      </c>
      <c r="I81" s="128">
        <f>SUMIFS(XUẤT!R:R,XUẤT!N:N,CBCNV!B81,XUẤT!O:O,CBCNV!$I$2)</f>
        <v>0</v>
      </c>
      <c r="J81" s="133">
        <f t="shared" si="15"/>
        <v>0</v>
      </c>
      <c r="K81" s="128">
        <f>SUMIFS(XUẤT!S:S,XUẤT!N:N,CBCNV!B81,XUẤT!O:O,CBCNV!$K$2)</f>
        <v>0</v>
      </c>
      <c r="L81" s="133">
        <f t="shared" si="16"/>
        <v>0</v>
      </c>
      <c r="M81" s="128">
        <f>SUMIFS(XUẤT!T:T,XUẤT!N:N,CBCNV!B81,XUẤT!O:O,CBCNV!$M$2)</f>
        <v>0</v>
      </c>
      <c r="N81" s="133">
        <f t="shared" si="17"/>
        <v>0</v>
      </c>
      <c r="O81" s="128">
        <f>SUMIFS(XUẤT!U:U,XUẤT!N:N,CBCNV!B81,XUẤT!O:O,CBCNV!$O$2)</f>
        <v>0</v>
      </c>
      <c r="P81" s="133">
        <f t="shared" si="18"/>
        <v>0</v>
      </c>
      <c r="Q81" s="30"/>
      <c r="R81" s="16"/>
    </row>
    <row r="82" spans="1:20" s="134" customFormat="1" x14ac:dyDescent="0.3">
      <c r="A82" s="131">
        <v>75</v>
      </c>
      <c r="B82" s="10" t="s">
        <v>160</v>
      </c>
      <c r="C82" s="131" t="s">
        <v>79</v>
      </c>
      <c r="D82" s="131" t="s">
        <v>151</v>
      </c>
      <c r="E82" s="128">
        <f>SUMIFS(XUẤT!P:P,XUẤT!N:N,CBCNV!B82,XUẤT!O:O,CBCNV!$E$2)</f>
        <v>0</v>
      </c>
      <c r="F82" s="133">
        <f t="shared" si="13"/>
        <v>0</v>
      </c>
      <c r="G82" s="128">
        <f>SUMIFS(XUẤT!Q:Q,XUẤT!N:N,CBCNV!B82,XUẤT!O:O,CBCNV!$G$2)</f>
        <v>0</v>
      </c>
      <c r="H82" s="132">
        <f t="shared" si="14"/>
        <v>0</v>
      </c>
      <c r="I82" s="128">
        <f>SUMIFS(XUẤT!R:R,XUẤT!N:N,CBCNV!B82,XUẤT!O:O,CBCNV!$I$2)</f>
        <v>0</v>
      </c>
      <c r="J82" s="133">
        <f t="shared" si="15"/>
        <v>0</v>
      </c>
      <c r="K82" s="128">
        <f>SUMIFS(XUẤT!S:S,XUẤT!N:N,CBCNV!B82,XUẤT!O:O,CBCNV!$K$2)</f>
        <v>0</v>
      </c>
      <c r="L82" s="133">
        <f t="shared" si="16"/>
        <v>0</v>
      </c>
      <c r="M82" s="128">
        <f>SUMIFS(XUẤT!T:T,XUẤT!N:N,CBCNV!B82,XUẤT!O:O,CBCNV!$M$2)</f>
        <v>0</v>
      </c>
      <c r="N82" s="133">
        <f t="shared" si="17"/>
        <v>0</v>
      </c>
      <c r="O82" s="128">
        <f>SUMIFS(XUẤT!U:U,XUẤT!N:N,CBCNV!B82,XUẤT!O:O,CBCNV!$O$2)</f>
        <v>0</v>
      </c>
      <c r="P82" s="133">
        <f t="shared" si="18"/>
        <v>0</v>
      </c>
      <c r="Q82" s="30"/>
      <c r="R82" s="16"/>
    </row>
    <row r="83" spans="1:20" s="134" customFormat="1" x14ac:dyDescent="0.3">
      <c r="A83" s="131">
        <v>76</v>
      </c>
      <c r="B83" s="10" t="s">
        <v>161</v>
      </c>
      <c r="C83" s="131" t="s">
        <v>148</v>
      </c>
      <c r="D83" s="131" t="s">
        <v>151</v>
      </c>
      <c r="E83" s="128">
        <f>SUMIFS(XUẤT!P:P,XUẤT!N:N,CBCNV!B83,XUẤT!O:O,CBCNV!$E$2)</f>
        <v>0</v>
      </c>
      <c r="F83" s="133">
        <f t="shared" si="13"/>
        <v>0</v>
      </c>
      <c r="G83" s="128">
        <f>SUMIFS(XUẤT!Q:Q,XUẤT!N:N,CBCNV!B83,XUẤT!O:O,CBCNV!$G$2)</f>
        <v>0</v>
      </c>
      <c r="H83" s="132">
        <f t="shared" si="14"/>
        <v>0</v>
      </c>
      <c r="I83" s="128">
        <f>SUMIFS(XUẤT!R:R,XUẤT!N:N,CBCNV!B83,XUẤT!O:O,CBCNV!$I$2)</f>
        <v>0</v>
      </c>
      <c r="J83" s="133">
        <f t="shared" si="15"/>
        <v>0</v>
      </c>
      <c r="K83" s="128">
        <f>SUMIFS(XUẤT!S:S,XUẤT!N:N,CBCNV!B83,XUẤT!O:O,CBCNV!$K$2)</f>
        <v>0</v>
      </c>
      <c r="L83" s="133">
        <f t="shared" si="16"/>
        <v>0</v>
      </c>
      <c r="M83" s="128">
        <f>SUMIFS(XUẤT!T:T,XUẤT!N:N,CBCNV!B83,XUẤT!O:O,CBCNV!$M$2)</f>
        <v>0</v>
      </c>
      <c r="N83" s="133">
        <f t="shared" si="17"/>
        <v>0</v>
      </c>
      <c r="O83" s="128">
        <f>SUMIFS(XUẤT!U:U,XUẤT!N:N,CBCNV!B83,XUẤT!O:O,CBCNV!$O$2)</f>
        <v>0</v>
      </c>
      <c r="P83" s="133">
        <f t="shared" si="18"/>
        <v>0</v>
      </c>
      <c r="Q83" s="30"/>
      <c r="R83" s="16"/>
    </row>
    <row r="84" spans="1:20" s="134" customFormat="1" x14ac:dyDescent="0.3">
      <c r="A84" s="131">
        <v>77</v>
      </c>
      <c r="B84" s="10" t="s">
        <v>162</v>
      </c>
      <c r="C84" s="131" t="s">
        <v>148</v>
      </c>
      <c r="D84" s="131" t="s">
        <v>151</v>
      </c>
      <c r="E84" s="128">
        <f>SUMIFS(XUẤT!P:P,XUẤT!N:N,CBCNV!B84,XUẤT!O:O,CBCNV!$E$2)</f>
        <v>0</v>
      </c>
      <c r="F84" s="133">
        <f t="shared" si="13"/>
        <v>0</v>
      </c>
      <c r="G84" s="128">
        <f>SUMIFS(XUẤT!Q:Q,XUẤT!N:N,CBCNV!B84,XUẤT!O:O,CBCNV!$G$2)</f>
        <v>0</v>
      </c>
      <c r="H84" s="132">
        <f t="shared" si="14"/>
        <v>0</v>
      </c>
      <c r="I84" s="128">
        <f>SUMIFS(XUẤT!R:R,XUẤT!N:N,CBCNV!B84,XUẤT!O:O,CBCNV!$I$2)</f>
        <v>0</v>
      </c>
      <c r="J84" s="133">
        <f t="shared" si="15"/>
        <v>0</v>
      </c>
      <c r="K84" s="128">
        <f>SUMIFS(XUẤT!S:S,XUẤT!N:N,CBCNV!B84,XUẤT!O:O,CBCNV!$K$2)</f>
        <v>0</v>
      </c>
      <c r="L84" s="133">
        <f t="shared" si="16"/>
        <v>0</v>
      </c>
      <c r="M84" s="128">
        <f>SUMIFS(XUẤT!T:T,XUẤT!N:N,CBCNV!B84,XUẤT!O:O,CBCNV!$M$2)</f>
        <v>0</v>
      </c>
      <c r="N84" s="133">
        <f t="shared" si="17"/>
        <v>0</v>
      </c>
      <c r="O84" s="128">
        <f>SUMIFS(XUẤT!U:U,XUẤT!N:N,CBCNV!B84,XUẤT!O:O,CBCNV!$O$2)</f>
        <v>0</v>
      </c>
      <c r="P84" s="133">
        <f t="shared" si="18"/>
        <v>0</v>
      </c>
      <c r="Q84" s="30"/>
      <c r="R84" s="16"/>
    </row>
    <row r="85" spans="1:20" s="134" customFormat="1" x14ac:dyDescent="0.3">
      <c r="A85" s="131">
        <v>78</v>
      </c>
      <c r="B85" s="10" t="s">
        <v>48</v>
      </c>
      <c r="C85" s="131" t="s">
        <v>163</v>
      </c>
      <c r="D85" s="131" t="s">
        <v>151</v>
      </c>
      <c r="E85" s="128">
        <f>SUMIFS(XUẤT!P:P,XUẤT!N:N,CBCNV!B85,XUẤT!O:O,CBCNV!$E$2)</f>
        <v>0</v>
      </c>
      <c r="F85" s="133">
        <f t="shared" si="13"/>
        <v>0</v>
      </c>
      <c r="G85" s="128">
        <f>SUMIFS(XUẤT!Q:Q,XUẤT!N:N,CBCNV!B85,XUẤT!O:O,CBCNV!$G$2)</f>
        <v>0</v>
      </c>
      <c r="H85" s="132">
        <f t="shared" si="14"/>
        <v>0</v>
      </c>
      <c r="I85" s="128">
        <f>SUMIFS(XUẤT!R:R,XUẤT!N:N,CBCNV!B85,XUẤT!O:O,CBCNV!$I$2)</f>
        <v>0</v>
      </c>
      <c r="J85" s="133">
        <f t="shared" si="15"/>
        <v>0</v>
      </c>
      <c r="K85" s="128">
        <f>SUMIFS(XUẤT!S:S,XUẤT!N:N,CBCNV!B85,XUẤT!O:O,CBCNV!$K$2)</f>
        <v>0</v>
      </c>
      <c r="L85" s="133">
        <f t="shared" si="16"/>
        <v>0</v>
      </c>
      <c r="M85" s="128">
        <f>SUMIFS(XUẤT!T:T,XUẤT!N:N,CBCNV!B85,XUẤT!O:O,CBCNV!$M$2)</f>
        <v>0</v>
      </c>
      <c r="N85" s="133">
        <f t="shared" si="17"/>
        <v>0</v>
      </c>
      <c r="O85" s="128">
        <f>SUMIFS(XUẤT!U:U,XUẤT!N:N,CBCNV!B85,XUẤT!O:O,CBCNV!$O$2)</f>
        <v>0</v>
      </c>
      <c r="P85" s="133">
        <f t="shared" si="18"/>
        <v>0</v>
      </c>
      <c r="Q85" s="30"/>
      <c r="R85" s="16"/>
    </row>
    <row r="86" spans="1:20" s="134" customFormat="1" x14ac:dyDescent="0.3">
      <c r="A86" s="131">
        <v>79</v>
      </c>
      <c r="B86" s="10" t="s">
        <v>164</v>
      </c>
      <c r="C86" s="131" t="s">
        <v>163</v>
      </c>
      <c r="D86" s="131" t="s">
        <v>151</v>
      </c>
      <c r="E86" s="128">
        <f>SUMIFS(XUẤT!P:P,XUẤT!N:N,CBCNV!B86,XUẤT!O:O,CBCNV!$E$2)</f>
        <v>0</v>
      </c>
      <c r="F86" s="133">
        <f t="shared" si="13"/>
        <v>0</v>
      </c>
      <c r="G86" s="128">
        <f>SUMIFS(XUẤT!Q:Q,XUẤT!N:N,CBCNV!B86,XUẤT!O:O,CBCNV!$G$2)</f>
        <v>0</v>
      </c>
      <c r="H86" s="132">
        <f t="shared" si="14"/>
        <v>0</v>
      </c>
      <c r="I86" s="128">
        <f>SUMIFS(XUẤT!R:R,XUẤT!N:N,CBCNV!B86,XUẤT!O:O,CBCNV!$I$2)</f>
        <v>0</v>
      </c>
      <c r="J86" s="133">
        <f t="shared" si="15"/>
        <v>0</v>
      </c>
      <c r="K86" s="128">
        <f>SUMIFS(XUẤT!S:S,XUẤT!N:N,CBCNV!B86,XUẤT!O:O,CBCNV!$K$2)</f>
        <v>0</v>
      </c>
      <c r="L86" s="133">
        <f t="shared" si="16"/>
        <v>0</v>
      </c>
      <c r="M86" s="128">
        <f>SUMIFS(XUẤT!T:T,XUẤT!N:N,CBCNV!B86,XUẤT!O:O,CBCNV!$M$2)</f>
        <v>0</v>
      </c>
      <c r="N86" s="133">
        <f t="shared" si="17"/>
        <v>0</v>
      </c>
      <c r="O86" s="128">
        <f>SUMIFS(XUẤT!U:U,XUẤT!N:N,CBCNV!B86,XUẤT!O:O,CBCNV!$O$2)</f>
        <v>0</v>
      </c>
      <c r="P86" s="133">
        <f t="shared" si="18"/>
        <v>0</v>
      </c>
      <c r="Q86" s="30"/>
      <c r="R86" s="16"/>
    </row>
    <row r="87" spans="1:20" s="130" customFormat="1" x14ac:dyDescent="0.3">
      <c r="A87" s="131">
        <v>80</v>
      </c>
      <c r="B87" s="10" t="s">
        <v>165</v>
      </c>
      <c r="C87" s="131" t="s">
        <v>163</v>
      </c>
      <c r="D87" s="131" t="s">
        <v>151</v>
      </c>
      <c r="E87" s="128">
        <f>SUMIFS(XUẤT!P:P,XUẤT!N:N,CBCNV!B87,XUẤT!O:O,CBCNV!$E$2)</f>
        <v>0</v>
      </c>
      <c r="F87" s="133">
        <f t="shared" si="13"/>
        <v>0</v>
      </c>
      <c r="G87" s="128">
        <f>SUMIFS(XUẤT!Q:Q,XUẤT!N:N,CBCNV!B87,XUẤT!O:O,CBCNV!$G$2)</f>
        <v>0</v>
      </c>
      <c r="H87" s="132">
        <f t="shared" si="14"/>
        <v>0</v>
      </c>
      <c r="I87" s="128">
        <f>SUMIFS(XUẤT!R:R,XUẤT!N:N,CBCNV!B87,XUẤT!O:O,CBCNV!$I$2)</f>
        <v>0</v>
      </c>
      <c r="J87" s="133">
        <f t="shared" si="15"/>
        <v>0</v>
      </c>
      <c r="K87" s="128">
        <f>SUMIFS(XUẤT!S:S,XUẤT!N:N,CBCNV!B87,XUẤT!O:O,CBCNV!$K$2)</f>
        <v>0</v>
      </c>
      <c r="L87" s="133">
        <f t="shared" si="16"/>
        <v>0</v>
      </c>
      <c r="M87" s="128">
        <f>SUMIFS(XUẤT!T:T,XUẤT!N:N,CBCNV!B87,XUẤT!O:O,CBCNV!$M$2)</f>
        <v>0</v>
      </c>
      <c r="N87" s="133">
        <f t="shared" si="17"/>
        <v>0</v>
      </c>
      <c r="O87" s="128">
        <f>SUMIFS(XUẤT!U:U,XUẤT!N:N,CBCNV!B87,XUẤT!O:O,CBCNV!$O$2)</f>
        <v>0</v>
      </c>
      <c r="P87" s="133">
        <f t="shared" si="18"/>
        <v>0</v>
      </c>
      <c r="Q87" s="30"/>
      <c r="R87" s="16"/>
      <c r="S87" s="134"/>
      <c r="T87" s="134"/>
    </row>
    <row r="88" spans="1:20" s="134" customFormat="1" x14ac:dyDescent="0.3">
      <c r="A88" s="131">
        <v>81</v>
      </c>
      <c r="B88" s="10" t="s">
        <v>166</v>
      </c>
      <c r="C88" s="131" t="s">
        <v>167</v>
      </c>
      <c r="D88" s="131" t="s">
        <v>151</v>
      </c>
      <c r="E88" s="128">
        <f>SUMIFS(XUẤT!P:P,XUẤT!N:N,CBCNV!B88,XUẤT!O:O,CBCNV!$E$2)</f>
        <v>0</v>
      </c>
      <c r="F88" s="133">
        <f t="shared" si="13"/>
        <v>0</v>
      </c>
      <c r="G88" s="128">
        <f>SUMIFS(XUẤT!Q:Q,XUẤT!N:N,CBCNV!B88,XUẤT!O:O,CBCNV!$G$2)</f>
        <v>0</v>
      </c>
      <c r="H88" s="132">
        <f t="shared" si="14"/>
        <v>0</v>
      </c>
      <c r="I88" s="128">
        <f>SUMIFS(XUẤT!R:R,XUẤT!N:N,CBCNV!B88,XUẤT!O:O,CBCNV!$I$2)</f>
        <v>0</v>
      </c>
      <c r="J88" s="133">
        <f t="shared" si="15"/>
        <v>0</v>
      </c>
      <c r="K88" s="128">
        <f>SUMIFS(XUẤT!S:S,XUẤT!N:N,CBCNV!B88,XUẤT!O:O,CBCNV!$K$2)</f>
        <v>0</v>
      </c>
      <c r="L88" s="133">
        <f t="shared" si="16"/>
        <v>0</v>
      </c>
      <c r="M88" s="128">
        <f>SUMIFS(XUẤT!T:T,XUẤT!N:N,CBCNV!B88,XUẤT!O:O,CBCNV!$M$2)</f>
        <v>0</v>
      </c>
      <c r="N88" s="133">
        <f t="shared" si="17"/>
        <v>0</v>
      </c>
      <c r="O88" s="128">
        <f>SUMIFS(XUẤT!U:U,XUẤT!N:N,CBCNV!B88,XUẤT!O:O,CBCNV!$O$2)</f>
        <v>0</v>
      </c>
      <c r="P88" s="133">
        <f t="shared" si="18"/>
        <v>0</v>
      </c>
      <c r="Q88" s="30"/>
      <c r="R88" s="16"/>
    </row>
    <row r="89" spans="1:20" s="134" customFormat="1" x14ac:dyDescent="0.3">
      <c r="A89" s="131">
        <v>82</v>
      </c>
      <c r="B89" s="10" t="s">
        <v>168</v>
      </c>
      <c r="C89" s="131" t="s">
        <v>148</v>
      </c>
      <c r="D89" s="131" t="s">
        <v>151</v>
      </c>
      <c r="E89" s="128">
        <f>SUMIFS(XUẤT!P:P,XUẤT!N:N,CBCNV!B89,XUẤT!O:O,CBCNV!$E$2)</f>
        <v>20</v>
      </c>
      <c r="F89" s="133">
        <f t="shared" si="13"/>
        <v>1960000</v>
      </c>
      <c r="G89" s="128">
        <f>SUMIFS(XUẤT!Q:Q,XUẤT!N:N,CBCNV!B89,XUẤT!O:O,CBCNV!$G$2)</f>
        <v>0</v>
      </c>
      <c r="H89" s="132">
        <f t="shared" si="14"/>
        <v>0</v>
      </c>
      <c r="I89" s="128">
        <f>SUMIFS(XUẤT!R:R,XUẤT!N:N,CBCNV!B89,XUẤT!O:O,CBCNV!$I$2)</f>
        <v>0</v>
      </c>
      <c r="J89" s="133">
        <f t="shared" si="15"/>
        <v>0</v>
      </c>
      <c r="K89" s="128">
        <f>SUMIFS(XUẤT!S:S,XUẤT!N:N,CBCNV!B89,XUẤT!O:O,CBCNV!$K$2)</f>
        <v>0</v>
      </c>
      <c r="L89" s="133">
        <f t="shared" si="16"/>
        <v>0</v>
      </c>
      <c r="M89" s="128">
        <f>SUMIFS(XUẤT!T:T,XUẤT!N:N,CBCNV!B89,XUẤT!O:O,CBCNV!$M$2)</f>
        <v>0</v>
      </c>
      <c r="N89" s="133">
        <f t="shared" si="17"/>
        <v>0</v>
      </c>
      <c r="O89" s="128">
        <f>SUMIFS(XUẤT!U:U,XUẤT!N:N,CBCNV!B89,XUẤT!O:O,CBCNV!$O$2)</f>
        <v>0</v>
      </c>
      <c r="P89" s="133">
        <f t="shared" si="18"/>
        <v>0</v>
      </c>
      <c r="Q89" s="30"/>
      <c r="R89" s="30">
        <f>E4+G4+I4+K4+M4+O4</f>
        <v>469</v>
      </c>
    </row>
    <row r="90" spans="1:20" s="134" customFormat="1" x14ac:dyDescent="0.3">
      <c r="A90" s="131">
        <v>83</v>
      </c>
      <c r="B90" s="32" t="s">
        <v>169</v>
      </c>
      <c r="C90" s="135" t="s">
        <v>131</v>
      </c>
      <c r="D90" s="135" t="s">
        <v>170</v>
      </c>
      <c r="E90" s="128">
        <f>SUMIFS(XUẤT!P:P,XUẤT!N:N,CBCNV!B90,XUẤT!O:O,CBCNV!$E$2)</f>
        <v>0</v>
      </c>
      <c r="F90" s="133">
        <f t="shared" si="13"/>
        <v>0</v>
      </c>
      <c r="G90" s="128">
        <f>SUMIFS(XUẤT!Q:Q,XUẤT!N:N,CBCNV!B90,XUẤT!O:O,CBCNV!$G$2)</f>
        <v>0</v>
      </c>
      <c r="H90" s="132">
        <f t="shared" si="14"/>
        <v>0</v>
      </c>
      <c r="I90" s="128">
        <f>SUMIFS(XUẤT!R:R,XUẤT!N:N,CBCNV!B90,XUẤT!O:O,CBCNV!$I$2)</f>
        <v>0</v>
      </c>
      <c r="J90" s="133">
        <f t="shared" si="15"/>
        <v>0</v>
      </c>
      <c r="K90" s="128">
        <f>SUMIFS(XUẤT!S:S,XUẤT!N:N,CBCNV!B90,XUẤT!O:O,CBCNV!$K$2)</f>
        <v>0</v>
      </c>
      <c r="L90" s="133">
        <f t="shared" si="16"/>
        <v>0</v>
      </c>
      <c r="M90" s="128">
        <f>SUMIFS(XUẤT!T:T,XUẤT!N:N,CBCNV!B90,XUẤT!O:O,CBCNV!$M$2)</f>
        <v>0</v>
      </c>
      <c r="N90" s="133">
        <f t="shared" si="17"/>
        <v>0</v>
      </c>
      <c r="O90" s="128">
        <f>SUMIFS(XUẤT!U:U,XUẤT!N:N,CBCNV!B90,XUẤT!O:O,CBCNV!$O$2)</f>
        <v>0</v>
      </c>
      <c r="P90" s="133">
        <f t="shared" si="18"/>
        <v>0</v>
      </c>
      <c r="Q90" s="30"/>
      <c r="R90" s="19"/>
      <c r="S90" s="130"/>
      <c r="T90" s="130"/>
    </row>
    <row r="91" spans="1:20" s="134" customFormat="1" x14ac:dyDescent="0.3">
      <c r="A91" s="131">
        <v>84</v>
      </c>
      <c r="B91" s="10" t="s">
        <v>171</v>
      </c>
      <c r="C91" s="131" t="s">
        <v>134</v>
      </c>
      <c r="D91" s="131" t="s">
        <v>170</v>
      </c>
      <c r="E91" s="128">
        <f>SUMIFS(XUẤT!P:P,XUẤT!N:N,CBCNV!B91,XUẤT!O:O,CBCNV!$E$2)</f>
        <v>0</v>
      </c>
      <c r="F91" s="133">
        <f t="shared" si="13"/>
        <v>0</v>
      </c>
      <c r="G91" s="128">
        <f>SUMIFS(XUẤT!Q:Q,XUẤT!N:N,CBCNV!B91,XUẤT!O:O,CBCNV!$G$2)</f>
        <v>0</v>
      </c>
      <c r="H91" s="132">
        <f t="shared" si="14"/>
        <v>0</v>
      </c>
      <c r="I91" s="128">
        <f>SUMIFS(XUẤT!R:R,XUẤT!N:N,CBCNV!B91,XUẤT!O:O,CBCNV!$I$2)</f>
        <v>0</v>
      </c>
      <c r="J91" s="133">
        <f t="shared" si="15"/>
        <v>0</v>
      </c>
      <c r="K91" s="128">
        <f>SUMIFS(XUẤT!S:S,XUẤT!N:N,CBCNV!B91,XUẤT!O:O,CBCNV!$K$2)</f>
        <v>0</v>
      </c>
      <c r="L91" s="133">
        <f t="shared" si="16"/>
        <v>0</v>
      </c>
      <c r="M91" s="128">
        <f>SUMIFS(XUẤT!T:T,XUẤT!N:N,CBCNV!B91,XUẤT!O:O,CBCNV!$M$2)</f>
        <v>0</v>
      </c>
      <c r="N91" s="133">
        <f t="shared" si="17"/>
        <v>0</v>
      </c>
      <c r="O91" s="128">
        <f>SUMIFS(XUẤT!U:U,XUẤT!N:N,CBCNV!B91,XUẤT!O:O,CBCNV!$O$2)</f>
        <v>0</v>
      </c>
      <c r="P91" s="133">
        <f t="shared" si="18"/>
        <v>0</v>
      </c>
      <c r="Q91" s="30"/>
      <c r="R91" s="16"/>
    </row>
    <row r="92" spans="1:20" s="134" customFormat="1" x14ac:dyDescent="0.3">
      <c r="A92" s="131">
        <v>85</v>
      </c>
      <c r="B92" s="10" t="s">
        <v>172</v>
      </c>
      <c r="C92" s="131" t="s">
        <v>134</v>
      </c>
      <c r="D92" s="131" t="s">
        <v>170</v>
      </c>
      <c r="E92" s="128">
        <f>SUMIFS(XUẤT!P:P,XUẤT!N:N,CBCNV!B92,XUẤT!O:O,CBCNV!$E$2)</f>
        <v>8</v>
      </c>
      <c r="F92" s="133">
        <f t="shared" si="13"/>
        <v>784000</v>
      </c>
      <c r="G92" s="128">
        <f>SUMIFS(XUẤT!Q:Q,XUẤT!N:N,CBCNV!B92,XUẤT!O:O,CBCNV!$G$2)</f>
        <v>0</v>
      </c>
      <c r="H92" s="132">
        <f t="shared" si="14"/>
        <v>0</v>
      </c>
      <c r="I92" s="128">
        <f>SUMIFS(XUẤT!R:R,XUẤT!N:N,CBCNV!B92,XUẤT!O:O,CBCNV!$I$2)</f>
        <v>0</v>
      </c>
      <c r="J92" s="133">
        <f t="shared" si="15"/>
        <v>0</v>
      </c>
      <c r="K92" s="128">
        <f>SUMIFS(XUẤT!S:S,XUẤT!N:N,CBCNV!B92,XUẤT!O:O,CBCNV!$K$2)</f>
        <v>0</v>
      </c>
      <c r="L92" s="133">
        <f t="shared" si="16"/>
        <v>0</v>
      </c>
      <c r="M92" s="128">
        <f>SUMIFS(XUẤT!T:T,XUẤT!N:N,CBCNV!B92,XUẤT!O:O,CBCNV!$M$2)</f>
        <v>0</v>
      </c>
      <c r="N92" s="133">
        <f t="shared" si="17"/>
        <v>0</v>
      </c>
      <c r="O92" s="128">
        <f>SUMIFS(XUẤT!U:U,XUẤT!N:N,CBCNV!B92,XUẤT!O:O,CBCNV!$O$2)</f>
        <v>0</v>
      </c>
      <c r="P92" s="133">
        <f t="shared" si="18"/>
        <v>0</v>
      </c>
      <c r="Q92" s="30"/>
      <c r="R92" s="16"/>
    </row>
    <row r="93" spans="1:20" s="134" customFormat="1" x14ac:dyDescent="0.3">
      <c r="A93" s="131">
        <v>86</v>
      </c>
      <c r="B93" s="10" t="s">
        <v>173</v>
      </c>
      <c r="C93" s="131" t="s">
        <v>79</v>
      </c>
      <c r="D93" s="131" t="s">
        <v>170</v>
      </c>
      <c r="E93" s="128">
        <f>SUMIFS(XUẤT!P:P,XUẤT!N:N,CBCNV!B93,XUẤT!O:O,CBCNV!$E$2)</f>
        <v>0</v>
      </c>
      <c r="F93" s="133">
        <f t="shared" si="13"/>
        <v>0</v>
      </c>
      <c r="G93" s="128">
        <f>SUMIFS(XUẤT!Q:Q,XUẤT!N:N,CBCNV!B93,XUẤT!O:O,CBCNV!$G$2)</f>
        <v>0</v>
      </c>
      <c r="H93" s="132">
        <f t="shared" si="14"/>
        <v>0</v>
      </c>
      <c r="I93" s="128">
        <f>SUMIFS(XUẤT!R:R,XUẤT!N:N,CBCNV!B93,XUẤT!O:O,CBCNV!$I$2)</f>
        <v>0</v>
      </c>
      <c r="J93" s="133">
        <f t="shared" si="15"/>
        <v>0</v>
      </c>
      <c r="K93" s="128">
        <f>SUMIFS(XUẤT!S:S,XUẤT!N:N,CBCNV!B93,XUẤT!O:O,CBCNV!$K$2)</f>
        <v>0</v>
      </c>
      <c r="L93" s="133">
        <f t="shared" si="16"/>
        <v>0</v>
      </c>
      <c r="M93" s="128">
        <f>SUMIFS(XUẤT!T:T,XUẤT!N:N,CBCNV!B93,XUẤT!O:O,CBCNV!$M$2)</f>
        <v>0</v>
      </c>
      <c r="N93" s="133">
        <f t="shared" si="17"/>
        <v>0</v>
      </c>
      <c r="O93" s="128">
        <f>SUMIFS(XUẤT!U:U,XUẤT!N:N,CBCNV!B93,XUẤT!O:O,CBCNV!$O$2)</f>
        <v>0</v>
      </c>
      <c r="P93" s="133">
        <f t="shared" si="18"/>
        <v>0</v>
      </c>
      <c r="Q93" s="30"/>
      <c r="R93" s="16"/>
    </row>
    <row r="94" spans="1:20" s="134" customFormat="1" x14ac:dyDescent="0.3">
      <c r="A94" s="131">
        <v>87</v>
      </c>
      <c r="B94" s="10" t="s">
        <v>174</v>
      </c>
      <c r="C94" s="131" t="s">
        <v>79</v>
      </c>
      <c r="D94" s="131" t="s">
        <v>170</v>
      </c>
      <c r="E94" s="128">
        <f>SUMIFS(XUẤT!P:P,XUẤT!N:N,CBCNV!B94,XUẤT!O:O,CBCNV!$E$2)</f>
        <v>0</v>
      </c>
      <c r="F94" s="133">
        <f t="shared" si="13"/>
        <v>0</v>
      </c>
      <c r="G94" s="128">
        <f>SUMIFS(XUẤT!Q:Q,XUẤT!N:N,CBCNV!B94,XUẤT!O:O,CBCNV!$G$2)</f>
        <v>0</v>
      </c>
      <c r="H94" s="132">
        <f t="shared" si="14"/>
        <v>0</v>
      </c>
      <c r="I94" s="128">
        <f>SUMIFS(XUẤT!R:R,XUẤT!N:N,CBCNV!B94,XUẤT!O:O,CBCNV!$I$2)</f>
        <v>0</v>
      </c>
      <c r="J94" s="133">
        <f t="shared" si="15"/>
        <v>0</v>
      </c>
      <c r="K94" s="128">
        <f>SUMIFS(XUẤT!S:S,XUẤT!N:N,CBCNV!B94,XUẤT!O:O,CBCNV!$K$2)</f>
        <v>0</v>
      </c>
      <c r="L94" s="133">
        <f t="shared" si="16"/>
        <v>0</v>
      </c>
      <c r="M94" s="128">
        <f>SUMIFS(XUẤT!T:T,XUẤT!N:N,CBCNV!B94,XUẤT!O:O,CBCNV!$M$2)</f>
        <v>0</v>
      </c>
      <c r="N94" s="133">
        <f t="shared" si="17"/>
        <v>0</v>
      </c>
      <c r="O94" s="128">
        <f>SUMIFS(XUẤT!U:U,XUẤT!N:N,CBCNV!B94,XUẤT!O:O,CBCNV!$O$2)</f>
        <v>0</v>
      </c>
      <c r="P94" s="133">
        <f t="shared" si="18"/>
        <v>0</v>
      </c>
      <c r="Q94" s="30"/>
      <c r="R94" s="16"/>
    </row>
    <row r="95" spans="1:20" s="134" customFormat="1" x14ac:dyDescent="0.3">
      <c r="A95" s="131">
        <v>88</v>
      </c>
      <c r="B95" s="10" t="s">
        <v>175</v>
      </c>
      <c r="C95" s="131" t="s">
        <v>79</v>
      </c>
      <c r="D95" s="131" t="s">
        <v>170</v>
      </c>
      <c r="E95" s="128">
        <f>SUMIFS(XUẤT!P:P,XUẤT!N:N,CBCNV!B95,XUẤT!O:O,CBCNV!$E$2)</f>
        <v>0</v>
      </c>
      <c r="F95" s="133">
        <f t="shared" si="13"/>
        <v>0</v>
      </c>
      <c r="G95" s="128">
        <f>SUMIFS(XUẤT!Q:Q,XUẤT!N:N,CBCNV!B95,XUẤT!O:O,CBCNV!$G$2)</f>
        <v>0</v>
      </c>
      <c r="H95" s="132">
        <f t="shared" si="14"/>
        <v>0</v>
      </c>
      <c r="I95" s="128">
        <f>SUMIFS(XUẤT!R:R,XUẤT!N:N,CBCNV!B95,XUẤT!O:O,CBCNV!$I$2)</f>
        <v>0</v>
      </c>
      <c r="J95" s="133">
        <f t="shared" si="15"/>
        <v>0</v>
      </c>
      <c r="K95" s="128">
        <f>SUMIFS(XUẤT!S:S,XUẤT!N:N,CBCNV!B95,XUẤT!O:O,CBCNV!$K$2)</f>
        <v>0</v>
      </c>
      <c r="L95" s="133">
        <f t="shared" si="16"/>
        <v>0</v>
      </c>
      <c r="M95" s="128">
        <f>SUMIFS(XUẤT!T:T,XUẤT!N:N,CBCNV!B95,XUẤT!O:O,CBCNV!$M$2)</f>
        <v>0</v>
      </c>
      <c r="N95" s="133">
        <f t="shared" si="17"/>
        <v>0</v>
      </c>
      <c r="O95" s="128">
        <f>SUMIFS(XUẤT!U:U,XUẤT!N:N,CBCNV!B95,XUẤT!O:O,CBCNV!$O$2)</f>
        <v>0</v>
      </c>
      <c r="P95" s="133">
        <f t="shared" si="18"/>
        <v>0</v>
      </c>
      <c r="Q95" s="30"/>
      <c r="R95" s="16"/>
    </row>
    <row r="96" spans="1:20" s="134" customFormat="1" x14ac:dyDescent="0.3">
      <c r="A96" s="131">
        <v>89</v>
      </c>
      <c r="B96" s="10" t="s">
        <v>176</v>
      </c>
      <c r="C96" s="131" t="s">
        <v>79</v>
      </c>
      <c r="D96" s="131" t="s">
        <v>170</v>
      </c>
      <c r="E96" s="128">
        <f>SUMIFS(XUẤT!P:P,XUẤT!N:N,CBCNV!B96,XUẤT!O:O,CBCNV!$E$2)</f>
        <v>0</v>
      </c>
      <c r="F96" s="133">
        <f t="shared" si="13"/>
        <v>0</v>
      </c>
      <c r="G96" s="128">
        <f>SUMIFS(XUẤT!Q:Q,XUẤT!N:N,CBCNV!B96,XUẤT!O:O,CBCNV!$G$2)</f>
        <v>0</v>
      </c>
      <c r="H96" s="132">
        <f t="shared" si="14"/>
        <v>0</v>
      </c>
      <c r="I96" s="128">
        <f>SUMIFS(XUẤT!R:R,XUẤT!N:N,CBCNV!B96,XUẤT!O:O,CBCNV!$I$2)</f>
        <v>0</v>
      </c>
      <c r="J96" s="133">
        <f t="shared" si="15"/>
        <v>0</v>
      </c>
      <c r="K96" s="128">
        <f>SUMIFS(XUẤT!S:S,XUẤT!N:N,CBCNV!B96,XUẤT!O:O,CBCNV!$K$2)</f>
        <v>0</v>
      </c>
      <c r="L96" s="133">
        <f t="shared" si="16"/>
        <v>0</v>
      </c>
      <c r="M96" s="128">
        <f>SUMIFS(XUẤT!T:T,XUẤT!N:N,CBCNV!B96,XUẤT!O:O,CBCNV!$M$2)</f>
        <v>0</v>
      </c>
      <c r="N96" s="133">
        <f t="shared" si="17"/>
        <v>0</v>
      </c>
      <c r="O96" s="128">
        <f>SUMIFS(XUẤT!U:U,XUẤT!N:N,CBCNV!B96,XUẤT!O:O,CBCNV!$O$2)</f>
        <v>0</v>
      </c>
      <c r="P96" s="133">
        <f t="shared" si="18"/>
        <v>0</v>
      </c>
      <c r="Q96" s="30"/>
      <c r="R96" s="16"/>
    </row>
    <row r="97" spans="1:20" s="134" customFormat="1" x14ac:dyDescent="0.3">
      <c r="A97" s="131">
        <v>90</v>
      </c>
      <c r="B97" s="10" t="s">
        <v>177</v>
      </c>
      <c r="C97" s="131" t="s">
        <v>79</v>
      </c>
      <c r="D97" s="131" t="s">
        <v>170</v>
      </c>
      <c r="E97" s="128">
        <f>SUMIFS(XUẤT!P:P,XUẤT!N:N,CBCNV!B97,XUẤT!O:O,CBCNV!$E$2)</f>
        <v>0</v>
      </c>
      <c r="F97" s="133">
        <f t="shared" si="13"/>
        <v>0</v>
      </c>
      <c r="G97" s="128">
        <f>SUMIFS(XUẤT!Q:Q,XUẤT!N:N,CBCNV!B97,XUẤT!O:O,CBCNV!$G$2)</f>
        <v>0</v>
      </c>
      <c r="H97" s="132">
        <f t="shared" si="14"/>
        <v>0</v>
      </c>
      <c r="I97" s="128">
        <f>SUMIFS(XUẤT!R:R,XUẤT!N:N,CBCNV!B97,XUẤT!O:O,CBCNV!$I$2)</f>
        <v>0</v>
      </c>
      <c r="J97" s="133">
        <f t="shared" si="15"/>
        <v>0</v>
      </c>
      <c r="K97" s="128">
        <f>SUMIFS(XUẤT!S:S,XUẤT!N:N,CBCNV!B97,XUẤT!O:O,CBCNV!$K$2)</f>
        <v>0</v>
      </c>
      <c r="L97" s="133">
        <f t="shared" si="16"/>
        <v>0</v>
      </c>
      <c r="M97" s="128">
        <f>SUMIFS(XUẤT!T:T,XUẤT!N:N,CBCNV!B97,XUẤT!O:O,CBCNV!$M$2)</f>
        <v>0</v>
      </c>
      <c r="N97" s="133">
        <f t="shared" si="17"/>
        <v>0</v>
      </c>
      <c r="O97" s="128">
        <f>SUMIFS(XUẤT!U:U,XUẤT!N:N,CBCNV!B97,XUẤT!O:O,CBCNV!$O$2)</f>
        <v>0</v>
      </c>
      <c r="P97" s="133">
        <f t="shared" si="18"/>
        <v>0</v>
      </c>
      <c r="Q97" s="30"/>
      <c r="R97" s="16"/>
    </row>
    <row r="98" spans="1:20" s="134" customFormat="1" x14ac:dyDescent="0.3">
      <c r="A98" s="131">
        <v>91</v>
      </c>
      <c r="B98" s="10" t="s">
        <v>178</v>
      </c>
      <c r="C98" s="131" t="s">
        <v>79</v>
      </c>
      <c r="D98" s="131" t="s">
        <v>170</v>
      </c>
      <c r="E98" s="128">
        <f>SUMIFS(XUẤT!P:P,XUẤT!N:N,CBCNV!B98,XUẤT!O:O,CBCNV!$E$2)</f>
        <v>0</v>
      </c>
      <c r="F98" s="133">
        <f t="shared" si="13"/>
        <v>0</v>
      </c>
      <c r="G98" s="128">
        <f>SUMIFS(XUẤT!Q:Q,XUẤT!N:N,CBCNV!B98,XUẤT!O:O,CBCNV!$G$2)</f>
        <v>0</v>
      </c>
      <c r="H98" s="132">
        <f t="shared" si="14"/>
        <v>0</v>
      </c>
      <c r="I98" s="128">
        <f>SUMIFS(XUẤT!R:R,XUẤT!N:N,CBCNV!B98,XUẤT!O:O,CBCNV!$I$2)</f>
        <v>0</v>
      </c>
      <c r="J98" s="133">
        <f t="shared" si="15"/>
        <v>0</v>
      </c>
      <c r="K98" s="128">
        <f>SUMIFS(XUẤT!S:S,XUẤT!N:N,CBCNV!B98,XUẤT!O:O,CBCNV!$K$2)</f>
        <v>0</v>
      </c>
      <c r="L98" s="133">
        <f t="shared" si="16"/>
        <v>0</v>
      </c>
      <c r="M98" s="128">
        <f>SUMIFS(XUẤT!T:T,XUẤT!N:N,CBCNV!B98,XUẤT!O:O,CBCNV!$M$2)</f>
        <v>0</v>
      </c>
      <c r="N98" s="133">
        <f t="shared" si="17"/>
        <v>0</v>
      </c>
      <c r="O98" s="128">
        <f>SUMIFS(XUẤT!U:U,XUẤT!N:N,CBCNV!B98,XUẤT!O:O,CBCNV!$O$2)</f>
        <v>0</v>
      </c>
      <c r="P98" s="133">
        <f t="shared" si="18"/>
        <v>0</v>
      </c>
      <c r="Q98" s="30"/>
      <c r="R98" s="16"/>
    </row>
    <row r="99" spans="1:20" s="134" customFormat="1" x14ac:dyDescent="0.3">
      <c r="A99" s="131">
        <v>92</v>
      </c>
      <c r="B99" s="10" t="s">
        <v>179</v>
      </c>
      <c r="C99" s="131" t="s">
        <v>148</v>
      </c>
      <c r="D99" s="131" t="s">
        <v>170</v>
      </c>
      <c r="E99" s="128">
        <f>SUMIFS(XUẤT!P:P,XUẤT!N:N,CBCNV!B99,XUẤT!O:O,CBCNV!$E$2)</f>
        <v>0</v>
      </c>
      <c r="F99" s="133">
        <f t="shared" si="13"/>
        <v>0</v>
      </c>
      <c r="G99" s="128">
        <f>SUMIFS(XUẤT!Q:Q,XUẤT!N:N,CBCNV!B99,XUẤT!O:O,CBCNV!$G$2)</f>
        <v>0</v>
      </c>
      <c r="H99" s="132">
        <f t="shared" si="14"/>
        <v>0</v>
      </c>
      <c r="I99" s="128">
        <f>SUMIFS(XUẤT!R:R,XUẤT!N:N,CBCNV!B99,XUẤT!O:O,CBCNV!$I$2)</f>
        <v>0</v>
      </c>
      <c r="J99" s="133">
        <f t="shared" si="15"/>
        <v>0</v>
      </c>
      <c r="K99" s="128">
        <f>SUMIFS(XUẤT!S:S,XUẤT!N:N,CBCNV!B99,XUẤT!O:O,CBCNV!$K$2)</f>
        <v>0</v>
      </c>
      <c r="L99" s="133">
        <f t="shared" si="16"/>
        <v>0</v>
      </c>
      <c r="M99" s="128">
        <f>SUMIFS(XUẤT!T:T,XUẤT!N:N,CBCNV!B99,XUẤT!O:O,CBCNV!$M$2)</f>
        <v>0</v>
      </c>
      <c r="N99" s="133">
        <f t="shared" si="17"/>
        <v>0</v>
      </c>
      <c r="O99" s="128">
        <f>SUMIFS(XUẤT!U:U,XUẤT!N:N,CBCNV!B99,XUẤT!O:O,CBCNV!$O$2)</f>
        <v>0</v>
      </c>
      <c r="P99" s="133">
        <f t="shared" si="18"/>
        <v>0</v>
      </c>
      <c r="Q99" s="30"/>
      <c r="R99" s="16"/>
    </row>
    <row r="100" spans="1:20" s="134" customFormat="1" x14ac:dyDescent="0.3">
      <c r="A100" s="131">
        <v>93</v>
      </c>
      <c r="B100" s="10" t="s">
        <v>180</v>
      </c>
      <c r="C100" s="131" t="s">
        <v>148</v>
      </c>
      <c r="D100" s="131" t="s">
        <v>170</v>
      </c>
      <c r="E100" s="128">
        <f>SUMIFS(XUẤT!P:P,XUẤT!N:N,CBCNV!B100,XUẤT!O:O,CBCNV!$E$2)</f>
        <v>0</v>
      </c>
      <c r="F100" s="133">
        <f t="shared" si="13"/>
        <v>0</v>
      </c>
      <c r="G100" s="128">
        <f>SUMIFS(XUẤT!Q:Q,XUẤT!N:N,CBCNV!B100,XUẤT!O:O,CBCNV!$G$2)</f>
        <v>0</v>
      </c>
      <c r="H100" s="132">
        <f t="shared" si="14"/>
        <v>0</v>
      </c>
      <c r="I100" s="128">
        <f>SUMIFS(XUẤT!R:R,XUẤT!N:N,CBCNV!B100,XUẤT!O:O,CBCNV!$I$2)</f>
        <v>0</v>
      </c>
      <c r="J100" s="133">
        <f t="shared" si="15"/>
        <v>0</v>
      </c>
      <c r="K100" s="128">
        <f>SUMIFS(XUẤT!S:S,XUẤT!N:N,CBCNV!B100,XUẤT!O:O,CBCNV!$K$2)</f>
        <v>0</v>
      </c>
      <c r="L100" s="133">
        <f t="shared" si="16"/>
        <v>0</v>
      </c>
      <c r="M100" s="128">
        <f>SUMIFS(XUẤT!T:T,XUẤT!N:N,CBCNV!B100,XUẤT!O:O,CBCNV!$M$2)</f>
        <v>0</v>
      </c>
      <c r="N100" s="133">
        <f t="shared" si="17"/>
        <v>0</v>
      </c>
      <c r="O100" s="128">
        <f>SUMIFS(XUẤT!U:U,XUẤT!N:N,CBCNV!B100,XUẤT!O:O,CBCNV!$O$2)</f>
        <v>0</v>
      </c>
      <c r="P100" s="133">
        <f t="shared" si="18"/>
        <v>0</v>
      </c>
      <c r="Q100" s="30"/>
      <c r="R100" s="16"/>
    </row>
    <row r="101" spans="1:20" s="134" customFormat="1" x14ac:dyDescent="0.3">
      <c r="A101" s="131">
        <v>94</v>
      </c>
      <c r="B101" s="10" t="s">
        <v>181</v>
      </c>
      <c r="C101" s="131" t="s">
        <v>148</v>
      </c>
      <c r="D101" s="131" t="s">
        <v>170</v>
      </c>
      <c r="E101" s="128">
        <f>SUMIFS(XUẤT!P:P,XUẤT!N:N,CBCNV!B101,XUẤT!O:O,CBCNV!$E$2)</f>
        <v>0</v>
      </c>
      <c r="F101" s="133">
        <f t="shared" si="13"/>
        <v>0</v>
      </c>
      <c r="G101" s="128">
        <f>SUMIFS(XUẤT!Q:Q,XUẤT!N:N,CBCNV!B101,XUẤT!O:O,CBCNV!$G$2)</f>
        <v>0</v>
      </c>
      <c r="H101" s="132">
        <f t="shared" si="14"/>
        <v>0</v>
      </c>
      <c r="I101" s="128">
        <f>SUMIFS(XUẤT!R:R,XUẤT!N:N,CBCNV!B101,XUẤT!O:O,CBCNV!$I$2)</f>
        <v>0</v>
      </c>
      <c r="J101" s="133">
        <f t="shared" si="15"/>
        <v>0</v>
      </c>
      <c r="K101" s="128">
        <f>SUMIFS(XUẤT!S:S,XUẤT!N:N,CBCNV!B101,XUẤT!O:O,CBCNV!$K$2)</f>
        <v>0</v>
      </c>
      <c r="L101" s="133">
        <f t="shared" si="16"/>
        <v>0</v>
      </c>
      <c r="M101" s="128">
        <f>SUMIFS(XUẤT!T:T,XUẤT!N:N,CBCNV!B101,XUẤT!O:O,CBCNV!$M$2)</f>
        <v>3</v>
      </c>
      <c r="N101" s="133">
        <f t="shared" si="17"/>
        <v>156000</v>
      </c>
      <c r="O101" s="128">
        <f>SUMIFS(XUẤT!U:U,XUẤT!N:N,CBCNV!B101,XUẤT!O:O,CBCNV!$O$2)</f>
        <v>0</v>
      </c>
      <c r="P101" s="133">
        <f t="shared" si="18"/>
        <v>0</v>
      </c>
      <c r="Q101" s="30"/>
      <c r="R101" s="16"/>
    </row>
    <row r="102" spans="1:20" s="134" customFormat="1" x14ac:dyDescent="0.3">
      <c r="A102" s="131">
        <v>95</v>
      </c>
      <c r="B102" s="10" t="s">
        <v>182</v>
      </c>
      <c r="C102" s="131" t="s">
        <v>148</v>
      </c>
      <c r="D102" s="131" t="s">
        <v>170</v>
      </c>
      <c r="E102" s="128">
        <f>SUMIFS(XUẤT!P:P,XUẤT!N:N,CBCNV!B102,XUẤT!O:O,CBCNV!$E$2)</f>
        <v>0</v>
      </c>
      <c r="F102" s="133">
        <f t="shared" si="13"/>
        <v>0</v>
      </c>
      <c r="G102" s="128">
        <f>SUMIFS(XUẤT!Q:Q,XUẤT!N:N,CBCNV!B102,XUẤT!O:O,CBCNV!$G$2)</f>
        <v>0</v>
      </c>
      <c r="H102" s="132">
        <f t="shared" si="14"/>
        <v>0</v>
      </c>
      <c r="I102" s="128">
        <f>SUMIFS(XUẤT!R:R,XUẤT!N:N,CBCNV!B102,XUẤT!O:O,CBCNV!$I$2)</f>
        <v>0</v>
      </c>
      <c r="J102" s="133">
        <f t="shared" si="15"/>
        <v>0</v>
      </c>
      <c r="K102" s="128">
        <f>SUMIFS(XUẤT!S:S,XUẤT!N:N,CBCNV!B102,XUẤT!O:O,CBCNV!$K$2)</f>
        <v>0</v>
      </c>
      <c r="L102" s="133">
        <f t="shared" si="16"/>
        <v>0</v>
      </c>
      <c r="M102" s="128">
        <f>SUMIFS(XUẤT!T:T,XUẤT!N:N,CBCNV!B102,XUẤT!O:O,CBCNV!$M$2)</f>
        <v>0</v>
      </c>
      <c r="N102" s="133">
        <f t="shared" si="17"/>
        <v>0</v>
      </c>
      <c r="O102" s="128">
        <f>SUMIFS(XUẤT!U:U,XUẤT!N:N,CBCNV!B102,XUẤT!O:O,CBCNV!$O$2)</f>
        <v>0</v>
      </c>
      <c r="P102" s="133">
        <f t="shared" si="18"/>
        <v>0</v>
      </c>
      <c r="Q102" s="30"/>
      <c r="R102" s="16"/>
    </row>
    <row r="103" spans="1:20" s="134" customFormat="1" x14ac:dyDescent="0.3">
      <c r="A103" s="131">
        <v>96</v>
      </c>
      <c r="B103" s="10" t="s">
        <v>183</v>
      </c>
      <c r="C103" s="131" t="s">
        <v>148</v>
      </c>
      <c r="D103" s="131" t="s">
        <v>170</v>
      </c>
      <c r="E103" s="128">
        <f>SUMIFS(XUẤT!P:P,XUẤT!N:N,CBCNV!B103,XUẤT!O:O,CBCNV!$E$2)</f>
        <v>10</v>
      </c>
      <c r="F103" s="133">
        <f t="shared" ref="F103:F134" si="19">E103*$T$10</f>
        <v>980000</v>
      </c>
      <c r="G103" s="128">
        <f>SUMIFS(XUẤT!Q:Q,XUẤT!N:N,CBCNV!B103,XUẤT!O:O,CBCNV!$G$2)</f>
        <v>2</v>
      </c>
      <c r="H103" s="132">
        <f t="shared" ref="H103:H134" si="20">G103*$T$8</f>
        <v>170000</v>
      </c>
      <c r="I103" s="128">
        <f>SUMIFS(XUẤT!R:R,XUẤT!N:N,CBCNV!B103,XUẤT!O:O,CBCNV!$I$2)</f>
        <v>0</v>
      </c>
      <c r="J103" s="133">
        <f t="shared" ref="J103:J134" si="21">I103*$T$9</f>
        <v>0</v>
      </c>
      <c r="K103" s="128">
        <f>SUMIFS(XUẤT!S:S,XUẤT!N:N,CBCNV!B103,XUẤT!O:O,CBCNV!$K$2)</f>
        <v>0</v>
      </c>
      <c r="L103" s="133">
        <f t="shared" ref="L103:L134" si="22">K103*$T$11</f>
        <v>0</v>
      </c>
      <c r="M103" s="128">
        <f>SUMIFS(XUẤT!T:T,XUẤT!N:N,CBCNV!B103,XUẤT!O:O,CBCNV!$M$2)</f>
        <v>0</v>
      </c>
      <c r="N103" s="133">
        <f t="shared" ref="N103:N134" si="23">M103*$T$12</f>
        <v>0</v>
      </c>
      <c r="O103" s="128">
        <f>SUMIFS(XUẤT!U:U,XUẤT!N:N,CBCNV!B103,XUẤT!O:O,CBCNV!$O$2)</f>
        <v>0</v>
      </c>
      <c r="P103" s="133">
        <f t="shared" ref="P103:P134" si="24">O103*$T$13</f>
        <v>0</v>
      </c>
      <c r="Q103" s="30"/>
      <c r="R103" s="16"/>
    </row>
    <row r="104" spans="1:20" s="134" customFormat="1" x14ac:dyDescent="0.3">
      <c r="A104" s="131">
        <v>97</v>
      </c>
      <c r="B104" s="10" t="s">
        <v>184</v>
      </c>
      <c r="C104" s="131" t="s">
        <v>148</v>
      </c>
      <c r="D104" s="131" t="s">
        <v>170</v>
      </c>
      <c r="E104" s="128">
        <f>SUMIFS(XUẤT!P:P,XUẤT!N:N,CBCNV!B104,XUẤT!O:O,CBCNV!$E$2)</f>
        <v>0</v>
      </c>
      <c r="F104" s="133">
        <f t="shared" si="19"/>
        <v>0</v>
      </c>
      <c r="G104" s="128">
        <f>SUMIFS(XUẤT!Q:Q,XUẤT!N:N,CBCNV!B104,XUẤT!O:O,CBCNV!$G$2)</f>
        <v>0</v>
      </c>
      <c r="H104" s="132">
        <f t="shared" si="20"/>
        <v>0</v>
      </c>
      <c r="I104" s="128">
        <f>SUMIFS(XUẤT!R:R,XUẤT!N:N,CBCNV!B104,XUẤT!O:O,CBCNV!$I$2)</f>
        <v>0</v>
      </c>
      <c r="J104" s="133">
        <f t="shared" si="21"/>
        <v>0</v>
      </c>
      <c r="K104" s="128">
        <f>SUMIFS(XUẤT!S:S,XUẤT!N:N,CBCNV!B104,XUẤT!O:O,CBCNV!$K$2)</f>
        <v>0</v>
      </c>
      <c r="L104" s="133">
        <f t="shared" si="22"/>
        <v>0</v>
      </c>
      <c r="M104" s="128">
        <f>SUMIFS(XUẤT!T:T,XUẤT!N:N,CBCNV!B104,XUẤT!O:O,CBCNV!$M$2)</f>
        <v>0</v>
      </c>
      <c r="N104" s="133">
        <f t="shared" si="23"/>
        <v>0</v>
      </c>
      <c r="O104" s="128">
        <f>SUMIFS(XUẤT!U:U,XUẤT!N:N,CBCNV!B104,XUẤT!O:O,CBCNV!$O$2)</f>
        <v>0</v>
      </c>
      <c r="P104" s="133">
        <f t="shared" si="24"/>
        <v>0</v>
      </c>
      <c r="Q104" s="30"/>
      <c r="R104" s="16"/>
    </row>
    <row r="105" spans="1:20" s="134" customFormat="1" x14ac:dyDescent="0.3">
      <c r="A105" s="131">
        <v>98</v>
      </c>
      <c r="B105" s="136" t="s">
        <v>185</v>
      </c>
      <c r="C105" s="131" t="s">
        <v>148</v>
      </c>
      <c r="D105" s="131" t="s">
        <v>170</v>
      </c>
      <c r="E105" s="128">
        <f>SUMIFS(XUẤT!P:P,XUẤT!N:N,CBCNV!B105,XUẤT!O:O,CBCNV!$E$2)</f>
        <v>0</v>
      </c>
      <c r="F105" s="133">
        <f t="shared" si="19"/>
        <v>0</v>
      </c>
      <c r="G105" s="128">
        <f>SUMIFS(XUẤT!Q:Q,XUẤT!N:N,CBCNV!B105,XUẤT!O:O,CBCNV!$G$2)</f>
        <v>0</v>
      </c>
      <c r="H105" s="132">
        <f t="shared" si="20"/>
        <v>0</v>
      </c>
      <c r="I105" s="128">
        <f>SUMIFS(XUẤT!R:R,XUẤT!N:N,CBCNV!B105,XUẤT!O:O,CBCNV!$I$2)</f>
        <v>0</v>
      </c>
      <c r="J105" s="133">
        <f t="shared" si="21"/>
        <v>0</v>
      </c>
      <c r="K105" s="128">
        <f>SUMIFS(XUẤT!S:S,XUẤT!N:N,CBCNV!B105,XUẤT!O:O,CBCNV!$K$2)</f>
        <v>0</v>
      </c>
      <c r="L105" s="133">
        <f t="shared" si="22"/>
        <v>0</v>
      </c>
      <c r="M105" s="128">
        <f>SUMIFS(XUẤT!T:T,XUẤT!N:N,CBCNV!B105,XUẤT!O:O,CBCNV!$M$2)</f>
        <v>0</v>
      </c>
      <c r="N105" s="133">
        <f t="shared" si="23"/>
        <v>0</v>
      </c>
      <c r="O105" s="128">
        <f>SUMIFS(XUẤT!U:U,XUẤT!N:N,CBCNV!B105,XUẤT!O:O,CBCNV!$O$2)</f>
        <v>30</v>
      </c>
      <c r="P105" s="133">
        <f t="shared" si="24"/>
        <v>1440000</v>
      </c>
      <c r="Q105" s="30"/>
      <c r="R105" s="16"/>
    </row>
    <row r="106" spans="1:20" s="134" customFormat="1" x14ac:dyDescent="0.3">
      <c r="A106" s="131">
        <v>99</v>
      </c>
      <c r="B106" s="10" t="s">
        <v>186</v>
      </c>
      <c r="C106" s="131" t="s">
        <v>167</v>
      </c>
      <c r="D106" s="131" t="s">
        <v>170</v>
      </c>
      <c r="E106" s="128">
        <f>SUMIFS(XUẤT!P:P,XUẤT!N:N,CBCNV!B106,XUẤT!O:O,CBCNV!$E$2)</f>
        <v>0</v>
      </c>
      <c r="F106" s="133">
        <f t="shared" si="19"/>
        <v>0</v>
      </c>
      <c r="G106" s="128">
        <f>SUMIFS(XUẤT!Q:Q,XUẤT!N:N,CBCNV!B106,XUẤT!O:O,CBCNV!$G$2)</f>
        <v>0</v>
      </c>
      <c r="H106" s="132">
        <f t="shared" si="20"/>
        <v>0</v>
      </c>
      <c r="I106" s="128">
        <f>SUMIFS(XUẤT!R:R,XUẤT!N:N,CBCNV!B106,XUẤT!O:O,CBCNV!$I$2)</f>
        <v>0</v>
      </c>
      <c r="J106" s="133">
        <f t="shared" si="21"/>
        <v>0</v>
      </c>
      <c r="K106" s="128">
        <f>SUMIFS(XUẤT!S:S,XUẤT!N:N,CBCNV!B106,XUẤT!O:O,CBCNV!$K$2)</f>
        <v>0</v>
      </c>
      <c r="L106" s="133">
        <f t="shared" si="22"/>
        <v>0</v>
      </c>
      <c r="M106" s="128">
        <f>SUMIFS(XUẤT!T:T,XUẤT!N:N,CBCNV!B106,XUẤT!O:O,CBCNV!$M$2)</f>
        <v>0</v>
      </c>
      <c r="N106" s="133">
        <f t="shared" si="23"/>
        <v>0</v>
      </c>
      <c r="O106" s="128">
        <f>SUMIFS(XUẤT!U:U,XUẤT!N:N,CBCNV!B106,XUẤT!O:O,CBCNV!$O$2)</f>
        <v>5</v>
      </c>
      <c r="P106" s="133">
        <f t="shared" si="24"/>
        <v>240000</v>
      </c>
      <c r="Q106" s="30"/>
      <c r="R106" s="16"/>
    </row>
    <row r="107" spans="1:20" s="134" customFormat="1" x14ac:dyDescent="0.3">
      <c r="A107" s="131">
        <v>100</v>
      </c>
      <c r="B107" s="10" t="s">
        <v>187</v>
      </c>
      <c r="C107" s="131" t="s">
        <v>167</v>
      </c>
      <c r="D107" s="131" t="s">
        <v>170</v>
      </c>
      <c r="E107" s="128">
        <f>SUMIFS(XUẤT!P:P,XUẤT!N:N,CBCNV!B107,XUẤT!O:O,CBCNV!$E$2)</f>
        <v>20</v>
      </c>
      <c r="F107" s="133">
        <f t="shared" si="19"/>
        <v>1960000</v>
      </c>
      <c r="G107" s="128">
        <f>SUMIFS(XUẤT!Q:Q,XUẤT!N:N,CBCNV!B107,XUẤT!O:O,CBCNV!$G$2)</f>
        <v>0</v>
      </c>
      <c r="H107" s="132">
        <f t="shared" si="20"/>
        <v>0</v>
      </c>
      <c r="I107" s="128">
        <f>SUMIFS(XUẤT!R:R,XUẤT!N:N,CBCNV!B107,XUẤT!O:O,CBCNV!$I$2)</f>
        <v>0</v>
      </c>
      <c r="J107" s="133">
        <f t="shared" si="21"/>
        <v>0</v>
      </c>
      <c r="K107" s="128">
        <f>SUMIFS(XUẤT!S:S,XUẤT!N:N,CBCNV!B107,XUẤT!O:O,CBCNV!$K$2)</f>
        <v>0</v>
      </c>
      <c r="L107" s="133">
        <f t="shared" si="22"/>
        <v>0</v>
      </c>
      <c r="M107" s="128">
        <f>SUMIFS(XUẤT!T:T,XUẤT!N:N,CBCNV!B107,XUẤT!O:O,CBCNV!$M$2)</f>
        <v>0</v>
      </c>
      <c r="N107" s="133">
        <f t="shared" si="23"/>
        <v>0</v>
      </c>
      <c r="O107" s="128">
        <f>SUMIFS(XUẤT!U:U,XUẤT!N:N,CBCNV!B107,XUẤT!O:O,CBCNV!$O$2)</f>
        <v>0</v>
      </c>
      <c r="P107" s="133">
        <f t="shared" si="24"/>
        <v>0</v>
      </c>
      <c r="Q107" s="30"/>
      <c r="R107" s="16"/>
    </row>
    <row r="108" spans="1:20" s="130" customFormat="1" x14ac:dyDescent="0.3">
      <c r="A108" s="131">
        <v>101</v>
      </c>
      <c r="B108" s="10" t="s">
        <v>188</v>
      </c>
      <c r="C108" s="131" t="s">
        <v>167</v>
      </c>
      <c r="D108" s="131" t="s">
        <v>170</v>
      </c>
      <c r="E108" s="128">
        <f>SUMIFS(XUẤT!P:P,XUẤT!N:N,CBCNV!B108,XUẤT!O:O,CBCNV!$E$2)</f>
        <v>0</v>
      </c>
      <c r="F108" s="133">
        <f t="shared" si="19"/>
        <v>0</v>
      </c>
      <c r="G108" s="128">
        <f>SUMIFS(XUẤT!Q:Q,XUẤT!N:N,CBCNV!B108,XUẤT!O:O,CBCNV!$G$2)</f>
        <v>0</v>
      </c>
      <c r="H108" s="132">
        <f t="shared" si="20"/>
        <v>0</v>
      </c>
      <c r="I108" s="128">
        <f>SUMIFS(XUẤT!R:R,XUẤT!N:N,CBCNV!B108,XUẤT!O:O,CBCNV!$I$2)</f>
        <v>0</v>
      </c>
      <c r="J108" s="133">
        <f t="shared" si="21"/>
        <v>0</v>
      </c>
      <c r="K108" s="128">
        <f>SUMIFS(XUẤT!S:S,XUẤT!N:N,CBCNV!B108,XUẤT!O:O,CBCNV!$K$2)</f>
        <v>0</v>
      </c>
      <c r="L108" s="133">
        <f t="shared" si="22"/>
        <v>0</v>
      </c>
      <c r="M108" s="128">
        <f>SUMIFS(XUẤT!T:T,XUẤT!N:N,CBCNV!B108,XUẤT!O:O,CBCNV!$M$2)</f>
        <v>0</v>
      </c>
      <c r="N108" s="133">
        <f t="shared" si="23"/>
        <v>0</v>
      </c>
      <c r="O108" s="128">
        <f>SUMIFS(XUẤT!U:U,XUẤT!N:N,CBCNV!B108,XUẤT!O:O,CBCNV!$O$2)</f>
        <v>0</v>
      </c>
      <c r="P108" s="133">
        <f t="shared" si="24"/>
        <v>0</v>
      </c>
      <c r="Q108" s="30"/>
      <c r="R108" s="16"/>
      <c r="S108" s="134"/>
      <c r="T108" s="134"/>
    </row>
    <row r="109" spans="1:20" s="134" customFormat="1" x14ac:dyDescent="0.3">
      <c r="A109" s="131">
        <v>102</v>
      </c>
      <c r="B109" s="10" t="s">
        <v>189</v>
      </c>
      <c r="C109" s="131" t="s">
        <v>167</v>
      </c>
      <c r="D109" s="131" t="s">
        <v>170</v>
      </c>
      <c r="E109" s="128">
        <f>SUMIFS(XUẤT!P:P,XUẤT!N:N,CBCNV!B109,XUẤT!O:O,CBCNV!$E$2)</f>
        <v>0</v>
      </c>
      <c r="F109" s="133">
        <f t="shared" si="19"/>
        <v>0</v>
      </c>
      <c r="G109" s="128">
        <f>SUMIFS(XUẤT!Q:Q,XUẤT!N:N,CBCNV!B109,XUẤT!O:O,CBCNV!$G$2)</f>
        <v>0</v>
      </c>
      <c r="H109" s="132">
        <f t="shared" si="20"/>
        <v>0</v>
      </c>
      <c r="I109" s="128">
        <f>SUMIFS(XUẤT!R:R,XUẤT!N:N,CBCNV!B109,XUẤT!O:O,CBCNV!$I$2)</f>
        <v>0</v>
      </c>
      <c r="J109" s="133">
        <f t="shared" si="21"/>
        <v>0</v>
      </c>
      <c r="K109" s="128">
        <f>SUMIFS(XUẤT!S:S,XUẤT!N:N,CBCNV!B109,XUẤT!O:O,CBCNV!$K$2)</f>
        <v>0</v>
      </c>
      <c r="L109" s="133">
        <f t="shared" si="22"/>
        <v>0</v>
      </c>
      <c r="M109" s="128">
        <f>SUMIFS(XUẤT!T:T,XUẤT!N:N,CBCNV!B109,XUẤT!O:O,CBCNV!$M$2)</f>
        <v>0</v>
      </c>
      <c r="N109" s="133">
        <f t="shared" si="23"/>
        <v>0</v>
      </c>
      <c r="O109" s="128">
        <f>SUMIFS(XUẤT!U:U,XUẤT!N:N,CBCNV!B109,XUẤT!O:O,CBCNV!$O$2)</f>
        <v>0</v>
      </c>
      <c r="P109" s="133">
        <f t="shared" si="24"/>
        <v>0</v>
      </c>
      <c r="Q109" s="30"/>
      <c r="R109" s="16"/>
    </row>
    <row r="110" spans="1:20" s="134" customFormat="1" x14ac:dyDescent="0.3">
      <c r="A110" s="131">
        <v>103</v>
      </c>
      <c r="B110" s="10" t="s">
        <v>190</v>
      </c>
      <c r="C110" s="131" t="s">
        <v>167</v>
      </c>
      <c r="D110" s="131" t="s">
        <v>170</v>
      </c>
      <c r="E110" s="128">
        <f>SUMIFS(XUẤT!P:P,XUẤT!N:N,CBCNV!B110,XUẤT!O:O,CBCNV!$E$2)</f>
        <v>0</v>
      </c>
      <c r="F110" s="133">
        <f t="shared" si="19"/>
        <v>0</v>
      </c>
      <c r="G110" s="128">
        <f>SUMIFS(XUẤT!Q:Q,XUẤT!N:N,CBCNV!B110,XUẤT!O:O,CBCNV!$G$2)</f>
        <v>0</v>
      </c>
      <c r="H110" s="132">
        <f t="shared" si="20"/>
        <v>0</v>
      </c>
      <c r="I110" s="128">
        <f>SUMIFS(XUẤT!R:R,XUẤT!N:N,CBCNV!B110,XUẤT!O:O,CBCNV!$I$2)</f>
        <v>0</v>
      </c>
      <c r="J110" s="133">
        <f t="shared" si="21"/>
        <v>0</v>
      </c>
      <c r="K110" s="128">
        <f>SUMIFS(XUẤT!S:S,XUẤT!N:N,CBCNV!B110,XUẤT!O:O,CBCNV!$K$2)</f>
        <v>0</v>
      </c>
      <c r="L110" s="133">
        <f t="shared" si="22"/>
        <v>0</v>
      </c>
      <c r="M110" s="128">
        <f>SUMIFS(XUẤT!T:T,XUẤT!N:N,CBCNV!B110,XUẤT!O:O,CBCNV!$M$2)</f>
        <v>0</v>
      </c>
      <c r="N110" s="133">
        <f t="shared" si="23"/>
        <v>0</v>
      </c>
      <c r="O110" s="128">
        <f>SUMIFS(XUẤT!U:U,XUẤT!N:N,CBCNV!B110,XUẤT!O:O,CBCNV!$O$2)</f>
        <v>0</v>
      </c>
      <c r="P110" s="133">
        <f t="shared" si="24"/>
        <v>0</v>
      </c>
      <c r="Q110" s="30"/>
      <c r="R110" s="16"/>
    </row>
    <row r="111" spans="1:20" s="134" customFormat="1" x14ac:dyDescent="0.3">
      <c r="A111" s="131">
        <v>104</v>
      </c>
      <c r="B111" s="32" t="s">
        <v>42</v>
      </c>
      <c r="C111" s="135" t="s">
        <v>191</v>
      </c>
      <c r="D111" s="135" t="s">
        <v>192</v>
      </c>
      <c r="E111" s="128">
        <f>SUMIFS(XUẤT!P:P,XUẤT!N:N,CBCNV!B111,XUẤT!O:O,CBCNV!$E$2)</f>
        <v>0</v>
      </c>
      <c r="F111" s="133">
        <f t="shared" si="19"/>
        <v>0</v>
      </c>
      <c r="G111" s="128">
        <f>SUMIFS(XUẤT!Q:Q,XUẤT!N:N,CBCNV!B111,XUẤT!O:O,CBCNV!$G$2)</f>
        <v>0</v>
      </c>
      <c r="H111" s="132">
        <f t="shared" si="20"/>
        <v>0</v>
      </c>
      <c r="I111" s="128">
        <f>SUMIFS(XUẤT!R:R,XUẤT!N:N,CBCNV!B111,XUẤT!O:O,CBCNV!$I$2)</f>
        <v>0</v>
      </c>
      <c r="J111" s="133">
        <f t="shared" si="21"/>
        <v>0</v>
      </c>
      <c r="K111" s="128">
        <f>SUMIFS(XUẤT!S:S,XUẤT!N:N,CBCNV!B111,XUẤT!O:O,CBCNV!$K$2)</f>
        <v>0</v>
      </c>
      <c r="L111" s="133">
        <f t="shared" si="22"/>
        <v>0</v>
      </c>
      <c r="M111" s="128">
        <f>SUMIFS(XUẤT!T:T,XUẤT!N:N,CBCNV!B111,XUẤT!O:O,CBCNV!$M$2)</f>
        <v>0</v>
      </c>
      <c r="N111" s="133">
        <f t="shared" si="23"/>
        <v>0</v>
      </c>
      <c r="O111" s="128">
        <f>SUMIFS(XUẤT!U:U,XUẤT!N:N,CBCNV!B111,XUẤT!O:O,CBCNV!$O$2)</f>
        <v>0</v>
      </c>
      <c r="P111" s="133">
        <f t="shared" si="24"/>
        <v>0</v>
      </c>
      <c r="Q111" s="30"/>
      <c r="R111" s="19"/>
      <c r="S111" s="130"/>
      <c r="T111" s="130"/>
    </row>
    <row r="112" spans="1:20" s="134" customFormat="1" x14ac:dyDescent="0.3">
      <c r="A112" s="131">
        <v>105</v>
      </c>
      <c r="B112" s="10" t="s">
        <v>193</v>
      </c>
      <c r="C112" s="131" t="s">
        <v>134</v>
      </c>
      <c r="D112" s="131" t="s">
        <v>192</v>
      </c>
      <c r="E112" s="128">
        <f>SUMIFS(XUẤT!P:P,XUẤT!N:N,CBCNV!B112,XUẤT!O:O,CBCNV!$E$2)</f>
        <v>0</v>
      </c>
      <c r="F112" s="133">
        <f t="shared" si="19"/>
        <v>0</v>
      </c>
      <c r="G112" s="128">
        <f>SUMIFS(XUẤT!Q:Q,XUẤT!N:N,CBCNV!B112,XUẤT!O:O,CBCNV!$G$2)</f>
        <v>0</v>
      </c>
      <c r="H112" s="132">
        <f t="shared" si="20"/>
        <v>0</v>
      </c>
      <c r="I112" s="128">
        <f>SUMIFS(XUẤT!R:R,XUẤT!N:N,CBCNV!B112,XUẤT!O:O,CBCNV!$I$2)</f>
        <v>0</v>
      </c>
      <c r="J112" s="133">
        <f t="shared" si="21"/>
        <v>0</v>
      </c>
      <c r="K112" s="128">
        <f>SUMIFS(XUẤT!S:S,XUẤT!N:N,CBCNV!B112,XUẤT!O:O,CBCNV!$K$2)</f>
        <v>0</v>
      </c>
      <c r="L112" s="133">
        <f t="shared" si="22"/>
        <v>0</v>
      </c>
      <c r="M112" s="128">
        <f>SUMIFS(XUẤT!T:T,XUẤT!N:N,CBCNV!B112,XUẤT!O:O,CBCNV!$M$2)</f>
        <v>0</v>
      </c>
      <c r="N112" s="133">
        <f t="shared" si="23"/>
        <v>0</v>
      </c>
      <c r="O112" s="128">
        <f>SUMIFS(XUẤT!U:U,XUẤT!N:N,CBCNV!B112,XUẤT!O:O,CBCNV!$O$2)</f>
        <v>0</v>
      </c>
      <c r="P112" s="133">
        <f t="shared" si="24"/>
        <v>0</v>
      </c>
      <c r="Q112" s="30"/>
      <c r="R112" s="16"/>
    </row>
    <row r="113" spans="1:18" s="134" customFormat="1" x14ac:dyDescent="0.3">
      <c r="A113" s="131">
        <v>106</v>
      </c>
      <c r="B113" s="10" t="s">
        <v>194</v>
      </c>
      <c r="C113" s="131" t="s">
        <v>153</v>
      </c>
      <c r="D113" s="131" t="s">
        <v>192</v>
      </c>
      <c r="E113" s="128">
        <f>SUMIFS(XUẤT!P:P,XUẤT!N:N,CBCNV!B113,XUẤT!O:O,CBCNV!$E$2)</f>
        <v>0</v>
      </c>
      <c r="F113" s="133">
        <f t="shared" si="19"/>
        <v>0</v>
      </c>
      <c r="G113" s="128">
        <f>SUMIFS(XUẤT!Q:Q,XUẤT!N:N,CBCNV!B113,XUẤT!O:O,CBCNV!$G$2)</f>
        <v>0</v>
      </c>
      <c r="H113" s="132">
        <f t="shared" si="20"/>
        <v>0</v>
      </c>
      <c r="I113" s="128">
        <f>SUMIFS(XUẤT!R:R,XUẤT!N:N,CBCNV!B113,XUẤT!O:O,CBCNV!$I$2)</f>
        <v>0</v>
      </c>
      <c r="J113" s="133">
        <f t="shared" si="21"/>
        <v>0</v>
      </c>
      <c r="K113" s="128">
        <f>SUMIFS(XUẤT!S:S,XUẤT!N:N,CBCNV!B113,XUẤT!O:O,CBCNV!$K$2)</f>
        <v>0</v>
      </c>
      <c r="L113" s="133">
        <f t="shared" si="22"/>
        <v>0</v>
      </c>
      <c r="M113" s="128">
        <f>SUMIFS(XUẤT!T:T,XUẤT!N:N,CBCNV!B113,XUẤT!O:O,CBCNV!$M$2)</f>
        <v>0</v>
      </c>
      <c r="N113" s="133">
        <f t="shared" si="23"/>
        <v>0</v>
      </c>
      <c r="O113" s="128">
        <f>SUMIFS(XUẤT!U:U,XUẤT!N:N,CBCNV!B113,XUẤT!O:O,CBCNV!$O$2)</f>
        <v>0</v>
      </c>
      <c r="P113" s="133">
        <f t="shared" si="24"/>
        <v>0</v>
      </c>
      <c r="Q113" s="30"/>
      <c r="R113" s="16"/>
    </row>
    <row r="114" spans="1:18" s="134" customFormat="1" x14ac:dyDescent="0.3">
      <c r="A114" s="131">
        <v>107</v>
      </c>
      <c r="B114" s="10" t="s">
        <v>195</v>
      </c>
      <c r="C114" s="131" t="s">
        <v>79</v>
      </c>
      <c r="D114" s="131" t="s">
        <v>192</v>
      </c>
      <c r="E114" s="128">
        <f>SUMIFS(XUẤT!P:P,XUẤT!N:N,CBCNV!B114,XUẤT!O:O,CBCNV!$E$2)</f>
        <v>0</v>
      </c>
      <c r="F114" s="133">
        <f t="shared" si="19"/>
        <v>0</v>
      </c>
      <c r="G114" s="128">
        <f>SUMIFS(XUẤT!Q:Q,XUẤT!N:N,CBCNV!B114,XUẤT!O:O,CBCNV!$G$2)</f>
        <v>0</v>
      </c>
      <c r="H114" s="132">
        <f t="shared" si="20"/>
        <v>0</v>
      </c>
      <c r="I114" s="128">
        <f>SUMIFS(XUẤT!R:R,XUẤT!N:N,CBCNV!B114,XUẤT!O:O,CBCNV!$I$2)</f>
        <v>0</v>
      </c>
      <c r="J114" s="133">
        <f t="shared" si="21"/>
        <v>0</v>
      </c>
      <c r="K114" s="128">
        <f>SUMIFS(XUẤT!S:S,XUẤT!N:N,CBCNV!B114,XUẤT!O:O,CBCNV!$K$2)</f>
        <v>0</v>
      </c>
      <c r="L114" s="133">
        <f t="shared" si="22"/>
        <v>0</v>
      </c>
      <c r="M114" s="128">
        <f>SUMIFS(XUẤT!T:T,XUẤT!N:N,CBCNV!B114,XUẤT!O:O,CBCNV!$M$2)</f>
        <v>0</v>
      </c>
      <c r="N114" s="133">
        <f t="shared" si="23"/>
        <v>0</v>
      </c>
      <c r="O114" s="128">
        <f>SUMIFS(XUẤT!U:U,XUẤT!N:N,CBCNV!B114,XUẤT!O:O,CBCNV!$O$2)</f>
        <v>0</v>
      </c>
      <c r="P114" s="133">
        <f t="shared" si="24"/>
        <v>0</v>
      </c>
      <c r="Q114" s="30"/>
      <c r="R114" s="16"/>
    </row>
    <row r="115" spans="1:18" s="134" customFormat="1" x14ac:dyDescent="0.3">
      <c r="A115" s="131">
        <v>108</v>
      </c>
      <c r="B115" s="10" t="s">
        <v>196</v>
      </c>
      <c r="C115" s="131" t="s">
        <v>79</v>
      </c>
      <c r="D115" s="131" t="s">
        <v>192</v>
      </c>
      <c r="E115" s="128">
        <f>SUMIFS(XUẤT!P:P,XUẤT!N:N,CBCNV!B115,XUẤT!O:O,CBCNV!$E$2)</f>
        <v>0</v>
      </c>
      <c r="F115" s="133">
        <f t="shared" si="19"/>
        <v>0</v>
      </c>
      <c r="G115" s="128">
        <f>SUMIFS(XUẤT!Q:Q,XUẤT!N:N,CBCNV!B115,XUẤT!O:O,CBCNV!$G$2)</f>
        <v>0</v>
      </c>
      <c r="H115" s="132">
        <f t="shared" si="20"/>
        <v>0</v>
      </c>
      <c r="I115" s="128">
        <f>SUMIFS(XUẤT!R:R,XUẤT!N:N,CBCNV!B115,XUẤT!O:O,CBCNV!$I$2)</f>
        <v>0</v>
      </c>
      <c r="J115" s="133">
        <f t="shared" si="21"/>
        <v>0</v>
      </c>
      <c r="K115" s="128">
        <f>SUMIFS(XUẤT!S:S,XUẤT!N:N,CBCNV!B115,XUẤT!O:O,CBCNV!$K$2)</f>
        <v>0</v>
      </c>
      <c r="L115" s="133">
        <f t="shared" si="22"/>
        <v>0</v>
      </c>
      <c r="M115" s="128">
        <f>SUMIFS(XUẤT!T:T,XUẤT!N:N,CBCNV!B115,XUẤT!O:O,CBCNV!$M$2)</f>
        <v>0</v>
      </c>
      <c r="N115" s="133">
        <f t="shared" si="23"/>
        <v>0</v>
      </c>
      <c r="O115" s="128">
        <f>SUMIFS(XUẤT!U:U,XUẤT!N:N,CBCNV!B115,XUẤT!O:O,CBCNV!$O$2)</f>
        <v>0</v>
      </c>
      <c r="P115" s="133">
        <f t="shared" si="24"/>
        <v>0</v>
      </c>
      <c r="Q115" s="30"/>
      <c r="R115" s="16"/>
    </row>
    <row r="116" spans="1:18" s="134" customFormat="1" x14ac:dyDescent="0.3">
      <c r="A116" s="131">
        <v>109</v>
      </c>
      <c r="B116" s="10" t="s">
        <v>197</v>
      </c>
      <c r="C116" s="131" t="s">
        <v>79</v>
      </c>
      <c r="D116" s="131" t="s">
        <v>192</v>
      </c>
      <c r="E116" s="128">
        <f>SUMIFS(XUẤT!P:P,XUẤT!N:N,CBCNV!B116,XUẤT!O:O,CBCNV!$E$2)</f>
        <v>0</v>
      </c>
      <c r="F116" s="133">
        <f t="shared" si="19"/>
        <v>0</v>
      </c>
      <c r="G116" s="128">
        <f>SUMIFS(XUẤT!Q:Q,XUẤT!N:N,CBCNV!B116,XUẤT!O:O,CBCNV!$G$2)</f>
        <v>0</v>
      </c>
      <c r="H116" s="132">
        <f t="shared" si="20"/>
        <v>0</v>
      </c>
      <c r="I116" s="128">
        <f>SUMIFS(XUẤT!R:R,XUẤT!N:N,CBCNV!B116,XUẤT!O:O,CBCNV!$I$2)</f>
        <v>0</v>
      </c>
      <c r="J116" s="133">
        <f t="shared" si="21"/>
        <v>0</v>
      </c>
      <c r="K116" s="128">
        <f>SUMIFS(XUẤT!S:S,XUẤT!N:N,CBCNV!B116,XUẤT!O:O,CBCNV!$K$2)</f>
        <v>0</v>
      </c>
      <c r="L116" s="133">
        <f t="shared" si="22"/>
        <v>0</v>
      </c>
      <c r="M116" s="128">
        <f>SUMIFS(XUẤT!T:T,XUẤT!N:N,CBCNV!B116,XUẤT!O:O,CBCNV!$M$2)</f>
        <v>0</v>
      </c>
      <c r="N116" s="133">
        <f t="shared" si="23"/>
        <v>0</v>
      </c>
      <c r="O116" s="128">
        <f>SUMIFS(XUẤT!U:U,XUẤT!N:N,CBCNV!B116,XUẤT!O:O,CBCNV!$O$2)</f>
        <v>0</v>
      </c>
      <c r="P116" s="133">
        <f t="shared" si="24"/>
        <v>0</v>
      </c>
      <c r="Q116" s="30"/>
      <c r="R116" s="16"/>
    </row>
    <row r="117" spans="1:18" s="134" customFormat="1" x14ac:dyDescent="0.3">
      <c r="A117" s="131">
        <v>110</v>
      </c>
      <c r="B117" s="10" t="s">
        <v>198</v>
      </c>
      <c r="C117" s="131" t="s">
        <v>79</v>
      </c>
      <c r="D117" s="131" t="s">
        <v>192</v>
      </c>
      <c r="E117" s="128">
        <f>SUMIFS(XUẤT!P:P,XUẤT!N:N,CBCNV!B117,XUẤT!O:O,CBCNV!$E$2)</f>
        <v>0</v>
      </c>
      <c r="F117" s="133">
        <f t="shared" si="19"/>
        <v>0</v>
      </c>
      <c r="G117" s="128">
        <f>SUMIFS(XUẤT!Q:Q,XUẤT!N:N,CBCNV!B117,XUẤT!O:O,CBCNV!$G$2)</f>
        <v>0</v>
      </c>
      <c r="H117" s="132">
        <f t="shared" si="20"/>
        <v>0</v>
      </c>
      <c r="I117" s="128">
        <f>SUMIFS(XUẤT!R:R,XUẤT!N:N,CBCNV!B117,XUẤT!O:O,CBCNV!$I$2)</f>
        <v>0</v>
      </c>
      <c r="J117" s="133">
        <f t="shared" si="21"/>
        <v>0</v>
      </c>
      <c r="K117" s="128">
        <f>SUMIFS(XUẤT!S:S,XUẤT!N:N,CBCNV!B117,XUẤT!O:O,CBCNV!$K$2)</f>
        <v>0</v>
      </c>
      <c r="L117" s="133">
        <f t="shared" si="22"/>
        <v>0</v>
      </c>
      <c r="M117" s="128">
        <f>SUMIFS(XUẤT!T:T,XUẤT!N:N,CBCNV!B117,XUẤT!O:O,CBCNV!$M$2)</f>
        <v>0</v>
      </c>
      <c r="N117" s="133">
        <f t="shared" si="23"/>
        <v>0</v>
      </c>
      <c r="O117" s="128">
        <f>SUMIFS(XUẤT!U:U,XUẤT!N:N,CBCNV!B117,XUẤT!O:O,CBCNV!$O$2)</f>
        <v>0</v>
      </c>
      <c r="P117" s="133">
        <f t="shared" si="24"/>
        <v>0</v>
      </c>
      <c r="Q117" s="30"/>
      <c r="R117" s="16"/>
    </row>
    <row r="118" spans="1:18" s="134" customFormat="1" x14ac:dyDescent="0.3">
      <c r="A118" s="131">
        <v>111</v>
      </c>
      <c r="B118" s="10" t="s">
        <v>199</v>
      </c>
      <c r="C118" s="131" t="s">
        <v>79</v>
      </c>
      <c r="D118" s="131" t="s">
        <v>192</v>
      </c>
      <c r="E118" s="128">
        <f>SUMIFS(XUẤT!P:P,XUẤT!N:N,CBCNV!B118,XUẤT!O:O,CBCNV!$E$2)</f>
        <v>0</v>
      </c>
      <c r="F118" s="133">
        <f t="shared" si="19"/>
        <v>0</v>
      </c>
      <c r="G118" s="128">
        <f>SUMIFS(XUẤT!Q:Q,XUẤT!N:N,CBCNV!B118,XUẤT!O:O,CBCNV!$G$2)</f>
        <v>0</v>
      </c>
      <c r="H118" s="132">
        <f t="shared" si="20"/>
        <v>0</v>
      </c>
      <c r="I118" s="128">
        <f>SUMIFS(XUẤT!R:R,XUẤT!N:N,CBCNV!B118,XUẤT!O:O,CBCNV!$I$2)</f>
        <v>0</v>
      </c>
      <c r="J118" s="133">
        <f t="shared" si="21"/>
        <v>0</v>
      </c>
      <c r="K118" s="128">
        <f>SUMIFS(XUẤT!S:S,XUẤT!N:N,CBCNV!B118,XUẤT!O:O,CBCNV!$K$2)</f>
        <v>0</v>
      </c>
      <c r="L118" s="133">
        <f t="shared" si="22"/>
        <v>0</v>
      </c>
      <c r="M118" s="128">
        <f>SUMIFS(XUẤT!T:T,XUẤT!N:N,CBCNV!B118,XUẤT!O:O,CBCNV!$M$2)</f>
        <v>0</v>
      </c>
      <c r="N118" s="133">
        <f t="shared" si="23"/>
        <v>0</v>
      </c>
      <c r="O118" s="128">
        <f>SUMIFS(XUẤT!U:U,XUẤT!N:N,CBCNV!B118,XUẤT!O:O,CBCNV!$O$2)</f>
        <v>0</v>
      </c>
      <c r="P118" s="133">
        <f t="shared" si="24"/>
        <v>0</v>
      </c>
      <c r="Q118" s="30"/>
      <c r="R118" s="16"/>
    </row>
    <row r="119" spans="1:18" s="134" customFormat="1" x14ac:dyDescent="0.3">
      <c r="A119" s="131">
        <v>112</v>
      </c>
      <c r="B119" s="10" t="s">
        <v>200</v>
      </c>
      <c r="C119" s="131" t="s">
        <v>148</v>
      </c>
      <c r="D119" s="131" t="s">
        <v>192</v>
      </c>
      <c r="E119" s="128">
        <f>SUMIFS(XUẤT!P:P,XUẤT!N:N,CBCNV!B119,XUẤT!O:O,CBCNV!$E$2)</f>
        <v>0</v>
      </c>
      <c r="F119" s="133">
        <f t="shared" si="19"/>
        <v>0</v>
      </c>
      <c r="G119" s="128">
        <f>SUMIFS(XUẤT!Q:Q,XUẤT!N:N,CBCNV!B119,XUẤT!O:O,CBCNV!$G$2)</f>
        <v>0</v>
      </c>
      <c r="H119" s="132">
        <f t="shared" si="20"/>
        <v>0</v>
      </c>
      <c r="I119" s="128">
        <f>SUMIFS(XUẤT!R:R,XUẤT!N:N,CBCNV!B119,XUẤT!O:O,CBCNV!$I$2)</f>
        <v>0</v>
      </c>
      <c r="J119" s="133">
        <f t="shared" si="21"/>
        <v>0</v>
      </c>
      <c r="K119" s="128">
        <f>SUMIFS(XUẤT!S:S,XUẤT!N:N,CBCNV!B119,XUẤT!O:O,CBCNV!$K$2)</f>
        <v>0</v>
      </c>
      <c r="L119" s="133">
        <f t="shared" si="22"/>
        <v>0</v>
      </c>
      <c r="M119" s="128">
        <f>SUMIFS(XUẤT!T:T,XUẤT!N:N,CBCNV!B119,XUẤT!O:O,CBCNV!$M$2)</f>
        <v>0</v>
      </c>
      <c r="N119" s="133">
        <f t="shared" si="23"/>
        <v>0</v>
      </c>
      <c r="O119" s="128">
        <f>SUMIFS(XUẤT!U:U,XUẤT!N:N,CBCNV!B119,XUẤT!O:O,CBCNV!$O$2)</f>
        <v>0</v>
      </c>
      <c r="P119" s="133">
        <f t="shared" si="24"/>
        <v>0</v>
      </c>
      <c r="Q119" s="30"/>
      <c r="R119" s="16"/>
    </row>
    <row r="120" spans="1:18" s="134" customFormat="1" x14ac:dyDescent="0.3">
      <c r="A120" s="131">
        <v>113</v>
      </c>
      <c r="B120" s="10" t="s">
        <v>46</v>
      </c>
      <c r="C120" s="131" t="s">
        <v>148</v>
      </c>
      <c r="D120" s="131" t="s">
        <v>192</v>
      </c>
      <c r="E120" s="128">
        <f>SUMIFS(XUẤT!P:P,XUẤT!N:N,CBCNV!B120,XUẤT!O:O,CBCNV!$E$2)</f>
        <v>0</v>
      </c>
      <c r="F120" s="133">
        <f t="shared" si="19"/>
        <v>0</v>
      </c>
      <c r="G120" s="128">
        <f>SUMIFS(XUẤT!Q:Q,XUẤT!N:N,CBCNV!B120,XUẤT!O:O,CBCNV!$G$2)</f>
        <v>0</v>
      </c>
      <c r="H120" s="132">
        <f t="shared" si="20"/>
        <v>0</v>
      </c>
      <c r="I120" s="128">
        <f>SUMIFS(XUẤT!R:R,XUẤT!N:N,CBCNV!B120,XUẤT!O:O,CBCNV!$I$2)</f>
        <v>0</v>
      </c>
      <c r="J120" s="133">
        <f t="shared" si="21"/>
        <v>0</v>
      </c>
      <c r="K120" s="128">
        <f>SUMIFS(XUẤT!S:S,XUẤT!N:N,CBCNV!B120,XUẤT!O:O,CBCNV!$K$2)</f>
        <v>0</v>
      </c>
      <c r="L120" s="133">
        <f t="shared" si="22"/>
        <v>0</v>
      </c>
      <c r="M120" s="128">
        <f>SUMIFS(XUẤT!T:T,XUẤT!N:N,CBCNV!B120,XUẤT!O:O,CBCNV!$M$2)</f>
        <v>0</v>
      </c>
      <c r="N120" s="133">
        <f t="shared" si="23"/>
        <v>0</v>
      </c>
      <c r="O120" s="128">
        <f>SUMIFS(XUẤT!U:U,XUẤT!N:N,CBCNV!B120,XUẤT!O:O,CBCNV!$O$2)</f>
        <v>0</v>
      </c>
      <c r="P120" s="133">
        <f t="shared" si="24"/>
        <v>0</v>
      </c>
      <c r="Q120" s="30"/>
      <c r="R120" s="16"/>
    </row>
    <row r="121" spans="1:18" s="134" customFormat="1" x14ac:dyDescent="0.3">
      <c r="A121" s="131">
        <v>114</v>
      </c>
      <c r="B121" s="10" t="s">
        <v>201</v>
      </c>
      <c r="C121" s="131" t="s">
        <v>148</v>
      </c>
      <c r="D121" s="131" t="s">
        <v>192</v>
      </c>
      <c r="E121" s="128">
        <f>SUMIFS(XUẤT!P:P,XUẤT!N:N,CBCNV!B121,XUẤT!O:O,CBCNV!$E$2)</f>
        <v>10</v>
      </c>
      <c r="F121" s="133">
        <f t="shared" si="19"/>
        <v>980000</v>
      </c>
      <c r="G121" s="128">
        <f>SUMIFS(XUẤT!Q:Q,XUẤT!N:N,CBCNV!B121,XUẤT!O:O,CBCNV!$G$2)</f>
        <v>0</v>
      </c>
      <c r="H121" s="132">
        <f t="shared" si="20"/>
        <v>0</v>
      </c>
      <c r="I121" s="128">
        <f>SUMIFS(XUẤT!R:R,XUẤT!N:N,CBCNV!B121,XUẤT!O:O,CBCNV!$I$2)</f>
        <v>0</v>
      </c>
      <c r="J121" s="133">
        <f t="shared" si="21"/>
        <v>0</v>
      </c>
      <c r="K121" s="128">
        <f>SUMIFS(XUẤT!S:S,XUẤT!N:N,CBCNV!B121,XUẤT!O:O,CBCNV!$K$2)</f>
        <v>0</v>
      </c>
      <c r="L121" s="133">
        <f t="shared" si="22"/>
        <v>0</v>
      </c>
      <c r="M121" s="128">
        <f>SUMIFS(XUẤT!T:T,XUẤT!N:N,CBCNV!B121,XUẤT!O:O,CBCNV!$M$2)</f>
        <v>0</v>
      </c>
      <c r="N121" s="133">
        <f t="shared" si="23"/>
        <v>0</v>
      </c>
      <c r="O121" s="128">
        <f>SUMIFS(XUẤT!U:U,XUẤT!N:N,CBCNV!B121,XUẤT!O:O,CBCNV!$O$2)</f>
        <v>0</v>
      </c>
      <c r="P121" s="133">
        <f t="shared" si="24"/>
        <v>0</v>
      </c>
      <c r="Q121" s="30"/>
      <c r="R121" s="16"/>
    </row>
    <row r="122" spans="1:18" s="134" customFormat="1" x14ac:dyDescent="0.3">
      <c r="A122" s="131">
        <v>115</v>
      </c>
      <c r="B122" s="10" t="s">
        <v>202</v>
      </c>
      <c r="C122" s="131" t="s">
        <v>148</v>
      </c>
      <c r="D122" s="131" t="s">
        <v>192</v>
      </c>
      <c r="E122" s="128">
        <f>SUMIFS(XUẤT!P:P,XUẤT!N:N,CBCNV!B122,XUẤT!O:O,CBCNV!$E$2)</f>
        <v>0</v>
      </c>
      <c r="F122" s="133">
        <f t="shared" si="19"/>
        <v>0</v>
      </c>
      <c r="G122" s="128">
        <f>SUMIFS(XUẤT!Q:Q,XUẤT!N:N,CBCNV!B122,XUẤT!O:O,CBCNV!$G$2)</f>
        <v>0</v>
      </c>
      <c r="H122" s="132">
        <f t="shared" si="20"/>
        <v>0</v>
      </c>
      <c r="I122" s="128">
        <f>SUMIFS(XUẤT!R:R,XUẤT!N:N,CBCNV!B122,XUẤT!O:O,CBCNV!$I$2)</f>
        <v>0</v>
      </c>
      <c r="J122" s="133">
        <f t="shared" si="21"/>
        <v>0</v>
      </c>
      <c r="K122" s="128">
        <f>SUMIFS(XUẤT!S:S,XUẤT!N:N,CBCNV!B122,XUẤT!O:O,CBCNV!$K$2)</f>
        <v>0</v>
      </c>
      <c r="L122" s="133">
        <f t="shared" si="22"/>
        <v>0</v>
      </c>
      <c r="M122" s="128">
        <f>SUMIFS(XUẤT!T:T,XUẤT!N:N,CBCNV!B122,XUẤT!O:O,CBCNV!$M$2)</f>
        <v>0</v>
      </c>
      <c r="N122" s="133">
        <f t="shared" si="23"/>
        <v>0</v>
      </c>
      <c r="O122" s="128">
        <f>SUMIFS(XUẤT!U:U,XUẤT!N:N,CBCNV!B122,XUẤT!O:O,CBCNV!$O$2)</f>
        <v>0</v>
      </c>
      <c r="P122" s="133">
        <f t="shared" si="24"/>
        <v>0</v>
      </c>
      <c r="Q122" s="30"/>
      <c r="R122" s="16"/>
    </row>
    <row r="123" spans="1:18" s="134" customFormat="1" x14ac:dyDescent="0.3">
      <c r="A123" s="131">
        <v>116</v>
      </c>
      <c r="B123" s="10" t="s">
        <v>203</v>
      </c>
      <c r="C123" s="131" t="s">
        <v>148</v>
      </c>
      <c r="D123" s="131" t="s">
        <v>192</v>
      </c>
      <c r="E123" s="128">
        <f>SUMIFS(XUẤT!P:P,XUẤT!N:N,CBCNV!B123,XUẤT!O:O,CBCNV!$E$2)</f>
        <v>0</v>
      </c>
      <c r="F123" s="133">
        <f t="shared" si="19"/>
        <v>0</v>
      </c>
      <c r="G123" s="128">
        <f>SUMIFS(XUẤT!Q:Q,XUẤT!N:N,CBCNV!B123,XUẤT!O:O,CBCNV!$G$2)</f>
        <v>0</v>
      </c>
      <c r="H123" s="132">
        <f t="shared" si="20"/>
        <v>0</v>
      </c>
      <c r="I123" s="128">
        <f>SUMIFS(XUẤT!R:R,XUẤT!N:N,CBCNV!B123,XUẤT!O:O,CBCNV!$I$2)</f>
        <v>0</v>
      </c>
      <c r="J123" s="133">
        <f t="shared" si="21"/>
        <v>0</v>
      </c>
      <c r="K123" s="128">
        <f>SUMIFS(XUẤT!S:S,XUẤT!N:N,CBCNV!B123,XUẤT!O:O,CBCNV!$K$2)</f>
        <v>0</v>
      </c>
      <c r="L123" s="133">
        <f t="shared" si="22"/>
        <v>0</v>
      </c>
      <c r="M123" s="128">
        <f>SUMIFS(XUẤT!T:T,XUẤT!N:N,CBCNV!B123,XUẤT!O:O,CBCNV!$M$2)</f>
        <v>0</v>
      </c>
      <c r="N123" s="133">
        <f t="shared" si="23"/>
        <v>0</v>
      </c>
      <c r="O123" s="128">
        <f>SUMIFS(XUẤT!U:U,XUẤT!N:N,CBCNV!B123,XUẤT!O:O,CBCNV!$O$2)</f>
        <v>10</v>
      </c>
      <c r="P123" s="133">
        <f t="shared" si="24"/>
        <v>480000</v>
      </c>
      <c r="Q123" s="30"/>
      <c r="R123" s="16"/>
    </row>
    <row r="124" spans="1:18" s="134" customFormat="1" x14ac:dyDescent="0.3">
      <c r="A124" s="131">
        <v>117</v>
      </c>
      <c r="B124" s="10" t="s">
        <v>204</v>
      </c>
      <c r="C124" s="131" t="s">
        <v>148</v>
      </c>
      <c r="D124" s="131" t="s">
        <v>192</v>
      </c>
      <c r="E124" s="128">
        <f>SUMIFS(XUẤT!P:P,XUẤT!N:N,CBCNV!B124,XUẤT!O:O,CBCNV!$E$2)</f>
        <v>0</v>
      </c>
      <c r="F124" s="133">
        <f t="shared" si="19"/>
        <v>0</v>
      </c>
      <c r="G124" s="128">
        <f>SUMIFS(XUẤT!Q:Q,XUẤT!N:N,CBCNV!B124,XUẤT!O:O,CBCNV!$G$2)</f>
        <v>0</v>
      </c>
      <c r="H124" s="132">
        <f t="shared" si="20"/>
        <v>0</v>
      </c>
      <c r="I124" s="128">
        <f>SUMIFS(XUẤT!R:R,XUẤT!N:N,CBCNV!B124,XUẤT!O:O,CBCNV!$I$2)</f>
        <v>0</v>
      </c>
      <c r="J124" s="133">
        <f t="shared" si="21"/>
        <v>0</v>
      </c>
      <c r="K124" s="128">
        <f>SUMIFS(XUẤT!S:S,XUẤT!N:N,CBCNV!B124,XUẤT!O:O,CBCNV!$K$2)</f>
        <v>0</v>
      </c>
      <c r="L124" s="133">
        <f t="shared" si="22"/>
        <v>0</v>
      </c>
      <c r="M124" s="128">
        <f>SUMIFS(XUẤT!T:T,XUẤT!N:N,CBCNV!B124,XUẤT!O:O,CBCNV!$M$2)</f>
        <v>0</v>
      </c>
      <c r="N124" s="133">
        <f t="shared" si="23"/>
        <v>0</v>
      </c>
      <c r="O124" s="128">
        <f>SUMIFS(XUẤT!U:U,XUẤT!N:N,CBCNV!B124,XUẤT!O:O,CBCNV!$O$2)</f>
        <v>0</v>
      </c>
      <c r="P124" s="133">
        <f t="shared" si="24"/>
        <v>0</v>
      </c>
      <c r="Q124" s="30"/>
      <c r="R124" s="16"/>
    </row>
    <row r="125" spans="1:18" s="134" customFormat="1" x14ac:dyDescent="0.3">
      <c r="A125" s="131">
        <v>118</v>
      </c>
      <c r="B125" s="10" t="s">
        <v>205</v>
      </c>
      <c r="C125" s="131" t="s">
        <v>148</v>
      </c>
      <c r="D125" s="131" t="s">
        <v>192</v>
      </c>
      <c r="E125" s="128">
        <f>SUMIFS(XUẤT!P:P,XUẤT!N:N,CBCNV!B125,XUẤT!O:O,CBCNV!$E$2)</f>
        <v>10</v>
      </c>
      <c r="F125" s="133">
        <f t="shared" si="19"/>
        <v>980000</v>
      </c>
      <c r="G125" s="128">
        <f>SUMIFS(XUẤT!Q:Q,XUẤT!N:N,CBCNV!B125,XUẤT!O:O,CBCNV!$G$2)</f>
        <v>0</v>
      </c>
      <c r="H125" s="132">
        <f t="shared" si="20"/>
        <v>0</v>
      </c>
      <c r="I125" s="128">
        <f>SUMIFS(XUẤT!R:R,XUẤT!N:N,CBCNV!B125,XUẤT!O:O,CBCNV!$I$2)</f>
        <v>0</v>
      </c>
      <c r="J125" s="133">
        <f t="shared" si="21"/>
        <v>0</v>
      </c>
      <c r="K125" s="128">
        <f>SUMIFS(XUẤT!S:S,XUẤT!N:N,CBCNV!B125,XUẤT!O:O,CBCNV!$K$2)</f>
        <v>0</v>
      </c>
      <c r="L125" s="133">
        <f t="shared" si="22"/>
        <v>0</v>
      </c>
      <c r="M125" s="128">
        <f>SUMIFS(XUẤT!T:T,XUẤT!N:N,CBCNV!B125,XUẤT!O:O,CBCNV!$M$2)</f>
        <v>0</v>
      </c>
      <c r="N125" s="133">
        <f t="shared" si="23"/>
        <v>0</v>
      </c>
      <c r="O125" s="128">
        <f>SUMIFS(XUẤT!U:U,XUẤT!N:N,CBCNV!B125,XUẤT!O:O,CBCNV!$O$2)</f>
        <v>0</v>
      </c>
      <c r="P125" s="133">
        <f t="shared" si="24"/>
        <v>0</v>
      </c>
      <c r="Q125" s="30"/>
      <c r="R125" s="16"/>
    </row>
    <row r="126" spans="1:18" s="134" customFormat="1" x14ac:dyDescent="0.3">
      <c r="A126" s="131">
        <v>119</v>
      </c>
      <c r="B126" s="10" t="s">
        <v>206</v>
      </c>
      <c r="C126" s="131" t="s">
        <v>167</v>
      </c>
      <c r="D126" s="131" t="s">
        <v>192</v>
      </c>
      <c r="E126" s="128">
        <f>SUMIFS(XUẤT!P:P,XUẤT!N:N,CBCNV!B126,XUẤT!O:O,CBCNV!$E$2)</f>
        <v>0</v>
      </c>
      <c r="F126" s="133">
        <f t="shared" si="19"/>
        <v>0</v>
      </c>
      <c r="G126" s="128">
        <f>SUMIFS(XUẤT!Q:Q,XUẤT!N:N,CBCNV!B126,XUẤT!O:O,CBCNV!$G$2)</f>
        <v>0</v>
      </c>
      <c r="H126" s="132">
        <f t="shared" si="20"/>
        <v>0</v>
      </c>
      <c r="I126" s="128">
        <f>SUMIFS(XUẤT!R:R,XUẤT!N:N,CBCNV!B126,XUẤT!O:O,CBCNV!$I$2)</f>
        <v>0</v>
      </c>
      <c r="J126" s="133">
        <f t="shared" si="21"/>
        <v>0</v>
      </c>
      <c r="K126" s="128">
        <f>SUMIFS(XUẤT!S:S,XUẤT!N:N,CBCNV!B126,XUẤT!O:O,CBCNV!$K$2)</f>
        <v>0</v>
      </c>
      <c r="L126" s="133">
        <f t="shared" si="22"/>
        <v>0</v>
      </c>
      <c r="M126" s="128">
        <f>SUMIFS(XUẤT!T:T,XUẤT!N:N,CBCNV!B126,XUẤT!O:O,CBCNV!$M$2)</f>
        <v>0</v>
      </c>
      <c r="N126" s="133">
        <f t="shared" si="23"/>
        <v>0</v>
      </c>
      <c r="O126" s="128">
        <f>SUMIFS(XUẤT!U:U,XUẤT!N:N,CBCNV!B126,XUẤT!O:O,CBCNV!$O$2)</f>
        <v>0</v>
      </c>
      <c r="P126" s="133">
        <f t="shared" si="24"/>
        <v>0</v>
      </c>
      <c r="Q126" s="30"/>
      <c r="R126" s="16"/>
    </row>
    <row r="127" spans="1:18" s="134" customFormat="1" x14ac:dyDescent="0.3">
      <c r="A127" s="131">
        <v>120</v>
      </c>
      <c r="B127" s="10" t="s">
        <v>207</v>
      </c>
      <c r="C127" s="131" t="s">
        <v>163</v>
      </c>
      <c r="D127" s="131" t="s">
        <v>192</v>
      </c>
      <c r="E127" s="128">
        <f>SUMIFS(XUẤT!P:P,XUẤT!N:N,CBCNV!B127,XUẤT!O:O,CBCNV!$E$2)</f>
        <v>0</v>
      </c>
      <c r="F127" s="133">
        <f t="shared" si="19"/>
        <v>0</v>
      </c>
      <c r="G127" s="128">
        <f>SUMIFS(XUẤT!Q:Q,XUẤT!N:N,CBCNV!B127,XUẤT!O:O,CBCNV!$G$2)</f>
        <v>0</v>
      </c>
      <c r="H127" s="132">
        <f t="shared" si="20"/>
        <v>0</v>
      </c>
      <c r="I127" s="128">
        <f>SUMIFS(XUẤT!R:R,XUẤT!N:N,CBCNV!B127,XUẤT!O:O,CBCNV!$I$2)</f>
        <v>0</v>
      </c>
      <c r="J127" s="133">
        <f t="shared" si="21"/>
        <v>0</v>
      </c>
      <c r="K127" s="128">
        <f>SUMIFS(XUẤT!S:S,XUẤT!N:N,CBCNV!B127,XUẤT!O:O,CBCNV!$K$2)</f>
        <v>0</v>
      </c>
      <c r="L127" s="133">
        <f t="shared" si="22"/>
        <v>0</v>
      </c>
      <c r="M127" s="128">
        <f>SUMIFS(XUẤT!T:T,XUẤT!N:N,CBCNV!B127,XUẤT!O:O,CBCNV!$M$2)</f>
        <v>0</v>
      </c>
      <c r="N127" s="133">
        <f t="shared" si="23"/>
        <v>0</v>
      </c>
      <c r="O127" s="128">
        <f>SUMIFS(XUẤT!U:U,XUẤT!N:N,CBCNV!B127,XUẤT!O:O,CBCNV!$O$2)</f>
        <v>0</v>
      </c>
      <c r="P127" s="133">
        <f t="shared" si="24"/>
        <v>0</v>
      </c>
      <c r="Q127" s="30"/>
      <c r="R127" s="16"/>
    </row>
    <row r="128" spans="1:18" s="134" customFormat="1" x14ac:dyDescent="0.3">
      <c r="A128" s="131">
        <v>121</v>
      </c>
      <c r="B128" s="10" t="s">
        <v>208</v>
      </c>
      <c r="C128" s="131" t="s">
        <v>163</v>
      </c>
      <c r="D128" s="131" t="s">
        <v>192</v>
      </c>
      <c r="E128" s="128">
        <f>SUMIFS(XUẤT!P:P,XUẤT!N:N,CBCNV!B128,XUẤT!O:O,CBCNV!$E$2)</f>
        <v>0</v>
      </c>
      <c r="F128" s="133">
        <f t="shared" si="19"/>
        <v>0</v>
      </c>
      <c r="G128" s="128">
        <f>SUMIFS(XUẤT!Q:Q,XUẤT!N:N,CBCNV!B128,XUẤT!O:O,CBCNV!$G$2)</f>
        <v>0</v>
      </c>
      <c r="H128" s="132">
        <f t="shared" si="20"/>
        <v>0</v>
      </c>
      <c r="I128" s="128">
        <f>SUMIFS(XUẤT!R:R,XUẤT!N:N,CBCNV!B128,XUẤT!O:O,CBCNV!$I$2)</f>
        <v>0</v>
      </c>
      <c r="J128" s="133">
        <f t="shared" si="21"/>
        <v>0</v>
      </c>
      <c r="K128" s="128">
        <f>SUMIFS(XUẤT!S:S,XUẤT!N:N,CBCNV!B128,XUẤT!O:O,CBCNV!$K$2)</f>
        <v>0</v>
      </c>
      <c r="L128" s="133">
        <f t="shared" si="22"/>
        <v>0</v>
      </c>
      <c r="M128" s="128">
        <f>SUMIFS(XUẤT!T:T,XUẤT!N:N,CBCNV!B128,XUẤT!O:O,CBCNV!$M$2)</f>
        <v>0</v>
      </c>
      <c r="N128" s="133">
        <f t="shared" si="23"/>
        <v>0</v>
      </c>
      <c r="O128" s="128">
        <f>SUMIFS(XUẤT!U:U,XUẤT!N:N,CBCNV!B128,XUẤT!O:O,CBCNV!$O$2)</f>
        <v>0</v>
      </c>
      <c r="P128" s="133">
        <f t="shared" si="24"/>
        <v>0</v>
      </c>
      <c r="Q128" s="30"/>
      <c r="R128" s="16"/>
    </row>
    <row r="129" spans="1:20" s="134" customFormat="1" x14ac:dyDescent="0.3">
      <c r="A129" s="131">
        <v>122</v>
      </c>
      <c r="B129" s="10" t="s">
        <v>209</v>
      </c>
      <c r="C129" s="131" t="s">
        <v>167</v>
      </c>
      <c r="D129" s="131" t="s">
        <v>192</v>
      </c>
      <c r="E129" s="128">
        <f>SUMIFS(XUẤT!P:P,XUẤT!N:N,CBCNV!B129,XUẤT!O:O,CBCNV!$E$2)</f>
        <v>0</v>
      </c>
      <c r="F129" s="133">
        <f t="shared" si="19"/>
        <v>0</v>
      </c>
      <c r="G129" s="128">
        <f>SUMIFS(XUẤT!Q:Q,XUẤT!N:N,CBCNV!B129,XUẤT!O:O,CBCNV!$G$2)</f>
        <v>0</v>
      </c>
      <c r="H129" s="132">
        <f t="shared" si="20"/>
        <v>0</v>
      </c>
      <c r="I129" s="128">
        <f>SUMIFS(XUẤT!R:R,XUẤT!N:N,CBCNV!B129,XUẤT!O:O,CBCNV!$I$2)</f>
        <v>0</v>
      </c>
      <c r="J129" s="133">
        <f t="shared" si="21"/>
        <v>0</v>
      </c>
      <c r="K129" s="128">
        <f>SUMIFS(XUẤT!S:S,XUẤT!N:N,CBCNV!B129,XUẤT!O:O,CBCNV!$K$2)</f>
        <v>0</v>
      </c>
      <c r="L129" s="133">
        <f t="shared" si="22"/>
        <v>0</v>
      </c>
      <c r="M129" s="128">
        <f>SUMIFS(XUẤT!T:T,XUẤT!N:N,CBCNV!B129,XUẤT!O:O,CBCNV!$M$2)</f>
        <v>0</v>
      </c>
      <c r="N129" s="133">
        <f t="shared" si="23"/>
        <v>0</v>
      </c>
      <c r="O129" s="128">
        <f>SUMIFS(XUẤT!U:U,XUẤT!N:N,CBCNV!B129,XUẤT!O:O,CBCNV!$O$2)</f>
        <v>0</v>
      </c>
      <c r="P129" s="133">
        <f t="shared" si="24"/>
        <v>0</v>
      </c>
      <c r="Q129" s="30"/>
      <c r="R129" s="16"/>
    </row>
    <row r="130" spans="1:20" s="134" customFormat="1" x14ac:dyDescent="0.3">
      <c r="A130" s="131">
        <v>123</v>
      </c>
      <c r="B130" s="10" t="s">
        <v>210</v>
      </c>
      <c r="C130" s="131" t="s">
        <v>163</v>
      </c>
      <c r="D130" s="131" t="s">
        <v>192</v>
      </c>
      <c r="E130" s="128">
        <f>SUMIFS(XUẤT!P:P,XUẤT!N:N,CBCNV!B130,XUẤT!O:O,CBCNV!$E$2)</f>
        <v>0</v>
      </c>
      <c r="F130" s="133">
        <f t="shared" si="19"/>
        <v>0</v>
      </c>
      <c r="G130" s="128">
        <f>SUMIFS(XUẤT!Q:Q,XUẤT!N:N,CBCNV!B130,XUẤT!O:O,CBCNV!$G$2)</f>
        <v>0</v>
      </c>
      <c r="H130" s="132">
        <f t="shared" si="20"/>
        <v>0</v>
      </c>
      <c r="I130" s="128">
        <f>SUMIFS(XUẤT!R:R,XUẤT!N:N,CBCNV!B130,XUẤT!O:O,CBCNV!$I$2)</f>
        <v>0</v>
      </c>
      <c r="J130" s="133">
        <f t="shared" si="21"/>
        <v>0</v>
      </c>
      <c r="K130" s="128">
        <f>SUMIFS(XUẤT!S:S,XUẤT!N:N,CBCNV!B130,XUẤT!O:O,CBCNV!$K$2)</f>
        <v>0</v>
      </c>
      <c r="L130" s="133">
        <f t="shared" si="22"/>
        <v>0</v>
      </c>
      <c r="M130" s="128">
        <f>SUMIFS(XUẤT!T:T,XUẤT!N:N,CBCNV!B130,XUẤT!O:O,CBCNV!$M$2)</f>
        <v>0</v>
      </c>
      <c r="N130" s="133">
        <f t="shared" si="23"/>
        <v>0</v>
      </c>
      <c r="O130" s="128">
        <f>SUMIFS(XUẤT!U:U,XUẤT!N:N,CBCNV!B130,XUẤT!O:O,CBCNV!$O$2)</f>
        <v>0</v>
      </c>
      <c r="P130" s="133">
        <f t="shared" si="24"/>
        <v>0</v>
      </c>
      <c r="Q130" s="30"/>
      <c r="R130" s="16"/>
    </row>
    <row r="131" spans="1:20" s="134" customFormat="1" x14ac:dyDescent="0.3">
      <c r="A131" s="131">
        <v>124</v>
      </c>
      <c r="B131" s="10" t="s">
        <v>211</v>
      </c>
      <c r="C131" s="131" t="s">
        <v>167</v>
      </c>
      <c r="D131" s="131" t="s">
        <v>192</v>
      </c>
      <c r="E131" s="128">
        <f>SUMIFS(XUẤT!P:P,XUẤT!N:N,CBCNV!B131,XUẤT!O:O,CBCNV!$E$2)</f>
        <v>0</v>
      </c>
      <c r="F131" s="133">
        <f t="shared" si="19"/>
        <v>0</v>
      </c>
      <c r="G131" s="128">
        <f>SUMIFS(XUẤT!Q:Q,XUẤT!N:N,CBCNV!B131,XUẤT!O:O,CBCNV!$G$2)</f>
        <v>0</v>
      </c>
      <c r="H131" s="132">
        <f t="shared" si="20"/>
        <v>0</v>
      </c>
      <c r="I131" s="128">
        <f>SUMIFS(XUẤT!R:R,XUẤT!N:N,CBCNV!B131,XUẤT!O:O,CBCNV!$I$2)</f>
        <v>0</v>
      </c>
      <c r="J131" s="133">
        <f t="shared" si="21"/>
        <v>0</v>
      </c>
      <c r="K131" s="128">
        <f>SUMIFS(XUẤT!S:S,XUẤT!N:N,CBCNV!B131,XUẤT!O:O,CBCNV!$K$2)</f>
        <v>0</v>
      </c>
      <c r="L131" s="133">
        <f t="shared" si="22"/>
        <v>0</v>
      </c>
      <c r="M131" s="128">
        <f>SUMIFS(XUẤT!T:T,XUẤT!N:N,CBCNV!B131,XUẤT!O:O,CBCNV!$M$2)</f>
        <v>0</v>
      </c>
      <c r="N131" s="133">
        <f t="shared" si="23"/>
        <v>0</v>
      </c>
      <c r="O131" s="128">
        <f>SUMIFS(XUẤT!U:U,XUẤT!N:N,CBCNV!B131,XUẤT!O:O,CBCNV!$O$2)</f>
        <v>0</v>
      </c>
      <c r="P131" s="133">
        <f t="shared" si="24"/>
        <v>0</v>
      </c>
      <c r="Q131" s="30"/>
      <c r="R131" s="16"/>
    </row>
    <row r="132" spans="1:20" s="134" customFormat="1" x14ac:dyDescent="0.3">
      <c r="A132" s="131">
        <v>125</v>
      </c>
      <c r="B132" s="10" t="s">
        <v>212</v>
      </c>
      <c r="C132" s="131" t="s">
        <v>148</v>
      </c>
      <c r="D132" s="131" t="s">
        <v>192</v>
      </c>
      <c r="E132" s="128">
        <f>SUMIFS(XUẤT!P:P,XUẤT!N:N,CBCNV!B132,XUẤT!O:O,CBCNV!$E$2)</f>
        <v>0</v>
      </c>
      <c r="F132" s="133">
        <f t="shared" si="19"/>
        <v>0</v>
      </c>
      <c r="G132" s="128">
        <f>SUMIFS(XUẤT!Q:Q,XUẤT!N:N,CBCNV!B132,XUẤT!O:O,CBCNV!$G$2)</f>
        <v>20</v>
      </c>
      <c r="H132" s="132">
        <f t="shared" si="20"/>
        <v>1700000</v>
      </c>
      <c r="I132" s="128">
        <f>SUMIFS(XUẤT!R:R,XUẤT!N:N,CBCNV!B132,XUẤT!O:O,CBCNV!$I$2)</f>
        <v>0</v>
      </c>
      <c r="J132" s="133">
        <f t="shared" si="21"/>
        <v>0</v>
      </c>
      <c r="K132" s="128">
        <f>SUMIFS(XUẤT!S:S,XUẤT!N:N,CBCNV!B132,XUẤT!O:O,CBCNV!$K$2)</f>
        <v>0</v>
      </c>
      <c r="L132" s="133">
        <f t="shared" si="22"/>
        <v>0</v>
      </c>
      <c r="M132" s="128">
        <f>SUMIFS(XUẤT!T:T,XUẤT!N:N,CBCNV!B132,XUẤT!O:O,CBCNV!$M$2)</f>
        <v>0</v>
      </c>
      <c r="N132" s="133">
        <f t="shared" si="23"/>
        <v>0</v>
      </c>
      <c r="O132" s="128">
        <f>SUMIFS(XUẤT!U:U,XUẤT!N:N,CBCNV!B132,XUẤT!O:O,CBCNV!$O$2)</f>
        <v>0</v>
      </c>
      <c r="P132" s="133">
        <f t="shared" si="24"/>
        <v>0</v>
      </c>
      <c r="Q132" s="30"/>
      <c r="R132" s="16"/>
    </row>
    <row r="133" spans="1:20" s="130" customFormat="1" x14ac:dyDescent="0.3">
      <c r="A133" s="131">
        <v>126</v>
      </c>
      <c r="B133" s="10" t="s">
        <v>213</v>
      </c>
      <c r="C133" s="131" t="s">
        <v>148</v>
      </c>
      <c r="D133" s="131" t="s">
        <v>192</v>
      </c>
      <c r="E133" s="128">
        <f>SUMIFS(XUẤT!P:P,XUẤT!N:N,CBCNV!B133,XUẤT!O:O,CBCNV!$E$2)</f>
        <v>0</v>
      </c>
      <c r="F133" s="133">
        <f t="shared" si="19"/>
        <v>0</v>
      </c>
      <c r="G133" s="128">
        <f>SUMIFS(XUẤT!Q:Q,XUẤT!N:N,CBCNV!B133,XUẤT!O:O,CBCNV!$G$2)</f>
        <v>0</v>
      </c>
      <c r="H133" s="132">
        <f t="shared" si="20"/>
        <v>0</v>
      </c>
      <c r="I133" s="128">
        <f>SUMIFS(XUẤT!R:R,XUẤT!N:N,CBCNV!B133,XUẤT!O:O,CBCNV!$I$2)</f>
        <v>0</v>
      </c>
      <c r="J133" s="133">
        <f t="shared" si="21"/>
        <v>0</v>
      </c>
      <c r="K133" s="128">
        <f>SUMIFS(XUẤT!S:S,XUẤT!N:N,CBCNV!B133,XUẤT!O:O,CBCNV!$K$2)</f>
        <v>0</v>
      </c>
      <c r="L133" s="133">
        <f t="shared" si="22"/>
        <v>0</v>
      </c>
      <c r="M133" s="128">
        <f>SUMIFS(XUẤT!T:T,XUẤT!N:N,CBCNV!B133,XUẤT!O:O,CBCNV!$M$2)</f>
        <v>0</v>
      </c>
      <c r="N133" s="133">
        <f t="shared" si="23"/>
        <v>0</v>
      </c>
      <c r="O133" s="128">
        <f>SUMIFS(XUẤT!U:U,XUẤT!N:N,CBCNV!B133,XUẤT!O:O,CBCNV!$O$2)</f>
        <v>0</v>
      </c>
      <c r="P133" s="133">
        <f t="shared" si="24"/>
        <v>0</v>
      </c>
      <c r="Q133" s="30"/>
      <c r="R133" s="16"/>
      <c r="S133" s="134"/>
      <c r="T133" s="134"/>
    </row>
    <row r="134" spans="1:20" s="134" customFormat="1" x14ac:dyDescent="0.3">
      <c r="A134" s="131">
        <v>127</v>
      </c>
      <c r="B134" s="10" t="s">
        <v>214</v>
      </c>
      <c r="C134" s="131" t="s">
        <v>148</v>
      </c>
      <c r="D134" s="131" t="s">
        <v>192</v>
      </c>
      <c r="E134" s="128">
        <f>SUMIFS(XUẤT!P:P,XUẤT!N:N,CBCNV!B134,XUẤT!O:O,CBCNV!$E$2)</f>
        <v>0</v>
      </c>
      <c r="F134" s="133">
        <f t="shared" si="19"/>
        <v>0</v>
      </c>
      <c r="G134" s="128">
        <f>SUMIFS(XUẤT!Q:Q,XUẤT!N:N,CBCNV!B134,XUẤT!O:O,CBCNV!$G$2)</f>
        <v>0</v>
      </c>
      <c r="H134" s="132">
        <f t="shared" si="20"/>
        <v>0</v>
      </c>
      <c r="I134" s="128">
        <f>SUMIFS(XUẤT!R:R,XUẤT!N:N,CBCNV!B134,XUẤT!O:O,CBCNV!$I$2)</f>
        <v>0</v>
      </c>
      <c r="J134" s="133">
        <f t="shared" si="21"/>
        <v>0</v>
      </c>
      <c r="K134" s="128">
        <f>SUMIFS(XUẤT!S:S,XUẤT!N:N,CBCNV!B134,XUẤT!O:O,CBCNV!$K$2)</f>
        <v>0</v>
      </c>
      <c r="L134" s="133">
        <f t="shared" si="22"/>
        <v>0</v>
      </c>
      <c r="M134" s="128">
        <f>SUMIFS(XUẤT!T:T,XUẤT!N:N,CBCNV!B134,XUẤT!O:O,CBCNV!$M$2)</f>
        <v>0</v>
      </c>
      <c r="N134" s="133">
        <f t="shared" si="23"/>
        <v>0</v>
      </c>
      <c r="O134" s="128">
        <f>SUMIFS(XUẤT!U:U,XUẤT!N:N,CBCNV!B134,XUẤT!O:O,CBCNV!$O$2)</f>
        <v>0</v>
      </c>
      <c r="P134" s="133">
        <f t="shared" si="24"/>
        <v>0</v>
      </c>
      <c r="Q134" s="30"/>
      <c r="R134" s="16"/>
    </row>
    <row r="135" spans="1:20" s="134" customFormat="1" x14ac:dyDescent="0.3">
      <c r="A135" s="131">
        <v>128</v>
      </c>
      <c r="B135" s="136" t="s">
        <v>215</v>
      </c>
      <c r="C135" s="131" t="s">
        <v>148</v>
      </c>
      <c r="D135" s="131" t="s">
        <v>192</v>
      </c>
      <c r="E135" s="128">
        <f>SUMIFS(XUẤT!P:P,XUẤT!N:N,CBCNV!B135,XUẤT!O:O,CBCNV!$E$2)</f>
        <v>0</v>
      </c>
      <c r="F135" s="133">
        <f t="shared" ref="F135:F166" si="25">E135*$T$10</f>
        <v>0</v>
      </c>
      <c r="G135" s="128">
        <f>SUMIFS(XUẤT!Q:Q,XUẤT!N:N,CBCNV!B135,XUẤT!O:O,CBCNV!$G$2)</f>
        <v>0</v>
      </c>
      <c r="H135" s="132">
        <f t="shared" ref="H135:H166" si="26">G135*$T$8</f>
        <v>0</v>
      </c>
      <c r="I135" s="128">
        <f>SUMIFS(XUẤT!R:R,XUẤT!N:N,CBCNV!B135,XUẤT!O:O,CBCNV!$I$2)</f>
        <v>0</v>
      </c>
      <c r="J135" s="133">
        <f t="shared" ref="J135:J166" si="27">I135*$T$9</f>
        <v>0</v>
      </c>
      <c r="K135" s="128">
        <f>SUMIFS(XUẤT!S:S,XUẤT!N:N,CBCNV!B135,XUẤT!O:O,CBCNV!$K$2)</f>
        <v>0</v>
      </c>
      <c r="L135" s="133">
        <f t="shared" ref="L135:L166" si="28">K135*$T$11</f>
        <v>0</v>
      </c>
      <c r="M135" s="128">
        <f>SUMIFS(XUẤT!T:T,XUẤT!N:N,CBCNV!B135,XUẤT!O:O,CBCNV!$M$2)</f>
        <v>0</v>
      </c>
      <c r="N135" s="133">
        <f t="shared" ref="N135:N166" si="29">M135*$T$12</f>
        <v>0</v>
      </c>
      <c r="O135" s="128">
        <f>SUMIFS(XUẤT!U:U,XUẤT!N:N,CBCNV!B135,XUẤT!O:O,CBCNV!$O$2)</f>
        <v>0</v>
      </c>
      <c r="P135" s="133">
        <f t="shared" ref="P135:P166" si="30">O135*$T$13</f>
        <v>0</v>
      </c>
      <c r="Q135" s="30"/>
      <c r="R135" s="16"/>
    </row>
    <row r="136" spans="1:20" s="134" customFormat="1" x14ac:dyDescent="0.3">
      <c r="A136" s="131">
        <v>129</v>
      </c>
      <c r="B136" s="32" t="s">
        <v>44</v>
      </c>
      <c r="C136" s="135" t="s">
        <v>131</v>
      </c>
      <c r="D136" s="135" t="s">
        <v>216</v>
      </c>
      <c r="E136" s="128">
        <f>SUMIFS(XUẤT!P:P,XUẤT!N:N,CBCNV!B136,XUẤT!O:O,CBCNV!$E$2)</f>
        <v>0</v>
      </c>
      <c r="F136" s="133">
        <f t="shared" si="25"/>
        <v>0</v>
      </c>
      <c r="G136" s="128">
        <f>SUMIFS(XUẤT!Q:Q,XUẤT!N:N,CBCNV!B136,XUẤT!O:O,CBCNV!$G$2)</f>
        <v>0</v>
      </c>
      <c r="H136" s="132">
        <f t="shared" si="26"/>
        <v>0</v>
      </c>
      <c r="I136" s="128">
        <f>SUMIFS(XUẤT!R:R,XUẤT!N:N,CBCNV!B136,XUẤT!O:O,CBCNV!$I$2)</f>
        <v>0</v>
      </c>
      <c r="J136" s="133">
        <f t="shared" si="27"/>
        <v>0</v>
      </c>
      <c r="K136" s="128">
        <f>SUMIFS(XUẤT!S:S,XUẤT!N:N,CBCNV!B136,XUẤT!O:O,CBCNV!$K$2)</f>
        <v>0</v>
      </c>
      <c r="L136" s="133">
        <f t="shared" si="28"/>
        <v>0</v>
      </c>
      <c r="M136" s="128">
        <f>SUMIFS(XUẤT!T:T,XUẤT!N:N,CBCNV!B136,XUẤT!O:O,CBCNV!$M$2)</f>
        <v>0</v>
      </c>
      <c r="N136" s="133">
        <f t="shared" si="29"/>
        <v>0</v>
      </c>
      <c r="O136" s="128">
        <f>SUMIFS(XUẤT!U:U,XUẤT!N:N,CBCNV!B136,XUẤT!O:O,CBCNV!$O$2)</f>
        <v>0</v>
      </c>
      <c r="P136" s="133">
        <f t="shared" si="30"/>
        <v>0</v>
      </c>
      <c r="Q136" s="30"/>
      <c r="R136" s="19"/>
      <c r="S136" s="130"/>
      <c r="T136" s="130"/>
    </row>
    <row r="137" spans="1:20" s="134" customFormat="1" x14ac:dyDescent="0.3">
      <c r="A137" s="131">
        <v>130</v>
      </c>
      <c r="B137" s="10" t="s">
        <v>217</v>
      </c>
      <c r="C137" s="131" t="s">
        <v>134</v>
      </c>
      <c r="D137" s="131" t="s">
        <v>216</v>
      </c>
      <c r="E137" s="128">
        <f>SUMIFS(XUẤT!P:P,XUẤT!N:N,CBCNV!B137,XUẤT!O:O,CBCNV!$E$2)</f>
        <v>0</v>
      </c>
      <c r="F137" s="133">
        <f t="shared" si="25"/>
        <v>0</v>
      </c>
      <c r="G137" s="128">
        <f>SUMIFS(XUẤT!Q:Q,XUẤT!N:N,CBCNV!B137,XUẤT!O:O,CBCNV!$G$2)</f>
        <v>0</v>
      </c>
      <c r="H137" s="132">
        <f t="shared" si="26"/>
        <v>0</v>
      </c>
      <c r="I137" s="128">
        <f>SUMIFS(XUẤT!R:R,XUẤT!N:N,CBCNV!B137,XUẤT!O:O,CBCNV!$I$2)</f>
        <v>0</v>
      </c>
      <c r="J137" s="133">
        <f t="shared" si="27"/>
        <v>0</v>
      </c>
      <c r="K137" s="128">
        <f>SUMIFS(XUẤT!S:S,XUẤT!N:N,CBCNV!B137,XUẤT!O:O,CBCNV!$K$2)</f>
        <v>0</v>
      </c>
      <c r="L137" s="133">
        <f t="shared" si="28"/>
        <v>0</v>
      </c>
      <c r="M137" s="128">
        <f>SUMIFS(XUẤT!T:T,XUẤT!N:N,CBCNV!B137,XUẤT!O:O,CBCNV!$M$2)</f>
        <v>0</v>
      </c>
      <c r="N137" s="133">
        <f t="shared" si="29"/>
        <v>0</v>
      </c>
      <c r="O137" s="128">
        <f>SUMIFS(XUẤT!U:U,XUẤT!N:N,CBCNV!B137,XUẤT!O:O,CBCNV!$O$2)</f>
        <v>0</v>
      </c>
      <c r="P137" s="133">
        <f t="shared" si="30"/>
        <v>0</v>
      </c>
      <c r="Q137" s="30"/>
      <c r="R137" s="16"/>
    </row>
    <row r="138" spans="1:20" s="134" customFormat="1" x14ac:dyDescent="0.3">
      <c r="A138" s="131">
        <v>131</v>
      </c>
      <c r="B138" s="10" t="s">
        <v>218</v>
      </c>
      <c r="C138" s="131" t="s">
        <v>134</v>
      </c>
      <c r="D138" s="131" t="s">
        <v>216</v>
      </c>
      <c r="E138" s="128">
        <f>SUMIFS(XUẤT!P:P,XUẤT!N:N,CBCNV!B138,XUẤT!O:O,CBCNV!$E$2)</f>
        <v>0</v>
      </c>
      <c r="F138" s="133">
        <f t="shared" si="25"/>
        <v>0</v>
      </c>
      <c r="G138" s="128">
        <f>SUMIFS(XUẤT!Q:Q,XUẤT!N:N,CBCNV!B138,XUẤT!O:O,CBCNV!$G$2)</f>
        <v>0</v>
      </c>
      <c r="H138" s="132">
        <f t="shared" si="26"/>
        <v>0</v>
      </c>
      <c r="I138" s="128">
        <f>SUMIFS(XUẤT!R:R,XUẤT!N:N,CBCNV!B138,XUẤT!O:O,CBCNV!$I$2)</f>
        <v>0</v>
      </c>
      <c r="J138" s="133">
        <f t="shared" si="27"/>
        <v>0</v>
      </c>
      <c r="K138" s="128">
        <f>SUMIFS(XUẤT!S:S,XUẤT!N:N,CBCNV!B138,XUẤT!O:O,CBCNV!$K$2)</f>
        <v>0</v>
      </c>
      <c r="L138" s="133">
        <f t="shared" si="28"/>
        <v>0</v>
      </c>
      <c r="M138" s="128">
        <f>SUMIFS(XUẤT!T:T,XUẤT!N:N,CBCNV!B138,XUẤT!O:O,CBCNV!$M$2)</f>
        <v>0</v>
      </c>
      <c r="N138" s="133">
        <f t="shared" si="29"/>
        <v>0</v>
      </c>
      <c r="O138" s="128">
        <f>SUMIFS(XUẤT!U:U,XUẤT!N:N,CBCNV!B138,XUẤT!O:O,CBCNV!$O$2)</f>
        <v>0</v>
      </c>
      <c r="P138" s="133">
        <f t="shared" si="30"/>
        <v>0</v>
      </c>
      <c r="Q138" s="30"/>
      <c r="R138" s="16"/>
    </row>
    <row r="139" spans="1:20" s="134" customFormat="1" x14ac:dyDescent="0.3">
      <c r="A139" s="131">
        <v>132</v>
      </c>
      <c r="B139" s="10" t="s">
        <v>219</v>
      </c>
      <c r="C139" s="131" t="s">
        <v>134</v>
      </c>
      <c r="D139" s="131" t="s">
        <v>216</v>
      </c>
      <c r="E139" s="128">
        <f>SUMIFS(XUẤT!P:P,XUẤT!N:N,CBCNV!B139,XUẤT!O:O,CBCNV!$E$2)</f>
        <v>0</v>
      </c>
      <c r="F139" s="133">
        <f t="shared" si="25"/>
        <v>0</v>
      </c>
      <c r="G139" s="128">
        <f>SUMIFS(XUẤT!Q:Q,XUẤT!N:N,CBCNV!B139,XUẤT!O:O,CBCNV!$G$2)</f>
        <v>0</v>
      </c>
      <c r="H139" s="132">
        <f t="shared" si="26"/>
        <v>0</v>
      </c>
      <c r="I139" s="128">
        <f>SUMIFS(XUẤT!R:R,XUẤT!N:N,CBCNV!B139,XUẤT!O:O,CBCNV!$I$2)</f>
        <v>0</v>
      </c>
      <c r="J139" s="133">
        <f t="shared" si="27"/>
        <v>0</v>
      </c>
      <c r="K139" s="128">
        <f>SUMIFS(XUẤT!S:S,XUẤT!N:N,CBCNV!B139,XUẤT!O:O,CBCNV!$K$2)</f>
        <v>0</v>
      </c>
      <c r="L139" s="133">
        <f t="shared" si="28"/>
        <v>0</v>
      </c>
      <c r="M139" s="128">
        <f>SUMIFS(XUẤT!T:T,XUẤT!N:N,CBCNV!B139,XUẤT!O:O,CBCNV!$M$2)</f>
        <v>0</v>
      </c>
      <c r="N139" s="133">
        <f t="shared" si="29"/>
        <v>0</v>
      </c>
      <c r="O139" s="128">
        <f>SUMIFS(XUẤT!U:U,XUẤT!N:N,CBCNV!B139,XUẤT!O:O,CBCNV!$O$2)</f>
        <v>0</v>
      </c>
      <c r="P139" s="133">
        <f t="shared" si="30"/>
        <v>0</v>
      </c>
      <c r="Q139" s="30"/>
      <c r="R139" s="16"/>
    </row>
    <row r="140" spans="1:20" s="134" customFormat="1" x14ac:dyDescent="0.3">
      <c r="A140" s="131">
        <v>133</v>
      </c>
      <c r="B140" s="10" t="s">
        <v>220</v>
      </c>
      <c r="C140" s="131" t="s">
        <v>79</v>
      </c>
      <c r="D140" s="131" t="s">
        <v>216</v>
      </c>
      <c r="E140" s="128">
        <f>SUMIFS(XUẤT!P:P,XUẤT!N:N,CBCNV!B140,XUẤT!O:O,CBCNV!$E$2)</f>
        <v>0</v>
      </c>
      <c r="F140" s="133">
        <f t="shared" si="25"/>
        <v>0</v>
      </c>
      <c r="G140" s="128">
        <f>SUMIFS(XUẤT!Q:Q,XUẤT!N:N,CBCNV!B140,XUẤT!O:O,CBCNV!$G$2)</f>
        <v>0</v>
      </c>
      <c r="H140" s="132">
        <f t="shared" si="26"/>
        <v>0</v>
      </c>
      <c r="I140" s="128">
        <f>SUMIFS(XUẤT!R:R,XUẤT!N:N,CBCNV!B140,XUẤT!O:O,CBCNV!$I$2)</f>
        <v>0</v>
      </c>
      <c r="J140" s="133">
        <f t="shared" si="27"/>
        <v>0</v>
      </c>
      <c r="K140" s="128">
        <f>SUMIFS(XUẤT!S:S,XUẤT!N:N,CBCNV!B140,XUẤT!O:O,CBCNV!$K$2)</f>
        <v>0</v>
      </c>
      <c r="L140" s="133">
        <f t="shared" si="28"/>
        <v>0</v>
      </c>
      <c r="M140" s="128">
        <f>SUMIFS(XUẤT!T:T,XUẤT!N:N,CBCNV!B140,XUẤT!O:O,CBCNV!$M$2)</f>
        <v>1</v>
      </c>
      <c r="N140" s="133">
        <f t="shared" si="29"/>
        <v>52000</v>
      </c>
      <c r="O140" s="128">
        <f>SUMIFS(XUẤT!U:U,XUẤT!N:N,CBCNV!B140,XUẤT!O:O,CBCNV!$O$2)</f>
        <v>0</v>
      </c>
      <c r="P140" s="133">
        <f t="shared" si="30"/>
        <v>0</v>
      </c>
      <c r="Q140" s="30"/>
      <c r="R140" s="16"/>
    </row>
    <row r="141" spans="1:20" s="134" customFormat="1" x14ac:dyDescent="0.3">
      <c r="A141" s="131">
        <v>134</v>
      </c>
      <c r="B141" s="10" t="s">
        <v>221</v>
      </c>
      <c r="C141" s="131" t="s">
        <v>79</v>
      </c>
      <c r="D141" s="131" t="s">
        <v>216</v>
      </c>
      <c r="E141" s="128">
        <f>SUMIFS(XUẤT!P:P,XUẤT!N:N,CBCNV!B141,XUẤT!O:O,CBCNV!$E$2)</f>
        <v>0</v>
      </c>
      <c r="F141" s="133">
        <f t="shared" si="25"/>
        <v>0</v>
      </c>
      <c r="G141" s="128">
        <f>SUMIFS(XUẤT!Q:Q,XUẤT!N:N,CBCNV!B141,XUẤT!O:O,CBCNV!$G$2)</f>
        <v>0</v>
      </c>
      <c r="H141" s="132">
        <f t="shared" si="26"/>
        <v>0</v>
      </c>
      <c r="I141" s="128">
        <f>SUMIFS(XUẤT!R:R,XUẤT!N:N,CBCNV!B141,XUẤT!O:O,CBCNV!$I$2)</f>
        <v>0</v>
      </c>
      <c r="J141" s="133">
        <f t="shared" si="27"/>
        <v>0</v>
      </c>
      <c r="K141" s="128">
        <f>SUMIFS(XUẤT!S:S,XUẤT!N:N,CBCNV!B141,XUẤT!O:O,CBCNV!$K$2)</f>
        <v>0</v>
      </c>
      <c r="L141" s="133">
        <f t="shared" si="28"/>
        <v>0</v>
      </c>
      <c r="M141" s="128">
        <f>SUMIFS(XUẤT!T:T,XUẤT!N:N,CBCNV!B141,XUẤT!O:O,CBCNV!$M$2)</f>
        <v>0</v>
      </c>
      <c r="N141" s="133">
        <f t="shared" si="29"/>
        <v>0</v>
      </c>
      <c r="O141" s="128">
        <f>SUMIFS(XUẤT!U:U,XUẤT!N:N,CBCNV!B141,XUẤT!O:O,CBCNV!$O$2)</f>
        <v>0</v>
      </c>
      <c r="P141" s="133">
        <f t="shared" si="30"/>
        <v>0</v>
      </c>
      <c r="Q141" s="30"/>
      <c r="R141" s="16"/>
    </row>
    <row r="142" spans="1:20" s="134" customFormat="1" x14ac:dyDescent="0.3">
      <c r="A142" s="131">
        <v>135</v>
      </c>
      <c r="B142" s="10" t="s">
        <v>222</v>
      </c>
      <c r="C142" s="131" t="s">
        <v>79</v>
      </c>
      <c r="D142" s="131" t="s">
        <v>216</v>
      </c>
      <c r="E142" s="128">
        <f>SUMIFS(XUẤT!P:P,XUẤT!N:N,CBCNV!B142,XUẤT!O:O,CBCNV!$E$2)</f>
        <v>0</v>
      </c>
      <c r="F142" s="133">
        <f t="shared" si="25"/>
        <v>0</v>
      </c>
      <c r="G142" s="128">
        <f>SUMIFS(XUẤT!Q:Q,XUẤT!N:N,CBCNV!B142,XUẤT!O:O,CBCNV!$G$2)</f>
        <v>0</v>
      </c>
      <c r="H142" s="132">
        <f t="shared" si="26"/>
        <v>0</v>
      </c>
      <c r="I142" s="128">
        <f>SUMIFS(XUẤT!R:R,XUẤT!N:N,CBCNV!B142,XUẤT!O:O,CBCNV!$I$2)</f>
        <v>0</v>
      </c>
      <c r="J142" s="133">
        <f t="shared" si="27"/>
        <v>0</v>
      </c>
      <c r="K142" s="128">
        <f>SUMIFS(XUẤT!S:S,XUẤT!N:N,CBCNV!B142,XUẤT!O:O,CBCNV!$K$2)</f>
        <v>0</v>
      </c>
      <c r="L142" s="133">
        <f t="shared" si="28"/>
        <v>0</v>
      </c>
      <c r="M142" s="128">
        <f>SUMIFS(XUẤT!T:T,XUẤT!N:N,CBCNV!B142,XUẤT!O:O,CBCNV!$M$2)</f>
        <v>0</v>
      </c>
      <c r="N142" s="133">
        <f t="shared" si="29"/>
        <v>0</v>
      </c>
      <c r="O142" s="128">
        <f>SUMIFS(XUẤT!U:U,XUẤT!N:N,CBCNV!B142,XUẤT!O:O,CBCNV!$O$2)</f>
        <v>0</v>
      </c>
      <c r="P142" s="133">
        <f t="shared" si="30"/>
        <v>0</v>
      </c>
      <c r="Q142" s="30"/>
      <c r="R142" s="16"/>
    </row>
    <row r="143" spans="1:20" s="134" customFormat="1" x14ac:dyDescent="0.3">
      <c r="A143" s="131">
        <v>136</v>
      </c>
      <c r="B143" s="10" t="s">
        <v>223</v>
      </c>
      <c r="C143" s="131" t="s">
        <v>79</v>
      </c>
      <c r="D143" s="131" t="s">
        <v>216</v>
      </c>
      <c r="E143" s="128">
        <f>SUMIFS(XUẤT!P:P,XUẤT!N:N,CBCNV!B143,XUẤT!O:O,CBCNV!$E$2)</f>
        <v>0</v>
      </c>
      <c r="F143" s="133">
        <f t="shared" si="25"/>
        <v>0</v>
      </c>
      <c r="G143" s="128">
        <f>SUMIFS(XUẤT!Q:Q,XUẤT!N:N,CBCNV!B143,XUẤT!O:O,CBCNV!$G$2)</f>
        <v>0</v>
      </c>
      <c r="H143" s="132">
        <f t="shared" si="26"/>
        <v>0</v>
      </c>
      <c r="I143" s="128">
        <f>SUMIFS(XUẤT!R:R,XUẤT!N:N,CBCNV!B143,XUẤT!O:O,CBCNV!$I$2)</f>
        <v>0</v>
      </c>
      <c r="J143" s="133">
        <f t="shared" si="27"/>
        <v>0</v>
      </c>
      <c r="K143" s="128">
        <f>SUMIFS(XUẤT!S:S,XUẤT!N:N,CBCNV!B143,XUẤT!O:O,CBCNV!$K$2)</f>
        <v>0</v>
      </c>
      <c r="L143" s="133">
        <f t="shared" si="28"/>
        <v>0</v>
      </c>
      <c r="M143" s="128">
        <f>SUMIFS(XUẤT!T:T,XUẤT!N:N,CBCNV!B143,XUẤT!O:O,CBCNV!$M$2)</f>
        <v>0</v>
      </c>
      <c r="N143" s="133">
        <f t="shared" si="29"/>
        <v>0</v>
      </c>
      <c r="O143" s="128">
        <f>SUMIFS(XUẤT!U:U,XUẤT!N:N,CBCNV!B143,XUẤT!O:O,CBCNV!$O$2)</f>
        <v>0</v>
      </c>
      <c r="P143" s="133">
        <f t="shared" si="30"/>
        <v>0</v>
      </c>
      <c r="Q143" s="30"/>
      <c r="R143" s="16"/>
    </row>
    <row r="144" spans="1:20" s="134" customFormat="1" x14ac:dyDescent="0.3">
      <c r="A144" s="131">
        <v>137</v>
      </c>
      <c r="B144" s="10" t="s">
        <v>224</v>
      </c>
      <c r="C144" s="131" t="s">
        <v>79</v>
      </c>
      <c r="D144" s="131" t="s">
        <v>216</v>
      </c>
      <c r="E144" s="128">
        <f>SUMIFS(XUẤT!P:P,XUẤT!N:N,CBCNV!B144,XUẤT!O:O,CBCNV!$E$2)</f>
        <v>0</v>
      </c>
      <c r="F144" s="133">
        <f t="shared" si="25"/>
        <v>0</v>
      </c>
      <c r="G144" s="128">
        <f>SUMIFS(XUẤT!Q:Q,XUẤT!N:N,CBCNV!B144,XUẤT!O:O,CBCNV!$G$2)</f>
        <v>0</v>
      </c>
      <c r="H144" s="132">
        <f t="shared" si="26"/>
        <v>0</v>
      </c>
      <c r="I144" s="128">
        <f>SUMIFS(XUẤT!R:R,XUẤT!N:N,CBCNV!B144,XUẤT!O:O,CBCNV!$I$2)</f>
        <v>0</v>
      </c>
      <c r="J144" s="133">
        <f t="shared" si="27"/>
        <v>0</v>
      </c>
      <c r="K144" s="128">
        <f>SUMIFS(XUẤT!S:S,XUẤT!N:N,CBCNV!B144,XUẤT!O:O,CBCNV!$K$2)</f>
        <v>0</v>
      </c>
      <c r="L144" s="133">
        <f t="shared" si="28"/>
        <v>0</v>
      </c>
      <c r="M144" s="128">
        <f>SUMIFS(XUẤT!T:T,XUẤT!N:N,CBCNV!B144,XUẤT!O:O,CBCNV!$M$2)</f>
        <v>0</v>
      </c>
      <c r="N144" s="133">
        <f t="shared" si="29"/>
        <v>0</v>
      </c>
      <c r="O144" s="128">
        <f>SUMIFS(XUẤT!U:U,XUẤT!N:N,CBCNV!B144,XUẤT!O:O,CBCNV!$O$2)</f>
        <v>0</v>
      </c>
      <c r="P144" s="133">
        <f t="shared" si="30"/>
        <v>0</v>
      </c>
      <c r="Q144" s="30"/>
      <c r="R144" s="16"/>
    </row>
    <row r="145" spans="1:20" s="134" customFormat="1" x14ac:dyDescent="0.3">
      <c r="A145" s="131">
        <v>138</v>
      </c>
      <c r="B145" s="10" t="s">
        <v>225</v>
      </c>
      <c r="C145" s="131" t="s">
        <v>148</v>
      </c>
      <c r="D145" s="131" t="s">
        <v>216</v>
      </c>
      <c r="E145" s="128">
        <f>SUMIFS(XUẤT!P:P,XUẤT!N:N,CBCNV!B145,XUẤT!O:O,CBCNV!$E$2)</f>
        <v>0</v>
      </c>
      <c r="F145" s="133">
        <f t="shared" si="25"/>
        <v>0</v>
      </c>
      <c r="G145" s="128">
        <f>SUMIFS(XUẤT!Q:Q,XUẤT!N:N,CBCNV!B145,XUẤT!O:O,CBCNV!$G$2)</f>
        <v>0</v>
      </c>
      <c r="H145" s="132">
        <f t="shared" si="26"/>
        <v>0</v>
      </c>
      <c r="I145" s="128">
        <f>SUMIFS(XUẤT!R:R,XUẤT!N:N,CBCNV!B145,XUẤT!O:O,CBCNV!$I$2)</f>
        <v>0</v>
      </c>
      <c r="J145" s="133">
        <f t="shared" si="27"/>
        <v>0</v>
      </c>
      <c r="K145" s="128">
        <f>SUMIFS(XUẤT!S:S,XUẤT!N:N,CBCNV!B145,XUẤT!O:O,CBCNV!$K$2)</f>
        <v>0</v>
      </c>
      <c r="L145" s="133">
        <f t="shared" si="28"/>
        <v>0</v>
      </c>
      <c r="M145" s="128">
        <f>SUMIFS(XUẤT!T:T,XUẤT!N:N,CBCNV!B145,XUẤT!O:O,CBCNV!$M$2)</f>
        <v>0</v>
      </c>
      <c r="N145" s="133">
        <f t="shared" si="29"/>
        <v>0</v>
      </c>
      <c r="O145" s="128">
        <f>SUMIFS(XUẤT!U:U,XUẤT!N:N,CBCNV!B145,XUẤT!O:O,CBCNV!$O$2)</f>
        <v>0</v>
      </c>
      <c r="P145" s="133">
        <f t="shared" si="30"/>
        <v>0</v>
      </c>
      <c r="Q145" s="30"/>
      <c r="R145" s="16"/>
    </row>
    <row r="146" spans="1:20" s="134" customFormat="1" x14ac:dyDescent="0.3">
      <c r="A146" s="131">
        <v>139</v>
      </c>
      <c r="B146" s="10" t="s">
        <v>226</v>
      </c>
      <c r="C146" s="131" t="s">
        <v>148</v>
      </c>
      <c r="D146" s="131" t="s">
        <v>216</v>
      </c>
      <c r="E146" s="128">
        <f>SUMIFS(XUẤT!P:P,XUẤT!N:N,CBCNV!B146,XUẤT!O:O,CBCNV!$E$2)</f>
        <v>0</v>
      </c>
      <c r="F146" s="133">
        <f t="shared" si="25"/>
        <v>0</v>
      </c>
      <c r="G146" s="128">
        <f>SUMIFS(XUẤT!Q:Q,XUẤT!N:N,CBCNV!B146,XUẤT!O:O,CBCNV!$G$2)</f>
        <v>0</v>
      </c>
      <c r="H146" s="132">
        <f t="shared" si="26"/>
        <v>0</v>
      </c>
      <c r="I146" s="128">
        <f>SUMIFS(XUẤT!R:R,XUẤT!N:N,CBCNV!B146,XUẤT!O:O,CBCNV!$I$2)</f>
        <v>0</v>
      </c>
      <c r="J146" s="133">
        <f t="shared" si="27"/>
        <v>0</v>
      </c>
      <c r="K146" s="128">
        <f>SUMIFS(XUẤT!S:S,XUẤT!N:N,CBCNV!B146,XUẤT!O:O,CBCNV!$K$2)</f>
        <v>0</v>
      </c>
      <c r="L146" s="133">
        <f t="shared" si="28"/>
        <v>0</v>
      </c>
      <c r="M146" s="128">
        <f>SUMIFS(XUẤT!T:T,XUẤT!N:N,CBCNV!B146,XUẤT!O:O,CBCNV!$M$2)</f>
        <v>0</v>
      </c>
      <c r="N146" s="133">
        <f t="shared" si="29"/>
        <v>0</v>
      </c>
      <c r="O146" s="128">
        <f>SUMIFS(XUẤT!U:U,XUẤT!N:N,CBCNV!B146,XUẤT!O:O,CBCNV!$O$2)</f>
        <v>0</v>
      </c>
      <c r="P146" s="133">
        <f t="shared" si="30"/>
        <v>0</v>
      </c>
      <c r="Q146" s="30"/>
      <c r="R146" s="16"/>
    </row>
    <row r="147" spans="1:20" s="134" customFormat="1" x14ac:dyDescent="0.3">
      <c r="A147" s="131">
        <v>140</v>
      </c>
      <c r="B147" s="136" t="s">
        <v>227</v>
      </c>
      <c r="C147" s="131" t="s">
        <v>148</v>
      </c>
      <c r="D147" s="131" t="s">
        <v>216</v>
      </c>
      <c r="E147" s="128">
        <f>SUMIFS(XUẤT!P:P,XUẤT!N:N,CBCNV!B147,XUẤT!O:O,CBCNV!$E$2)</f>
        <v>0</v>
      </c>
      <c r="F147" s="133">
        <f t="shared" si="25"/>
        <v>0</v>
      </c>
      <c r="G147" s="128">
        <f>SUMIFS(XUẤT!Q:Q,XUẤT!N:N,CBCNV!B147,XUẤT!O:O,CBCNV!$G$2)</f>
        <v>0</v>
      </c>
      <c r="H147" s="132">
        <f t="shared" si="26"/>
        <v>0</v>
      </c>
      <c r="I147" s="128">
        <f>SUMIFS(XUẤT!R:R,XUẤT!N:N,CBCNV!B147,XUẤT!O:O,CBCNV!$I$2)</f>
        <v>0</v>
      </c>
      <c r="J147" s="133">
        <f t="shared" si="27"/>
        <v>0</v>
      </c>
      <c r="K147" s="128">
        <f>SUMIFS(XUẤT!S:S,XUẤT!N:N,CBCNV!B147,XUẤT!O:O,CBCNV!$K$2)</f>
        <v>0</v>
      </c>
      <c r="L147" s="133">
        <f t="shared" si="28"/>
        <v>0</v>
      </c>
      <c r="M147" s="128">
        <f>SUMIFS(XUẤT!T:T,XUẤT!N:N,CBCNV!B147,XUẤT!O:O,CBCNV!$M$2)</f>
        <v>0</v>
      </c>
      <c r="N147" s="133">
        <f t="shared" si="29"/>
        <v>0</v>
      </c>
      <c r="O147" s="128">
        <f>SUMIFS(XUẤT!U:U,XUẤT!N:N,CBCNV!B147,XUẤT!O:O,CBCNV!$O$2)</f>
        <v>0</v>
      </c>
      <c r="P147" s="133">
        <f t="shared" si="30"/>
        <v>0</v>
      </c>
      <c r="Q147" s="30"/>
      <c r="R147" s="16"/>
    </row>
    <row r="148" spans="1:20" s="134" customFormat="1" x14ac:dyDescent="0.3">
      <c r="A148" s="131">
        <v>141</v>
      </c>
      <c r="B148" s="10" t="s">
        <v>228</v>
      </c>
      <c r="C148" s="131" t="s">
        <v>148</v>
      </c>
      <c r="D148" s="131" t="s">
        <v>216</v>
      </c>
      <c r="E148" s="128">
        <f>SUMIFS(XUẤT!P:P,XUẤT!N:N,CBCNV!B148,XUẤT!O:O,CBCNV!$E$2)</f>
        <v>0</v>
      </c>
      <c r="F148" s="133">
        <f t="shared" si="25"/>
        <v>0</v>
      </c>
      <c r="G148" s="128">
        <f>SUMIFS(XUẤT!Q:Q,XUẤT!N:N,CBCNV!B148,XUẤT!O:O,CBCNV!$G$2)</f>
        <v>0</v>
      </c>
      <c r="H148" s="132">
        <f t="shared" si="26"/>
        <v>0</v>
      </c>
      <c r="I148" s="128">
        <f>SUMIFS(XUẤT!R:R,XUẤT!N:N,CBCNV!B148,XUẤT!O:O,CBCNV!$I$2)</f>
        <v>0</v>
      </c>
      <c r="J148" s="133">
        <f t="shared" si="27"/>
        <v>0</v>
      </c>
      <c r="K148" s="128">
        <f>SUMIFS(XUẤT!S:S,XUẤT!N:N,CBCNV!B148,XUẤT!O:O,CBCNV!$K$2)</f>
        <v>0</v>
      </c>
      <c r="L148" s="133">
        <f t="shared" si="28"/>
        <v>0</v>
      </c>
      <c r="M148" s="128">
        <f>SUMIFS(XUẤT!T:T,XUẤT!N:N,CBCNV!B148,XUẤT!O:O,CBCNV!$M$2)</f>
        <v>0</v>
      </c>
      <c r="N148" s="133">
        <f t="shared" si="29"/>
        <v>0</v>
      </c>
      <c r="O148" s="128">
        <f>SUMIFS(XUẤT!U:U,XUẤT!N:N,CBCNV!B148,XUẤT!O:O,CBCNV!$O$2)</f>
        <v>0</v>
      </c>
      <c r="P148" s="133">
        <f t="shared" si="30"/>
        <v>0</v>
      </c>
      <c r="Q148" s="30"/>
      <c r="R148" s="16"/>
    </row>
    <row r="149" spans="1:20" s="134" customFormat="1" x14ac:dyDescent="0.3">
      <c r="A149" s="131">
        <v>142</v>
      </c>
      <c r="B149" s="10" t="s">
        <v>229</v>
      </c>
      <c r="C149" s="131" t="s">
        <v>148</v>
      </c>
      <c r="D149" s="131" t="s">
        <v>216</v>
      </c>
      <c r="E149" s="128">
        <f>SUMIFS(XUẤT!P:P,XUẤT!N:N,CBCNV!B149,XUẤT!O:O,CBCNV!$E$2)</f>
        <v>0</v>
      </c>
      <c r="F149" s="133">
        <f t="shared" si="25"/>
        <v>0</v>
      </c>
      <c r="G149" s="128">
        <f>SUMIFS(XUẤT!Q:Q,XUẤT!N:N,CBCNV!B149,XUẤT!O:O,CBCNV!$G$2)</f>
        <v>0</v>
      </c>
      <c r="H149" s="132">
        <f t="shared" si="26"/>
        <v>0</v>
      </c>
      <c r="I149" s="128">
        <f>SUMIFS(XUẤT!R:R,XUẤT!N:N,CBCNV!B149,XUẤT!O:O,CBCNV!$I$2)</f>
        <v>0</v>
      </c>
      <c r="J149" s="133">
        <f t="shared" si="27"/>
        <v>0</v>
      </c>
      <c r="K149" s="128">
        <f>SUMIFS(XUẤT!S:S,XUẤT!N:N,CBCNV!B149,XUẤT!O:O,CBCNV!$K$2)</f>
        <v>0</v>
      </c>
      <c r="L149" s="133">
        <f t="shared" si="28"/>
        <v>0</v>
      </c>
      <c r="M149" s="128">
        <f>SUMIFS(XUẤT!T:T,XUẤT!N:N,CBCNV!B149,XUẤT!O:O,CBCNV!$M$2)</f>
        <v>0</v>
      </c>
      <c r="N149" s="133">
        <f t="shared" si="29"/>
        <v>0</v>
      </c>
      <c r="O149" s="128">
        <f>SUMIFS(XUẤT!U:U,XUẤT!N:N,CBCNV!B149,XUẤT!O:O,CBCNV!$O$2)</f>
        <v>0</v>
      </c>
      <c r="P149" s="133">
        <f t="shared" si="30"/>
        <v>0</v>
      </c>
      <c r="Q149" s="30"/>
      <c r="R149" s="16"/>
    </row>
    <row r="150" spans="1:20" s="134" customFormat="1" x14ac:dyDescent="0.3">
      <c r="A150" s="131">
        <v>143</v>
      </c>
      <c r="B150" s="10" t="s">
        <v>31</v>
      </c>
      <c r="C150" s="131" t="s">
        <v>163</v>
      </c>
      <c r="D150" s="131" t="s">
        <v>216</v>
      </c>
      <c r="E150" s="128">
        <f>SUMIFS(XUẤT!P:P,XUẤT!N:N,CBCNV!B150,XUẤT!O:O,CBCNV!$E$2)</f>
        <v>0</v>
      </c>
      <c r="F150" s="133">
        <f t="shared" si="25"/>
        <v>0</v>
      </c>
      <c r="G150" s="128">
        <f>SUMIFS(XUẤT!Q:Q,XUẤT!N:N,CBCNV!B150,XUẤT!O:O,CBCNV!$G$2)</f>
        <v>0</v>
      </c>
      <c r="H150" s="132">
        <f t="shared" si="26"/>
        <v>0</v>
      </c>
      <c r="I150" s="128">
        <f>SUMIFS(XUẤT!R:R,XUẤT!N:N,CBCNV!B150,XUẤT!O:O,CBCNV!$I$2)</f>
        <v>0</v>
      </c>
      <c r="J150" s="133">
        <f t="shared" si="27"/>
        <v>0</v>
      </c>
      <c r="K150" s="128">
        <f>SUMIFS(XUẤT!S:S,XUẤT!N:N,CBCNV!B150,XUẤT!O:O,CBCNV!$K$2)</f>
        <v>0</v>
      </c>
      <c r="L150" s="133">
        <f t="shared" si="28"/>
        <v>0</v>
      </c>
      <c r="M150" s="128">
        <f>SUMIFS(XUẤT!T:T,XUẤT!N:N,CBCNV!B150,XUẤT!O:O,CBCNV!$M$2)</f>
        <v>0</v>
      </c>
      <c r="N150" s="133">
        <f t="shared" si="29"/>
        <v>0</v>
      </c>
      <c r="O150" s="128">
        <f>SUMIFS(XUẤT!U:U,XUẤT!N:N,CBCNV!B150,XUẤT!O:O,CBCNV!$O$2)</f>
        <v>0</v>
      </c>
      <c r="P150" s="133">
        <f t="shared" si="30"/>
        <v>0</v>
      </c>
      <c r="Q150" s="30"/>
      <c r="R150" s="16"/>
    </row>
    <row r="151" spans="1:20" s="134" customFormat="1" x14ac:dyDescent="0.3">
      <c r="A151" s="131">
        <v>144</v>
      </c>
      <c r="B151" s="10" t="s">
        <v>33</v>
      </c>
      <c r="C151" s="131" t="s">
        <v>163</v>
      </c>
      <c r="D151" s="131" t="s">
        <v>216</v>
      </c>
      <c r="E151" s="128">
        <f>SUMIFS(XUẤT!P:P,XUẤT!N:N,CBCNV!B151,XUẤT!O:O,CBCNV!$E$2)</f>
        <v>10</v>
      </c>
      <c r="F151" s="133">
        <f t="shared" si="25"/>
        <v>980000</v>
      </c>
      <c r="G151" s="128">
        <f>SUMIFS(XUẤT!Q:Q,XUẤT!N:N,CBCNV!B151,XUẤT!O:O,CBCNV!$G$2)</f>
        <v>0</v>
      </c>
      <c r="H151" s="132">
        <f t="shared" si="26"/>
        <v>0</v>
      </c>
      <c r="I151" s="128">
        <f>SUMIFS(XUẤT!R:R,XUẤT!N:N,CBCNV!B151,XUẤT!O:O,CBCNV!$I$2)</f>
        <v>0</v>
      </c>
      <c r="J151" s="133">
        <f t="shared" si="27"/>
        <v>0</v>
      </c>
      <c r="K151" s="128">
        <f>SUMIFS(XUẤT!S:S,XUẤT!N:N,CBCNV!B151,XUẤT!O:O,CBCNV!$K$2)</f>
        <v>0</v>
      </c>
      <c r="L151" s="133">
        <f t="shared" si="28"/>
        <v>0</v>
      </c>
      <c r="M151" s="128">
        <f>SUMIFS(XUẤT!T:T,XUẤT!N:N,CBCNV!B151,XUẤT!O:O,CBCNV!$M$2)</f>
        <v>0</v>
      </c>
      <c r="N151" s="133">
        <f t="shared" si="29"/>
        <v>0</v>
      </c>
      <c r="O151" s="128">
        <f>SUMIFS(XUẤT!U:U,XUẤT!N:N,CBCNV!B151,XUẤT!O:O,CBCNV!$O$2)</f>
        <v>0</v>
      </c>
      <c r="P151" s="133">
        <f t="shared" si="30"/>
        <v>0</v>
      </c>
      <c r="Q151" s="30"/>
      <c r="R151" s="16"/>
    </row>
    <row r="152" spans="1:20" s="134" customFormat="1" x14ac:dyDescent="0.3">
      <c r="A152" s="131">
        <v>145</v>
      </c>
      <c r="B152" s="10" t="s">
        <v>230</v>
      </c>
      <c r="C152" s="131" t="s">
        <v>163</v>
      </c>
      <c r="D152" s="131" t="s">
        <v>216</v>
      </c>
      <c r="E152" s="128">
        <f>SUMIFS(XUẤT!P:P,XUẤT!N:N,CBCNV!B152,XUẤT!O:O,CBCNV!$E$2)</f>
        <v>0</v>
      </c>
      <c r="F152" s="133">
        <f t="shared" si="25"/>
        <v>0</v>
      </c>
      <c r="G152" s="128">
        <f>SUMIFS(XUẤT!Q:Q,XUẤT!N:N,CBCNV!B152,XUẤT!O:O,CBCNV!$G$2)</f>
        <v>0</v>
      </c>
      <c r="H152" s="132">
        <f t="shared" si="26"/>
        <v>0</v>
      </c>
      <c r="I152" s="128">
        <f>SUMIFS(XUẤT!R:R,XUẤT!N:N,CBCNV!B152,XUẤT!O:O,CBCNV!$I$2)</f>
        <v>0</v>
      </c>
      <c r="J152" s="133">
        <f t="shared" si="27"/>
        <v>0</v>
      </c>
      <c r="K152" s="128">
        <f>SUMIFS(XUẤT!S:S,XUẤT!N:N,CBCNV!B152,XUẤT!O:O,CBCNV!$K$2)</f>
        <v>0</v>
      </c>
      <c r="L152" s="133">
        <f t="shared" si="28"/>
        <v>0</v>
      </c>
      <c r="M152" s="128">
        <f>SUMIFS(XUẤT!T:T,XUẤT!N:N,CBCNV!B152,XUẤT!O:O,CBCNV!$M$2)</f>
        <v>0</v>
      </c>
      <c r="N152" s="133">
        <f t="shared" si="29"/>
        <v>0</v>
      </c>
      <c r="O152" s="128">
        <f>SUMIFS(XUẤT!U:U,XUẤT!N:N,CBCNV!B152,XUẤT!O:O,CBCNV!$O$2)</f>
        <v>0</v>
      </c>
      <c r="P152" s="133">
        <f t="shared" si="30"/>
        <v>0</v>
      </c>
      <c r="Q152" s="30"/>
      <c r="R152" s="16"/>
    </row>
    <row r="153" spans="1:20" s="130" customFormat="1" x14ac:dyDescent="0.3">
      <c r="A153" s="131">
        <v>146</v>
      </c>
      <c r="B153" s="10" t="s">
        <v>231</v>
      </c>
      <c r="C153" s="131" t="s">
        <v>163</v>
      </c>
      <c r="D153" s="131" t="s">
        <v>216</v>
      </c>
      <c r="E153" s="128">
        <f>SUMIFS(XUẤT!P:P,XUẤT!N:N,CBCNV!B153,XUẤT!O:O,CBCNV!$E$2)</f>
        <v>0</v>
      </c>
      <c r="F153" s="133">
        <f t="shared" si="25"/>
        <v>0</v>
      </c>
      <c r="G153" s="128">
        <f>SUMIFS(XUẤT!Q:Q,XUẤT!N:N,CBCNV!B153,XUẤT!O:O,CBCNV!$G$2)</f>
        <v>0</v>
      </c>
      <c r="H153" s="132">
        <f t="shared" si="26"/>
        <v>0</v>
      </c>
      <c r="I153" s="128">
        <f>SUMIFS(XUẤT!R:R,XUẤT!N:N,CBCNV!B153,XUẤT!O:O,CBCNV!$I$2)</f>
        <v>0</v>
      </c>
      <c r="J153" s="133">
        <f t="shared" si="27"/>
        <v>0</v>
      </c>
      <c r="K153" s="128">
        <f>SUMIFS(XUẤT!S:S,XUẤT!N:N,CBCNV!B153,XUẤT!O:O,CBCNV!$K$2)</f>
        <v>0</v>
      </c>
      <c r="L153" s="133">
        <f t="shared" si="28"/>
        <v>0</v>
      </c>
      <c r="M153" s="128">
        <f>SUMIFS(XUẤT!T:T,XUẤT!N:N,CBCNV!B153,XUẤT!O:O,CBCNV!$M$2)</f>
        <v>0</v>
      </c>
      <c r="N153" s="133">
        <f t="shared" si="29"/>
        <v>0</v>
      </c>
      <c r="O153" s="128">
        <f>SUMIFS(XUẤT!U:U,XUẤT!N:N,CBCNV!B153,XUẤT!O:O,CBCNV!$O$2)</f>
        <v>0</v>
      </c>
      <c r="P153" s="133">
        <f t="shared" si="30"/>
        <v>0</v>
      </c>
      <c r="Q153" s="30"/>
      <c r="R153" s="16"/>
      <c r="S153" s="134"/>
      <c r="T153" s="134"/>
    </row>
    <row r="154" spans="1:20" s="134" customFormat="1" x14ac:dyDescent="0.3">
      <c r="A154" s="131">
        <v>147</v>
      </c>
      <c r="B154" s="10" t="s">
        <v>232</v>
      </c>
      <c r="C154" s="131" t="s">
        <v>163</v>
      </c>
      <c r="D154" s="131" t="s">
        <v>216</v>
      </c>
      <c r="E154" s="128">
        <f>SUMIFS(XUẤT!P:P,XUẤT!N:N,CBCNV!B154,XUẤT!O:O,CBCNV!$E$2)</f>
        <v>0</v>
      </c>
      <c r="F154" s="133">
        <f t="shared" si="25"/>
        <v>0</v>
      </c>
      <c r="G154" s="128">
        <f>SUMIFS(XUẤT!Q:Q,XUẤT!N:N,CBCNV!B154,XUẤT!O:O,CBCNV!$G$2)</f>
        <v>0</v>
      </c>
      <c r="H154" s="132">
        <f t="shared" si="26"/>
        <v>0</v>
      </c>
      <c r="I154" s="128">
        <f>SUMIFS(XUẤT!R:R,XUẤT!N:N,CBCNV!B154,XUẤT!O:O,CBCNV!$I$2)</f>
        <v>0</v>
      </c>
      <c r="J154" s="133">
        <f t="shared" si="27"/>
        <v>0</v>
      </c>
      <c r="K154" s="128">
        <f>SUMIFS(XUẤT!S:S,XUẤT!N:N,CBCNV!B154,XUẤT!O:O,CBCNV!$K$2)</f>
        <v>0</v>
      </c>
      <c r="L154" s="133">
        <f t="shared" si="28"/>
        <v>0</v>
      </c>
      <c r="M154" s="128">
        <f>SUMIFS(XUẤT!T:T,XUẤT!N:N,CBCNV!B154,XUẤT!O:O,CBCNV!$M$2)</f>
        <v>0</v>
      </c>
      <c r="N154" s="133">
        <f t="shared" si="29"/>
        <v>0</v>
      </c>
      <c r="O154" s="128">
        <f>SUMIFS(XUẤT!U:U,XUẤT!N:N,CBCNV!B154,XUẤT!O:O,CBCNV!$O$2)</f>
        <v>0</v>
      </c>
      <c r="P154" s="133">
        <f t="shared" si="30"/>
        <v>0</v>
      </c>
      <c r="Q154" s="30"/>
      <c r="R154" s="16"/>
    </row>
    <row r="155" spans="1:20" s="134" customFormat="1" x14ac:dyDescent="0.3">
      <c r="A155" s="131">
        <v>148</v>
      </c>
      <c r="B155" s="10" t="s">
        <v>233</v>
      </c>
      <c r="C155" s="131" t="s">
        <v>163</v>
      </c>
      <c r="D155" s="131" t="s">
        <v>216</v>
      </c>
      <c r="E155" s="128">
        <f>SUMIFS(XUẤT!P:P,XUẤT!N:N,CBCNV!B155,XUẤT!O:O,CBCNV!$E$2)</f>
        <v>0</v>
      </c>
      <c r="F155" s="133">
        <f t="shared" si="25"/>
        <v>0</v>
      </c>
      <c r="G155" s="128">
        <f>SUMIFS(XUẤT!Q:Q,XUẤT!N:N,CBCNV!B155,XUẤT!O:O,CBCNV!$G$2)</f>
        <v>0</v>
      </c>
      <c r="H155" s="132">
        <f t="shared" si="26"/>
        <v>0</v>
      </c>
      <c r="I155" s="128">
        <f>SUMIFS(XUẤT!R:R,XUẤT!N:N,CBCNV!B155,XUẤT!O:O,CBCNV!$I$2)</f>
        <v>0</v>
      </c>
      <c r="J155" s="133">
        <f t="shared" si="27"/>
        <v>0</v>
      </c>
      <c r="K155" s="128">
        <f>SUMIFS(XUẤT!S:S,XUẤT!N:N,CBCNV!B155,XUẤT!O:O,CBCNV!$K$2)</f>
        <v>0</v>
      </c>
      <c r="L155" s="133">
        <f t="shared" si="28"/>
        <v>0</v>
      </c>
      <c r="M155" s="128">
        <f>SUMIFS(XUẤT!T:T,XUẤT!N:N,CBCNV!B155,XUẤT!O:O,CBCNV!$M$2)</f>
        <v>0</v>
      </c>
      <c r="N155" s="133">
        <f t="shared" si="29"/>
        <v>0</v>
      </c>
      <c r="O155" s="128">
        <f>SUMIFS(XUẤT!U:U,XUẤT!N:N,CBCNV!B155,XUẤT!O:O,CBCNV!$O$2)</f>
        <v>0</v>
      </c>
      <c r="P155" s="133">
        <f t="shared" si="30"/>
        <v>0</v>
      </c>
      <c r="Q155" s="30"/>
      <c r="R155" s="16"/>
    </row>
    <row r="156" spans="1:20" s="134" customFormat="1" x14ac:dyDescent="0.3">
      <c r="A156" s="131">
        <v>149</v>
      </c>
      <c r="B156" s="32" t="s">
        <v>234</v>
      </c>
      <c r="C156" s="135" t="s">
        <v>235</v>
      </c>
      <c r="D156" s="135" t="s">
        <v>236</v>
      </c>
      <c r="E156" s="128">
        <f>SUMIFS(XUẤT!P:P,XUẤT!N:N,CBCNV!B156,XUẤT!O:O,CBCNV!$E$2)</f>
        <v>0</v>
      </c>
      <c r="F156" s="133">
        <f t="shared" si="25"/>
        <v>0</v>
      </c>
      <c r="G156" s="128">
        <f>SUMIFS(XUẤT!Q:Q,XUẤT!N:N,CBCNV!B156,XUẤT!O:O,CBCNV!$G$2)</f>
        <v>0</v>
      </c>
      <c r="H156" s="132">
        <f t="shared" si="26"/>
        <v>0</v>
      </c>
      <c r="I156" s="128">
        <f>SUMIFS(XUẤT!R:R,XUẤT!N:N,CBCNV!B156,XUẤT!O:O,CBCNV!$I$2)</f>
        <v>0</v>
      </c>
      <c r="J156" s="133">
        <f t="shared" si="27"/>
        <v>0</v>
      </c>
      <c r="K156" s="128">
        <f>SUMIFS(XUẤT!S:S,XUẤT!N:N,CBCNV!B156,XUẤT!O:O,CBCNV!$K$2)</f>
        <v>0</v>
      </c>
      <c r="L156" s="133">
        <f t="shared" si="28"/>
        <v>0</v>
      </c>
      <c r="M156" s="128">
        <f>SUMIFS(XUẤT!T:T,XUẤT!N:N,CBCNV!B156,XUẤT!O:O,CBCNV!$M$2)</f>
        <v>0</v>
      </c>
      <c r="N156" s="133">
        <f t="shared" si="29"/>
        <v>0</v>
      </c>
      <c r="O156" s="128">
        <f>SUMIFS(XUẤT!U:U,XUẤT!N:N,CBCNV!B156,XUẤT!O:O,CBCNV!$O$2)</f>
        <v>0</v>
      </c>
      <c r="P156" s="133">
        <f t="shared" si="30"/>
        <v>0</v>
      </c>
      <c r="Q156" s="30"/>
      <c r="R156" s="19"/>
      <c r="S156" s="130"/>
      <c r="T156" s="130"/>
    </row>
    <row r="157" spans="1:20" s="134" customFormat="1" x14ac:dyDescent="0.3">
      <c r="A157" s="131">
        <v>150</v>
      </c>
      <c r="B157" s="10" t="s">
        <v>237</v>
      </c>
      <c r="C157" s="131" t="s">
        <v>238</v>
      </c>
      <c r="D157" s="131" t="s">
        <v>236</v>
      </c>
      <c r="E157" s="128">
        <f>SUMIFS(XUẤT!P:P,XUẤT!N:N,CBCNV!B157,XUẤT!O:O,CBCNV!$E$2)</f>
        <v>10</v>
      </c>
      <c r="F157" s="133">
        <f t="shared" si="25"/>
        <v>980000</v>
      </c>
      <c r="G157" s="128">
        <f>SUMIFS(XUẤT!Q:Q,XUẤT!N:N,CBCNV!B157,XUẤT!O:O,CBCNV!$G$2)</f>
        <v>0</v>
      </c>
      <c r="H157" s="132">
        <f t="shared" si="26"/>
        <v>0</v>
      </c>
      <c r="I157" s="128">
        <f>SUMIFS(XUẤT!R:R,XUẤT!N:N,CBCNV!B157,XUẤT!O:O,CBCNV!$I$2)</f>
        <v>0</v>
      </c>
      <c r="J157" s="133">
        <f t="shared" si="27"/>
        <v>0</v>
      </c>
      <c r="K157" s="128">
        <f>SUMIFS(XUẤT!S:S,XUẤT!N:N,CBCNV!B157,XUẤT!O:O,CBCNV!$K$2)</f>
        <v>0</v>
      </c>
      <c r="L157" s="133">
        <f t="shared" si="28"/>
        <v>0</v>
      </c>
      <c r="M157" s="128">
        <f>SUMIFS(XUẤT!T:T,XUẤT!N:N,CBCNV!B157,XUẤT!O:O,CBCNV!$M$2)</f>
        <v>0</v>
      </c>
      <c r="N157" s="133">
        <f t="shared" si="29"/>
        <v>0</v>
      </c>
      <c r="O157" s="128">
        <f>SUMIFS(XUẤT!U:U,XUẤT!N:N,CBCNV!B157,XUẤT!O:O,CBCNV!$O$2)</f>
        <v>0</v>
      </c>
      <c r="P157" s="133">
        <f t="shared" si="30"/>
        <v>0</v>
      </c>
      <c r="Q157" s="30"/>
      <c r="R157" s="16"/>
    </row>
    <row r="158" spans="1:20" s="134" customFormat="1" x14ac:dyDescent="0.3">
      <c r="A158" s="131">
        <v>151</v>
      </c>
      <c r="B158" s="10" t="s">
        <v>239</v>
      </c>
      <c r="C158" s="131" t="s">
        <v>240</v>
      </c>
      <c r="D158" s="131" t="s">
        <v>236</v>
      </c>
      <c r="E158" s="128">
        <f>SUMIFS(XUẤT!P:P,XUẤT!N:N,CBCNV!B158,XUẤT!O:O,CBCNV!$E$2)</f>
        <v>0</v>
      </c>
      <c r="F158" s="133">
        <f t="shared" si="25"/>
        <v>0</v>
      </c>
      <c r="G158" s="128">
        <f>SUMIFS(XUẤT!Q:Q,XUẤT!N:N,CBCNV!B158,XUẤT!O:O,CBCNV!$G$2)</f>
        <v>0</v>
      </c>
      <c r="H158" s="132">
        <f t="shared" si="26"/>
        <v>0</v>
      </c>
      <c r="I158" s="128">
        <f>SUMIFS(XUẤT!R:R,XUẤT!N:N,CBCNV!B158,XUẤT!O:O,CBCNV!$I$2)</f>
        <v>0</v>
      </c>
      <c r="J158" s="133">
        <f t="shared" si="27"/>
        <v>0</v>
      </c>
      <c r="K158" s="128">
        <f>SUMIFS(XUẤT!S:S,XUẤT!N:N,CBCNV!B158,XUẤT!O:O,CBCNV!$K$2)</f>
        <v>0</v>
      </c>
      <c r="L158" s="133">
        <f t="shared" si="28"/>
        <v>0</v>
      </c>
      <c r="M158" s="128">
        <f>SUMIFS(XUẤT!T:T,XUẤT!N:N,CBCNV!B158,XUẤT!O:O,CBCNV!$M$2)</f>
        <v>0</v>
      </c>
      <c r="N158" s="133">
        <f t="shared" si="29"/>
        <v>0</v>
      </c>
      <c r="O158" s="128">
        <f>SUMIFS(XUẤT!U:U,XUẤT!N:N,CBCNV!B158,XUẤT!O:O,CBCNV!$O$2)</f>
        <v>0</v>
      </c>
      <c r="P158" s="133">
        <f t="shared" si="30"/>
        <v>0</v>
      </c>
      <c r="Q158" s="30"/>
      <c r="R158" s="16"/>
    </row>
    <row r="159" spans="1:20" s="134" customFormat="1" x14ac:dyDescent="0.3">
      <c r="A159" s="131">
        <v>152</v>
      </c>
      <c r="B159" s="10" t="s">
        <v>241</v>
      </c>
      <c r="C159" s="131" t="s">
        <v>240</v>
      </c>
      <c r="D159" s="131" t="s">
        <v>236</v>
      </c>
      <c r="E159" s="128">
        <f>SUMIFS(XUẤT!P:P,XUẤT!N:N,CBCNV!B159,XUẤT!O:O,CBCNV!$E$2)</f>
        <v>0</v>
      </c>
      <c r="F159" s="133">
        <f t="shared" si="25"/>
        <v>0</v>
      </c>
      <c r="G159" s="128">
        <f>SUMIFS(XUẤT!Q:Q,XUẤT!N:N,CBCNV!B159,XUẤT!O:O,CBCNV!$G$2)</f>
        <v>0</v>
      </c>
      <c r="H159" s="132">
        <f t="shared" si="26"/>
        <v>0</v>
      </c>
      <c r="I159" s="128">
        <f>SUMIFS(XUẤT!R:R,XUẤT!N:N,CBCNV!B159,XUẤT!O:O,CBCNV!$I$2)</f>
        <v>0</v>
      </c>
      <c r="J159" s="133">
        <f t="shared" si="27"/>
        <v>0</v>
      </c>
      <c r="K159" s="128">
        <f>SUMIFS(XUẤT!S:S,XUẤT!N:N,CBCNV!B159,XUẤT!O:O,CBCNV!$K$2)</f>
        <v>0</v>
      </c>
      <c r="L159" s="133">
        <f t="shared" si="28"/>
        <v>0</v>
      </c>
      <c r="M159" s="128">
        <f>SUMIFS(XUẤT!T:T,XUẤT!N:N,CBCNV!B159,XUẤT!O:O,CBCNV!$M$2)</f>
        <v>0</v>
      </c>
      <c r="N159" s="133">
        <f t="shared" si="29"/>
        <v>0</v>
      </c>
      <c r="O159" s="128">
        <f>SUMIFS(XUẤT!U:U,XUẤT!N:N,CBCNV!B159,XUẤT!O:O,CBCNV!$O$2)</f>
        <v>0</v>
      </c>
      <c r="P159" s="133">
        <f t="shared" si="30"/>
        <v>0</v>
      </c>
      <c r="Q159" s="30"/>
      <c r="R159" s="16"/>
    </row>
    <row r="160" spans="1:20" s="134" customFormat="1" x14ac:dyDescent="0.3">
      <c r="A160" s="131">
        <v>153</v>
      </c>
      <c r="B160" s="10" t="s">
        <v>242</v>
      </c>
      <c r="C160" s="131" t="s">
        <v>240</v>
      </c>
      <c r="D160" s="131" t="s">
        <v>236</v>
      </c>
      <c r="E160" s="128">
        <f>SUMIFS(XUẤT!P:P,XUẤT!N:N,CBCNV!B160,XUẤT!O:O,CBCNV!$E$2)</f>
        <v>0</v>
      </c>
      <c r="F160" s="133">
        <f t="shared" si="25"/>
        <v>0</v>
      </c>
      <c r="G160" s="128">
        <f>SUMIFS(XUẤT!Q:Q,XUẤT!N:N,CBCNV!B160,XUẤT!O:O,CBCNV!$G$2)</f>
        <v>0</v>
      </c>
      <c r="H160" s="132">
        <f t="shared" si="26"/>
        <v>0</v>
      </c>
      <c r="I160" s="128">
        <f>SUMIFS(XUẤT!R:R,XUẤT!N:N,CBCNV!B160,XUẤT!O:O,CBCNV!$I$2)</f>
        <v>0</v>
      </c>
      <c r="J160" s="133">
        <f t="shared" si="27"/>
        <v>0</v>
      </c>
      <c r="K160" s="128">
        <f>SUMIFS(XUẤT!S:S,XUẤT!N:N,CBCNV!B160,XUẤT!O:O,CBCNV!$K$2)</f>
        <v>0</v>
      </c>
      <c r="L160" s="133">
        <f t="shared" si="28"/>
        <v>0</v>
      </c>
      <c r="M160" s="128">
        <f>SUMIFS(XUẤT!T:T,XUẤT!N:N,CBCNV!B160,XUẤT!O:O,CBCNV!$M$2)</f>
        <v>0</v>
      </c>
      <c r="N160" s="133">
        <f t="shared" si="29"/>
        <v>0</v>
      </c>
      <c r="O160" s="128">
        <f>SUMIFS(XUẤT!U:U,XUẤT!N:N,CBCNV!B160,XUẤT!O:O,CBCNV!$O$2)</f>
        <v>0</v>
      </c>
      <c r="P160" s="133">
        <f t="shared" si="30"/>
        <v>0</v>
      </c>
      <c r="Q160" s="30"/>
      <c r="R160" s="16"/>
    </row>
    <row r="161" spans="1:20" s="134" customFormat="1" x14ac:dyDescent="0.3">
      <c r="A161" s="131">
        <v>154</v>
      </c>
      <c r="B161" s="10" t="s">
        <v>243</v>
      </c>
      <c r="C161" s="131" t="s">
        <v>244</v>
      </c>
      <c r="D161" s="131" t="s">
        <v>236</v>
      </c>
      <c r="E161" s="128">
        <f>SUMIFS(XUẤT!P:P,XUẤT!N:N,CBCNV!B161,XUẤT!O:O,CBCNV!$E$2)</f>
        <v>0</v>
      </c>
      <c r="F161" s="133">
        <f t="shared" si="25"/>
        <v>0</v>
      </c>
      <c r="G161" s="128">
        <f>SUMIFS(XUẤT!Q:Q,XUẤT!N:N,CBCNV!B161,XUẤT!O:O,CBCNV!$G$2)</f>
        <v>0</v>
      </c>
      <c r="H161" s="132">
        <f t="shared" si="26"/>
        <v>0</v>
      </c>
      <c r="I161" s="128">
        <f>SUMIFS(XUẤT!R:R,XUẤT!N:N,CBCNV!B161,XUẤT!O:O,CBCNV!$I$2)</f>
        <v>0</v>
      </c>
      <c r="J161" s="133">
        <f t="shared" si="27"/>
        <v>0</v>
      </c>
      <c r="K161" s="128">
        <f>SUMIFS(XUẤT!S:S,XUẤT!N:N,CBCNV!B161,XUẤT!O:O,CBCNV!$K$2)</f>
        <v>0</v>
      </c>
      <c r="L161" s="133">
        <f t="shared" si="28"/>
        <v>0</v>
      </c>
      <c r="M161" s="128">
        <f>SUMIFS(XUẤT!T:T,XUẤT!N:N,CBCNV!B161,XUẤT!O:O,CBCNV!$M$2)</f>
        <v>0</v>
      </c>
      <c r="N161" s="133">
        <f t="shared" si="29"/>
        <v>0</v>
      </c>
      <c r="O161" s="128">
        <f>SUMIFS(XUẤT!U:U,XUẤT!N:N,CBCNV!B161,XUẤT!O:O,CBCNV!$O$2)</f>
        <v>0</v>
      </c>
      <c r="P161" s="133">
        <f t="shared" si="30"/>
        <v>0</v>
      </c>
      <c r="Q161" s="30"/>
      <c r="R161" s="16"/>
    </row>
    <row r="162" spans="1:20" s="134" customFormat="1" x14ac:dyDescent="0.3">
      <c r="A162" s="131">
        <v>155</v>
      </c>
      <c r="B162" s="10" t="s">
        <v>245</v>
      </c>
      <c r="C162" s="131" t="s">
        <v>244</v>
      </c>
      <c r="D162" s="131" t="s">
        <v>236</v>
      </c>
      <c r="E162" s="128">
        <f>SUMIFS(XUẤT!P:P,XUẤT!N:N,CBCNV!B162,XUẤT!O:O,CBCNV!$E$2)</f>
        <v>0</v>
      </c>
      <c r="F162" s="133">
        <f t="shared" si="25"/>
        <v>0</v>
      </c>
      <c r="G162" s="128">
        <f>SUMIFS(XUẤT!Q:Q,XUẤT!N:N,CBCNV!B162,XUẤT!O:O,CBCNV!$G$2)</f>
        <v>0</v>
      </c>
      <c r="H162" s="132">
        <f t="shared" si="26"/>
        <v>0</v>
      </c>
      <c r="I162" s="128">
        <f>SUMIFS(XUẤT!R:R,XUẤT!N:N,CBCNV!B162,XUẤT!O:O,CBCNV!$I$2)</f>
        <v>0</v>
      </c>
      <c r="J162" s="133">
        <f t="shared" si="27"/>
        <v>0</v>
      </c>
      <c r="K162" s="128">
        <f>SUMIFS(XUẤT!S:S,XUẤT!N:N,CBCNV!B162,XUẤT!O:O,CBCNV!$K$2)</f>
        <v>0</v>
      </c>
      <c r="L162" s="133">
        <f t="shared" si="28"/>
        <v>0</v>
      </c>
      <c r="M162" s="128">
        <f>SUMIFS(XUẤT!T:T,XUẤT!N:N,CBCNV!B162,XUẤT!O:O,CBCNV!$M$2)</f>
        <v>0</v>
      </c>
      <c r="N162" s="133">
        <f t="shared" si="29"/>
        <v>0</v>
      </c>
      <c r="O162" s="128">
        <f>SUMIFS(XUẤT!U:U,XUẤT!N:N,CBCNV!B162,XUẤT!O:O,CBCNV!$O$2)</f>
        <v>0</v>
      </c>
      <c r="P162" s="133">
        <f t="shared" si="30"/>
        <v>0</v>
      </c>
      <c r="Q162" s="30"/>
      <c r="R162" s="16"/>
    </row>
    <row r="163" spans="1:20" s="134" customFormat="1" x14ac:dyDescent="0.3">
      <c r="A163" s="131">
        <v>156</v>
      </c>
      <c r="B163" s="10" t="s">
        <v>246</v>
      </c>
      <c r="C163" s="131" t="s">
        <v>244</v>
      </c>
      <c r="D163" s="131" t="s">
        <v>236</v>
      </c>
      <c r="E163" s="128">
        <f>SUMIFS(XUẤT!P:P,XUẤT!N:N,CBCNV!B163,XUẤT!O:O,CBCNV!$E$2)</f>
        <v>0</v>
      </c>
      <c r="F163" s="133">
        <f t="shared" si="25"/>
        <v>0</v>
      </c>
      <c r="G163" s="128">
        <f>SUMIFS(XUẤT!Q:Q,XUẤT!N:N,CBCNV!B163,XUẤT!O:O,CBCNV!$G$2)</f>
        <v>0</v>
      </c>
      <c r="H163" s="132">
        <f t="shared" si="26"/>
        <v>0</v>
      </c>
      <c r="I163" s="128">
        <f>SUMIFS(XUẤT!R:R,XUẤT!N:N,CBCNV!B163,XUẤT!O:O,CBCNV!$I$2)</f>
        <v>0</v>
      </c>
      <c r="J163" s="133">
        <f t="shared" si="27"/>
        <v>0</v>
      </c>
      <c r="K163" s="128">
        <f>SUMIFS(XUẤT!S:S,XUẤT!N:N,CBCNV!B163,XUẤT!O:O,CBCNV!$K$2)</f>
        <v>0</v>
      </c>
      <c r="L163" s="133">
        <f t="shared" si="28"/>
        <v>0</v>
      </c>
      <c r="M163" s="128">
        <f>SUMIFS(XUẤT!T:T,XUẤT!N:N,CBCNV!B163,XUẤT!O:O,CBCNV!$M$2)</f>
        <v>0</v>
      </c>
      <c r="N163" s="133">
        <f t="shared" si="29"/>
        <v>0</v>
      </c>
      <c r="O163" s="128">
        <f>SUMIFS(XUẤT!U:U,XUẤT!N:N,CBCNV!B163,XUẤT!O:O,CBCNV!$O$2)</f>
        <v>0</v>
      </c>
      <c r="P163" s="133">
        <f t="shared" si="30"/>
        <v>0</v>
      </c>
      <c r="Q163" s="30"/>
      <c r="R163" s="16"/>
    </row>
    <row r="164" spans="1:20" s="134" customFormat="1" x14ac:dyDescent="0.3">
      <c r="A164" s="131">
        <v>157</v>
      </c>
      <c r="B164" s="10" t="s">
        <v>247</v>
      </c>
      <c r="C164" s="131" t="s">
        <v>248</v>
      </c>
      <c r="D164" s="131" t="s">
        <v>236</v>
      </c>
      <c r="E164" s="128">
        <f>SUMIFS(XUẤT!P:P,XUẤT!N:N,CBCNV!B164,XUẤT!O:O,CBCNV!$E$2)</f>
        <v>0</v>
      </c>
      <c r="F164" s="133">
        <f t="shared" si="25"/>
        <v>0</v>
      </c>
      <c r="G164" s="128">
        <f>SUMIFS(XUẤT!Q:Q,XUẤT!N:N,CBCNV!B164,XUẤT!O:O,CBCNV!$G$2)</f>
        <v>0</v>
      </c>
      <c r="H164" s="132">
        <f t="shared" si="26"/>
        <v>0</v>
      </c>
      <c r="I164" s="128">
        <f>SUMIFS(XUẤT!R:R,XUẤT!N:N,CBCNV!B164,XUẤT!O:O,CBCNV!$I$2)</f>
        <v>0</v>
      </c>
      <c r="J164" s="133">
        <f t="shared" si="27"/>
        <v>0</v>
      </c>
      <c r="K164" s="128">
        <f>SUMIFS(XUẤT!S:S,XUẤT!N:N,CBCNV!B164,XUẤT!O:O,CBCNV!$K$2)</f>
        <v>0</v>
      </c>
      <c r="L164" s="133">
        <f t="shared" si="28"/>
        <v>0</v>
      </c>
      <c r="M164" s="128">
        <f>SUMIFS(XUẤT!T:T,XUẤT!N:N,CBCNV!B164,XUẤT!O:O,CBCNV!$M$2)</f>
        <v>0</v>
      </c>
      <c r="N164" s="133">
        <f t="shared" si="29"/>
        <v>0</v>
      </c>
      <c r="O164" s="128">
        <f>SUMIFS(XUẤT!U:U,XUẤT!N:N,CBCNV!B164,XUẤT!O:O,CBCNV!$O$2)</f>
        <v>0</v>
      </c>
      <c r="P164" s="133">
        <f t="shared" si="30"/>
        <v>0</v>
      </c>
      <c r="Q164" s="30"/>
      <c r="R164" s="16"/>
    </row>
    <row r="165" spans="1:20" s="134" customFormat="1" x14ac:dyDescent="0.3">
      <c r="A165" s="131">
        <v>158</v>
      </c>
      <c r="B165" s="10" t="s">
        <v>249</v>
      </c>
      <c r="C165" s="131" t="s">
        <v>248</v>
      </c>
      <c r="D165" s="131" t="s">
        <v>236</v>
      </c>
      <c r="E165" s="128">
        <f>SUMIFS(XUẤT!P:P,XUẤT!N:N,CBCNV!B165,XUẤT!O:O,CBCNV!$E$2)</f>
        <v>0</v>
      </c>
      <c r="F165" s="133">
        <f t="shared" si="25"/>
        <v>0</v>
      </c>
      <c r="G165" s="128">
        <f>SUMIFS(XUẤT!Q:Q,XUẤT!N:N,CBCNV!B165,XUẤT!O:O,CBCNV!$G$2)</f>
        <v>0</v>
      </c>
      <c r="H165" s="132">
        <f t="shared" si="26"/>
        <v>0</v>
      </c>
      <c r="I165" s="128">
        <f>SUMIFS(XUẤT!R:R,XUẤT!N:N,CBCNV!B165,XUẤT!O:O,CBCNV!$I$2)</f>
        <v>0</v>
      </c>
      <c r="J165" s="133">
        <f t="shared" si="27"/>
        <v>0</v>
      </c>
      <c r="K165" s="128">
        <f>SUMIFS(XUẤT!S:S,XUẤT!N:N,CBCNV!B165,XUẤT!O:O,CBCNV!$K$2)</f>
        <v>0</v>
      </c>
      <c r="L165" s="133">
        <f t="shared" si="28"/>
        <v>0</v>
      </c>
      <c r="M165" s="128">
        <f>SUMIFS(XUẤT!T:T,XUẤT!N:N,CBCNV!B165,XUẤT!O:O,CBCNV!$M$2)</f>
        <v>0</v>
      </c>
      <c r="N165" s="133">
        <f t="shared" si="29"/>
        <v>0</v>
      </c>
      <c r="O165" s="128">
        <f>SUMIFS(XUẤT!U:U,XUẤT!N:N,CBCNV!B165,XUẤT!O:O,CBCNV!$O$2)</f>
        <v>0</v>
      </c>
      <c r="P165" s="133">
        <f t="shared" si="30"/>
        <v>0</v>
      </c>
      <c r="Q165" s="30"/>
      <c r="R165" s="16"/>
    </row>
    <row r="166" spans="1:20" s="134" customFormat="1" x14ac:dyDescent="0.3">
      <c r="A166" s="131">
        <v>159</v>
      </c>
      <c r="B166" s="10" t="s">
        <v>250</v>
      </c>
      <c r="C166" s="131" t="s">
        <v>248</v>
      </c>
      <c r="D166" s="131" t="s">
        <v>236</v>
      </c>
      <c r="E166" s="128">
        <f>SUMIFS(XUẤT!P:P,XUẤT!N:N,CBCNV!B166,XUẤT!O:O,CBCNV!$E$2)</f>
        <v>0</v>
      </c>
      <c r="F166" s="133">
        <f t="shared" si="25"/>
        <v>0</v>
      </c>
      <c r="G166" s="128">
        <f>SUMIFS(XUẤT!Q:Q,XUẤT!N:N,CBCNV!B166,XUẤT!O:O,CBCNV!$G$2)</f>
        <v>0</v>
      </c>
      <c r="H166" s="132">
        <f t="shared" si="26"/>
        <v>0</v>
      </c>
      <c r="I166" s="128">
        <f>SUMIFS(XUẤT!R:R,XUẤT!N:N,CBCNV!B166,XUẤT!O:O,CBCNV!$I$2)</f>
        <v>0</v>
      </c>
      <c r="J166" s="133">
        <f t="shared" si="27"/>
        <v>0</v>
      </c>
      <c r="K166" s="128">
        <f>SUMIFS(XUẤT!S:S,XUẤT!N:N,CBCNV!B166,XUẤT!O:O,CBCNV!$K$2)</f>
        <v>0</v>
      </c>
      <c r="L166" s="133">
        <f t="shared" si="28"/>
        <v>0</v>
      </c>
      <c r="M166" s="128">
        <f>SUMIFS(XUẤT!T:T,XUẤT!N:N,CBCNV!B166,XUẤT!O:O,CBCNV!$M$2)</f>
        <v>0</v>
      </c>
      <c r="N166" s="133">
        <f t="shared" si="29"/>
        <v>0</v>
      </c>
      <c r="O166" s="128">
        <f>SUMIFS(XUẤT!U:U,XUẤT!N:N,CBCNV!B166,XUẤT!O:O,CBCNV!$O$2)</f>
        <v>0</v>
      </c>
      <c r="P166" s="133">
        <f t="shared" si="30"/>
        <v>0</v>
      </c>
      <c r="Q166" s="30"/>
      <c r="R166" s="16"/>
    </row>
    <row r="167" spans="1:20" s="134" customFormat="1" x14ac:dyDescent="0.3">
      <c r="A167" s="131">
        <v>160</v>
      </c>
      <c r="B167" s="10" t="s">
        <v>251</v>
      </c>
      <c r="C167" s="131" t="s">
        <v>248</v>
      </c>
      <c r="D167" s="131" t="s">
        <v>236</v>
      </c>
      <c r="E167" s="128">
        <f>SUMIFS(XUẤT!P:P,XUẤT!N:N,CBCNV!B167,XUẤT!O:O,CBCNV!$E$2)</f>
        <v>0</v>
      </c>
      <c r="F167" s="133">
        <f t="shared" ref="F167:F198" si="31">E167*$T$10</f>
        <v>0</v>
      </c>
      <c r="G167" s="128">
        <f>SUMIFS(XUẤT!Q:Q,XUẤT!N:N,CBCNV!B167,XUẤT!O:O,CBCNV!$G$2)</f>
        <v>0</v>
      </c>
      <c r="H167" s="132">
        <f t="shared" ref="H167:H198" si="32">G167*$T$8</f>
        <v>0</v>
      </c>
      <c r="I167" s="128">
        <f>SUMIFS(XUẤT!R:R,XUẤT!N:N,CBCNV!B167,XUẤT!O:O,CBCNV!$I$2)</f>
        <v>0</v>
      </c>
      <c r="J167" s="133">
        <f t="shared" ref="J167:J198" si="33">I167*$T$9</f>
        <v>0</v>
      </c>
      <c r="K167" s="128">
        <f>SUMIFS(XUẤT!S:S,XUẤT!N:N,CBCNV!B167,XUẤT!O:O,CBCNV!$K$2)</f>
        <v>0</v>
      </c>
      <c r="L167" s="133">
        <f t="shared" ref="L167:L198" si="34">K167*$T$11</f>
        <v>0</v>
      </c>
      <c r="M167" s="128">
        <f>SUMIFS(XUẤT!T:T,XUẤT!N:N,CBCNV!B167,XUẤT!O:O,CBCNV!$M$2)</f>
        <v>0</v>
      </c>
      <c r="N167" s="133">
        <f t="shared" ref="N167:N198" si="35">M167*$T$12</f>
        <v>0</v>
      </c>
      <c r="O167" s="128">
        <f>SUMIFS(XUẤT!U:U,XUẤT!N:N,CBCNV!B167,XUẤT!O:O,CBCNV!$O$2)</f>
        <v>13</v>
      </c>
      <c r="P167" s="133">
        <f t="shared" ref="P167:P198" si="36">O167*$T$13</f>
        <v>624000</v>
      </c>
      <c r="Q167" s="30"/>
      <c r="R167" s="16"/>
    </row>
    <row r="168" spans="1:20" s="134" customFormat="1" x14ac:dyDescent="0.3">
      <c r="A168" s="131">
        <v>161</v>
      </c>
      <c r="B168" s="10" t="s">
        <v>252</v>
      </c>
      <c r="C168" s="131" t="s">
        <v>79</v>
      </c>
      <c r="D168" s="131" t="s">
        <v>236</v>
      </c>
      <c r="E168" s="128">
        <f>SUMIFS(XUẤT!P:P,XUẤT!N:N,CBCNV!B168,XUẤT!O:O,CBCNV!$E$2)</f>
        <v>0</v>
      </c>
      <c r="F168" s="133">
        <f t="shared" si="31"/>
        <v>0</v>
      </c>
      <c r="G168" s="128">
        <f>SUMIFS(XUẤT!Q:Q,XUẤT!N:N,CBCNV!B168,XUẤT!O:O,CBCNV!$G$2)</f>
        <v>0</v>
      </c>
      <c r="H168" s="132">
        <f t="shared" si="32"/>
        <v>0</v>
      </c>
      <c r="I168" s="128">
        <f>SUMIFS(XUẤT!R:R,XUẤT!N:N,CBCNV!B168,XUẤT!O:O,CBCNV!$I$2)</f>
        <v>0</v>
      </c>
      <c r="J168" s="133">
        <f t="shared" si="33"/>
        <v>0</v>
      </c>
      <c r="K168" s="128">
        <f>SUMIFS(XUẤT!S:S,XUẤT!N:N,CBCNV!B168,XUẤT!O:O,CBCNV!$K$2)</f>
        <v>0</v>
      </c>
      <c r="L168" s="133">
        <f t="shared" si="34"/>
        <v>0</v>
      </c>
      <c r="M168" s="128">
        <f>SUMIFS(XUẤT!T:T,XUẤT!N:N,CBCNV!B168,XUẤT!O:O,CBCNV!$M$2)</f>
        <v>0</v>
      </c>
      <c r="N168" s="133">
        <f t="shared" si="35"/>
        <v>0</v>
      </c>
      <c r="O168" s="128">
        <f>SUMIFS(XUẤT!U:U,XUẤT!N:N,CBCNV!B168,XUẤT!O:O,CBCNV!$O$2)</f>
        <v>0</v>
      </c>
      <c r="P168" s="133">
        <f t="shared" si="36"/>
        <v>0</v>
      </c>
      <c r="Q168" s="30"/>
      <c r="R168" s="16"/>
    </row>
    <row r="169" spans="1:20" s="130" customFormat="1" x14ac:dyDescent="0.3">
      <c r="A169" s="131">
        <v>162</v>
      </c>
      <c r="B169" s="10" t="s">
        <v>253</v>
      </c>
      <c r="C169" s="131" t="s">
        <v>79</v>
      </c>
      <c r="D169" s="131" t="s">
        <v>236</v>
      </c>
      <c r="E169" s="128">
        <f>SUMIFS(XUẤT!P:P,XUẤT!N:N,CBCNV!B169,XUẤT!O:O,CBCNV!$E$2)</f>
        <v>0</v>
      </c>
      <c r="F169" s="133">
        <f t="shared" si="31"/>
        <v>0</v>
      </c>
      <c r="G169" s="128">
        <f>SUMIFS(XUẤT!Q:Q,XUẤT!N:N,CBCNV!B169,XUẤT!O:O,CBCNV!$G$2)</f>
        <v>0</v>
      </c>
      <c r="H169" s="132">
        <f t="shared" si="32"/>
        <v>0</v>
      </c>
      <c r="I169" s="128">
        <f>SUMIFS(XUẤT!R:R,XUẤT!N:N,CBCNV!B169,XUẤT!O:O,CBCNV!$I$2)</f>
        <v>0</v>
      </c>
      <c r="J169" s="133">
        <f t="shared" si="33"/>
        <v>0</v>
      </c>
      <c r="K169" s="128">
        <f>SUMIFS(XUẤT!S:S,XUẤT!N:N,CBCNV!B169,XUẤT!O:O,CBCNV!$K$2)</f>
        <v>0</v>
      </c>
      <c r="L169" s="133">
        <f t="shared" si="34"/>
        <v>0</v>
      </c>
      <c r="M169" s="128">
        <f>SUMIFS(XUẤT!T:T,XUẤT!N:N,CBCNV!B169,XUẤT!O:O,CBCNV!$M$2)</f>
        <v>0</v>
      </c>
      <c r="N169" s="133">
        <f t="shared" si="35"/>
        <v>0</v>
      </c>
      <c r="O169" s="128">
        <f>SUMIFS(XUẤT!U:U,XUẤT!N:N,CBCNV!B169,XUẤT!O:O,CBCNV!$O$2)</f>
        <v>0</v>
      </c>
      <c r="P169" s="133">
        <f t="shared" si="36"/>
        <v>0</v>
      </c>
      <c r="Q169" s="30"/>
      <c r="R169" s="16"/>
      <c r="S169" s="134"/>
      <c r="T169" s="134"/>
    </row>
    <row r="170" spans="1:20" s="134" customFormat="1" x14ac:dyDescent="0.3">
      <c r="A170" s="131">
        <v>163</v>
      </c>
      <c r="B170" s="10" t="s">
        <v>254</v>
      </c>
      <c r="C170" s="131" t="s">
        <v>79</v>
      </c>
      <c r="D170" s="131" t="s">
        <v>236</v>
      </c>
      <c r="E170" s="128">
        <f>SUMIFS(XUẤT!P:P,XUẤT!N:N,CBCNV!B170,XUẤT!O:O,CBCNV!$E$2)</f>
        <v>0</v>
      </c>
      <c r="F170" s="133">
        <f t="shared" si="31"/>
        <v>0</v>
      </c>
      <c r="G170" s="128">
        <f>SUMIFS(XUẤT!Q:Q,XUẤT!N:N,CBCNV!B170,XUẤT!O:O,CBCNV!$G$2)</f>
        <v>0</v>
      </c>
      <c r="H170" s="132">
        <f t="shared" si="32"/>
        <v>0</v>
      </c>
      <c r="I170" s="128">
        <f>SUMIFS(XUẤT!R:R,XUẤT!N:N,CBCNV!B170,XUẤT!O:O,CBCNV!$I$2)</f>
        <v>0</v>
      </c>
      <c r="J170" s="133">
        <f t="shared" si="33"/>
        <v>0</v>
      </c>
      <c r="K170" s="128">
        <f>SUMIFS(XUẤT!S:S,XUẤT!N:N,CBCNV!B170,XUẤT!O:O,CBCNV!$K$2)</f>
        <v>0</v>
      </c>
      <c r="L170" s="133">
        <f t="shared" si="34"/>
        <v>0</v>
      </c>
      <c r="M170" s="128">
        <f>SUMIFS(XUẤT!T:T,XUẤT!N:N,CBCNV!B170,XUẤT!O:O,CBCNV!$M$2)</f>
        <v>0</v>
      </c>
      <c r="N170" s="133">
        <f t="shared" si="35"/>
        <v>0</v>
      </c>
      <c r="O170" s="128">
        <f>SUMIFS(XUẤT!U:U,XUẤT!N:N,CBCNV!B170,XUẤT!O:O,CBCNV!$O$2)</f>
        <v>0</v>
      </c>
      <c r="P170" s="133">
        <f t="shared" si="36"/>
        <v>0</v>
      </c>
      <c r="Q170" s="30"/>
      <c r="R170" s="16"/>
    </row>
    <row r="171" spans="1:20" s="134" customFormat="1" x14ac:dyDescent="0.3">
      <c r="A171" s="131">
        <v>164</v>
      </c>
      <c r="B171" s="136" t="s">
        <v>255</v>
      </c>
      <c r="C171" s="131" t="s">
        <v>79</v>
      </c>
      <c r="D171" s="131" t="s">
        <v>236</v>
      </c>
      <c r="E171" s="128">
        <f>SUMIFS(XUẤT!P:P,XUẤT!N:N,CBCNV!B171,XUẤT!O:O,CBCNV!$E$2)</f>
        <v>0</v>
      </c>
      <c r="F171" s="133">
        <f t="shared" si="31"/>
        <v>0</v>
      </c>
      <c r="G171" s="128">
        <f>SUMIFS(XUẤT!Q:Q,XUẤT!N:N,CBCNV!B171,XUẤT!O:O,CBCNV!$G$2)</f>
        <v>0</v>
      </c>
      <c r="H171" s="132">
        <f t="shared" si="32"/>
        <v>0</v>
      </c>
      <c r="I171" s="128">
        <f>SUMIFS(XUẤT!R:R,XUẤT!N:N,CBCNV!B171,XUẤT!O:O,CBCNV!$I$2)</f>
        <v>0</v>
      </c>
      <c r="J171" s="133">
        <f t="shared" si="33"/>
        <v>0</v>
      </c>
      <c r="K171" s="128">
        <f>SUMIFS(XUẤT!S:S,XUẤT!N:N,CBCNV!B171,XUẤT!O:O,CBCNV!$K$2)</f>
        <v>0</v>
      </c>
      <c r="L171" s="133">
        <f t="shared" si="34"/>
        <v>0</v>
      </c>
      <c r="M171" s="128">
        <f>SUMIFS(XUẤT!T:T,XUẤT!N:N,CBCNV!B171,XUẤT!O:O,CBCNV!$M$2)</f>
        <v>0</v>
      </c>
      <c r="N171" s="133">
        <f t="shared" si="35"/>
        <v>0</v>
      </c>
      <c r="O171" s="128">
        <f>SUMIFS(XUẤT!U:U,XUẤT!N:N,CBCNV!B171,XUẤT!O:O,CBCNV!$O$2)</f>
        <v>0</v>
      </c>
      <c r="P171" s="133">
        <f t="shared" si="36"/>
        <v>0</v>
      </c>
      <c r="Q171" s="30"/>
      <c r="R171" s="16"/>
    </row>
    <row r="172" spans="1:20" s="134" customFormat="1" x14ac:dyDescent="0.3">
      <c r="A172" s="131">
        <v>165</v>
      </c>
      <c r="B172" s="32" t="s">
        <v>256</v>
      </c>
      <c r="C172" s="33" t="s">
        <v>131</v>
      </c>
      <c r="D172" s="33" t="s">
        <v>257</v>
      </c>
      <c r="E172" s="128">
        <f>SUMIFS(XUẤT!P:P,XUẤT!N:N,CBCNV!B172,XUẤT!O:O,CBCNV!$E$2)</f>
        <v>0</v>
      </c>
      <c r="F172" s="133">
        <f t="shared" si="31"/>
        <v>0</v>
      </c>
      <c r="G172" s="128">
        <f>SUMIFS(XUẤT!Q:Q,XUẤT!N:N,CBCNV!B172,XUẤT!O:O,CBCNV!$G$2)</f>
        <v>0</v>
      </c>
      <c r="H172" s="132">
        <f t="shared" si="32"/>
        <v>0</v>
      </c>
      <c r="I172" s="128">
        <f>SUMIFS(XUẤT!R:R,XUẤT!N:N,CBCNV!B172,XUẤT!O:O,CBCNV!$I$2)</f>
        <v>0</v>
      </c>
      <c r="J172" s="133">
        <f t="shared" si="33"/>
        <v>0</v>
      </c>
      <c r="K172" s="128">
        <f>SUMIFS(XUẤT!S:S,XUẤT!N:N,CBCNV!B172,XUẤT!O:O,CBCNV!$K$2)</f>
        <v>0</v>
      </c>
      <c r="L172" s="133">
        <f t="shared" si="34"/>
        <v>0</v>
      </c>
      <c r="M172" s="128">
        <f>SUMIFS(XUẤT!T:T,XUẤT!N:N,CBCNV!B172,XUẤT!O:O,CBCNV!$M$2)</f>
        <v>0</v>
      </c>
      <c r="N172" s="133">
        <f t="shared" si="35"/>
        <v>0</v>
      </c>
      <c r="O172" s="128">
        <f>SUMIFS(XUẤT!U:U,XUẤT!N:N,CBCNV!B172,XUẤT!O:O,CBCNV!$O$2)</f>
        <v>0</v>
      </c>
      <c r="P172" s="133">
        <f t="shared" si="36"/>
        <v>0</v>
      </c>
      <c r="Q172" s="30"/>
      <c r="R172" s="19"/>
      <c r="S172" s="130"/>
      <c r="T172" s="130"/>
    </row>
    <row r="173" spans="1:20" s="134" customFormat="1" x14ac:dyDescent="0.3">
      <c r="A173" s="131">
        <v>166</v>
      </c>
      <c r="B173" s="10" t="s">
        <v>258</v>
      </c>
      <c r="C173" s="34" t="s">
        <v>134</v>
      </c>
      <c r="D173" s="34" t="s">
        <v>257</v>
      </c>
      <c r="E173" s="128">
        <f>SUMIFS(XUẤT!P:P,XUẤT!N:N,CBCNV!B173,XUẤT!O:O,CBCNV!$E$2)</f>
        <v>0</v>
      </c>
      <c r="F173" s="133">
        <f t="shared" si="31"/>
        <v>0</v>
      </c>
      <c r="G173" s="128">
        <f>SUMIFS(XUẤT!Q:Q,XUẤT!N:N,CBCNV!B173,XUẤT!O:O,CBCNV!$G$2)</f>
        <v>0</v>
      </c>
      <c r="H173" s="132">
        <f t="shared" si="32"/>
        <v>0</v>
      </c>
      <c r="I173" s="128">
        <f>SUMIFS(XUẤT!R:R,XUẤT!N:N,CBCNV!B173,XUẤT!O:O,CBCNV!$I$2)</f>
        <v>0</v>
      </c>
      <c r="J173" s="133">
        <f t="shared" si="33"/>
        <v>0</v>
      </c>
      <c r="K173" s="128">
        <f>SUMIFS(XUẤT!S:S,XUẤT!N:N,CBCNV!B173,XUẤT!O:O,CBCNV!$K$2)</f>
        <v>0</v>
      </c>
      <c r="L173" s="133">
        <f t="shared" si="34"/>
        <v>0</v>
      </c>
      <c r="M173" s="128">
        <f>SUMIFS(XUẤT!T:T,XUẤT!N:N,CBCNV!B173,XUẤT!O:O,CBCNV!$M$2)</f>
        <v>0</v>
      </c>
      <c r="N173" s="133">
        <f t="shared" si="35"/>
        <v>0</v>
      </c>
      <c r="O173" s="128">
        <f>SUMIFS(XUẤT!U:U,XUẤT!N:N,CBCNV!B173,XUẤT!O:O,CBCNV!$O$2)</f>
        <v>0</v>
      </c>
      <c r="P173" s="133">
        <f t="shared" si="36"/>
        <v>0</v>
      </c>
      <c r="Q173" s="30"/>
      <c r="R173" s="16"/>
    </row>
    <row r="174" spans="1:20" s="134" customFormat="1" x14ac:dyDescent="0.3">
      <c r="A174" s="131">
        <v>167</v>
      </c>
      <c r="B174" s="10" t="s">
        <v>259</v>
      </c>
      <c r="C174" s="34" t="s">
        <v>79</v>
      </c>
      <c r="D174" s="34" t="s">
        <v>257</v>
      </c>
      <c r="E174" s="128">
        <f>SUMIFS(XUẤT!P:P,XUẤT!N:N,CBCNV!B174,XUẤT!O:O,CBCNV!$E$2)</f>
        <v>0</v>
      </c>
      <c r="F174" s="133">
        <f t="shared" si="31"/>
        <v>0</v>
      </c>
      <c r="G174" s="128">
        <f>SUMIFS(XUẤT!Q:Q,XUẤT!N:N,CBCNV!B174,XUẤT!O:O,CBCNV!$G$2)</f>
        <v>0</v>
      </c>
      <c r="H174" s="132">
        <f t="shared" si="32"/>
        <v>0</v>
      </c>
      <c r="I174" s="128">
        <f>SUMIFS(XUẤT!R:R,XUẤT!N:N,CBCNV!B174,XUẤT!O:O,CBCNV!$I$2)</f>
        <v>0</v>
      </c>
      <c r="J174" s="133">
        <f t="shared" si="33"/>
        <v>0</v>
      </c>
      <c r="K174" s="128">
        <f>SUMIFS(XUẤT!S:S,XUẤT!N:N,CBCNV!B174,XUẤT!O:O,CBCNV!$K$2)</f>
        <v>0</v>
      </c>
      <c r="L174" s="133">
        <f t="shared" si="34"/>
        <v>0</v>
      </c>
      <c r="M174" s="128">
        <f>SUMIFS(XUẤT!T:T,XUẤT!N:N,CBCNV!B174,XUẤT!O:O,CBCNV!$M$2)</f>
        <v>0</v>
      </c>
      <c r="N174" s="133">
        <f t="shared" si="35"/>
        <v>0</v>
      </c>
      <c r="O174" s="128">
        <f>SUMIFS(XUẤT!U:U,XUẤT!N:N,CBCNV!B174,XUẤT!O:O,CBCNV!$O$2)</f>
        <v>0</v>
      </c>
      <c r="P174" s="133">
        <f t="shared" si="36"/>
        <v>0</v>
      </c>
      <c r="Q174" s="30"/>
      <c r="R174" s="16"/>
    </row>
    <row r="175" spans="1:20" s="134" customFormat="1" x14ac:dyDescent="0.3">
      <c r="A175" s="131">
        <v>168</v>
      </c>
      <c r="B175" s="10" t="s">
        <v>260</v>
      </c>
      <c r="C175" s="34" t="s">
        <v>79</v>
      </c>
      <c r="D175" s="34" t="s">
        <v>257</v>
      </c>
      <c r="E175" s="128">
        <f>SUMIFS(XUẤT!P:P,XUẤT!N:N,CBCNV!B175,XUẤT!O:O,CBCNV!$E$2)</f>
        <v>0</v>
      </c>
      <c r="F175" s="133">
        <f t="shared" si="31"/>
        <v>0</v>
      </c>
      <c r="G175" s="128">
        <f>SUMIFS(XUẤT!Q:Q,XUẤT!N:N,CBCNV!B175,XUẤT!O:O,CBCNV!$G$2)</f>
        <v>0</v>
      </c>
      <c r="H175" s="132">
        <f t="shared" si="32"/>
        <v>0</v>
      </c>
      <c r="I175" s="128">
        <f>SUMIFS(XUẤT!R:R,XUẤT!N:N,CBCNV!B175,XUẤT!O:O,CBCNV!$I$2)</f>
        <v>0</v>
      </c>
      <c r="J175" s="133">
        <f t="shared" si="33"/>
        <v>0</v>
      </c>
      <c r="K175" s="128">
        <f>SUMIFS(XUẤT!S:S,XUẤT!N:N,CBCNV!B175,XUẤT!O:O,CBCNV!$K$2)</f>
        <v>0</v>
      </c>
      <c r="L175" s="133">
        <f t="shared" si="34"/>
        <v>0</v>
      </c>
      <c r="M175" s="128">
        <f>SUMIFS(XUẤT!T:T,XUẤT!N:N,CBCNV!B175,XUẤT!O:O,CBCNV!$M$2)</f>
        <v>0</v>
      </c>
      <c r="N175" s="133">
        <f t="shared" si="35"/>
        <v>0</v>
      </c>
      <c r="O175" s="128">
        <f>SUMIFS(XUẤT!U:U,XUẤT!N:N,CBCNV!B175,XUẤT!O:O,CBCNV!$O$2)</f>
        <v>0</v>
      </c>
      <c r="P175" s="133">
        <f t="shared" si="36"/>
        <v>0</v>
      </c>
      <c r="Q175" s="30"/>
      <c r="R175" s="16"/>
    </row>
    <row r="176" spans="1:20" s="134" customFormat="1" x14ac:dyDescent="0.3">
      <c r="A176" s="131">
        <v>169</v>
      </c>
      <c r="B176" s="10" t="s">
        <v>261</v>
      </c>
      <c r="C176" s="34" t="s">
        <v>262</v>
      </c>
      <c r="D176" s="34" t="s">
        <v>257</v>
      </c>
      <c r="E176" s="128">
        <f>SUMIFS(XUẤT!P:P,XUẤT!N:N,CBCNV!B176,XUẤT!O:O,CBCNV!$E$2)</f>
        <v>0</v>
      </c>
      <c r="F176" s="133">
        <f t="shared" si="31"/>
        <v>0</v>
      </c>
      <c r="G176" s="128">
        <f>SUMIFS(XUẤT!Q:Q,XUẤT!N:N,CBCNV!B176,XUẤT!O:O,CBCNV!$G$2)</f>
        <v>0</v>
      </c>
      <c r="H176" s="132">
        <f t="shared" si="32"/>
        <v>0</v>
      </c>
      <c r="I176" s="128">
        <f>SUMIFS(XUẤT!R:R,XUẤT!N:N,CBCNV!B176,XUẤT!O:O,CBCNV!$I$2)</f>
        <v>0</v>
      </c>
      <c r="J176" s="133">
        <f t="shared" si="33"/>
        <v>0</v>
      </c>
      <c r="K176" s="128">
        <f>SUMIFS(XUẤT!S:S,XUẤT!N:N,CBCNV!B176,XUẤT!O:O,CBCNV!$K$2)</f>
        <v>0</v>
      </c>
      <c r="L176" s="133">
        <f t="shared" si="34"/>
        <v>0</v>
      </c>
      <c r="M176" s="128">
        <f>SUMIFS(XUẤT!T:T,XUẤT!N:N,CBCNV!B176,XUẤT!O:O,CBCNV!$M$2)</f>
        <v>0</v>
      </c>
      <c r="N176" s="133">
        <f t="shared" si="35"/>
        <v>0</v>
      </c>
      <c r="O176" s="128">
        <f>SUMIFS(XUẤT!U:U,XUẤT!N:N,CBCNV!B176,XUẤT!O:O,CBCNV!$O$2)</f>
        <v>0</v>
      </c>
      <c r="P176" s="133">
        <f t="shared" si="36"/>
        <v>0</v>
      </c>
      <c r="Q176" s="30"/>
      <c r="R176" s="16"/>
    </row>
    <row r="177" spans="1:18" s="134" customFormat="1" x14ac:dyDescent="0.3">
      <c r="A177" s="131">
        <v>170</v>
      </c>
      <c r="B177" s="10" t="s">
        <v>263</v>
      </c>
      <c r="C177" s="34" t="s">
        <v>264</v>
      </c>
      <c r="D177" s="34" t="s">
        <v>257</v>
      </c>
      <c r="E177" s="128">
        <f>SUMIFS(XUẤT!P:P,XUẤT!N:N,CBCNV!B177,XUẤT!O:O,CBCNV!$E$2)</f>
        <v>0</v>
      </c>
      <c r="F177" s="133">
        <f t="shared" si="31"/>
        <v>0</v>
      </c>
      <c r="G177" s="128">
        <f>SUMIFS(XUẤT!Q:Q,XUẤT!N:N,CBCNV!B177,XUẤT!O:O,CBCNV!$G$2)</f>
        <v>0</v>
      </c>
      <c r="H177" s="132">
        <f t="shared" si="32"/>
        <v>0</v>
      </c>
      <c r="I177" s="128">
        <f>SUMIFS(XUẤT!R:R,XUẤT!N:N,CBCNV!B177,XUẤT!O:O,CBCNV!$I$2)</f>
        <v>0</v>
      </c>
      <c r="J177" s="133">
        <f t="shared" si="33"/>
        <v>0</v>
      </c>
      <c r="K177" s="128">
        <f>SUMIFS(XUẤT!S:S,XUẤT!N:N,CBCNV!B177,XUẤT!O:O,CBCNV!$K$2)</f>
        <v>0</v>
      </c>
      <c r="L177" s="133">
        <f t="shared" si="34"/>
        <v>0</v>
      </c>
      <c r="M177" s="128">
        <f>SUMIFS(XUẤT!T:T,XUẤT!N:N,CBCNV!B177,XUẤT!O:O,CBCNV!$M$2)</f>
        <v>0</v>
      </c>
      <c r="N177" s="133">
        <f t="shared" si="35"/>
        <v>0</v>
      </c>
      <c r="O177" s="128">
        <f>SUMIFS(XUẤT!U:U,XUẤT!N:N,CBCNV!B177,XUẤT!O:O,CBCNV!$O$2)</f>
        <v>0</v>
      </c>
      <c r="P177" s="133">
        <f t="shared" si="36"/>
        <v>0</v>
      </c>
      <c r="Q177" s="30"/>
      <c r="R177" s="16"/>
    </row>
    <row r="178" spans="1:18" s="134" customFormat="1" ht="36" x14ac:dyDescent="0.3">
      <c r="A178" s="131">
        <v>171</v>
      </c>
      <c r="B178" s="10" t="s">
        <v>265</v>
      </c>
      <c r="C178" s="34" t="s">
        <v>266</v>
      </c>
      <c r="D178" s="34" t="s">
        <v>257</v>
      </c>
      <c r="E178" s="128">
        <f>SUMIFS(XUẤT!P:P,XUẤT!N:N,CBCNV!B178,XUẤT!O:O,CBCNV!$E$2)</f>
        <v>0</v>
      </c>
      <c r="F178" s="133">
        <f t="shared" si="31"/>
        <v>0</v>
      </c>
      <c r="G178" s="128">
        <f>SUMIFS(XUẤT!Q:Q,XUẤT!N:N,CBCNV!B178,XUẤT!O:O,CBCNV!$G$2)</f>
        <v>0</v>
      </c>
      <c r="H178" s="132">
        <f t="shared" si="32"/>
        <v>0</v>
      </c>
      <c r="I178" s="128">
        <f>SUMIFS(XUẤT!R:R,XUẤT!N:N,CBCNV!B178,XUẤT!O:O,CBCNV!$I$2)</f>
        <v>0</v>
      </c>
      <c r="J178" s="133">
        <f t="shared" si="33"/>
        <v>0</v>
      </c>
      <c r="K178" s="128">
        <f>SUMIFS(XUẤT!S:S,XUẤT!N:N,CBCNV!B178,XUẤT!O:O,CBCNV!$K$2)</f>
        <v>0</v>
      </c>
      <c r="L178" s="133">
        <f t="shared" si="34"/>
        <v>0</v>
      </c>
      <c r="M178" s="128">
        <f>SUMIFS(XUẤT!T:T,XUẤT!N:N,CBCNV!B178,XUẤT!O:O,CBCNV!$M$2)</f>
        <v>0</v>
      </c>
      <c r="N178" s="133">
        <f t="shared" si="35"/>
        <v>0</v>
      </c>
      <c r="O178" s="128">
        <f>SUMIFS(XUẤT!U:U,XUẤT!N:N,CBCNV!B178,XUẤT!O:O,CBCNV!$O$2)</f>
        <v>0</v>
      </c>
      <c r="P178" s="133">
        <f t="shared" si="36"/>
        <v>0</v>
      </c>
      <c r="Q178" s="30"/>
      <c r="R178" s="16"/>
    </row>
    <row r="179" spans="1:18" s="134" customFormat="1" x14ac:dyDescent="0.3">
      <c r="A179" s="131">
        <v>172</v>
      </c>
      <c r="B179" s="10" t="s">
        <v>267</v>
      </c>
      <c r="C179" s="34" t="s">
        <v>262</v>
      </c>
      <c r="D179" s="34" t="s">
        <v>257</v>
      </c>
      <c r="E179" s="128">
        <f>SUMIFS(XUẤT!P:P,XUẤT!N:N,CBCNV!B179,XUẤT!O:O,CBCNV!$E$2)</f>
        <v>0</v>
      </c>
      <c r="F179" s="133">
        <f t="shared" si="31"/>
        <v>0</v>
      </c>
      <c r="G179" s="128">
        <f>SUMIFS(XUẤT!Q:Q,XUẤT!N:N,CBCNV!B179,XUẤT!O:O,CBCNV!$G$2)</f>
        <v>0</v>
      </c>
      <c r="H179" s="132">
        <f t="shared" si="32"/>
        <v>0</v>
      </c>
      <c r="I179" s="128">
        <f>SUMIFS(XUẤT!R:R,XUẤT!N:N,CBCNV!B179,XUẤT!O:O,CBCNV!$I$2)</f>
        <v>0</v>
      </c>
      <c r="J179" s="133">
        <f t="shared" si="33"/>
        <v>0</v>
      </c>
      <c r="K179" s="128">
        <f>SUMIFS(XUẤT!S:S,XUẤT!N:N,CBCNV!B179,XUẤT!O:O,CBCNV!$K$2)</f>
        <v>0</v>
      </c>
      <c r="L179" s="133">
        <f t="shared" si="34"/>
        <v>0</v>
      </c>
      <c r="M179" s="128">
        <f>SUMIFS(XUẤT!T:T,XUẤT!N:N,CBCNV!B179,XUẤT!O:O,CBCNV!$M$2)</f>
        <v>0</v>
      </c>
      <c r="N179" s="133">
        <f t="shared" si="35"/>
        <v>0</v>
      </c>
      <c r="O179" s="128">
        <f>SUMIFS(XUẤT!U:U,XUẤT!N:N,CBCNV!B179,XUẤT!O:O,CBCNV!$O$2)</f>
        <v>0</v>
      </c>
      <c r="P179" s="133">
        <f t="shared" si="36"/>
        <v>0</v>
      </c>
      <c r="Q179" s="30"/>
      <c r="R179" s="16"/>
    </row>
    <row r="180" spans="1:18" s="134" customFormat="1" x14ac:dyDescent="0.3">
      <c r="A180" s="131">
        <v>173</v>
      </c>
      <c r="B180" s="10" t="s">
        <v>268</v>
      </c>
      <c r="C180" s="34" t="s">
        <v>262</v>
      </c>
      <c r="D180" s="34" t="s">
        <v>257</v>
      </c>
      <c r="E180" s="128">
        <f>SUMIFS(XUẤT!P:P,XUẤT!N:N,CBCNV!B180,XUẤT!O:O,CBCNV!$E$2)</f>
        <v>0</v>
      </c>
      <c r="F180" s="133">
        <f t="shared" si="31"/>
        <v>0</v>
      </c>
      <c r="G180" s="128">
        <f>SUMIFS(XUẤT!Q:Q,XUẤT!N:N,CBCNV!B180,XUẤT!O:O,CBCNV!$G$2)</f>
        <v>0</v>
      </c>
      <c r="H180" s="132">
        <f t="shared" si="32"/>
        <v>0</v>
      </c>
      <c r="I180" s="128">
        <f>SUMIFS(XUẤT!R:R,XUẤT!N:N,CBCNV!B180,XUẤT!O:O,CBCNV!$I$2)</f>
        <v>0</v>
      </c>
      <c r="J180" s="133">
        <f t="shared" si="33"/>
        <v>0</v>
      </c>
      <c r="K180" s="128">
        <f>SUMIFS(XUẤT!S:S,XUẤT!N:N,CBCNV!B180,XUẤT!O:O,CBCNV!$K$2)</f>
        <v>0</v>
      </c>
      <c r="L180" s="133">
        <f t="shared" si="34"/>
        <v>0</v>
      </c>
      <c r="M180" s="128">
        <f>SUMIFS(XUẤT!T:T,XUẤT!N:N,CBCNV!B180,XUẤT!O:O,CBCNV!$M$2)</f>
        <v>0</v>
      </c>
      <c r="N180" s="133">
        <f t="shared" si="35"/>
        <v>0</v>
      </c>
      <c r="O180" s="128">
        <f>SUMIFS(XUẤT!U:U,XUẤT!N:N,CBCNV!B180,XUẤT!O:O,CBCNV!$O$2)</f>
        <v>0</v>
      </c>
      <c r="P180" s="133">
        <f t="shared" si="36"/>
        <v>0</v>
      </c>
      <c r="Q180" s="30"/>
      <c r="R180" s="16"/>
    </row>
    <row r="181" spans="1:18" s="134" customFormat="1" x14ac:dyDescent="0.3">
      <c r="A181" s="131">
        <v>174</v>
      </c>
      <c r="B181" s="10" t="s">
        <v>269</v>
      </c>
      <c r="C181" s="34" t="s">
        <v>270</v>
      </c>
      <c r="D181" s="34" t="s">
        <v>257</v>
      </c>
      <c r="E181" s="128">
        <f>SUMIFS(XUẤT!P:P,XUẤT!N:N,CBCNV!B181,XUẤT!O:O,CBCNV!$E$2)</f>
        <v>0</v>
      </c>
      <c r="F181" s="133">
        <f t="shared" si="31"/>
        <v>0</v>
      </c>
      <c r="G181" s="128">
        <f>SUMIFS(XUẤT!Q:Q,XUẤT!N:N,CBCNV!B181,XUẤT!O:O,CBCNV!$G$2)</f>
        <v>0</v>
      </c>
      <c r="H181" s="132">
        <f t="shared" si="32"/>
        <v>0</v>
      </c>
      <c r="I181" s="128">
        <f>SUMIFS(XUẤT!R:R,XUẤT!N:N,CBCNV!B181,XUẤT!O:O,CBCNV!$I$2)</f>
        <v>0</v>
      </c>
      <c r="J181" s="133">
        <f t="shared" si="33"/>
        <v>0</v>
      </c>
      <c r="K181" s="128">
        <f>SUMIFS(XUẤT!S:S,XUẤT!N:N,CBCNV!B181,XUẤT!O:O,CBCNV!$K$2)</f>
        <v>0</v>
      </c>
      <c r="L181" s="133">
        <f t="shared" si="34"/>
        <v>0</v>
      </c>
      <c r="M181" s="128">
        <f>SUMIFS(XUẤT!T:T,XUẤT!N:N,CBCNV!B181,XUẤT!O:O,CBCNV!$M$2)</f>
        <v>0</v>
      </c>
      <c r="N181" s="133">
        <f t="shared" si="35"/>
        <v>0</v>
      </c>
      <c r="O181" s="128">
        <f>SUMIFS(XUẤT!U:U,XUẤT!N:N,CBCNV!B181,XUẤT!O:O,CBCNV!$O$2)</f>
        <v>0</v>
      </c>
      <c r="P181" s="133">
        <f t="shared" si="36"/>
        <v>0</v>
      </c>
      <c r="Q181" s="30"/>
      <c r="R181" s="16"/>
    </row>
    <row r="182" spans="1:18" s="134" customFormat="1" x14ac:dyDescent="0.3">
      <c r="A182" s="131">
        <v>175</v>
      </c>
      <c r="B182" s="10" t="s">
        <v>271</v>
      </c>
      <c r="C182" s="34" t="s">
        <v>270</v>
      </c>
      <c r="D182" s="34" t="s">
        <v>257</v>
      </c>
      <c r="E182" s="128">
        <f>SUMIFS(XUẤT!P:P,XUẤT!N:N,CBCNV!B182,XUẤT!O:O,CBCNV!$E$2)</f>
        <v>0</v>
      </c>
      <c r="F182" s="133">
        <f t="shared" si="31"/>
        <v>0</v>
      </c>
      <c r="G182" s="128">
        <f>SUMIFS(XUẤT!Q:Q,XUẤT!N:N,CBCNV!B182,XUẤT!O:O,CBCNV!$G$2)</f>
        <v>0</v>
      </c>
      <c r="H182" s="132">
        <f t="shared" si="32"/>
        <v>0</v>
      </c>
      <c r="I182" s="128">
        <f>SUMIFS(XUẤT!R:R,XUẤT!N:N,CBCNV!B182,XUẤT!O:O,CBCNV!$I$2)</f>
        <v>0</v>
      </c>
      <c r="J182" s="133">
        <f t="shared" si="33"/>
        <v>0</v>
      </c>
      <c r="K182" s="128">
        <f>SUMIFS(XUẤT!S:S,XUẤT!N:N,CBCNV!B182,XUẤT!O:O,CBCNV!$K$2)</f>
        <v>0</v>
      </c>
      <c r="L182" s="133">
        <f t="shared" si="34"/>
        <v>0</v>
      </c>
      <c r="M182" s="128">
        <f>SUMIFS(XUẤT!T:T,XUẤT!N:N,CBCNV!B182,XUẤT!O:O,CBCNV!$M$2)</f>
        <v>0</v>
      </c>
      <c r="N182" s="133">
        <f t="shared" si="35"/>
        <v>0</v>
      </c>
      <c r="O182" s="128">
        <f>SUMIFS(XUẤT!U:U,XUẤT!N:N,CBCNV!B182,XUẤT!O:O,CBCNV!$O$2)</f>
        <v>0</v>
      </c>
      <c r="P182" s="133">
        <f t="shared" si="36"/>
        <v>0</v>
      </c>
      <c r="Q182" s="30"/>
      <c r="R182" s="16"/>
    </row>
    <row r="183" spans="1:18" s="134" customFormat="1" x14ac:dyDescent="0.3">
      <c r="A183" s="131">
        <v>176</v>
      </c>
      <c r="B183" s="10" t="s">
        <v>37</v>
      </c>
      <c r="C183" s="131" t="s">
        <v>270</v>
      </c>
      <c r="D183" s="131" t="s">
        <v>257</v>
      </c>
      <c r="E183" s="128">
        <f>SUMIFS(XUẤT!P:P,XUẤT!N:N,CBCNV!B183,XUẤT!O:O,CBCNV!$E$2)</f>
        <v>0</v>
      </c>
      <c r="F183" s="133">
        <f t="shared" si="31"/>
        <v>0</v>
      </c>
      <c r="G183" s="128">
        <f>SUMIFS(XUẤT!Q:Q,XUẤT!N:N,CBCNV!B183,XUẤT!O:O,CBCNV!$G$2)</f>
        <v>0</v>
      </c>
      <c r="H183" s="132">
        <f t="shared" si="32"/>
        <v>0</v>
      </c>
      <c r="I183" s="128">
        <f>SUMIFS(XUẤT!R:R,XUẤT!N:N,CBCNV!B183,XUẤT!O:O,CBCNV!$I$2)</f>
        <v>0</v>
      </c>
      <c r="J183" s="133">
        <f t="shared" si="33"/>
        <v>0</v>
      </c>
      <c r="K183" s="128">
        <f>SUMIFS(XUẤT!S:S,XUẤT!N:N,CBCNV!B183,XUẤT!O:O,CBCNV!$K$2)</f>
        <v>0</v>
      </c>
      <c r="L183" s="133">
        <f t="shared" si="34"/>
        <v>0</v>
      </c>
      <c r="M183" s="128">
        <f>SUMIFS(XUẤT!T:T,XUẤT!N:N,CBCNV!B183,XUẤT!O:O,CBCNV!$M$2)</f>
        <v>3</v>
      </c>
      <c r="N183" s="133">
        <f t="shared" si="35"/>
        <v>156000</v>
      </c>
      <c r="O183" s="128">
        <f>SUMIFS(XUẤT!U:U,XUẤT!N:N,CBCNV!B183,XUẤT!O:O,CBCNV!$O$2)</f>
        <v>0</v>
      </c>
      <c r="P183" s="133">
        <f t="shared" si="36"/>
        <v>0</v>
      </c>
      <c r="Q183" s="30"/>
      <c r="R183" s="16"/>
    </row>
    <row r="184" spans="1:18" s="134" customFormat="1" x14ac:dyDescent="0.3">
      <c r="A184" s="131">
        <v>177</v>
      </c>
      <c r="B184" s="10" t="s">
        <v>272</v>
      </c>
      <c r="C184" s="131" t="s">
        <v>270</v>
      </c>
      <c r="D184" s="131" t="s">
        <v>257</v>
      </c>
      <c r="E184" s="128">
        <f>SUMIFS(XUẤT!P:P,XUẤT!N:N,CBCNV!B184,XUẤT!O:O,CBCNV!$E$2)</f>
        <v>0</v>
      </c>
      <c r="F184" s="133">
        <f t="shared" si="31"/>
        <v>0</v>
      </c>
      <c r="G184" s="128">
        <f>SUMIFS(XUẤT!Q:Q,XUẤT!N:N,CBCNV!B184,XUẤT!O:O,CBCNV!$G$2)</f>
        <v>0</v>
      </c>
      <c r="H184" s="132">
        <f t="shared" si="32"/>
        <v>0</v>
      </c>
      <c r="I184" s="128">
        <f>SUMIFS(XUẤT!R:R,XUẤT!N:N,CBCNV!B184,XUẤT!O:O,CBCNV!$I$2)</f>
        <v>0</v>
      </c>
      <c r="J184" s="133">
        <f t="shared" si="33"/>
        <v>0</v>
      </c>
      <c r="K184" s="128">
        <f>SUMIFS(XUẤT!S:S,XUẤT!N:N,CBCNV!B184,XUẤT!O:O,CBCNV!$K$2)</f>
        <v>0</v>
      </c>
      <c r="L184" s="133">
        <f t="shared" si="34"/>
        <v>0</v>
      </c>
      <c r="M184" s="128">
        <f>SUMIFS(XUẤT!T:T,XUẤT!N:N,CBCNV!B184,XUẤT!O:O,CBCNV!$M$2)</f>
        <v>0</v>
      </c>
      <c r="N184" s="133">
        <f t="shared" si="35"/>
        <v>0</v>
      </c>
      <c r="O184" s="128">
        <f>SUMIFS(XUẤT!U:U,XUẤT!N:N,CBCNV!B184,XUẤT!O:O,CBCNV!$O$2)</f>
        <v>0</v>
      </c>
      <c r="P184" s="133">
        <f t="shared" si="36"/>
        <v>0</v>
      </c>
      <c r="Q184" s="30"/>
      <c r="R184" s="16"/>
    </row>
    <row r="185" spans="1:18" s="134" customFormat="1" x14ac:dyDescent="0.3">
      <c r="A185" s="131">
        <v>178</v>
      </c>
      <c r="B185" s="10" t="s">
        <v>273</v>
      </c>
      <c r="C185" s="131" t="s">
        <v>270</v>
      </c>
      <c r="D185" s="131" t="s">
        <v>257</v>
      </c>
      <c r="E185" s="128">
        <f>SUMIFS(XUẤT!P:P,XUẤT!N:N,CBCNV!B185,XUẤT!O:O,CBCNV!$E$2)</f>
        <v>0</v>
      </c>
      <c r="F185" s="133">
        <f t="shared" si="31"/>
        <v>0</v>
      </c>
      <c r="G185" s="128">
        <f>SUMIFS(XUẤT!Q:Q,XUẤT!N:N,CBCNV!B185,XUẤT!O:O,CBCNV!$G$2)</f>
        <v>0</v>
      </c>
      <c r="H185" s="132">
        <f t="shared" si="32"/>
        <v>0</v>
      </c>
      <c r="I185" s="128">
        <f>SUMIFS(XUẤT!R:R,XUẤT!N:N,CBCNV!B185,XUẤT!O:O,CBCNV!$I$2)</f>
        <v>0</v>
      </c>
      <c r="J185" s="133">
        <f t="shared" si="33"/>
        <v>0</v>
      </c>
      <c r="K185" s="128">
        <f>SUMIFS(XUẤT!S:S,XUẤT!N:N,CBCNV!B185,XUẤT!O:O,CBCNV!$K$2)</f>
        <v>0</v>
      </c>
      <c r="L185" s="133">
        <f t="shared" si="34"/>
        <v>0</v>
      </c>
      <c r="M185" s="128">
        <f>SUMIFS(XUẤT!T:T,XUẤT!N:N,CBCNV!B185,XUẤT!O:O,CBCNV!$M$2)</f>
        <v>0</v>
      </c>
      <c r="N185" s="133">
        <f t="shared" si="35"/>
        <v>0</v>
      </c>
      <c r="O185" s="128">
        <f>SUMIFS(XUẤT!U:U,XUẤT!N:N,CBCNV!B185,XUẤT!O:O,CBCNV!$O$2)</f>
        <v>0</v>
      </c>
      <c r="P185" s="133">
        <f t="shared" si="36"/>
        <v>0</v>
      </c>
      <c r="Q185" s="30"/>
      <c r="R185" s="16"/>
    </row>
    <row r="186" spans="1:18" s="134" customFormat="1" x14ac:dyDescent="0.3">
      <c r="A186" s="131">
        <v>179</v>
      </c>
      <c r="B186" s="10" t="s">
        <v>274</v>
      </c>
      <c r="C186" s="34" t="s">
        <v>148</v>
      </c>
      <c r="D186" s="34" t="s">
        <v>257</v>
      </c>
      <c r="E186" s="128">
        <f>SUMIFS(XUẤT!P:P,XUẤT!N:N,CBCNV!B186,XUẤT!O:O,CBCNV!$E$2)</f>
        <v>10</v>
      </c>
      <c r="F186" s="133">
        <f t="shared" si="31"/>
        <v>980000</v>
      </c>
      <c r="G186" s="128">
        <f>SUMIFS(XUẤT!Q:Q,XUẤT!N:N,CBCNV!B186,XUẤT!O:O,CBCNV!$G$2)</f>
        <v>0</v>
      </c>
      <c r="H186" s="132">
        <f t="shared" si="32"/>
        <v>0</v>
      </c>
      <c r="I186" s="128">
        <f>SUMIFS(XUẤT!R:R,XUẤT!N:N,CBCNV!B186,XUẤT!O:O,CBCNV!$I$2)</f>
        <v>0</v>
      </c>
      <c r="J186" s="133">
        <f t="shared" si="33"/>
        <v>0</v>
      </c>
      <c r="K186" s="128">
        <f>SUMIFS(XUẤT!S:S,XUẤT!N:N,CBCNV!B186,XUẤT!O:O,CBCNV!$K$2)</f>
        <v>0</v>
      </c>
      <c r="L186" s="133">
        <f t="shared" si="34"/>
        <v>0</v>
      </c>
      <c r="M186" s="128">
        <f>SUMIFS(XUẤT!T:T,XUẤT!N:N,CBCNV!B186,XUẤT!O:O,CBCNV!$M$2)</f>
        <v>0</v>
      </c>
      <c r="N186" s="133">
        <f t="shared" si="35"/>
        <v>0</v>
      </c>
      <c r="O186" s="128">
        <f>SUMIFS(XUẤT!U:U,XUẤT!N:N,CBCNV!B186,XUẤT!O:O,CBCNV!$O$2)</f>
        <v>0</v>
      </c>
      <c r="P186" s="133">
        <f t="shared" si="36"/>
        <v>0</v>
      </c>
      <c r="Q186" s="30"/>
      <c r="R186" s="16"/>
    </row>
    <row r="187" spans="1:18" s="134" customFormat="1" x14ac:dyDescent="0.3">
      <c r="A187" s="131">
        <v>180</v>
      </c>
      <c r="B187" s="10" t="s">
        <v>275</v>
      </c>
      <c r="C187" s="34" t="s">
        <v>148</v>
      </c>
      <c r="D187" s="34" t="s">
        <v>257</v>
      </c>
      <c r="E187" s="128">
        <f>SUMIFS(XUẤT!P:P,XUẤT!N:N,CBCNV!B187,XUẤT!O:O,CBCNV!$E$2)</f>
        <v>0</v>
      </c>
      <c r="F187" s="133">
        <f t="shared" si="31"/>
        <v>0</v>
      </c>
      <c r="G187" s="128">
        <f>SUMIFS(XUẤT!Q:Q,XUẤT!N:N,CBCNV!B187,XUẤT!O:O,CBCNV!$G$2)</f>
        <v>0</v>
      </c>
      <c r="H187" s="132">
        <f t="shared" si="32"/>
        <v>0</v>
      </c>
      <c r="I187" s="128">
        <f>SUMIFS(XUẤT!R:R,XUẤT!N:N,CBCNV!B187,XUẤT!O:O,CBCNV!$I$2)</f>
        <v>0</v>
      </c>
      <c r="J187" s="133">
        <f t="shared" si="33"/>
        <v>0</v>
      </c>
      <c r="K187" s="128">
        <f>SUMIFS(XUẤT!S:S,XUẤT!N:N,CBCNV!B187,XUẤT!O:O,CBCNV!$K$2)</f>
        <v>0</v>
      </c>
      <c r="L187" s="133">
        <f t="shared" si="34"/>
        <v>0</v>
      </c>
      <c r="M187" s="128">
        <f>SUMIFS(XUẤT!T:T,XUẤT!N:N,CBCNV!B187,XUẤT!O:O,CBCNV!$M$2)</f>
        <v>0</v>
      </c>
      <c r="N187" s="133">
        <f t="shared" si="35"/>
        <v>0</v>
      </c>
      <c r="O187" s="128">
        <f>SUMIFS(XUẤT!U:U,XUẤT!N:N,CBCNV!B187,XUẤT!O:O,CBCNV!$O$2)</f>
        <v>0</v>
      </c>
      <c r="P187" s="133">
        <f t="shared" si="36"/>
        <v>0</v>
      </c>
      <c r="Q187" s="30"/>
      <c r="R187" s="16"/>
    </row>
    <row r="188" spans="1:18" s="134" customFormat="1" x14ac:dyDescent="0.3">
      <c r="A188" s="131">
        <v>181</v>
      </c>
      <c r="B188" s="136" t="s">
        <v>276</v>
      </c>
      <c r="C188" s="34" t="s">
        <v>148</v>
      </c>
      <c r="D188" s="131" t="s">
        <v>257</v>
      </c>
      <c r="E188" s="128">
        <f>SUMIFS(XUẤT!P:P,XUẤT!N:N,CBCNV!B188,XUẤT!O:O,CBCNV!$E$2)</f>
        <v>0</v>
      </c>
      <c r="F188" s="133">
        <f t="shared" si="31"/>
        <v>0</v>
      </c>
      <c r="G188" s="128">
        <f>SUMIFS(XUẤT!Q:Q,XUẤT!N:N,CBCNV!B188,XUẤT!O:O,CBCNV!$G$2)</f>
        <v>0</v>
      </c>
      <c r="H188" s="132">
        <f t="shared" si="32"/>
        <v>0</v>
      </c>
      <c r="I188" s="128">
        <f>SUMIFS(XUẤT!R:R,XUẤT!N:N,CBCNV!B188,XUẤT!O:O,CBCNV!$I$2)</f>
        <v>0</v>
      </c>
      <c r="J188" s="133">
        <f t="shared" si="33"/>
        <v>0</v>
      </c>
      <c r="K188" s="128">
        <f>SUMIFS(XUẤT!S:S,XUẤT!N:N,CBCNV!B188,XUẤT!O:O,CBCNV!$K$2)</f>
        <v>0</v>
      </c>
      <c r="L188" s="133">
        <f t="shared" si="34"/>
        <v>0</v>
      </c>
      <c r="M188" s="128">
        <f>SUMIFS(XUẤT!T:T,XUẤT!N:N,CBCNV!B188,XUẤT!O:O,CBCNV!$M$2)</f>
        <v>0</v>
      </c>
      <c r="N188" s="133">
        <f t="shared" si="35"/>
        <v>0</v>
      </c>
      <c r="O188" s="128">
        <f>SUMIFS(XUẤT!U:U,XUẤT!N:N,CBCNV!B188,XUẤT!O:O,CBCNV!$O$2)</f>
        <v>0</v>
      </c>
      <c r="P188" s="133">
        <f t="shared" si="36"/>
        <v>0</v>
      </c>
      <c r="Q188" s="30"/>
      <c r="R188" s="16"/>
    </row>
    <row r="189" spans="1:18" s="134" customFormat="1" x14ac:dyDescent="0.3">
      <c r="A189" s="131">
        <v>182</v>
      </c>
      <c r="B189" s="10" t="s">
        <v>277</v>
      </c>
      <c r="C189" s="34" t="s">
        <v>148</v>
      </c>
      <c r="D189" s="131" t="s">
        <v>257</v>
      </c>
      <c r="E189" s="128">
        <f>SUMIFS(XUẤT!P:P,XUẤT!N:N,CBCNV!B189,XUẤT!O:O,CBCNV!$E$2)</f>
        <v>0</v>
      </c>
      <c r="F189" s="133">
        <f t="shared" si="31"/>
        <v>0</v>
      </c>
      <c r="G189" s="128">
        <f>SUMIFS(XUẤT!Q:Q,XUẤT!N:N,CBCNV!B189,XUẤT!O:O,CBCNV!$G$2)</f>
        <v>0</v>
      </c>
      <c r="H189" s="132">
        <f t="shared" si="32"/>
        <v>0</v>
      </c>
      <c r="I189" s="128">
        <f>SUMIFS(XUẤT!R:R,XUẤT!N:N,CBCNV!B189,XUẤT!O:O,CBCNV!$I$2)</f>
        <v>0</v>
      </c>
      <c r="J189" s="133">
        <f t="shared" si="33"/>
        <v>0</v>
      </c>
      <c r="K189" s="128">
        <f>SUMIFS(XUẤT!S:S,XUẤT!N:N,CBCNV!B189,XUẤT!O:O,CBCNV!$K$2)</f>
        <v>0</v>
      </c>
      <c r="L189" s="133">
        <f t="shared" si="34"/>
        <v>0</v>
      </c>
      <c r="M189" s="128">
        <f>SUMIFS(XUẤT!T:T,XUẤT!N:N,CBCNV!B189,XUẤT!O:O,CBCNV!$M$2)</f>
        <v>0</v>
      </c>
      <c r="N189" s="133">
        <f t="shared" si="35"/>
        <v>0</v>
      </c>
      <c r="O189" s="128">
        <f>SUMIFS(XUẤT!U:U,XUẤT!N:N,CBCNV!B189,XUẤT!O:O,CBCNV!$O$2)</f>
        <v>0</v>
      </c>
      <c r="P189" s="133">
        <f t="shared" si="36"/>
        <v>0</v>
      </c>
      <c r="Q189" s="30"/>
      <c r="R189" s="16"/>
    </row>
    <row r="190" spans="1:18" s="134" customFormat="1" x14ac:dyDescent="0.3">
      <c r="A190" s="131">
        <v>183</v>
      </c>
      <c r="B190" s="10" t="s">
        <v>278</v>
      </c>
      <c r="C190" s="34" t="s">
        <v>148</v>
      </c>
      <c r="D190" s="131" t="s">
        <v>257</v>
      </c>
      <c r="E190" s="128">
        <f>SUMIFS(XUẤT!P:P,XUẤT!N:N,CBCNV!B190,XUẤT!O:O,CBCNV!$E$2)</f>
        <v>0</v>
      </c>
      <c r="F190" s="133">
        <f t="shared" si="31"/>
        <v>0</v>
      </c>
      <c r="G190" s="128">
        <f>SUMIFS(XUẤT!Q:Q,XUẤT!N:N,CBCNV!B190,XUẤT!O:O,CBCNV!$G$2)</f>
        <v>0</v>
      </c>
      <c r="H190" s="132">
        <f t="shared" si="32"/>
        <v>0</v>
      </c>
      <c r="I190" s="128">
        <f>SUMIFS(XUẤT!R:R,XUẤT!N:N,CBCNV!B190,XUẤT!O:O,CBCNV!$I$2)</f>
        <v>0</v>
      </c>
      <c r="J190" s="133">
        <f t="shared" si="33"/>
        <v>0</v>
      </c>
      <c r="K190" s="128">
        <f>SUMIFS(XUẤT!S:S,XUẤT!N:N,CBCNV!B190,XUẤT!O:O,CBCNV!$K$2)</f>
        <v>0</v>
      </c>
      <c r="L190" s="133">
        <f t="shared" si="34"/>
        <v>0</v>
      </c>
      <c r="M190" s="128">
        <f>SUMIFS(XUẤT!T:T,XUẤT!N:N,CBCNV!B190,XUẤT!O:O,CBCNV!$M$2)</f>
        <v>0</v>
      </c>
      <c r="N190" s="133">
        <f t="shared" si="35"/>
        <v>0</v>
      </c>
      <c r="O190" s="128">
        <f>SUMIFS(XUẤT!U:U,XUẤT!N:N,CBCNV!B190,XUẤT!O:O,CBCNV!$O$2)</f>
        <v>0</v>
      </c>
      <c r="P190" s="133">
        <f t="shared" si="36"/>
        <v>0</v>
      </c>
      <c r="Q190" s="30"/>
      <c r="R190" s="16"/>
    </row>
    <row r="191" spans="1:18" s="134" customFormat="1" x14ac:dyDescent="0.3">
      <c r="A191" s="131">
        <v>184</v>
      </c>
      <c r="B191" s="10" t="s">
        <v>279</v>
      </c>
      <c r="C191" s="131" t="s">
        <v>148</v>
      </c>
      <c r="D191" s="131" t="s">
        <v>257</v>
      </c>
      <c r="E191" s="128">
        <f>SUMIFS(XUẤT!P:P,XUẤT!N:N,CBCNV!B191,XUẤT!O:O,CBCNV!$E$2)</f>
        <v>0</v>
      </c>
      <c r="F191" s="133">
        <f t="shared" si="31"/>
        <v>0</v>
      </c>
      <c r="G191" s="128">
        <f>SUMIFS(XUẤT!Q:Q,XUẤT!N:N,CBCNV!B191,XUẤT!O:O,CBCNV!$G$2)</f>
        <v>0</v>
      </c>
      <c r="H191" s="132">
        <f t="shared" si="32"/>
        <v>0</v>
      </c>
      <c r="I191" s="128">
        <f>SUMIFS(XUẤT!R:R,XUẤT!N:N,CBCNV!B191,XUẤT!O:O,CBCNV!$I$2)</f>
        <v>0</v>
      </c>
      <c r="J191" s="133">
        <f t="shared" si="33"/>
        <v>0</v>
      </c>
      <c r="K191" s="128">
        <f>SUMIFS(XUẤT!S:S,XUẤT!N:N,CBCNV!B191,XUẤT!O:O,CBCNV!$K$2)</f>
        <v>0</v>
      </c>
      <c r="L191" s="133">
        <f t="shared" si="34"/>
        <v>0</v>
      </c>
      <c r="M191" s="128">
        <f>SUMIFS(XUẤT!T:T,XUẤT!N:N,CBCNV!B191,XUẤT!O:O,CBCNV!$M$2)</f>
        <v>0</v>
      </c>
      <c r="N191" s="133">
        <f t="shared" si="35"/>
        <v>0</v>
      </c>
      <c r="O191" s="128">
        <f>SUMIFS(XUẤT!U:U,XUẤT!N:N,CBCNV!B191,XUẤT!O:O,CBCNV!$O$2)</f>
        <v>0</v>
      </c>
      <c r="P191" s="133">
        <f t="shared" si="36"/>
        <v>0</v>
      </c>
      <c r="Q191" s="30"/>
      <c r="R191" s="16"/>
    </row>
    <row r="192" spans="1:18" s="134" customFormat="1" x14ac:dyDescent="0.3">
      <c r="A192" s="131">
        <v>185</v>
      </c>
      <c r="B192" s="10" t="s">
        <v>280</v>
      </c>
      <c r="C192" s="131" t="s">
        <v>148</v>
      </c>
      <c r="D192" s="131" t="s">
        <v>257</v>
      </c>
      <c r="E192" s="128">
        <f>SUMIFS(XUẤT!P:P,XUẤT!N:N,CBCNV!B192,XUẤT!O:O,CBCNV!$E$2)</f>
        <v>0</v>
      </c>
      <c r="F192" s="133">
        <f t="shared" si="31"/>
        <v>0</v>
      </c>
      <c r="G192" s="128">
        <f>SUMIFS(XUẤT!Q:Q,XUẤT!N:N,CBCNV!B192,XUẤT!O:O,CBCNV!$G$2)</f>
        <v>0</v>
      </c>
      <c r="H192" s="132">
        <f t="shared" si="32"/>
        <v>0</v>
      </c>
      <c r="I192" s="128">
        <f>SUMIFS(XUẤT!R:R,XUẤT!N:N,CBCNV!B192,XUẤT!O:O,CBCNV!$I$2)</f>
        <v>0</v>
      </c>
      <c r="J192" s="133">
        <f t="shared" si="33"/>
        <v>0</v>
      </c>
      <c r="K192" s="128">
        <f>SUMIFS(XUẤT!S:S,XUẤT!N:N,CBCNV!B192,XUẤT!O:O,CBCNV!$K$2)</f>
        <v>0</v>
      </c>
      <c r="L192" s="133">
        <f t="shared" si="34"/>
        <v>0</v>
      </c>
      <c r="M192" s="128">
        <f>SUMIFS(XUẤT!T:T,XUẤT!N:N,CBCNV!B192,XUẤT!O:O,CBCNV!$M$2)</f>
        <v>0</v>
      </c>
      <c r="N192" s="133">
        <f t="shared" si="35"/>
        <v>0</v>
      </c>
      <c r="O192" s="128">
        <f>SUMIFS(XUẤT!U:U,XUẤT!N:N,CBCNV!B192,XUẤT!O:O,CBCNV!$O$2)</f>
        <v>0</v>
      </c>
      <c r="P192" s="133">
        <f t="shared" si="36"/>
        <v>0</v>
      </c>
      <c r="Q192" s="30"/>
      <c r="R192" s="16"/>
    </row>
    <row r="193" spans="1:18" s="134" customFormat="1" x14ac:dyDescent="0.3">
      <c r="A193" s="131">
        <v>186</v>
      </c>
      <c r="B193" s="10" t="s">
        <v>281</v>
      </c>
      <c r="C193" s="131" t="s">
        <v>148</v>
      </c>
      <c r="D193" s="131" t="s">
        <v>257</v>
      </c>
      <c r="E193" s="128">
        <f>SUMIFS(XUẤT!P:P,XUẤT!N:N,CBCNV!B193,XUẤT!O:O,CBCNV!$E$2)</f>
        <v>0</v>
      </c>
      <c r="F193" s="133">
        <f t="shared" si="31"/>
        <v>0</v>
      </c>
      <c r="G193" s="128">
        <f>SUMIFS(XUẤT!Q:Q,XUẤT!N:N,CBCNV!B193,XUẤT!O:O,CBCNV!$G$2)</f>
        <v>0</v>
      </c>
      <c r="H193" s="132">
        <f t="shared" si="32"/>
        <v>0</v>
      </c>
      <c r="I193" s="128">
        <f>SUMIFS(XUẤT!R:R,XUẤT!N:N,CBCNV!B193,XUẤT!O:O,CBCNV!$I$2)</f>
        <v>0</v>
      </c>
      <c r="J193" s="133">
        <f t="shared" si="33"/>
        <v>0</v>
      </c>
      <c r="K193" s="128">
        <f>SUMIFS(XUẤT!S:S,XUẤT!N:N,CBCNV!B193,XUẤT!O:O,CBCNV!$K$2)</f>
        <v>0</v>
      </c>
      <c r="L193" s="133">
        <f t="shared" si="34"/>
        <v>0</v>
      </c>
      <c r="M193" s="128">
        <f>SUMIFS(XUẤT!T:T,XUẤT!N:N,CBCNV!B193,XUẤT!O:O,CBCNV!$M$2)</f>
        <v>0</v>
      </c>
      <c r="N193" s="133">
        <f t="shared" si="35"/>
        <v>0</v>
      </c>
      <c r="O193" s="128">
        <f>SUMIFS(XUẤT!U:U,XUẤT!N:N,CBCNV!B193,XUẤT!O:O,CBCNV!$O$2)</f>
        <v>0</v>
      </c>
      <c r="P193" s="133">
        <f t="shared" si="36"/>
        <v>0</v>
      </c>
      <c r="Q193" s="30"/>
      <c r="R193" s="16"/>
    </row>
    <row r="194" spans="1:18" s="134" customFormat="1" x14ac:dyDescent="0.3">
      <c r="A194" s="131">
        <v>187</v>
      </c>
      <c r="B194" s="10" t="s">
        <v>282</v>
      </c>
      <c r="C194" s="131" t="s">
        <v>148</v>
      </c>
      <c r="D194" s="131" t="s">
        <v>257</v>
      </c>
      <c r="E194" s="128">
        <f>SUMIFS(XUẤT!P:P,XUẤT!N:N,CBCNV!B194,XUẤT!O:O,CBCNV!$E$2)</f>
        <v>0</v>
      </c>
      <c r="F194" s="133">
        <f t="shared" si="31"/>
        <v>0</v>
      </c>
      <c r="G194" s="128">
        <f>SUMIFS(XUẤT!Q:Q,XUẤT!N:N,CBCNV!B194,XUẤT!O:O,CBCNV!$G$2)</f>
        <v>0</v>
      </c>
      <c r="H194" s="132">
        <f t="shared" si="32"/>
        <v>0</v>
      </c>
      <c r="I194" s="128">
        <f>SUMIFS(XUẤT!R:R,XUẤT!N:N,CBCNV!B194,XUẤT!O:O,CBCNV!$I$2)</f>
        <v>0</v>
      </c>
      <c r="J194" s="133">
        <f t="shared" si="33"/>
        <v>0</v>
      </c>
      <c r="K194" s="128">
        <f>SUMIFS(XUẤT!S:S,XUẤT!N:N,CBCNV!B194,XUẤT!O:O,CBCNV!$K$2)</f>
        <v>0</v>
      </c>
      <c r="L194" s="133">
        <f t="shared" si="34"/>
        <v>0</v>
      </c>
      <c r="M194" s="128">
        <f>SUMIFS(XUẤT!T:T,XUẤT!N:N,CBCNV!B194,XUẤT!O:O,CBCNV!$M$2)</f>
        <v>0</v>
      </c>
      <c r="N194" s="133">
        <f t="shared" si="35"/>
        <v>0</v>
      </c>
      <c r="O194" s="128">
        <f>SUMIFS(XUẤT!U:U,XUẤT!N:N,CBCNV!B194,XUẤT!O:O,CBCNV!$O$2)</f>
        <v>0</v>
      </c>
      <c r="P194" s="133">
        <f t="shared" si="36"/>
        <v>0</v>
      </c>
      <c r="Q194" s="30"/>
      <c r="R194" s="16"/>
    </row>
    <row r="195" spans="1:18" s="134" customFormat="1" x14ac:dyDescent="0.3">
      <c r="A195" s="131">
        <v>188</v>
      </c>
      <c r="B195" s="10" t="s">
        <v>283</v>
      </c>
      <c r="C195" s="131" t="s">
        <v>148</v>
      </c>
      <c r="D195" s="131" t="s">
        <v>257</v>
      </c>
      <c r="E195" s="128">
        <f>SUMIFS(XUẤT!P:P,XUẤT!N:N,CBCNV!B195,XUẤT!O:O,CBCNV!$E$2)</f>
        <v>0</v>
      </c>
      <c r="F195" s="133">
        <f t="shared" si="31"/>
        <v>0</v>
      </c>
      <c r="G195" s="128">
        <f>SUMIFS(XUẤT!Q:Q,XUẤT!N:N,CBCNV!B195,XUẤT!O:O,CBCNV!$G$2)</f>
        <v>0</v>
      </c>
      <c r="H195" s="132">
        <f t="shared" si="32"/>
        <v>0</v>
      </c>
      <c r="I195" s="128">
        <f>SUMIFS(XUẤT!R:R,XUẤT!N:N,CBCNV!B195,XUẤT!O:O,CBCNV!$I$2)</f>
        <v>0</v>
      </c>
      <c r="J195" s="133">
        <f t="shared" si="33"/>
        <v>0</v>
      </c>
      <c r="K195" s="128">
        <f>SUMIFS(XUẤT!S:S,XUẤT!N:N,CBCNV!B195,XUẤT!O:O,CBCNV!$K$2)</f>
        <v>0</v>
      </c>
      <c r="L195" s="133">
        <f t="shared" si="34"/>
        <v>0</v>
      </c>
      <c r="M195" s="128">
        <f>SUMIFS(XUẤT!T:T,XUẤT!N:N,CBCNV!B195,XUẤT!O:O,CBCNV!$M$2)</f>
        <v>0</v>
      </c>
      <c r="N195" s="133">
        <f t="shared" si="35"/>
        <v>0</v>
      </c>
      <c r="O195" s="128">
        <f>SUMIFS(XUẤT!U:U,XUẤT!N:N,CBCNV!B195,XUẤT!O:O,CBCNV!$O$2)</f>
        <v>0</v>
      </c>
      <c r="P195" s="133">
        <f t="shared" si="36"/>
        <v>0</v>
      </c>
      <c r="Q195" s="30"/>
      <c r="R195" s="16"/>
    </row>
    <row r="196" spans="1:18" s="134" customFormat="1" x14ac:dyDescent="0.3">
      <c r="A196" s="131">
        <v>189</v>
      </c>
      <c r="B196" s="10" t="s">
        <v>284</v>
      </c>
      <c r="C196" s="34" t="s">
        <v>148</v>
      </c>
      <c r="D196" s="34" t="s">
        <v>257</v>
      </c>
      <c r="E196" s="128">
        <f>SUMIFS(XUẤT!P:P,XUẤT!N:N,CBCNV!B196,XUẤT!O:O,CBCNV!$E$2)</f>
        <v>0</v>
      </c>
      <c r="F196" s="133">
        <f t="shared" si="31"/>
        <v>0</v>
      </c>
      <c r="G196" s="128">
        <f>SUMIFS(XUẤT!Q:Q,XUẤT!N:N,CBCNV!B196,XUẤT!O:O,CBCNV!$G$2)</f>
        <v>0</v>
      </c>
      <c r="H196" s="132">
        <f t="shared" si="32"/>
        <v>0</v>
      </c>
      <c r="I196" s="128">
        <f>SUMIFS(XUẤT!R:R,XUẤT!N:N,CBCNV!B196,XUẤT!O:O,CBCNV!$I$2)</f>
        <v>0</v>
      </c>
      <c r="J196" s="133">
        <f t="shared" si="33"/>
        <v>0</v>
      </c>
      <c r="K196" s="128">
        <f>SUMIFS(XUẤT!S:S,XUẤT!N:N,CBCNV!B196,XUẤT!O:O,CBCNV!$K$2)</f>
        <v>0</v>
      </c>
      <c r="L196" s="133">
        <f t="shared" si="34"/>
        <v>0</v>
      </c>
      <c r="M196" s="128">
        <f>SUMIFS(XUẤT!T:T,XUẤT!N:N,CBCNV!B196,XUẤT!O:O,CBCNV!$M$2)</f>
        <v>0</v>
      </c>
      <c r="N196" s="133">
        <f t="shared" si="35"/>
        <v>0</v>
      </c>
      <c r="O196" s="128">
        <f>SUMIFS(XUẤT!U:U,XUẤT!N:N,CBCNV!B196,XUẤT!O:O,CBCNV!$O$2)</f>
        <v>0</v>
      </c>
      <c r="P196" s="133">
        <f t="shared" si="36"/>
        <v>0</v>
      </c>
      <c r="Q196" s="30"/>
      <c r="R196" s="16"/>
    </row>
    <row r="197" spans="1:18" s="134" customFormat="1" x14ac:dyDescent="0.3">
      <c r="A197" s="131">
        <v>190</v>
      </c>
      <c r="B197" s="10" t="s">
        <v>285</v>
      </c>
      <c r="C197" s="131" t="s">
        <v>286</v>
      </c>
      <c r="D197" s="131" t="s">
        <v>257</v>
      </c>
      <c r="E197" s="128">
        <f>SUMIFS(XUẤT!P:P,XUẤT!N:N,CBCNV!B197,XUẤT!O:O,CBCNV!$E$2)</f>
        <v>0</v>
      </c>
      <c r="F197" s="133">
        <f t="shared" si="31"/>
        <v>0</v>
      </c>
      <c r="G197" s="128">
        <f>SUMIFS(XUẤT!Q:Q,XUẤT!N:N,CBCNV!B197,XUẤT!O:O,CBCNV!$G$2)</f>
        <v>0</v>
      </c>
      <c r="H197" s="132">
        <f t="shared" si="32"/>
        <v>0</v>
      </c>
      <c r="I197" s="128">
        <f>SUMIFS(XUẤT!R:R,XUẤT!N:N,CBCNV!B197,XUẤT!O:O,CBCNV!$I$2)</f>
        <v>0</v>
      </c>
      <c r="J197" s="133">
        <f t="shared" si="33"/>
        <v>0</v>
      </c>
      <c r="K197" s="128">
        <f>SUMIFS(XUẤT!S:S,XUẤT!N:N,CBCNV!B197,XUẤT!O:O,CBCNV!$K$2)</f>
        <v>0</v>
      </c>
      <c r="L197" s="133">
        <f t="shared" si="34"/>
        <v>0</v>
      </c>
      <c r="M197" s="128">
        <f>SUMIFS(XUẤT!T:T,XUẤT!N:N,CBCNV!B197,XUẤT!O:O,CBCNV!$M$2)</f>
        <v>0</v>
      </c>
      <c r="N197" s="133">
        <f t="shared" si="35"/>
        <v>0</v>
      </c>
      <c r="O197" s="128">
        <f>SUMIFS(XUẤT!U:U,XUẤT!N:N,CBCNV!B197,XUẤT!O:O,CBCNV!$O$2)</f>
        <v>0</v>
      </c>
      <c r="P197" s="133">
        <f t="shared" si="36"/>
        <v>0</v>
      </c>
      <c r="Q197" s="30"/>
      <c r="R197" s="16"/>
    </row>
    <row r="198" spans="1:18" s="134" customFormat="1" x14ac:dyDescent="0.3">
      <c r="A198" s="131">
        <v>191</v>
      </c>
      <c r="B198" s="10" t="s">
        <v>287</v>
      </c>
      <c r="C198" s="131" t="s">
        <v>286</v>
      </c>
      <c r="D198" s="131" t="s">
        <v>257</v>
      </c>
      <c r="E198" s="128">
        <f>SUMIFS(XUẤT!P:P,XUẤT!N:N,CBCNV!B198,XUẤT!O:O,CBCNV!$E$2)</f>
        <v>0</v>
      </c>
      <c r="F198" s="133">
        <f t="shared" si="31"/>
        <v>0</v>
      </c>
      <c r="G198" s="128">
        <f>SUMIFS(XUẤT!Q:Q,XUẤT!N:N,CBCNV!B198,XUẤT!O:O,CBCNV!$G$2)</f>
        <v>0</v>
      </c>
      <c r="H198" s="132">
        <f t="shared" si="32"/>
        <v>0</v>
      </c>
      <c r="I198" s="128">
        <f>SUMIFS(XUẤT!R:R,XUẤT!N:N,CBCNV!B198,XUẤT!O:O,CBCNV!$I$2)</f>
        <v>0</v>
      </c>
      <c r="J198" s="133">
        <f t="shared" si="33"/>
        <v>0</v>
      </c>
      <c r="K198" s="128">
        <f>SUMIFS(XUẤT!S:S,XUẤT!N:N,CBCNV!B198,XUẤT!O:O,CBCNV!$K$2)</f>
        <v>0</v>
      </c>
      <c r="L198" s="133">
        <f t="shared" si="34"/>
        <v>0</v>
      </c>
      <c r="M198" s="128">
        <f>SUMIFS(XUẤT!T:T,XUẤT!N:N,CBCNV!B198,XUẤT!O:O,CBCNV!$M$2)</f>
        <v>0</v>
      </c>
      <c r="N198" s="133">
        <f t="shared" si="35"/>
        <v>0</v>
      </c>
      <c r="O198" s="128">
        <f>SUMIFS(XUẤT!U:U,XUẤT!N:N,CBCNV!B198,XUẤT!O:O,CBCNV!$O$2)</f>
        <v>0</v>
      </c>
      <c r="P198" s="133">
        <f t="shared" si="36"/>
        <v>0</v>
      </c>
      <c r="Q198" s="30"/>
      <c r="R198" s="16"/>
    </row>
    <row r="199" spans="1:18" s="134" customFormat="1" x14ac:dyDescent="0.3">
      <c r="A199" s="131">
        <v>192</v>
      </c>
      <c r="B199" s="10" t="s">
        <v>288</v>
      </c>
      <c r="C199" s="131" t="s">
        <v>167</v>
      </c>
      <c r="D199" s="131" t="s">
        <v>257</v>
      </c>
      <c r="E199" s="128">
        <f>SUMIFS(XUẤT!P:P,XUẤT!N:N,CBCNV!B199,XUẤT!O:O,CBCNV!$E$2)</f>
        <v>0</v>
      </c>
      <c r="F199" s="133">
        <f t="shared" ref="F199:F200" si="37">E199*$T$10</f>
        <v>0</v>
      </c>
      <c r="G199" s="128">
        <f>SUMIFS(XUẤT!Q:Q,XUẤT!N:N,CBCNV!B199,XUẤT!O:O,CBCNV!$G$2)</f>
        <v>0</v>
      </c>
      <c r="H199" s="132">
        <f t="shared" ref="H199:H200" si="38">G199*$T$8</f>
        <v>0</v>
      </c>
      <c r="I199" s="128">
        <f>SUMIFS(XUẤT!R:R,XUẤT!N:N,CBCNV!B199,XUẤT!O:O,CBCNV!$I$2)</f>
        <v>0</v>
      </c>
      <c r="J199" s="133">
        <f t="shared" ref="J199:J200" si="39">I199*$T$9</f>
        <v>0</v>
      </c>
      <c r="K199" s="128">
        <f>SUMIFS(XUẤT!S:S,XUẤT!N:N,CBCNV!B199,XUẤT!O:O,CBCNV!$K$2)</f>
        <v>0</v>
      </c>
      <c r="L199" s="133">
        <f t="shared" ref="L199:L200" si="40">K199*$T$11</f>
        <v>0</v>
      </c>
      <c r="M199" s="128">
        <f>SUMIFS(XUẤT!T:T,XUẤT!N:N,CBCNV!B199,XUẤT!O:O,CBCNV!$M$2)</f>
        <v>0</v>
      </c>
      <c r="N199" s="133">
        <f t="shared" ref="N199:N200" si="41">M199*$T$12</f>
        <v>0</v>
      </c>
      <c r="O199" s="128">
        <f>SUMIFS(XUẤT!U:U,XUẤT!N:N,CBCNV!B199,XUẤT!O:O,CBCNV!$O$2)</f>
        <v>0</v>
      </c>
      <c r="P199" s="133">
        <f t="shared" ref="P199:P200" si="42">O199*$T$13</f>
        <v>0</v>
      </c>
      <c r="Q199" s="30"/>
      <c r="R199" s="16"/>
    </row>
    <row r="200" spans="1:18" s="134" customFormat="1" x14ac:dyDescent="0.3">
      <c r="A200" s="137">
        <v>193</v>
      </c>
      <c r="B200" s="35" t="s">
        <v>289</v>
      </c>
      <c r="C200" s="137" t="s">
        <v>167</v>
      </c>
      <c r="D200" s="137" t="s">
        <v>257</v>
      </c>
      <c r="E200" s="128">
        <f>SUMIFS(XUẤT!P:P,XUẤT!N:N,CBCNV!B200,XUẤT!O:O,CBCNV!$E$2)</f>
        <v>0</v>
      </c>
      <c r="F200" s="139">
        <f t="shared" si="37"/>
        <v>0</v>
      </c>
      <c r="G200" s="128">
        <f>SUMIFS(XUẤT!Q:Q,XUẤT!N:N,CBCNV!B200,XUẤT!O:O,CBCNV!$G$2)</f>
        <v>0</v>
      </c>
      <c r="H200" s="138">
        <f t="shared" si="38"/>
        <v>0</v>
      </c>
      <c r="I200" s="128">
        <f>SUMIFS(XUẤT!R:R,XUẤT!N:N,CBCNV!B200,XUẤT!O:O,CBCNV!$I$2)</f>
        <v>0</v>
      </c>
      <c r="J200" s="139">
        <f t="shared" si="39"/>
        <v>0</v>
      </c>
      <c r="K200" s="128">
        <f>SUMIFS(XUẤT!S:S,XUẤT!N:N,CBCNV!B200,XUẤT!O:O,CBCNV!$K$2)</f>
        <v>0</v>
      </c>
      <c r="L200" s="139">
        <f t="shared" si="40"/>
        <v>0</v>
      </c>
      <c r="M200" s="128">
        <f>SUMIFS(XUẤT!T:T,XUẤT!N:N,CBCNV!B200,XUẤT!O:O,CBCNV!$M$2)</f>
        <v>0</v>
      </c>
      <c r="N200" s="139">
        <f t="shared" si="41"/>
        <v>0</v>
      </c>
      <c r="O200" s="128">
        <f>SUMIFS(XUẤT!U:U,XUẤT!N:N,CBCNV!B200,XUẤT!O:O,CBCNV!$O$2)</f>
        <v>0</v>
      </c>
      <c r="P200" s="139">
        <f t="shared" si="42"/>
        <v>0</v>
      </c>
      <c r="Q200" s="30"/>
      <c r="R200" s="16"/>
    </row>
  </sheetData>
  <autoFilter ref="A6:T200" xr:uid="{00000000-0009-0000-0000-000001000000}"/>
  <mergeCells count="4">
    <mergeCell ref="A1:A3"/>
    <mergeCell ref="B1:B3"/>
    <mergeCell ref="C1:C3"/>
    <mergeCell ref="D1:D3"/>
  </mergeCells>
  <conditionalFormatting sqref="B202:B1048576 B4:B48 B50:B200">
    <cfRule type="duplicateValues" dxfId="28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W36"/>
  <sheetViews>
    <sheetView zoomScale="70" zoomScaleNormal="70" workbookViewId="0">
      <selection activeCell="A12" sqref="A12:XFD12"/>
    </sheetView>
  </sheetViews>
  <sheetFormatPr defaultColWidth="8.88671875" defaultRowHeight="18" x14ac:dyDescent="0.35"/>
  <cols>
    <col min="1" max="1" width="6.5546875" style="36" customWidth="1"/>
    <col min="2" max="2" width="15.6640625" style="37" customWidth="1"/>
    <col min="3" max="3" width="15.109375" style="38" customWidth="1"/>
    <col min="4" max="4" width="15.109375" style="39" customWidth="1"/>
    <col min="5" max="6" width="15.109375" style="14" customWidth="1"/>
    <col min="7" max="7" width="15.109375" style="40" customWidth="1"/>
    <col min="8" max="23" width="15.109375" style="37" customWidth="1"/>
    <col min="24" max="16384" width="8.88671875" style="37"/>
  </cols>
  <sheetData>
    <row r="1" spans="1:23" ht="20.399999999999999" x14ac:dyDescent="0.35">
      <c r="A1" s="367" t="s">
        <v>290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67"/>
      <c r="Q1" s="367"/>
      <c r="R1" s="367"/>
      <c r="S1" s="367"/>
      <c r="T1" s="367"/>
      <c r="U1" s="367"/>
      <c r="V1" s="367"/>
    </row>
    <row r="2" spans="1:23" ht="20.399999999999999" x14ac:dyDescent="0.35">
      <c r="A2" s="368" t="s">
        <v>291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68"/>
      <c r="S2" s="368"/>
      <c r="T2" s="368"/>
      <c r="U2" s="368"/>
      <c r="V2" s="368"/>
    </row>
    <row r="3" spans="1:23" x14ac:dyDescent="0.35">
      <c r="A3" s="369"/>
      <c r="B3" s="369"/>
      <c r="C3" s="369"/>
      <c r="D3" s="369"/>
    </row>
    <row r="4" spans="1:23" s="41" customFormat="1" ht="18.75" customHeight="1" x14ac:dyDescent="0.3">
      <c r="A4" s="370" t="s">
        <v>3</v>
      </c>
      <c r="B4" s="370" t="s">
        <v>4</v>
      </c>
      <c r="C4" s="371" t="s">
        <v>292</v>
      </c>
      <c r="D4" s="371"/>
      <c r="E4" s="371"/>
      <c r="F4" s="371"/>
      <c r="G4" s="371"/>
      <c r="H4" s="371"/>
      <c r="I4" s="371"/>
      <c r="J4" s="371" t="s">
        <v>293</v>
      </c>
      <c r="K4" s="371"/>
      <c r="L4" s="371"/>
      <c r="M4" s="371"/>
      <c r="N4" s="371"/>
      <c r="O4" s="371"/>
      <c r="P4" s="371"/>
      <c r="Q4" s="371" t="s">
        <v>294</v>
      </c>
      <c r="R4" s="371"/>
      <c r="S4" s="371"/>
      <c r="T4" s="371"/>
      <c r="U4" s="371"/>
      <c r="V4" s="371"/>
      <c r="W4" s="371"/>
    </row>
    <row r="5" spans="1:23" s="43" customFormat="1" x14ac:dyDescent="0.3">
      <c r="A5" s="370"/>
      <c r="B5" s="370"/>
      <c r="C5" s="42" t="s">
        <v>28</v>
      </c>
      <c r="D5" s="42" t="s">
        <v>32</v>
      </c>
      <c r="E5" s="42" t="s">
        <v>25</v>
      </c>
      <c r="F5" s="42" t="s">
        <v>35</v>
      </c>
      <c r="G5" s="42" t="s">
        <v>36</v>
      </c>
      <c r="H5" s="42" t="s">
        <v>38</v>
      </c>
      <c r="I5" s="42" t="s">
        <v>22</v>
      </c>
      <c r="J5" s="42" t="s">
        <v>28</v>
      </c>
      <c r="K5" s="42" t="s">
        <v>32</v>
      </c>
      <c r="L5" s="42" t="s">
        <v>25</v>
      </c>
      <c r="M5" s="42" t="s">
        <v>35</v>
      </c>
      <c r="N5" s="42" t="s">
        <v>36</v>
      </c>
      <c r="O5" s="42" t="s">
        <v>38</v>
      </c>
      <c r="P5" s="42" t="s">
        <v>22</v>
      </c>
      <c r="Q5" s="42" t="s">
        <v>28</v>
      </c>
      <c r="R5" s="42" t="s">
        <v>32</v>
      </c>
      <c r="S5" s="42" t="s">
        <v>25</v>
      </c>
      <c r="T5" s="42" t="s">
        <v>35</v>
      </c>
      <c r="U5" s="42" t="s">
        <v>36</v>
      </c>
      <c r="V5" s="42" t="s">
        <v>38</v>
      </c>
      <c r="W5" s="42" t="s">
        <v>22</v>
      </c>
    </row>
    <row r="6" spans="1:23" x14ac:dyDescent="0.35">
      <c r="A6" s="44">
        <v>1</v>
      </c>
      <c r="B6" s="45">
        <v>46266</v>
      </c>
      <c r="C6" s="46"/>
      <c r="D6" s="47"/>
      <c r="E6" s="48"/>
      <c r="F6" s="48"/>
      <c r="G6" s="49"/>
      <c r="H6" s="50"/>
      <c r="I6" s="50"/>
      <c r="J6" s="50">
        <f>SUMIFS(XUẤT!$W:$W,XUẤT!$B:$B,TỒN!$B$12,XUẤT!$O:$O,TỒN!#REF!)</f>
        <v>0</v>
      </c>
      <c r="K6" s="50">
        <f>SUMIFS(XUẤT!$W:$W,XUẤT!$B:$B,TỒN!$B$12,XUẤT!$O:$O,TỒN!#REF!)</f>
        <v>0</v>
      </c>
      <c r="L6" s="50">
        <f>SUMIFS(XUẤT!$W:$W,XUẤT!$B:$B,TỒN!$B$12,XUẤT!$O:$O,TỒN!#REF!)</f>
        <v>0</v>
      </c>
      <c r="M6" s="50">
        <f>SUMIFS(XUẤT!$W:$W,XUẤT!$B:$B,TỒN!$B$12,XUẤT!$O:$O,TỒN!#REF!)</f>
        <v>0</v>
      </c>
      <c r="N6" s="50">
        <f>SUMIFS(XUẤT!$W:$W,XUẤT!$B:$B,TỒN!$B$12,XUẤT!$O:$O,TỒN!#REF!)</f>
        <v>0</v>
      </c>
      <c r="O6" s="50">
        <f>SUMIFS(XUẤT!$W:$W,XUẤT!$B:$B,TỒN!$B$12,XUẤT!$O:$O,TỒN!#REF!)</f>
        <v>0</v>
      </c>
      <c r="P6" s="50">
        <f t="shared" ref="P6:P35" si="0">SUM(J6:O6)</f>
        <v>0</v>
      </c>
      <c r="Q6" s="50"/>
      <c r="R6" s="50"/>
      <c r="S6" s="50"/>
      <c r="T6" s="50"/>
      <c r="U6" s="50"/>
      <c r="V6" s="50"/>
      <c r="W6" s="50"/>
    </row>
    <row r="7" spans="1:23" x14ac:dyDescent="0.35">
      <c r="A7" s="44">
        <v>2</v>
      </c>
      <c r="B7" s="45">
        <v>46267</v>
      </c>
      <c r="C7" s="46"/>
      <c r="D7" s="47"/>
      <c r="E7" s="48"/>
      <c r="F7" s="48"/>
      <c r="G7" s="49"/>
      <c r="H7" s="50"/>
      <c r="I7" s="50"/>
      <c r="J7" s="50">
        <f>SUMIFS(XUẤT!$W:$W,XUẤT!$B:$B,TỒN!$B$12,XUẤT!$O:$O,TỒN!#REF!)</f>
        <v>0</v>
      </c>
      <c r="K7" s="50">
        <f>SUMIFS(XUẤT!$W:$W,XUẤT!$B:$B,TỒN!$B$12,XUẤT!$O:$O,TỒN!#REF!)</f>
        <v>0</v>
      </c>
      <c r="L7" s="50">
        <f>SUMIFS(XUẤT!$W:$W,XUẤT!$B:$B,TỒN!$B$12,XUẤT!$O:$O,TỒN!#REF!)</f>
        <v>0</v>
      </c>
      <c r="M7" s="50">
        <f>SUMIFS(XUẤT!$W:$W,XUẤT!$B:$B,TỒN!$B$12,XUẤT!$O:$O,TỒN!#REF!)</f>
        <v>0</v>
      </c>
      <c r="N7" s="50">
        <f>SUMIFS(XUẤT!$W:$W,XUẤT!$B:$B,TỒN!$B$12,XUẤT!$O:$O,TỒN!#REF!)</f>
        <v>0</v>
      </c>
      <c r="O7" s="50">
        <f>SUMIFS(XUẤT!$W:$W,XUẤT!$B:$B,TỒN!$B$12,XUẤT!$O:$O,TỒN!#REF!)</f>
        <v>0</v>
      </c>
      <c r="P7" s="50">
        <f t="shared" si="0"/>
        <v>0</v>
      </c>
      <c r="Q7" s="50"/>
      <c r="R7" s="50"/>
      <c r="S7" s="50"/>
      <c r="T7" s="50"/>
      <c r="U7" s="50"/>
      <c r="V7" s="50"/>
      <c r="W7" s="50"/>
    </row>
    <row r="8" spans="1:23" x14ac:dyDescent="0.35">
      <c r="A8" s="44">
        <v>3</v>
      </c>
      <c r="B8" s="45">
        <v>46268</v>
      </c>
      <c r="C8" s="46"/>
      <c r="D8" s="47"/>
      <c r="E8" s="48"/>
      <c r="F8" s="48"/>
      <c r="G8" s="49"/>
      <c r="H8" s="50"/>
      <c r="I8" s="50"/>
      <c r="J8" s="50">
        <f>SUMIFS(XUẤT!$W:$W,XUẤT!$B:$B,TỒN!$B$12,XUẤT!$O:$O,TỒN!J1)</f>
        <v>0</v>
      </c>
      <c r="K8" s="50">
        <f>SUMIFS(XUẤT!$W:$W,XUẤT!$B:$B,TỒN!$B$12,XUẤT!$O:$O,TỒN!K1)</f>
        <v>0</v>
      </c>
      <c r="L8" s="50">
        <f>SUMIFS(XUẤT!$W:$W,XUẤT!$B:$B,TỒN!$B$12,XUẤT!$O:$O,TỒN!L1)</f>
        <v>0</v>
      </c>
      <c r="M8" s="50">
        <f>SUMIFS(XUẤT!$W:$W,XUẤT!$B:$B,TỒN!$B$12,XUẤT!$O:$O,TỒN!M1)</f>
        <v>0</v>
      </c>
      <c r="N8" s="50">
        <f>SUMIFS(XUẤT!$W:$W,XUẤT!$B:$B,TỒN!$B$12,XUẤT!$O:$O,TỒN!N1)</f>
        <v>0</v>
      </c>
      <c r="O8" s="50">
        <f>SUMIFS(XUẤT!$W:$W,XUẤT!$B:$B,TỒN!$B$12,XUẤT!$O:$O,TỒN!O1)</f>
        <v>0</v>
      </c>
      <c r="P8" s="50">
        <f t="shared" si="0"/>
        <v>0</v>
      </c>
      <c r="Q8" s="50"/>
      <c r="R8" s="50"/>
      <c r="S8" s="50"/>
      <c r="T8" s="50"/>
      <c r="U8" s="50"/>
      <c r="V8" s="50"/>
      <c r="W8" s="50"/>
    </row>
    <row r="9" spans="1:23" x14ac:dyDescent="0.35">
      <c r="A9" s="44">
        <v>4</v>
      </c>
      <c r="B9" s="45">
        <v>46269</v>
      </c>
      <c r="C9" s="46"/>
      <c r="D9" s="47"/>
      <c r="E9" s="48"/>
      <c r="F9" s="48"/>
      <c r="G9" s="49"/>
      <c r="H9" s="50"/>
      <c r="I9" s="50"/>
      <c r="J9" s="50">
        <f>SUMIFS(XUẤT!$W:$W,XUẤT!$B:$B,TỒN!$B$12,XUẤT!$O:$O,TỒN!J2)</f>
        <v>0</v>
      </c>
      <c r="K9" s="50">
        <f>SUMIFS(XUẤT!$W:$W,XUẤT!$B:$B,TỒN!$B$12,XUẤT!$O:$O,TỒN!K2)</f>
        <v>0</v>
      </c>
      <c r="L9" s="50">
        <f>SUMIFS(XUẤT!$W:$W,XUẤT!$B:$B,TỒN!$B$12,XUẤT!$O:$O,TỒN!L2)</f>
        <v>0</v>
      </c>
      <c r="M9" s="50">
        <f>SUMIFS(XUẤT!$W:$W,XUẤT!$B:$B,TỒN!$B$12,XUẤT!$O:$O,TỒN!M2)</f>
        <v>0</v>
      </c>
      <c r="N9" s="50">
        <f>SUMIFS(XUẤT!$W:$W,XUẤT!$B:$B,TỒN!$B$12,XUẤT!$O:$O,TỒN!N2)</f>
        <v>0</v>
      </c>
      <c r="O9" s="50">
        <f>SUMIFS(XUẤT!$W:$W,XUẤT!$B:$B,TỒN!$B$12,XUẤT!$O:$O,TỒN!O2)</f>
        <v>0</v>
      </c>
      <c r="P9" s="50">
        <f t="shared" si="0"/>
        <v>0</v>
      </c>
      <c r="Q9" s="50"/>
      <c r="R9" s="50"/>
      <c r="S9" s="50"/>
      <c r="T9" s="50"/>
      <c r="U9" s="50"/>
      <c r="V9" s="50"/>
      <c r="W9" s="50"/>
    </row>
    <row r="10" spans="1:23" x14ac:dyDescent="0.35">
      <c r="A10" s="44">
        <v>5</v>
      </c>
      <c r="B10" s="45">
        <v>46270</v>
      </c>
      <c r="C10" s="46"/>
      <c r="D10" s="47"/>
      <c r="E10" s="48"/>
      <c r="F10" s="48"/>
      <c r="G10" s="49"/>
      <c r="H10" s="50"/>
      <c r="I10" s="50"/>
      <c r="J10" s="50">
        <f>SUMIFS(XUẤT!$W:$W,XUẤT!$B:$B,TỒN!$B$12,XUẤT!$O:$O,TỒN!J3)</f>
        <v>0</v>
      </c>
      <c r="K10" s="50">
        <f>SUMIFS(XUẤT!$W:$W,XUẤT!$B:$B,TỒN!$B$12,XUẤT!$O:$O,TỒN!K3)</f>
        <v>0</v>
      </c>
      <c r="L10" s="50">
        <f>SUMIFS(XUẤT!$W:$W,XUẤT!$B:$B,TỒN!$B$12,XUẤT!$O:$O,TỒN!L3)</f>
        <v>0</v>
      </c>
      <c r="M10" s="50">
        <f>SUMIFS(XUẤT!$W:$W,XUẤT!$B:$B,TỒN!$B$12,XUẤT!$O:$O,TỒN!M3)</f>
        <v>0</v>
      </c>
      <c r="N10" s="50">
        <f>SUMIFS(XUẤT!$W:$W,XUẤT!$B:$B,TỒN!$B$12,XUẤT!$O:$O,TỒN!N3)</f>
        <v>0</v>
      </c>
      <c r="O10" s="50">
        <f>SUMIFS(XUẤT!$W:$W,XUẤT!$B:$B,TỒN!$B$12,XUẤT!$O:$O,TỒN!O3)</f>
        <v>0</v>
      </c>
      <c r="P10" s="50">
        <f t="shared" si="0"/>
        <v>0</v>
      </c>
      <c r="Q10" s="50"/>
      <c r="R10" s="50"/>
      <c r="S10" s="50"/>
      <c r="T10" s="50"/>
      <c r="U10" s="50"/>
      <c r="V10" s="50"/>
      <c r="W10" s="50"/>
    </row>
    <row r="11" spans="1:23" x14ac:dyDescent="0.35">
      <c r="A11" s="44">
        <v>6</v>
      </c>
      <c r="B11" s="45">
        <v>46271</v>
      </c>
      <c r="C11" s="46"/>
      <c r="D11" s="47"/>
      <c r="E11" s="48"/>
      <c r="F11" s="48"/>
      <c r="G11" s="49"/>
      <c r="H11" s="50"/>
      <c r="I11" s="50"/>
      <c r="J11" s="50">
        <f>SUMIFS(XUẤT!$W:$W,XUẤT!$B:$B,TỒN!$B$12,XUẤT!$O:$O,TỒN!J4)</f>
        <v>0</v>
      </c>
      <c r="K11" s="50">
        <f>SUMIFS(XUẤT!$W:$W,XUẤT!$B:$B,TỒN!$B$12,XUẤT!$O:$O,TỒN!K4)</f>
        <v>0</v>
      </c>
      <c r="L11" s="50">
        <f>SUMIFS(XUẤT!$W:$W,XUẤT!$B:$B,TỒN!$B$12,XUẤT!$O:$O,TỒN!L4)</f>
        <v>0</v>
      </c>
      <c r="M11" s="50">
        <f>SUMIFS(XUẤT!$W:$W,XUẤT!$B:$B,TỒN!$B$12,XUẤT!$O:$O,TỒN!M4)</f>
        <v>0</v>
      </c>
      <c r="N11" s="50">
        <f>SUMIFS(XUẤT!$W:$W,XUẤT!$B:$B,TỒN!$B$12,XUẤT!$O:$O,TỒN!N4)</f>
        <v>0</v>
      </c>
      <c r="O11" s="50">
        <f>SUMIFS(XUẤT!$W:$W,XUẤT!$B:$B,TỒN!$B$12,XUẤT!$O:$O,TỒN!O4)</f>
        <v>0</v>
      </c>
      <c r="P11" s="50">
        <f t="shared" si="0"/>
        <v>0</v>
      </c>
      <c r="Q11" s="50"/>
      <c r="R11" s="50"/>
      <c r="S11" s="50"/>
      <c r="T11" s="50"/>
      <c r="U11" s="50"/>
      <c r="V11" s="50"/>
      <c r="W11" s="50"/>
    </row>
    <row r="12" spans="1:23" x14ac:dyDescent="0.35">
      <c r="A12" s="44">
        <v>7</v>
      </c>
      <c r="B12" s="45">
        <v>46272</v>
      </c>
      <c r="C12" s="46"/>
      <c r="D12" s="47"/>
      <c r="E12" s="48"/>
      <c r="F12" s="48"/>
      <c r="G12" s="49"/>
      <c r="H12" s="50"/>
      <c r="I12" s="50"/>
      <c r="J12" s="50">
        <f>SUMIFS(XUẤT!$W:$W,XUẤT!$B:$B,TỒN!$B$12,XUẤT!$O:$O,TỒN!J5)</f>
        <v>0</v>
      </c>
      <c r="K12" s="50">
        <f>SUMIFS(XUẤT!$W:$W,XUẤT!$B:$B,TỒN!$B$12,XUẤT!$O:$O,TỒN!K5)</f>
        <v>0</v>
      </c>
      <c r="L12" s="50">
        <f>SUMIFS(XUẤT!$W:$W,XUẤT!$B:$B,TỒN!$B$12,XUẤT!$O:$O,TỒN!L5)</f>
        <v>0</v>
      </c>
      <c r="M12" s="50">
        <f>SUMIFS(XUẤT!$W:$W,XUẤT!$B:$B,TỒN!$B$12,XUẤT!$O:$O,TỒN!M5)</f>
        <v>0</v>
      </c>
      <c r="N12" s="50">
        <f>SUMIFS(XUẤT!$W:$W,XUẤT!$B:$B,TỒN!$B$12,XUẤT!$O:$O,TỒN!N5)</f>
        <v>0</v>
      </c>
      <c r="O12" s="50">
        <f>SUMIFS(XUẤT!$W:$W,XUẤT!$B:$B,TỒN!$B$12,XUẤT!$O:$O,TỒN!O5)</f>
        <v>0</v>
      </c>
      <c r="P12" s="50">
        <f t="shared" si="0"/>
        <v>0</v>
      </c>
      <c r="Q12" s="50"/>
      <c r="R12" s="50"/>
      <c r="S12" s="50"/>
      <c r="T12" s="50"/>
      <c r="U12" s="50"/>
      <c r="V12" s="50"/>
      <c r="W12" s="50"/>
    </row>
    <row r="13" spans="1:23" x14ac:dyDescent="0.35">
      <c r="A13" s="44">
        <v>8</v>
      </c>
      <c r="B13" s="45">
        <v>46273</v>
      </c>
      <c r="C13" s="46"/>
      <c r="D13" s="47"/>
      <c r="E13" s="48"/>
      <c r="F13" s="48"/>
      <c r="G13" s="49"/>
      <c r="H13" s="50"/>
      <c r="I13" s="50"/>
      <c r="J13" s="50">
        <f>SUMIFS(XUẤT!$W:$W,XUẤT!$B:$B,TỒN!$B$12,XUẤT!$O:$O,TỒN!J12)</f>
        <v>0</v>
      </c>
      <c r="K13" s="50">
        <f>SUMIFS(XUẤT!$W:$W,XUẤT!$B:$B,TỒN!$B$12,XUẤT!$O:$O,TỒN!K12)</f>
        <v>0</v>
      </c>
      <c r="L13" s="50">
        <f>SUMIFS(XUẤT!$W:$W,XUẤT!$B:$B,TỒN!$B$12,XUẤT!$O:$O,TỒN!L12)</f>
        <v>0</v>
      </c>
      <c r="M13" s="50">
        <f>SUMIFS(XUẤT!$W:$W,XUẤT!$B:$B,TỒN!$B$12,XUẤT!$O:$O,TỒN!M12)</f>
        <v>0</v>
      </c>
      <c r="N13" s="50">
        <f>SUMIFS(XUẤT!$W:$W,XUẤT!$B:$B,TỒN!$B$12,XUẤT!$O:$O,TỒN!N12)</f>
        <v>0</v>
      </c>
      <c r="O13" s="50">
        <f>SUMIFS(XUẤT!$W:$W,XUẤT!$B:$B,TỒN!$B$12,XUẤT!$O:$O,TỒN!O12)</f>
        <v>0</v>
      </c>
      <c r="P13" s="50">
        <f t="shared" si="0"/>
        <v>0</v>
      </c>
      <c r="Q13" s="50"/>
      <c r="R13" s="50"/>
      <c r="S13" s="50"/>
      <c r="T13" s="50"/>
      <c r="U13" s="50"/>
      <c r="V13" s="50"/>
      <c r="W13" s="50"/>
    </row>
    <row r="14" spans="1:23" x14ac:dyDescent="0.35">
      <c r="A14" s="44">
        <v>9</v>
      </c>
      <c r="B14" s="45">
        <v>46274</v>
      </c>
      <c r="C14" s="46"/>
      <c r="D14" s="47"/>
      <c r="E14" s="48"/>
      <c r="F14" s="48"/>
      <c r="G14" s="49"/>
      <c r="H14" s="50"/>
      <c r="I14" s="50"/>
      <c r="J14" s="50">
        <f>SUMIFS(XUẤT!$W:$W,XUẤT!$B:$B,TỒN!$B$12,XUẤT!$O:$O,TỒN!J13)</f>
        <v>0</v>
      </c>
      <c r="K14" s="50">
        <f>SUMIFS(XUẤT!$W:$W,XUẤT!$B:$B,TỒN!$B$12,XUẤT!$O:$O,TỒN!K13)</f>
        <v>0</v>
      </c>
      <c r="L14" s="50">
        <f>SUMIFS(XUẤT!$W:$W,XUẤT!$B:$B,TỒN!$B$12,XUẤT!$O:$O,TỒN!L13)</f>
        <v>0</v>
      </c>
      <c r="M14" s="50">
        <f>SUMIFS(XUẤT!$W:$W,XUẤT!$B:$B,TỒN!$B$12,XUẤT!$O:$O,TỒN!M13)</f>
        <v>0</v>
      </c>
      <c r="N14" s="50">
        <f>SUMIFS(XUẤT!$W:$W,XUẤT!$B:$B,TỒN!$B$12,XUẤT!$O:$O,TỒN!N13)</f>
        <v>0</v>
      </c>
      <c r="O14" s="50">
        <f>SUMIFS(XUẤT!$W:$W,XUẤT!$B:$B,TỒN!$B$12,XUẤT!$O:$O,TỒN!O13)</f>
        <v>0</v>
      </c>
      <c r="P14" s="50">
        <f t="shared" si="0"/>
        <v>0</v>
      </c>
      <c r="Q14" s="50"/>
      <c r="R14" s="50"/>
      <c r="S14" s="50"/>
      <c r="T14" s="50"/>
      <c r="U14" s="50"/>
      <c r="V14" s="50"/>
      <c r="W14" s="50"/>
    </row>
    <row r="15" spans="1:23" x14ac:dyDescent="0.35">
      <c r="A15" s="44">
        <v>10</v>
      </c>
      <c r="B15" s="45">
        <v>46275</v>
      </c>
      <c r="C15" s="46"/>
      <c r="D15" s="47"/>
      <c r="E15" s="48"/>
      <c r="F15" s="48"/>
      <c r="G15" s="49"/>
      <c r="H15" s="50"/>
      <c r="I15" s="50"/>
      <c r="J15" s="50">
        <f>SUMIFS(XUẤT!$W:$W,XUẤT!$B:$B,TỒN!$B$12,XUẤT!$O:$O,TỒN!J14)</f>
        <v>0</v>
      </c>
      <c r="K15" s="50">
        <f>SUMIFS(XUẤT!$W:$W,XUẤT!$B:$B,TỒN!$B$12,XUẤT!$O:$O,TỒN!K14)</f>
        <v>0</v>
      </c>
      <c r="L15" s="50">
        <f>SUMIFS(XUẤT!$W:$W,XUẤT!$B:$B,TỒN!$B$12,XUẤT!$O:$O,TỒN!L14)</f>
        <v>0</v>
      </c>
      <c r="M15" s="50">
        <f>SUMIFS(XUẤT!$W:$W,XUẤT!$B:$B,TỒN!$B$12,XUẤT!$O:$O,TỒN!M14)</f>
        <v>0</v>
      </c>
      <c r="N15" s="50">
        <f>SUMIFS(XUẤT!$W:$W,XUẤT!$B:$B,TỒN!$B$12,XUẤT!$O:$O,TỒN!N14)</f>
        <v>0</v>
      </c>
      <c r="O15" s="50">
        <f>SUMIFS(XUẤT!$W:$W,XUẤT!$B:$B,TỒN!$B$12,XUẤT!$O:$O,TỒN!O14)</f>
        <v>0</v>
      </c>
      <c r="P15" s="50">
        <f t="shared" si="0"/>
        <v>0</v>
      </c>
      <c r="Q15" s="50"/>
      <c r="R15" s="50"/>
      <c r="S15" s="50"/>
      <c r="T15" s="50"/>
      <c r="U15" s="50"/>
      <c r="V15" s="50"/>
      <c r="W15" s="50"/>
    </row>
    <row r="16" spans="1:23" x14ac:dyDescent="0.35">
      <c r="A16" s="44">
        <v>11</v>
      </c>
      <c r="B16" s="45">
        <v>46276</v>
      </c>
      <c r="C16" s="46"/>
      <c r="D16" s="47"/>
      <c r="E16" s="48"/>
      <c r="F16" s="48"/>
      <c r="G16" s="49"/>
      <c r="H16" s="50"/>
      <c r="I16" s="50"/>
      <c r="J16" s="50">
        <f>SUMIFS(XUẤT!$W:$W,XUẤT!$B:$B,TỒN!$B$12,XUẤT!$O:$O,TỒN!J15)</f>
        <v>0</v>
      </c>
      <c r="K16" s="50">
        <f>SUMIFS(XUẤT!$W:$W,XUẤT!$B:$B,TỒN!$B$12,XUẤT!$O:$O,TỒN!K15)</f>
        <v>0</v>
      </c>
      <c r="L16" s="50">
        <f>SUMIFS(XUẤT!$W:$W,XUẤT!$B:$B,TỒN!$B$12,XUẤT!$O:$O,TỒN!L15)</f>
        <v>0</v>
      </c>
      <c r="M16" s="50">
        <f>SUMIFS(XUẤT!$W:$W,XUẤT!$B:$B,TỒN!$B$12,XUẤT!$O:$O,TỒN!M15)</f>
        <v>0</v>
      </c>
      <c r="N16" s="50">
        <f>SUMIFS(XUẤT!$W:$W,XUẤT!$B:$B,TỒN!$B$12,XUẤT!$O:$O,TỒN!N15)</f>
        <v>0</v>
      </c>
      <c r="O16" s="50">
        <f>SUMIFS(XUẤT!$W:$W,XUẤT!$B:$B,TỒN!$B$12,XUẤT!$O:$O,TỒN!O15)</f>
        <v>0</v>
      </c>
      <c r="P16" s="50">
        <f t="shared" si="0"/>
        <v>0</v>
      </c>
      <c r="Q16" s="50"/>
      <c r="R16" s="50"/>
      <c r="S16" s="50"/>
      <c r="T16" s="50"/>
      <c r="U16" s="50"/>
      <c r="V16" s="50"/>
      <c r="W16" s="50"/>
    </row>
    <row r="17" spans="1:23" x14ac:dyDescent="0.35">
      <c r="A17" s="44">
        <v>12</v>
      </c>
      <c r="B17" s="45">
        <v>46277</v>
      </c>
      <c r="C17" s="46"/>
      <c r="D17" s="47"/>
      <c r="E17" s="48"/>
      <c r="F17" s="48"/>
      <c r="G17" s="49"/>
      <c r="H17" s="50"/>
      <c r="I17" s="50"/>
      <c r="J17" s="50">
        <f>SUMIFS(XUẤT!$W:$W,XUẤT!$B:$B,TỒN!$B$12,XUẤT!$O:$O,TỒN!J16)</f>
        <v>0</v>
      </c>
      <c r="K17" s="50">
        <f>SUMIFS(XUẤT!$W:$W,XUẤT!$B:$B,TỒN!$B$12,XUẤT!$O:$O,TỒN!K16)</f>
        <v>0</v>
      </c>
      <c r="L17" s="50">
        <f>SUMIFS(XUẤT!$W:$W,XUẤT!$B:$B,TỒN!$B$12,XUẤT!$O:$O,TỒN!L16)</f>
        <v>0</v>
      </c>
      <c r="M17" s="50">
        <f>SUMIFS(XUẤT!$W:$W,XUẤT!$B:$B,TỒN!$B$12,XUẤT!$O:$O,TỒN!M16)</f>
        <v>0</v>
      </c>
      <c r="N17" s="50">
        <f>SUMIFS(XUẤT!$W:$W,XUẤT!$B:$B,TỒN!$B$12,XUẤT!$O:$O,TỒN!N16)</f>
        <v>0</v>
      </c>
      <c r="O17" s="50">
        <f>SUMIFS(XUẤT!$W:$W,XUẤT!$B:$B,TỒN!$B$12,XUẤT!$O:$O,TỒN!O16)</f>
        <v>0</v>
      </c>
      <c r="P17" s="50">
        <f t="shared" si="0"/>
        <v>0</v>
      </c>
      <c r="Q17" s="50"/>
      <c r="R17" s="50"/>
      <c r="S17" s="50"/>
      <c r="T17" s="50"/>
      <c r="U17" s="50"/>
      <c r="V17" s="50"/>
      <c r="W17" s="50"/>
    </row>
    <row r="18" spans="1:23" x14ac:dyDescent="0.35">
      <c r="A18" s="44">
        <v>13</v>
      </c>
      <c r="B18" s="45">
        <v>46278</v>
      </c>
      <c r="C18" s="46"/>
      <c r="D18" s="47"/>
      <c r="E18" s="48"/>
      <c r="F18" s="48"/>
      <c r="G18" s="49"/>
      <c r="H18" s="50"/>
      <c r="I18" s="50"/>
      <c r="J18" s="50">
        <f>SUMIFS(XUẤT!$W:$W,XUẤT!$B:$B,TỒN!$B$12,XUẤT!$O:$O,TỒN!J17)</f>
        <v>0</v>
      </c>
      <c r="K18" s="50">
        <f>SUMIFS(XUẤT!$W:$W,XUẤT!$B:$B,TỒN!$B$12,XUẤT!$O:$O,TỒN!K17)</f>
        <v>0</v>
      </c>
      <c r="L18" s="50">
        <f>SUMIFS(XUẤT!$W:$W,XUẤT!$B:$B,TỒN!$B$12,XUẤT!$O:$O,TỒN!L17)</f>
        <v>0</v>
      </c>
      <c r="M18" s="50">
        <f>SUMIFS(XUẤT!$W:$W,XUẤT!$B:$B,TỒN!$B$12,XUẤT!$O:$O,TỒN!M17)</f>
        <v>0</v>
      </c>
      <c r="N18" s="50">
        <f>SUMIFS(XUẤT!$W:$W,XUẤT!$B:$B,TỒN!$B$12,XUẤT!$O:$O,TỒN!N17)</f>
        <v>0</v>
      </c>
      <c r="O18" s="50">
        <f>SUMIFS(XUẤT!$W:$W,XUẤT!$B:$B,TỒN!$B$12,XUẤT!$O:$O,TỒN!O17)</f>
        <v>0</v>
      </c>
      <c r="P18" s="50">
        <f t="shared" si="0"/>
        <v>0</v>
      </c>
      <c r="Q18" s="50"/>
      <c r="R18" s="50"/>
      <c r="S18" s="50"/>
      <c r="T18" s="50"/>
      <c r="U18" s="50"/>
      <c r="V18" s="50"/>
      <c r="W18" s="50"/>
    </row>
    <row r="19" spans="1:23" x14ac:dyDescent="0.35">
      <c r="A19" s="44">
        <v>14</v>
      </c>
      <c r="B19" s="45">
        <v>46279</v>
      </c>
      <c r="C19" s="46"/>
      <c r="D19" s="47"/>
      <c r="E19" s="48"/>
      <c r="F19" s="48"/>
      <c r="G19" s="49"/>
      <c r="H19" s="50"/>
      <c r="I19" s="50"/>
      <c r="J19" s="50">
        <f>SUMIFS(XUẤT!$W:$W,XUẤT!$B:$B,TỒN!$B$12,XUẤT!$O:$O,TỒN!J18)</f>
        <v>0</v>
      </c>
      <c r="K19" s="50">
        <f>SUMIFS(XUẤT!$W:$W,XUẤT!$B:$B,TỒN!$B$12,XUẤT!$O:$O,TỒN!K18)</f>
        <v>0</v>
      </c>
      <c r="L19" s="50">
        <f>SUMIFS(XUẤT!$W:$W,XUẤT!$B:$B,TỒN!$B$12,XUẤT!$O:$O,TỒN!L18)</f>
        <v>0</v>
      </c>
      <c r="M19" s="50">
        <f>SUMIFS(XUẤT!$W:$W,XUẤT!$B:$B,TỒN!$B$12,XUẤT!$O:$O,TỒN!M18)</f>
        <v>0</v>
      </c>
      <c r="N19" s="50">
        <f>SUMIFS(XUẤT!$W:$W,XUẤT!$B:$B,TỒN!$B$12,XUẤT!$O:$O,TỒN!N18)</f>
        <v>0</v>
      </c>
      <c r="O19" s="50">
        <f>SUMIFS(XUẤT!$W:$W,XUẤT!$B:$B,TỒN!$B$12,XUẤT!$O:$O,TỒN!O18)</f>
        <v>0</v>
      </c>
      <c r="P19" s="50">
        <f t="shared" si="0"/>
        <v>0</v>
      </c>
      <c r="Q19" s="50"/>
      <c r="R19" s="50"/>
      <c r="S19" s="50"/>
      <c r="T19" s="50"/>
      <c r="U19" s="50"/>
      <c r="V19" s="50"/>
      <c r="W19" s="50"/>
    </row>
    <row r="20" spans="1:23" x14ac:dyDescent="0.35">
      <c r="A20" s="44">
        <v>15</v>
      </c>
      <c r="B20" s="45">
        <v>46280</v>
      </c>
      <c r="C20" s="46"/>
      <c r="D20" s="47"/>
      <c r="E20" s="48"/>
      <c r="F20" s="48"/>
      <c r="G20" s="49"/>
      <c r="H20" s="50"/>
      <c r="I20" s="50"/>
      <c r="J20" s="50">
        <f>SUMIFS(XUẤT!$W:$W,XUẤT!$B:$B,TỒN!$B$12,XUẤT!$O:$O,TỒN!J19)</f>
        <v>0</v>
      </c>
      <c r="K20" s="50">
        <f>SUMIFS(XUẤT!$W:$W,XUẤT!$B:$B,TỒN!$B$12,XUẤT!$O:$O,TỒN!K19)</f>
        <v>0</v>
      </c>
      <c r="L20" s="50">
        <f>SUMIFS(XUẤT!$W:$W,XUẤT!$B:$B,TỒN!$B$12,XUẤT!$O:$O,TỒN!L19)</f>
        <v>0</v>
      </c>
      <c r="M20" s="50">
        <f>SUMIFS(XUẤT!$W:$W,XUẤT!$B:$B,TỒN!$B$12,XUẤT!$O:$O,TỒN!M19)</f>
        <v>0</v>
      </c>
      <c r="N20" s="50">
        <f>SUMIFS(XUẤT!$W:$W,XUẤT!$B:$B,TỒN!$B$12,XUẤT!$O:$O,TỒN!N19)</f>
        <v>0</v>
      </c>
      <c r="O20" s="50">
        <f>SUMIFS(XUẤT!$W:$W,XUẤT!$B:$B,TỒN!$B$12,XUẤT!$O:$O,TỒN!O19)</f>
        <v>0</v>
      </c>
      <c r="P20" s="50">
        <f t="shared" si="0"/>
        <v>0</v>
      </c>
      <c r="Q20" s="50"/>
      <c r="R20" s="50"/>
      <c r="S20" s="50"/>
      <c r="T20" s="50"/>
      <c r="U20" s="50"/>
      <c r="V20" s="50"/>
      <c r="W20" s="50"/>
    </row>
    <row r="21" spans="1:23" x14ac:dyDescent="0.35">
      <c r="A21" s="44">
        <v>16</v>
      </c>
      <c r="B21" s="45">
        <v>46281</v>
      </c>
      <c r="C21" s="46"/>
      <c r="D21" s="47"/>
      <c r="E21" s="48"/>
      <c r="F21" s="48"/>
      <c r="G21" s="49"/>
      <c r="H21" s="50"/>
      <c r="I21" s="50"/>
      <c r="J21" s="50">
        <f>SUMIFS(XUẤT!$W:$W,XUẤT!$B:$B,TỒN!$B$12,XUẤT!$O:$O,TỒN!J20)</f>
        <v>0</v>
      </c>
      <c r="K21" s="50">
        <f>SUMIFS(XUẤT!$W:$W,XUẤT!$B:$B,TỒN!$B$12,XUẤT!$O:$O,TỒN!K20)</f>
        <v>0</v>
      </c>
      <c r="L21" s="50">
        <f>SUMIFS(XUẤT!$W:$W,XUẤT!$B:$B,TỒN!$B$12,XUẤT!$O:$O,TỒN!L20)</f>
        <v>0</v>
      </c>
      <c r="M21" s="50">
        <f>SUMIFS(XUẤT!$W:$W,XUẤT!$B:$B,TỒN!$B$12,XUẤT!$O:$O,TỒN!M20)</f>
        <v>0</v>
      </c>
      <c r="N21" s="50">
        <f>SUMIFS(XUẤT!$W:$W,XUẤT!$B:$B,TỒN!$B$12,XUẤT!$O:$O,TỒN!N20)</f>
        <v>0</v>
      </c>
      <c r="O21" s="50">
        <f>SUMIFS(XUẤT!$W:$W,XUẤT!$B:$B,TỒN!$B$12,XUẤT!$O:$O,TỒN!O20)</f>
        <v>0</v>
      </c>
      <c r="P21" s="50">
        <f t="shared" si="0"/>
        <v>0</v>
      </c>
      <c r="Q21" s="50"/>
      <c r="R21" s="50"/>
      <c r="S21" s="50"/>
      <c r="T21" s="50"/>
      <c r="U21" s="50"/>
      <c r="V21" s="50"/>
      <c r="W21" s="50"/>
    </row>
    <row r="22" spans="1:23" x14ac:dyDescent="0.35">
      <c r="A22" s="44">
        <v>17</v>
      </c>
      <c r="B22" s="45">
        <v>46282</v>
      </c>
      <c r="C22" s="46"/>
      <c r="D22" s="47"/>
      <c r="E22" s="48"/>
      <c r="F22" s="48"/>
      <c r="G22" s="49"/>
      <c r="H22" s="50"/>
      <c r="I22" s="50"/>
      <c r="J22" s="50">
        <f>SUMIFS(XUẤT!$W:$W,XUẤT!$B:$B,TỒN!$B$12,XUẤT!$O:$O,TỒN!J21)</f>
        <v>0</v>
      </c>
      <c r="K22" s="50">
        <f>SUMIFS(XUẤT!$W:$W,XUẤT!$B:$B,TỒN!$B$12,XUẤT!$O:$O,TỒN!K21)</f>
        <v>0</v>
      </c>
      <c r="L22" s="50">
        <f>SUMIFS(XUẤT!$W:$W,XUẤT!$B:$B,TỒN!$B$12,XUẤT!$O:$O,TỒN!L21)</f>
        <v>0</v>
      </c>
      <c r="M22" s="50">
        <f>SUMIFS(XUẤT!$W:$W,XUẤT!$B:$B,TỒN!$B$12,XUẤT!$O:$O,TỒN!M21)</f>
        <v>0</v>
      </c>
      <c r="N22" s="50">
        <f>SUMIFS(XUẤT!$W:$W,XUẤT!$B:$B,TỒN!$B$12,XUẤT!$O:$O,TỒN!N21)</f>
        <v>0</v>
      </c>
      <c r="O22" s="50">
        <f>SUMIFS(XUẤT!$W:$W,XUẤT!$B:$B,TỒN!$B$12,XUẤT!$O:$O,TỒN!O21)</f>
        <v>0</v>
      </c>
      <c r="P22" s="50">
        <f t="shared" si="0"/>
        <v>0</v>
      </c>
      <c r="Q22" s="50"/>
      <c r="R22" s="50"/>
      <c r="S22" s="50"/>
      <c r="T22" s="50"/>
      <c r="U22" s="50"/>
      <c r="V22" s="50"/>
      <c r="W22" s="50"/>
    </row>
    <row r="23" spans="1:23" x14ac:dyDescent="0.35">
      <c r="A23" s="44">
        <v>18</v>
      </c>
      <c r="B23" s="45">
        <v>46283</v>
      </c>
      <c r="C23" s="46"/>
      <c r="D23" s="47"/>
      <c r="E23" s="48"/>
      <c r="F23" s="48"/>
      <c r="G23" s="49"/>
      <c r="H23" s="50"/>
      <c r="I23" s="50"/>
      <c r="J23" s="50">
        <f>SUMIFS(XUẤT!$W:$W,XUẤT!$B:$B,TỒN!$B$12,XUẤT!$O:$O,TỒN!J22)</f>
        <v>0</v>
      </c>
      <c r="K23" s="50">
        <f>SUMIFS(XUẤT!$W:$W,XUẤT!$B:$B,TỒN!$B$12,XUẤT!$O:$O,TỒN!K22)</f>
        <v>0</v>
      </c>
      <c r="L23" s="50">
        <f>SUMIFS(XUẤT!$W:$W,XUẤT!$B:$B,TỒN!$B$12,XUẤT!$O:$O,TỒN!L22)</f>
        <v>0</v>
      </c>
      <c r="M23" s="50">
        <f>SUMIFS(XUẤT!$W:$W,XUẤT!$B:$B,TỒN!$B$12,XUẤT!$O:$O,TỒN!M22)</f>
        <v>0</v>
      </c>
      <c r="N23" s="50">
        <f>SUMIFS(XUẤT!$W:$W,XUẤT!$B:$B,TỒN!$B$12,XUẤT!$O:$O,TỒN!N22)</f>
        <v>0</v>
      </c>
      <c r="O23" s="50">
        <f>SUMIFS(XUẤT!$W:$W,XUẤT!$B:$B,TỒN!$B$12,XUẤT!$O:$O,TỒN!O22)</f>
        <v>0</v>
      </c>
      <c r="P23" s="50">
        <f t="shared" si="0"/>
        <v>0</v>
      </c>
      <c r="Q23" s="50"/>
      <c r="R23" s="50"/>
      <c r="S23" s="50"/>
      <c r="T23" s="50"/>
      <c r="U23" s="50"/>
      <c r="V23" s="50"/>
      <c r="W23" s="50"/>
    </row>
    <row r="24" spans="1:23" x14ac:dyDescent="0.35">
      <c r="A24" s="44">
        <v>19</v>
      </c>
      <c r="B24" s="45">
        <v>46284</v>
      </c>
      <c r="C24" s="46"/>
      <c r="D24" s="47"/>
      <c r="E24" s="48"/>
      <c r="F24" s="48"/>
      <c r="G24" s="49"/>
      <c r="H24" s="50"/>
      <c r="I24" s="50"/>
      <c r="J24" s="50">
        <f>SUMIFS(XUẤT!$W:$W,XUẤT!$B:$B,TỒN!$B$12,XUẤT!$O:$O,TỒN!J23)</f>
        <v>0</v>
      </c>
      <c r="K24" s="50">
        <f>SUMIFS(XUẤT!$W:$W,XUẤT!$B:$B,TỒN!$B$12,XUẤT!$O:$O,TỒN!K23)</f>
        <v>0</v>
      </c>
      <c r="L24" s="50">
        <f>SUMIFS(XUẤT!$W:$W,XUẤT!$B:$B,TỒN!$B$12,XUẤT!$O:$O,TỒN!L23)</f>
        <v>0</v>
      </c>
      <c r="M24" s="50">
        <f>SUMIFS(XUẤT!$W:$W,XUẤT!$B:$B,TỒN!$B$12,XUẤT!$O:$O,TỒN!M23)</f>
        <v>0</v>
      </c>
      <c r="N24" s="50">
        <f>SUMIFS(XUẤT!$W:$W,XUẤT!$B:$B,TỒN!$B$12,XUẤT!$O:$O,TỒN!N23)</f>
        <v>0</v>
      </c>
      <c r="O24" s="50">
        <f>SUMIFS(XUẤT!$W:$W,XUẤT!$B:$B,TỒN!$B$12,XUẤT!$O:$O,TỒN!O23)</f>
        <v>0</v>
      </c>
      <c r="P24" s="50">
        <f t="shared" si="0"/>
        <v>0</v>
      </c>
      <c r="Q24" s="50"/>
      <c r="R24" s="50"/>
      <c r="S24" s="50"/>
      <c r="T24" s="50"/>
      <c r="U24" s="50"/>
      <c r="V24" s="50"/>
      <c r="W24" s="50"/>
    </row>
    <row r="25" spans="1:23" x14ac:dyDescent="0.35">
      <c r="A25" s="44">
        <v>20</v>
      </c>
      <c r="B25" s="45">
        <v>46285</v>
      </c>
      <c r="C25" s="46"/>
      <c r="D25" s="47"/>
      <c r="E25" s="48"/>
      <c r="F25" s="48"/>
      <c r="G25" s="49"/>
      <c r="H25" s="50"/>
      <c r="I25" s="50"/>
      <c r="J25" s="50">
        <f>SUMIFS(XUẤT!$W:$W,XUẤT!$B:$B,TỒN!$B$12,XUẤT!$O:$O,TỒN!J24)</f>
        <v>0</v>
      </c>
      <c r="K25" s="50">
        <f>SUMIFS(XUẤT!$W:$W,XUẤT!$B:$B,TỒN!$B$12,XUẤT!$O:$O,TỒN!K24)</f>
        <v>0</v>
      </c>
      <c r="L25" s="50">
        <f>SUMIFS(XUẤT!$W:$W,XUẤT!$B:$B,TỒN!$B$12,XUẤT!$O:$O,TỒN!L24)</f>
        <v>0</v>
      </c>
      <c r="M25" s="50">
        <f>SUMIFS(XUẤT!$W:$W,XUẤT!$B:$B,TỒN!$B$12,XUẤT!$O:$O,TỒN!M24)</f>
        <v>0</v>
      </c>
      <c r="N25" s="50">
        <f>SUMIFS(XUẤT!$W:$W,XUẤT!$B:$B,TỒN!$B$12,XUẤT!$O:$O,TỒN!N24)</f>
        <v>0</v>
      </c>
      <c r="O25" s="50">
        <f>SUMIFS(XUẤT!$W:$W,XUẤT!$B:$B,TỒN!$B$12,XUẤT!$O:$O,TỒN!O24)</f>
        <v>0</v>
      </c>
      <c r="P25" s="50">
        <f t="shared" si="0"/>
        <v>0</v>
      </c>
      <c r="Q25" s="50"/>
      <c r="R25" s="50"/>
      <c r="S25" s="50"/>
      <c r="T25" s="50"/>
      <c r="U25" s="50"/>
      <c r="V25" s="50"/>
      <c r="W25" s="50"/>
    </row>
    <row r="26" spans="1:23" x14ac:dyDescent="0.35">
      <c r="A26" s="44">
        <v>21</v>
      </c>
      <c r="B26" s="45">
        <v>46286</v>
      </c>
      <c r="C26" s="46"/>
      <c r="D26" s="47"/>
      <c r="E26" s="48"/>
      <c r="F26" s="48"/>
      <c r="G26" s="49"/>
      <c r="H26" s="50"/>
      <c r="I26" s="50"/>
      <c r="J26" s="50">
        <f>SUMIFS(XUẤT!$W:$W,XUẤT!$B:$B,TỒN!$B$12,XUẤT!$O:$O,TỒN!J25)</f>
        <v>0</v>
      </c>
      <c r="K26" s="50">
        <f>SUMIFS(XUẤT!$W:$W,XUẤT!$B:$B,TỒN!$B$12,XUẤT!$O:$O,TỒN!K25)</f>
        <v>0</v>
      </c>
      <c r="L26" s="50">
        <f>SUMIFS(XUẤT!$W:$W,XUẤT!$B:$B,TỒN!$B$12,XUẤT!$O:$O,TỒN!L25)</f>
        <v>0</v>
      </c>
      <c r="M26" s="50">
        <f>SUMIFS(XUẤT!$W:$W,XUẤT!$B:$B,TỒN!$B$12,XUẤT!$O:$O,TỒN!M25)</f>
        <v>0</v>
      </c>
      <c r="N26" s="50">
        <f>SUMIFS(XUẤT!$W:$W,XUẤT!$B:$B,TỒN!$B$12,XUẤT!$O:$O,TỒN!N25)</f>
        <v>0</v>
      </c>
      <c r="O26" s="50">
        <f>SUMIFS(XUẤT!$W:$W,XUẤT!$B:$B,TỒN!$B$12,XUẤT!$O:$O,TỒN!O25)</f>
        <v>0</v>
      </c>
      <c r="P26" s="50">
        <f t="shared" si="0"/>
        <v>0</v>
      </c>
      <c r="Q26" s="50"/>
      <c r="R26" s="50"/>
      <c r="S26" s="50"/>
      <c r="T26" s="50"/>
      <c r="U26" s="50"/>
      <c r="V26" s="50"/>
      <c r="W26" s="50"/>
    </row>
    <row r="27" spans="1:23" x14ac:dyDescent="0.35">
      <c r="A27" s="44">
        <v>22</v>
      </c>
      <c r="B27" s="45">
        <v>46287</v>
      </c>
      <c r="C27" s="46"/>
      <c r="D27" s="47"/>
      <c r="E27" s="48"/>
      <c r="F27" s="48"/>
      <c r="G27" s="49"/>
      <c r="H27" s="50"/>
      <c r="I27" s="50"/>
      <c r="J27" s="50">
        <f>SUMIFS(XUẤT!$W:$W,XUẤT!$B:$B,TỒN!$B$12,XUẤT!$O:$O,TỒN!J26)</f>
        <v>0</v>
      </c>
      <c r="K27" s="50">
        <f>SUMIFS(XUẤT!$W:$W,XUẤT!$B:$B,TỒN!$B$12,XUẤT!$O:$O,TỒN!K26)</f>
        <v>0</v>
      </c>
      <c r="L27" s="50">
        <f>SUMIFS(XUẤT!$W:$W,XUẤT!$B:$B,TỒN!$B$12,XUẤT!$O:$O,TỒN!L26)</f>
        <v>0</v>
      </c>
      <c r="M27" s="50">
        <f>SUMIFS(XUẤT!$W:$W,XUẤT!$B:$B,TỒN!$B$12,XUẤT!$O:$O,TỒN!M26)</f>
        <v>0</v>
      </c>
      <c r="N27" s="50">
        <f>SUMIFS(XUẤT!$W:$W,XUẤT!$B:$B,TỒN!$B$12,XUẤT!$O:$O,TỒN!N26)</f>
        <v>0</v>
      </c>
      <c r="O27" s="50">
        <f>SUMIFS(XUẤT!$W:$W,XUẤT!$B:$B,TỒN!$B$12,XUẤT!$O:$O,TỒN!O26)</f>
        <v>0</v>
      </c>
      <c r="P27" s="50">
        <f t="shared" si="0"/>
        <v>0</v>
      </c>
      <c r="Q27" s="50"/>
      <c r="R27" s="50"/>
      <c r="S27" s="50"/>
      <c r="T27" s="50"/>
      <c r="U27" s="50"/>
      <c r="V27" s="50"/>
      <c r="W27" s="50"/>
    </row>
    <row r="28" spans="1:23" x14ac:dyDescent="0.35">
      <c r="A28" s="44">
        <v>23</v>
      </c>
      <c r="B28" s="45">
        <v>46288</v>
      </c>
      <c r="C28" s="46"/>
      <c r="D28" s="47"/>
      <c r="E28" s="48"/>
      <c r="F28" s="48"/>
      <c r="G28" s="49"/>
      <c r="H28" s="50"/>
      <c r="I28" s="50"/>
      <c r="J28" s="50">
        <f>SUMIFS(XUẤT!$W:$W,XUẤT!$B:$B,TỒN!$B$12,XUẤT!$O:$O,TỒN!J27)</f>
        <v>0</v>
      </c>
      <c r="K28" s="50">
        <f>SUMIFS(XUẤT!$W:$W,XUẤT!$B:$B,TỒN!$B$12,XUẤT!$O:$O,TỒN!K27)</f>
        <v>0</v>
      </c>
      <c r="L28" s="50">
        <f>SUMIFS(XUẤT!$W:$W,XUẤT!$B:$B,TỒN!$B$12,XUẤT!$O:$O,TỒN!L27)</f>
        <v>0</v>
      </c>
      <c r="M28" s="50">
        <f>SUMIFS(XUẤT!$W:$W,XUẤT!$B:$B,TỒN!$B$12,XUẤT!$O:$O,TỒN!M27)</f>
        <v>0</v>
      </c>
      <c r="N28" s="50">
        <f>SUMIFS(XUẤT!$W:$W,XUẤT!$B:$B,TỒN!$B$12,XUẤT!$O:$O,TỒN!N27)</f>
        <v>0</v>
      </c>
      <c r="O28" s="50">
        <f>SUMIFS(XUẤT!$W:$W,XUẤT!$B:$B,TỒN!$B$12,XUẤT!$O:$O,TỒN!O27)</f>
        <v>0</v>
      </c>
      <c r="P28" s="50">
        <f t="shared" si="0"/>
        <v>0</v>
      </c>
      <c r="Q28" s="50"/>
      <c r="R28" s="50"/>
      <c r="S28" s="50"/>
      <c r="T28" s="50"/>
      <c r="U28" s="50"/>
      <c r="V28" s="50"/>
      <c r="W28" s="50"/>
    </row>
    <row r="29" spans="1:23" x14ac:dyDescent="0.35">
      <c r="A29" s="44">
        <v>24</v>
      </c>
      <c r="B29" s="45">
        <v>46289</v>
      </c>
      <c r="C29" s="46"/>
      <c r="D29" s="47"/>
      <c r="E29" s="48"/>
      <c r="F29" s="48"/>
      <c r="G29" s="49"/>
      <c r="H29" s="50"/>
      <c r="I29" s="50"/>
      <c r="J29" s="50">
        <f>SUMIFS(XUẤT!$W:$W,XUẤT!$B:$B,TỒN!$B$12,XUẤT!$O:$O,TỒN!J28)</f>
        <v>0</v>
      </c>
      <c r="K29" s="50">
        <f>SUMIFS(XUẤT!$W:$W,XUẤT!$B:$B,TỒN!$B$12,XUẤT!$O:$O,TỒN!K28)</f>
        <v>0</v>
      </c>
      <c r="L29" s="50">
        <f>SUMIFS(XUẤT!$W:$W,XUẤT!$B:$B,TỒN!$B$12,XUẤT!$O:$O,TỒN!L28)</f>
        <v>0</v>
      </c>
      <c r="M29" s="50">
        <f>SUMIFS(XUẤT!$W:$W,XUẤT!$B:$B,TỒN!$B$12,XUẤT!$O:$O,TỒN!M28)</f>
        <v>0</v>
      </c>
      <c r="N29" s="50">
        <f>SUMIFS(XUẤT!$W:$W,XUẤT!$B:$B,TỒN!$B$12,XUẤT!$O:$O,TỒN!N28)</f>
        <v>0</v>
      </c>
      <c r="O29" s="50">
        <f>SUMIFS(XUẤT!$W:$W,XUẤT!$B:$B,TỒN!$B$12,XUẤT!$O:$O,TỒN!O28)</f>
        <v>0</v>
      </c>
      <c r="P29" s="50">
        <f t="shared" si="0"/>
        <v>0</v>
      </c>
      <c r="Q29" s="50"/>
      <c r="R29" s="50"/>
      <c r="S29" s="50"/>
      <c r="T29" s="50"/>
      <c r="U29" s="50"/>
      <c r="V29" s="50"/>
      <c r="W29" s="50"/>
    </row>
    <row r="30" spans="1:23" x14ac:dyDescent="0.35">
      <c r="A30" s="44">
        <v>25</v>
      </c>
      <c r="B30" s="45">
        <v>46290</v>
      </c>
      <c r="C30" s="46"/>
      <c r="D30" s="47"/>
      <c r="E30" s="48"/>
      <c r="F30" s="48"/>
      <c r="G30" s="49"/>
      <c r="H30" s="50"/>
      <c r="I30" s="50"/>
      <c r="J30" s="50">
        <f>SUMIFS(XUẤT!$W:$W,XUẤT!$B:$B,TỒN!$B$12,XUẤT!$O:$O,TỒN!J29)</f>
        <v>0</v>
      </c>
      <c r="K30" s="50">
        <f>SUMIFS(XUẤT!$W:$W,XUẤT!$B:$B,TỒN!$B$12,XUẤT!$O:$O,TỒN!K29)</f>
        <v>0</v>
      </c>
      <c r="L30" s="50">
        <f>SUMIFS(XUẤT!$W:$W,XUẤT!$B:$B,TỒN!$B$12,XUẤT!$O:$O,TỒN!L29)</f>
        <v>0</v>
      </c>
      <c r="M30" s="50">
        <f>SUMIFS(XUẤT!$W:$W,XUẤT!$B:$B,TỒN!$B$12,XUẤT!$O:$O,TỒN!M29)</f>
        <v>0</v>
      </c>
      <c r="N30" s="50">
        <f>SUMIFS(XUẤT!$W:$W,XUẤT!$B:$B,TỒN!$B$12,XUẤT!$O:$O,TỒN!N29)</f>
        <v>0</v>
      </c>
      <c r="O30" s="50">
        <f>SUMIFS(XUẤT!$W:$W,XUẤT!$B:$B,TỒN!$B$12,XUẤT!$O:$O,TỒN!O29)</f>
        <v>0</v>
      </c>
      <c r="P30" s="50">
        <f t="shared" si="0"/>
        <v>0</v>
      </c>
      <c r="Q30" s="50"/>
      <c r="R30" s="50"/>
      <c r="S30" s="50"/>
      <c r="T30" s="50"/>
      <c r="U30" s="50"/>
      <c r="V30" s="50"/>
      <c r="W30" s="50"/>
    </row>
    <row r="31" spans="1:23" x14ac:dyDescent="0.35">
      <c r="A31" s="44">
        <v>26</v>
      </c>
      <c r="B31" s="45">
        <v>46291</v>
      </c>
      <c r="C31" s="46"/>
      <c r="D31" s="47"/>
      <c r="E31" s="48"/>
      <c r="F31" s="48"/>
      <c r="G31" s="49"/>
      <c r="H31" s="50"/>
      <c r="I31" s="50"/>
      <c r="J31" s="50">
        <f>SUMIFS(XUẤT!$W:$W,XUẤT!$B:$B,TỒN!$B$12,XUẤT!$O:$O,TỒN!J30)</f>
        <v>0</v>
      </c>
      <c r="K31" s="50">
        <f>SUMIFS(XUẤT!$W:$W,XUẤT!$B:$B,TỒN!$B$12,XUẤT!$O:$O,TỒN!K30)</f>
        <v>0</v>
      </c>
      <c r="L31" s="50">
        <f>SUMIFS(XUẤT!$W:$W,XUẤT!$B:$B,TỒN!$B$12,XUẤT!$O:$O,TỒN!L30)</f>
        <v>0</v>
      </c>
      <c r="M31" s="50">
        <f>SUMIFS(XUẤT!$W:$W,XUẤT!$B:$B,TỒN!$B$12,XUẤT!$O:$O,TỒN!M30)</f>
        <v>0</v>
      </c>
      <c r="N31" s="50">
        <f>SUMIFS(XUẤT!$W:$W,XUẤT!$B:$B,TỒN!$B$12,XUẤT!$O:$O,TỒN!N30)</f>
        <v>0</v>
      </c>
      <c r="O31" s="50">
        <f>SUMIFS(XUẤT!$W:$W,XUẤT!$B:$B,TỒN!$B$12,XUẤT!$O:$O,TỒN!O30)</f>
        <v>0</v>
      </c>
      <c r="P31" s="50">
        <f t="shared" si="0"/>
        <v>0</v>
      </c>
      <c r="Q31" s="50"/>
      <c r="R31" s="50"/>
      <c r="S31" s="50"/>
      <c r="T31" s="50"/>
      <c r="U31" s="50"/>
      <c r="V31" s="50"/>
      <c r="W31" s="50"/>
    </row>
    <row r="32" spans="1:23" x14ac:dyDescent="0.35">
      <c r="A32" s="44">
        <v>27</v>
      </c>
      <c r="B32" s="45">
        <v>46292</v>
      </c>
      <c r="C32" s="46"/>
      <c r="D32" s="47"/>
      <c r="E32" s="48"/>
      <c r="F32" s="48"/>
      <c r="G32" s="49"/>
      <c r="H32" s="50"/>
      <c r="I32" s="50"/>
      <c r="J32" s="50">
        <f>SUMIFS(XUẤT!$W:$W,XUẤT!$B:$B,TỒN!$B$12,XUẤT!$O:$O,TỒN!J31)</f>
        <v>0</v>
      </c>
      <c r="K32" s="50">
        <f>SUMIFS(XUẤT!$W:$W,XUẤT!$B:$B,TỒN!$B$12,XUẤT!$O:$O,TỒN!K31)</f>
        <v>0</v>
      </c>
      <c r="L32" s="50">
        <f>SUMIFS(XUẤT!$W:$W,XUẤT!$B:$B,TỒN!$B$12,XUẤT!$O:$O,TỒN!L31)</f>
        <v>0</v>
      </c>
      <c r="M32" s="50">
        <f>SUMIFS(XUẤT!$W:$W,XUẤT!$B:$B,TỒN!$B$12,XUẤT!$O:$O,TỒN!M31)</f>
        <v>0</v>
      </c>
      <c r="N32" s="50">
        <f>SUMIFS(XUẤT!$W:$W,XUẤT!$B:$B,TỒN!$B$12,XUẤT!$O:$O,TỒN!N31)</f>
        <v>0</v>
      </c>
      <c r="O32" s="50">
        <f>SUMIFS(XUẤT!$W:$W,XUẤT!$B:$B,TỒN!$B$12,XUẤT!$O:$O,TỒN!O31)</f>
        <v>0</v>
      </c>
      <c r="P32" s="50">
        <f t="shared" si="0"/>
        <v>0</v>
      </c>
      <c r="Q32" s="50"/>
      <c r="R32" s="50"/>
      <c r="S32" s="50"/>
      <c r="T32" s="50"/>
      <c r="U32" s="50"/>
      <c r="V32" s="50"/>
      <c r="W32" s="50"/>
    </row>
    <row r="33" spans="1:23" s="51" customFormat="1" x14ac:dyDescent="0.35">
      <c r="A33" s="44">
        <v>28</v>
      </c>
      <c r="B33" s="45">
        <v>46293</v>
      </c>
      <c r="C33" s="46"/>
      <c r="D33" s="47"/>
      <c r="E33" s="48"/>
      <c r="F33" s="48"/>
      <c r="G33" s="49"/>
      <c r="H33" s="50"/>
      <c r="I33" s="50"/>
      <c r="J33" s="50">
        <f>SUMIFS(XUẤT!$W:$W,XUẤT!$B:$B,TỒN!$B$12,XUẤT!$O:$O,TỒN!J32)</f>
        <v>0</v>
      </c>
      <c r="K33" s="50">
        <f>SUMIFS(XUẤT!$W:$W,XUẤT!$B:$B,TỒN!$B$12,XUẤT!$O:$O,TỒN!K32)</f>
        <v>0</v>
      </c>
      <c r="L33" s="50">
        <f>SUMIFS(XUẤT!$W:$W,XUẤT!$B:$B,TỒN!$B$12,XUẤT!$O:$O,TỒN!L32)</f>
        <v>0</v>
      </c>
      <c r="M33" s="50">
        <f>SUMIFS(XUẤT!$W:$W,XUẤT!$B:$B,TỒN!$B$12,XUẤT!$O:$O,TỒN!M32)</f>
        <v>0</v>
      </c>
      <c r="N33" s="50">
        <f>SUMIFS(XUẤT!$W:$W,XUẤT!$B:$B,TỒN!$B$12,XUẤT!$O:$O,TỒN!N32)</f>
        <v>0</v>
      </c>
      <c r="O33" s="50">
        <f>SUMIFS(XUẤT!$W:$W,XUẤT!$B:$B,TỒN!$B$12,XUẤT!$O:$O,TỒN!O32)</f>
        <v>0</v>
      </c>
      <c r="P33" s="50">
        <f t="shared" si="0"/>
        <v>0</v>
      </c>
      <c r="Q33" s="50"/>
      <c r="R33" s="50"/>
      <c r="S33" s="50"/>
      <c r="T33" s="50"/>
      <c r="U33" s="50"/>
      <c r="V33" s="50"/>
      <c r="W33" s="50"/>
    </row>
    <row r="34" spans="1:23" x14ac:dyDescent="0.35">
      <c r="A34" s="44">
        <v>29</v>
      </c>
      <c r="B34" s="45">
        <v>46294</v>
      </c>
      <c r="C34" s="46"/>
      <c r="D34" s="47"/>
      <c r="E34" s="48"/>
      <c r="F34" s="48"/>
      <c r="G34" s="49"/>
      <c r="H34" s="50"/>
      <c r="I34" s="50"/>
      <c r="J34" s="50">
        <f>SUMIFS(XUẤT!$W:$W,XUẤT!$B:$B,TỒN!$B$12,XUẤT!$O:$O,TỒN!J33)</f>
        <v>0</v>
      </c>
      <c r="K34" s="50">
        <f>SUMIFS(XUẤT!$W:$W,XUẤT!$B:$B,TỒN!$B$12,XUẤT!$O:$O,TỒN!K33)</f>
        <v>0</v>
      </c>
      <c r="L34" s="50">
        <f>SUMIFS(XUẤT!$W:$W,XUẤT!$B:$B,TỒN!$B$12,XUẤT!$O:$O,TỒN!L33)</f>
        <v>0</v>
      </c>
      <c r="M34" s="50">
        <f>SUMIFS(XUẤT!$W:$W,XUẤT!$B:$B,TỒN!$B$12,XUẤT!$O:$O,TỒN!M33)</f>
        <v>0</v>
      </c>
      <c r="N34" s="50">
        <f>SUMIFS(XUẤT!$W:$W,XUẤT!$B:$B,TỒN!$B$12,XUẤT!$O:$O,TỒN!N33)</f>
        <v>0</v>
      </c>
      <c r="O34" s="50">
        <f>SUMIFS(XUẤT!$W:$W,XUẤT!$B:$B,TỒN!$B$12,XUẤT!$O:$O,TỒN!O33)</f>
        <v>0</v>
      </c>
      <c r="P34" s="50">
        <f t="shared" si="0"/>
        <v>0</v>
      </c>
      <c r="Q34" s="50"/>
      <c r="R34" s="50"/>
      <c r="S34" s="50"/>
      <c r="T34" s="50"/>
      <c r="U34" s="50"/>
      <c r="V34" s="50"/>
      <c r="W34" s="50"/>
    </row>
    <row r="35" spans="1:23" x14ac:dyDescent="0.35">
      <c r="A35" s="44">
        <v>30</v>
      </c>
      <c r="B35" s="45">
        <v>46295</v>
      </c>
      <c r="C35" s="46"/>
      <c r="D35" s="47"/>
      <c r="E35" s="48"/>
      <c r="F35" s="48"/>
      <c r="G35" s="49"/>
      <c r="H35" s="50"/>
      <c r="I35" s="50"/>
      <c r="J35" s="50">
        <f>SUMIFS(XUẤT!$W:$W,XUẤT!$B:$B,TỒN!$B$12,XUẤT!$O:$O,TỒN!J34)</f>
        <v>0</v>
      </c>
      <c r="K35" s="50">
        <f>SUMIFS(XUẤT!$W:$W,XUẤT!$B:$B,TỒN!$B$12,XUẤT!$O:$O,TỒN!K34)</f>
        <v>0</v>
      </c>
      <c r="L35" s="50">
        <f>SUMIFS(XUẤT!$W:$W,XUẤT!$B:$B,TỒN!$B$12,XUẤT!$O:$O,TỒN!L34)</f>
        <v>0</v>
      </c>
      <c r="M35" s="50">
        <f>SUMIFS(XUẤT!$W:$W,XUẤT!$B:$B,TỒN!$B$12,XUẤT!$O:$O,TỒN!M34)</f>
        <v>0</v>
      </c>
      <c r="N35" s="50">
        <f>SUMIFS(XUẤT!$W:$W,XUẤT!$B:$B,TỒN!$B$12,XUẤT!$O:$O,TỒN!N34)</f>
        <v>0</v>
      </c>
      <c r="O35" s="50">
        <f>SUMIFS(XUẤT!$W:$W,XUẤT!$B:$B,TỒN!$B$12,XUẤT!$O:$O,TỒN!O34)</f>
        <v>0</v>
      </c>
      <c r="P35" s="50">
        <f t="shared" si="0"/>
        <v>0</v>
      </c>
      <c r="Q35" s="50"/>
      <c r="R35" s="50"/>
      <c r="S35" s="50"/>
      <c r="T35" s="50"/>
      <c r="U35" s="50"/>
      <c r="V35" s="50"/>
      <c r="W35" s="50"/>
    </row>
    <row r="36" spans="1:23" x14ac:dyDescent="0.35">
      <c r="A36" s="52"/>
      <c r="B36" s="53" t="s">
        <v>22</v>
      </c>
      <c r="C36" s="54">
        <f t="shared" ref="C36:W36" si="1">SUM(C12:C35)</f>
        <v>0</v>
      </c>
      <c r="D36" s="54">
        <f t="shared" si="1"/>
        <v>0</v>
      </c>
      <c r="E36" s="54">
        <f t="shared" si="1"/>
        <v>0</v>
      </c>
      <c r="F36" s="54">
        <f t="shared" si="1"/>
        <v>0</v>
      </c>
      <c r="G36" s="54">
        <f t="shared" si="1"/>
        <v>0</v>
      </c>
      <c r="H36" s="54">
        <f t="shared" si="1"/>
        <v>0</v>
      </c>
      <c r="I36" s="54">
        <f t="shared" si="1"/>
        <v>0</v>
      </c>
      <c r="J36" s="54">
        <f t="shared" si="1"/>
        <v>0</v>
      </c>
      <c r="K36" s="54">
        <f t="shared" si="1"/>
        <v>0</v>
      </c>
      <c r="L36" s="54">
        <f t="shared" si="1"/>
        <v>0</v>
      </c>
      <c r="M36" s="54">
        <f t="shared" si="1"/>
        <v>0</v>
      </c>
      <c r="N36" s="54">
        <f t="shared" si="1"/>
        <v>0</v>
      </c>
      <c r="O36" s="54">
        <f t="shared" si="1"/>
        <v>0</v>
      </c>
      <c r="P36" s="54">
        <f t="shared" si="1"/>
        <v>0</v>
      </c>
      <c r="Q36" s="54">
        <f t="shared" si="1"/>
        <v>0</v>
      </c>
      <c r="R36" s="54">
        <f t="shared" si="1"/>
        <v>0</v>
      </c>
      <c r="S36" s="54">
        <f t="shared" si="1"/>
        <v>0</v>
      </c>
      <c r="T36" s="54">
        <f t="shared" si="1"/>
        <v>0</v>
      </c>
      <c r="U36" s="54">
        <f t="shared" si="1"/>
        <v>0</v>
      </c>
      <c r="V36" s="54">
        <f t="shared" si="1"/>
        <v>0</v>
      </c>
      <c r="W36" s="54">
        <f t="shared" si="1"/>
        <v>0</v>
      </c>
    </row>
  </sheetData>
  <mergeCells count="8">
    <mergeCell ref="A1:V1"/>
    <mergeCell ref="A2:V2"/>
    <mergeCell ref="A3:D3"/>
    <mergeCell ref="A4:A5"/>
    <mergeCell ref="B4:B5"/>
    <mergeCell ref="C4:I4"/>
    <mergeCell ref="J4:P4"/>
    <mergeCell ref="Q4:W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M35"/>
  <sheetViews>
    <sheetView topLeftCell="A3" zoomScaleNormal="100" workbookViewId="0">
      <selection activeCell="H3" sqref="H3:J35"/>
    </sheetView>
  </sheetViews>
  <sheetFormatPr defaultColWidth="9.109375" defaultRowHeight="18" x14ac:dyDescent="0.3"/>
  <cols>
    <col min="1" max="1" width="6.5546875" style="55" customWidth="1"/>
    <col min="2" max="2" width="27" style="55" customWidth="1"/>
    <col min="3" max="3" width="18.109375" style="55" customWidth="1"/>
    <col min="4" max="4" width="20.6640625" style="55" customWidth="1"/>
    <col min="5" max="5" width="18.5546875" style="55" customWidth="1"/>
    <col min="6" max="6" width="24.109375" style="55" customWidth="1"/>
    <col min="7" max="7" width="8.109375" style="55" customWidth="1"/>
    <col min="8" max="8" width="13.109375" style="55" customWidth="1"/>
    <col min="9" max="9" width="14.44140625" style="55" customWidth="1"/>
    <col min="10" max="10" width="39.33203125" style="56" customWidth="1"/>
    <col min="11" max="11" width="9.109375" style="56"/>
    <col min="12" max="12" width="36.44140625" style="56" customWidth="1"/>
    <col min="13" max="16384" width="9.109375" style="56"/>
  </cols>
  <sheetData>
    <row r="1" spans="1:13" ht="27" customHeight="1" x14ac:dyDescent="0.3">
      <c r="A1" s="372" t="s">
        <v>295</v>
      </c>
      <c r="B1" s="372"/>
      <c r="C1" s="372"/>
      <c r="D1" s="372"/>
      <c r="E1" s="372"/>
      <c r="F1" s="372"/>
      <c r="G1" s="372"/>
      <c r="H1" s="372"/>
      <c r="I1" s="372"/>
      <c r="J1" s="372"/>
    </row>
    <row r="3" spans="1:13" ht="19.649999999999999" customHeight="1" x14ac:dyDescent="0.3">
      <c r="A3" s="42" t="s">
        <v>3</v>
      </c>
      <c r="B3" s="42" t="s">
        <v>296</v>
      </c>
      <c r="C3" s="42" t="s">
        <v>54</v>
      </c>
      <c r="D3" s="42" t="s">
        <v>297</v>
      </c>
      <c r="E3" s="42" t="s">
        <v>298</v>
      </c>
      <c r="F3" s="42" t="s">
        <v>299</v>
      </c>
      <c r="H3" s="373" t="s">
        <v>603</v>
      </c>
      <c r="I3" s="373"/>
      <c r="J3" s="373"/>
    </row>
    <row r="4" spans="1:13" x14ac:dyDescent="0.3">
      <c r="A4" s="57" t="s">
        <v>300</v>
      </c>
      <c r="B4" s="58" t="s">
        <v>301</v>
      </c>
      <c r="C4" s="58"/>
      <c r="D4" s="58"/>
      <c r="E4" s="58"/>
      <c r="F4" s="58"/>
      <c r="H4" s="59" t="s">
        <v>4</v>
      </c>
      <c r="I4" s="59" t="s">
        <v>302</v>
      </c>
      <c r="J4" s="320" t="s">
        <v>8</v>
      </c>
      <c r="L4" s="11" t="s">
        <v>102</v>
      </c>
      <c r="M4" s="56">
        <f t="shared" ref="M4:M10" si="0">COUNTIFS($J$5:$J$28,L4)</f>
        <v>4</v>
      </c>
    </row>
    <row r="5" spans="1:13" x14ac:dyDescent="0.3">
      <c r="A5" s="9">
        <v>1</v>
      </c>
      <c r="B5" s="8" t="s">
        <v>34</v>
      </c>
      <c r="C5" s="9" t="s">
        <v>303</v>
      </c>
      <c r="D5" s="9" t="s">
        <v>151</v>
      </c>
      <c r="E5" s="9" t="s">
        <v>304</v>
      </c>
      <c r="F5" s="9" t="s">
        <v>305</v>
      </c>
      <c r="H5" s="9">
        <v>1</v>
      </c>
      <c r="I5" s="9">
        <v>5</v>
      </c>
      <c r="J5" s="11" t="s">
        <v>614</v>
      </c>
      <c r="L5" s="11" t="s">
        <v>104</v>
      </c>
      <c r="M5" s="56">
        <f t="shared" si="0"/>
        <v>0</v>
      </c>
    </row>
    <row r="6" spans="1:13" ht="18.75" customHeight="1" x14ac:dyDescent="0.3">
      <c r="A6" s="9">
        <v>2</v>
      </c>
      <c r="B6" s="8" t="s">
        <v>306</v>
      </c>
      <c r="C6" s="374" t="s">
        <v>307</v>
      </c>
      <c r="D6" s="9" t="s">
        <v>308</v>
      </c>
      <c r="E6" s="9" t="s">
        <v>309</v>
      </c>
      <c r="F6" s="9"/>
      <c r="H6" s="9">
        <v>2</v>
      </c>
      <c r="I6" s="9">
        <v>6</v>
      </c>
      <c r="J6" s="11" t="s">
        <v>615</v>
      </c>
      <c r="L6" s="11" t="s">
        <v>105</v>
      </c>
      <c r="M6" s="56">
        <f t="shared" si="0"/>
        <v>2</v>
      </c>
    </row>
    <row r="7" spans="1:13" x14ac:dyDescent="0.3">
      <c r="A7" s="9">
        <v>3</v>
      </c>
      <c r="B7" s="8" t="s">
        <v>255</v>
      </c>
      <c r="C7" s="374"/>
      <c r="D7" s="9" t="s">
        <v>310</v>
      </c>
      <c r="E7" s="9" t="s">
        <v>311</v>
      </c>
      <c r="F7" s="9"/>
      <c r="H7" s="9">
        <v>3</v>
      </c>
      <c r="I7" s="9">
        <v>7</v>
      </c>
      <c r="J7" s="11" t="s">
        <v>631</v>
      </c>
      <c r="L7" s="11" t="s">
        <v>106</v>
      </c>
      <c r="M7" s="56">
        <f t="shared" si="0"/>
        <v>3</v>
      </c>
    </row>
    <row r="8" spans="1:13" ht="18.75" customHeight="1" x14ac:dyDescent="0.3">
      <c r="A8" s="9">
        <v>4</v>
      </c>
      <c r="B8" s="11" t="s">
        <v>102</v>
      </c>
      <c r="C8" s="374" t="s">
        <v>312</v>
      </c>
      <c r="D8" s="9" t="s">
        <v>313</v>
      </c>
      <c r="E8" s="9" t="s">
        <v>314</v>
      </c>
      <c r="F8" s="9"/>
      <c r="H8" s="9">
        <v>4</v>
      </c>
      <c r="I8" s="9" t="s">
        <v>321</v>
      </c>
      <c r="J8" s="11" t="s">
        <v>108</v>
      </c>
      <c r="L8" s="11" t="s">
        <v>315</v>
      </c>
      <c r="M8" s="56">
        <f t="shared" si="0"/>
        <v>0</v>
      </c>
    </row>
    <row r="9" spans="1:13" x14ac:dyDescent="0.3">
      <c r="A9" s="9">
        <v>5</v>
      </c>
      <c r="B9" s="11" t="s">
        <v>105</v>
      </c>
      <c r="C9" s="374"/>
      <c r="D9" s="9" t="s">
        <v>316</v>
      </c>
      <c r="E9" s="9" t="s">
        <v>317</v>
      </c>
      <c r="F9" s="9"/>
      <c r="H9" s="9">
        <v>5</v>
      </c>
      <c r="I9" s="9">
        <v>2</v>
      </c>
      <c r="J9" s="11" t="s">
        <v>106</v>
      </c>
      <c r="L9" s="11" t="s">
        <v>204</v>
      </c>
      <c r="M9" s="56">
        <f t="shared" si="0"/>
        <v>0</v>
      </c>
    </row>
    <row r="10" spans="1:13" x14ac:dyDescent="0.3">
      <c r="A10" s="9">
        <v>6</v>
      </c>
      <c r="B10" s="11" t="s">
        <v>104</v>
      </c>
      <c r="C10" s="374"/>
      <c r="D10" s="9" t="s">
        <v>313</v>
      </c>
      <c r="E10" s="9" t="s">
        <v>318</v>
      </c>
      <c r="F10" s="9"/>
      <c r="H10" s="9">
        <v>6</v>
      </c>
      <c r="I10" s="9">
        <v>3</v>
      </c>
      <c r="J10" s="11" t="s">
        <v>632</v>
      </c>
      <c r="L10" s="11" t="s">
        <v>108</v>
      </c>
      <c r="M10" s="56">
        <f t="shared" si="0"/>
        <v>4</v>
      </c>
    </row>
    <row r="11" spans="1:13" x14ac:dyDescent="0.3">
      <c r="A11" s="9">
        <v>7</v>
      </c>
      <c r="B11" s="11" t="s">
        <v>315</v>
      </c>
      <c r="C11" s="374"/>
      <c r="D11" s="9" t="s">
        <v>319</v>
      </c>
      <c r="E11" s="9" t="s">
        <v>320</v>
      </c>
      <c r="F11" s="9"/>
      <c r="H11" s="9">
        <v>7</v>
      </c>
      <c r="I11" s="9">
        <v>4</v>
      </c>
      <c r="J11" s="11" t="s">
        <v>108</v>
      </c>
    </row>
    <row r="12" spans="1:13" x14ac:dyDescent="0.3">
      <c r="A12" s="9">
        <v>8</v>
      </c>
      <c r="B12" s="11" t="s">
        <v>106</v>
      </c>
      <c r="C12" s="374"/>
      <c r="D12" s="9" t="s">
        <v>322</v>
      </c>
      <c r="E12" s="9" t="s">
        <v>323</v>
      </c>
      <c r="F12" s="9"/>
      <c r="H12" s="9">
        <v>8</v>
      </c>
      <c r="I12" s="9">
        <v>5</v>
      </c>
      <c r="J12" s="11" t="s">
        <v>102</v>
      </c>
    </row>
    <row r="13" spans="1:13" x14ac:dyDescent="0.3">
      <c r="A13" s="9">
        <v>9</v>
      </c>
      <c r="B13" s="11" t="s">
        <v>108</v>
      </c>
      <c r="C13" s="374"/>
      <c r="D13" s="9" t="s">
        <v>313</v>
      </c>
      <c r="E13" s="9" t="s">
        <v>324</v>
      </c>
      <c r="F13" s="9"/>
      <c r="H13" s="9">
        <v>9</v>
      </c>
      <c r="I13" s="9">
        <v>6</v>
      </c>
      <c r="J13" s="11" t="s">
        <v>179</v>
      </c>
    </row>
    <row r="14" spans="1:13" x14ac:dyDescent="0.3">
      <c r="A14" s="9">
        <v>10</v>
      </c>
      <c r="B14" s="11" t="s">
        <v>204</v>
      </c>
      <c r="C14" s="374"/>
      <c r="D14" s="9" t="s">
        <v>325</v>
      </c>
      <c r="E14" s="9" t="s">
        <v>326</v>
      </c>
      <c r="F14" s="9"/>
      <c r="H14" s="9">
        <v>10</v>
      </c>
      <c r="I14" s="9">
        <v>7</v>
      </c>
      <c r="J14" s="11" t="s">
        <v>614</v>
      </c>
    </row>
    <row r="15" spans="1:13" x14ac:dyDescent="0.3">
      <c r="A15" s="9">
        <v>11</v>
      </c>
      <c r="B15" s="8" t="s">
        <v>179</v>
      </c>
      <c r="C15" s="9" t="s">
        <v>170</v>
      </c>
      <c r="D15" s="9" t="s">
        <v>322</v>
      </c>
      <c r="E15" s="9" t="s">
        <v>327</v>
      </c>
      <c r="F15" s="9" t="s">
        <v>328</v>
      </c>
      <c r="H15" s="9">
        <v>11</v>
      </c>
      <c r="I15" s="9" t="s">
        <v>321</v>
      </c>
      <c r="J15" s="11" t="s">
        <v>102</v>
      </c>
    </row>
    <row r="16" spans="1:13" x14ac:dyDescent="0.3">
      <c r="A16" s="9">
        <v>12</v>
      </c>
      <c r="B16" s="7" t="s">
        <v>37</v>
      </c>
      <c r="C16" s="9" t="s">
        <v>132</v>
      </c>
      <c r="D16" s="9" t="s">
        <v>132</v>
      </c>
      <c r="E16" s="9" t="s">
        <v>329</v>
      </c>
      <c r="F16" s="9" t="s">
        <v>330</v>
      </c>
      <c r="H16" s="9">
        <v>12</v>
      </c>
      <c r="I16" s="9">
        <v>2</v>
      </c>
      <c r="J16" s="11" t="s">
        <v>105</v>
      </c>
    </row>
    <row r="17" spans="1:10" x14ac:dyDescent="0.3">
      <c r="A17" s="9">
        <v>13</v>
      </c>
      <c r="B17" s="8" t="s">
        <v>44</v>
      </c>
      <c r="C17" s="9" t="s">
        <v>216</v>
      </c>
      <c r="D17" s="9"/>
      <c r="E17" s="9" t="s">
        <v>331</v>
      </c>
      <c r="F17" s="9" t="s">
        <v>216</v>
      </c>
      <c r="H17" s="9">
        <v>13</v>
      </c>
      <c r="I17" s="9">
        <v>3</v>
      </c>
      <c r="J17" s="11" t="s">
        <v>614</v>
      </c>
    </row>
    <row r="18" spans="1:10" x14ac:dyDescent="0.3">
      <c r="A18" s="9">
        <v>14</v>
      </c>
      <c r="B18" s="8" t="s">
        <v>42</v>
      </c>
      <c r="C18" s="9" t="s">
        <v>192</v>
      </c>
      <c r="D18" s="9"/>
      <c r="E18" s="9" t="s">
        <v>332</v>
      </c>
      <c r="F18" s="9" t="s">
        <v>192</v>
      </c>
      <c r="H18" s="9">
        <v>14</v>
      </c>
      <c r="I18" s="9">
        <v>4</v>
      </c>
      <c r="J18" s="11" t="s">
        <v>106</v>
      </c>
    </row>
    <row r="19" spans="1:10" x14ac:dyDescent="0.3">
      <c r="A19" s="9">
        <v>15</v>
      </c>
      <c r="B19" s="8" t="s">
        <v>256</v>
      </c>
      <c r="C19" s="9" t="s">
        <v>257</v>
      </c>
      <c r="D19" s="9"/>
      <c r="E19" s="9" t="s">
        <v>333</v>
      </c>
      <c r="F19" s="9" t="s">
        <v>257</v>
      </c>
      <c r="H19" s="9">
        <v>15</v>
      </c>
      <c r="I19" s="9">
        <v>5</v>
      </c>
      <c r="J19" s="11" t="s">
        <v>105</v>
      </c>
    </row>
    <row r="20" spans="1:10" x14ac:dyDescent="0.3">
      <c r="A20" s="57" t="s">
        <v>334</v>
      </c>
      <c r="B20" s="58" t="s">
        <v>335</v>
      </c>
      <c r="C20" s="58"/>
      <c r="D20" s="58"/>
      <c r="E20" s="58"/>
      <c r="F20" s="58"/>
      <c r="H20" s="9">
        <v>16</v>
      </c>
      <c r="I20" s="9">
        <v>6</v>
      </c>
      <c r="J20" s="11" t="s">
        <v>108</v>
      </c>
    </row>
    <row r="21" spans="1:10" ht="36" x14ac:dyDescent="0.3">
      <c r="A21" s="9">
        <v>1</v>
      </c>
      <c r="B21" s="11" t="s">
        <v>203</v>
      </c>
      <c r="C21" s="9"/>
      <c r="D21" s="9" t="s">
        <v>325</v>
      </c>
      <c r="E21" s="9" t="s">
        <v>336</v>
      </c>
      <c r="F21" s="9"/>
      <c r="H21" s="9">
        <v>17</v>
      </c>
      <c r="I21" s="9">
        <v>7</v>
      </c>
      <c r="J21" s="11" t="s">
        <v>106</v>
      </c>
    </row>
    <row r="22" spans="1:10" x14ac:dyDescent="0.3">
      <c r="A22" s="9">
        <v>2</v>
      </c>
      <c r="B22" s="11" t="s">
        <v>110</v>
      </c>
      <c r="C22" s="9"/>
      <c r="D22" s="9" t="s">
        <v>151</v>
      </c>
      <c r="E22" s="9" t="s">
        <v>337</v>
      </c>
      <c r="F22" s="9"/>
      <c r="H22" s="9">
        <v>18</v>
      </c>
      <c r="I22" s="9" t="s">
        <v>321</v>
      </c>
      <c r="J22" s="11" t="s">
        <v>179</v>
      </c>
    </row>
    <row r="23" spans="1:10" x14ac:dyDescent="0.3">
      <c r="H23" s="9">
        <v>19</v>
      </c>
      <c r="I23" s="9">
        <v>2</v>
      </c>
      <c r="J23" s="11" t="s">
        <v>108</v>
      </c>
    </row>
    <row r="24" spans="1:10" x14ac:dyDescent="0.3">
      <c r="A24" s="60" t="s">
        <v>3</v>
      </c>
      <c r="B24" s="2" t="s">
        <v>338</v>
      </c>
      <c r="H24" s="9">
        <v>20</v>
      </c>
      <c r="I24" s="9">
        <v>3</v>
      </c>
      <c r="J24" s="11" t="s">
        <v>179</v>
      </c>
    </row>
    <row r="25" spans="1:10" x14ac:dyDescent="0.3">
      <c r="A25" s="9">
        <v>1</v>
      </c>
      <c r="B25" s="8" t="s">
        <v>339</v>
      </c>
      <c r="H25" s="9">
        <v>21</v>
      </c>
      <c r="I25" s="9">
        <v>4</v>
      </c>
      <c r="J25" s="11" t="s">
        <v>102</v>
      </c>
    </row>
    <row r="26" spans="1:10" x14ac:dyDescent="0.3">
      <c r="A26" s="9">
        <v>2</v>
      </c>
      <c r="B26" s="8" t="s">
        <v>340</v>
      </c>
      <c r="H26" s="9">
        <v>22</v>
      </c>
      <c r="I26" s="9">
        <v>5</v>
      </c>
      <c r="J26" s="11" t="s">
        <v>179</v>
      </c>
    </row>
    <row r="27" spans="1:10" x14ac:dyDescent="0.3">
      <c r="A27" s="9">
        <v>3</v>
      </c>
      <c r="B27" s="8" t="s">
        <v>341</v>
      </c>
      <c r="H27" s="9">
        <v>23</v>
      </c>
      <c r="I27" s="9">
        <v>6</v>
      </c>
      <c r="J27" s="11" t="s">
        <v>614</v>
      </c>
    </row>
    <row r="28" spans="1:10" x14ac:dyDescent="0.3">
      <c r="A28" s="9">
        <v>4</v>
      </c>
      <c r="B28" s="8" t="s">
        <v>342</v>
      </c>
      <c r="H28" s="9">
        <v>24</v>
      </c>
      <c r="I28" s="9">
        <v>7</v>
      </c>
      <c r="J28" s="11" t="s">
        <v>102</v>
      </c>
    </row>
    <row r="29" spans="1:10" x14ac:dyDescent="0.3">
      <c r="H29" s="9">
        <v>25</v>
      </c>
      <c r="I29" s="9" t="s">
        <v>321</v>
      </c>
      <c r="J29" s="11" t="s">
        <v>105</v>
      </c>
    </row>
    <row r="30" spans="1:10" x14ac:dyDescent="0.3">
      <c r="H30" s="9">
        <v>26</v>
      </c>
      <c r="I30" s="9">
        <v>2</v>
      </c>
      <c r="J30" s="11" t="s">
        <v>614</v>
      </c>
    </row>
    <row r="31" spans="1:10" x14ac:dyDescent="0.3">
      <c r="H31" s="9">
        <v>27</v>
      </c>
      <c r="I31" s="9">
        <v>3</v>
      </c>
      <c r="J31" s="11" t="s">
        <v>106</v>
      </c>
    </row>
    <row r="32" spans="1:10" x14ac:dyDescent="0.3">
      <c r="H32" s="9">
        <v>28</v>
      </c>
      <c r="I32" s="9">
        <v>4</v>
      </c>
      <c r="J32" s="11" t="s">
        <v>105</v>
      </c>
    </row>
    <row r="33" spans="8:10" x14ac:dyDescent="0.3">
      <c r="H33" s="9">
        <v>29</v>
      </c>
      <c r="I33" s="9">
        <v>5</v>
      </c>
      <c r="J33" s="11" t="s">
        <v>108</v>
      </c>
    </row>
    <row r="34" spans="8:10" x14ac:dyDescent="0.3">
      <c r="H34" s="9">
        <v>30</v>
      </c>
      <c r="I34" s="9">
        <v>6</v>
      </c>
      <c r="J34" s="11" t="s">
        <v>102</v>
      </c>
    </row>
    <row r="35" spans="8:10" x14ac:dyDescent="0.3">
      <c r="H35" s="9">
        <v>31</v>
      </c>
      <c r="I35" s="9">
        <v>7</v>
      </c>
      <c r="J35" s="11" t="s">
        <v>179</v>
      </c>
    </row>
  </sheetData>
  <mergeCells count="4">
    <mergeCell ref="A1:J1"/>
    <mergeCell ref="H3:J3"/>
    <mergeCell ref="C6:C7"/>
    <mergeCell ref="C8:C14"/>
  </mergeCells>
  <pageMargins left="0.7" right="0.7" top="0.17" bottom="0.75" header="0.17" footer="0.511811023622047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H178"/>
  <sheetViews>
    <sheetView zoomScaleNormal="100" workbookViewId="0">
      <selection activeCell="G61" sqref="G61"/>
    </sheetView>
  </sheetViews>
  <sheetFormatPr defaultColWidth="9.109375" defaultRowHeight="18" x14ac:dyDescent="0.35"/>
  <cols>
    <col min="1" max="1" width="9.109375" style="61"/>
    <col min="2" max="2" width="34.88671875" style="62" customWidth="1"/>
    <col min="3" max="3" width="21" style="62" customWidth="1"/>
    <col min="4" max="4" width="11.6640625" style="62" customWidth="1"/>
    <col min="5" max="5" width="16" style="62" customWidth="1"/>
    <col min="6" max="6" width="18.109375" style="62" customWidth="1"/>
    <col min="7" max="7" width="9.109375" style="62"/>
    <col min="8" max="8" width="32.6640625" style="62" customWidth="1"/>
    <col min="9" max="16384" width="9.109375" style="62"/>
  </cols>
  <sheetData>
    <row r="1" spans="1:5" x14ac:dyDescent="0.35">
      <c r="A1" s="375" t="s">
        <v>343</v>
      </c>
      <c r="B1" s="375"/>
      <c r="C1" s="375"/>
      <c r="D1" s="375"/>
      <c r="E1" s="375"/>
    </row>
    <row r="2" spans="1:5" x14ac:dyDescent="0.35">
      <c r="A2" s="376" t="s">
        <v>291</v>
      </c>
      <c r="B2" s="376"/>
      <c r="C2" s="376"/>
      <c r="D2" s="376"/>
      <c r="E2" s="376"/>
    </row>
    <row r="4" spans="1:5" s="51" customFormat="1" ht="17.399999999999999" x14ac:dyDescent="0.3">
      <c r="A4" s="3" t="s">
        <v>3</v>
      </c>
      <c r="B4" s="63" t="s">
        <v>8</v>
      </c>
      <c r="C4" s="3" t="s">
        <v>54</v>
      </c>
      <c r="D4" s="3" t="s">
        <v>7</v>
      </c>
      <c r="E4" s="3" t="s">
        <v>17</v>
      </c>
    </row>
    <row r="5" spans="1:5" x14ac:dyDescent="0.35">
      <c r="A5" s="64">
        <v>1</v>
      </c>
      <c r="B5" s="65" t="s">
        <v>30</v>
      </c>
      <c r="C5" s="66"/>
      <c r="D5" s="67">
        <f>SUMIFS(XUẤT!AB:AB,XUẤT!AA:AA,'Vận chuyển'!B5)</f>
        <v>0</v>
      </c>
      <c r="E5" s="68">
        <f t="shared" ref="E5:E32" si="0">D5*5000</f>
        <v>0</v>
      </c>
    </row>
    <row r="6" spans="1:5" ht="18.75" customHeight="1" x14ac:dyDescent="0.35">
      <c r="A6" s="69">
        <v>2</v>
      </c>
      <c r="B6" s="70" t="s">
        <v>34</v>
      </c>
      <c r="C6" s="71" t="s">
        <v>303</v>
      </c>
      <c r="D6" s="67">
        <f>SUMIFS(XUẤT!AB:AB,XUẤT!AA:AA,'Vận chuyển'!B6)</f>
        <v>105</v>
      </c>
      <c r="E6" s="72">
        <f t="shared" si="0"/>
        <v>525000</v>
      </c>
    </row>
    <row r="7" spans="1:5" ht="18.75" customHeight="1" x14ac:dyDescent="0.35">
      <c r="A7" s="69">
        <v>3</v>
      </c>
      <c r="B7" s="125" t="s">
        <v>307</v>
      </c>
      <c r="C7" s="71" t="s">
        <v>307</v>
      </c>
      <c r="D7" s="67">
        <f>SUMIFS(XUẤT!AB:AB,XUẤT!AA:AA,'Vận chuyển'!B7)</f>
        <v>0</v>
      </c>
      <c r="E7" s="72">
        <f t="shared" si="0"/>
        <v>0</v>
      </c>
    </row>
    <row r="8" spans="1:5" ht="18.75" customHeight="1" x14ac:dyDescent="0.35">
      <c r="A8" s="69">
        <v>5</v>
      </c>
      <c r="B8" s="73" t="s">
        <v>102</v>
      </c>
      <c r="C8" s="377" t="s">
        <v>312</v>
      </c>
      <c r="D8" s="67">
        <f>SUMIFS(XUẤT!AB:AB,XUẤT!AA:AA,'Vận chuyển'!B8)</f>
        <v>0</v>
      </c>
      <c r="E8" s="72">
        <f t="shared" si="0"/>
        <v>0</v>
      </c>
    </row>
    <row r="9" spans="1:5" x14ac:dyDescent="0.35">
      <c r="A9" s="69">
        <v>6</v>
      </c>
      <c r="B9" s="73" t="s">
        <v>105</v>
      </c>
      <c r="C9" s="377"/>
      <c r="D9" s="67">
        <f>SUMIFS(XUẤT!AB:AB,XUẤT!AA:AA,'Vận chuyển'!B9)</f>
        <v>0</v>
      </c>
      <c r="E9" s="72">
        <f t="shared" si="0"/>
        <v>0</v>
      </c>
    </row>
    <row r="10" spans="1:5" x14ac:dyDescent="0.35">
      <c r="A10" s="69">
        <v>7</v>
      </c>
      <c r="B10" s="191" t="s">
        <v>104</v>
      </c>
      <c r="C10" s="377"/>
      <c r="D10" s="67">
        <f>SUMIFS(XUẤT!AB:AB,XUẤT!AA:AA,'Vận chuyển'!B10)</f>
        <v>0</v>
      </c>
      <c r="E10" s="72">
        <f t="shared" si="0"/>
        <v>0</v>
      </c>
    </row>
    <row r="11" spans="1:5" x14ac:dyDescent="0.35">
      <c r="A11" s="69">
        <v>8</v>
      </c>
      <c r="B11" s="10" t="s">
        <v>107</v>
      </c>
      <c r="C11" s="377"/>
      <c r="D11" s="67">
        <f>SUMIFS(XUẤT!AB:AB,XUẤT!AA:AA,'Vận chuyển'!B11)</f>
        <v>0</v>
      </c>
      <c r="E11" s="72">
        <f t="shared" si="0"/>
        <v>0</v>
      </c>
    </row>
    <row r="12" spans="1:5" x14ac:dyDescent="0.35">
      <c r="A12" s="69">
        <v>9</v>
      </c>
      <c r="B12" s="191" t="s">
        <v>106</v>
      </c>
      <c r="C12" s="377"/>
      <c r="D12" s="67">
        <f>SUMIFS(XUẤT!AB:AB,XUẤT!AA:AA,'Vận chuyển'!B12)</f>
        <v>2</v>
      </c>
      <c r="E12" s="72">
        <f t="shared" si="0"/>
        <v>10000</v>
      </c>
    </row>
    <row r="13" spans="1:5" x14ac:dyDescent="0.35">
      <c r="A13" s="69">
        <v>10</v>
      </c>
      <c r="B13" s="10" t="s">
        <v>108</v>
      </c>
      <c r="C13" s="377"/>
      <c r="D13" s="67">
        <f>SUMIFS(XUẤT!AB:AB,XUẤT!AA:AA,'Vận chuyển'!B13)</f>
        <v>6</v>
      </c>
      <c r="E13" s="72">
        <f t="shared" si="0"/>
        <v>30000</v>
      </c>
    </row>
    <row r="14" spans="1:5" x14ac:dyDescent="0.35">
      <c r="A14" s="69">
        <v>11</v>
      </c>
      <c r="B14" s="73" t="s">
        <v>204</v>
      </c>
      <c r="C14" s="377"/>
      <c r="D14" s="67">
        <f>SUMIFS(XUẤT!AB:AB,XUẤT!AA:AA,'Vận chuyển'!B14)</f>
        <v>0</v>
      </c>
      <c r="E14" s="72">
        <f t="shared" si="0"/>
        <v>0</v>
      </c>
    </row>
    <row r="15" spans="1:5" x14ac:dyDescent="0.35">
      <c r="A15" s="69">
        <v>12</v>
      </c>
      <c r="B15" s="125" t="s">
        <v>179</v>
      </c>
      <c r="C15" s="71" t="s">
        <v>170</v>
      </c>
      <c r="D15" s="67">
        <f>SUMIFS(XUẤT!AB:AB,XUẤT!AA:AA,'Vận chuyển'!B15)</f>
        <v>0</v>
      </c>
      <c r="E15" s="72">
        <f>D15*5000</f>
        <v>0</v>
      </c>
    </row>
    <row r="16" spans="1:5" x14ac:dyDescent="0.35">
      <c r="A16" s="69">
        <v>13</v>
      </c>
      <c r="B16" s="10" t="s">
        <v>37</v>
      </c>
      <c r="C16" s="71" t="s">
        <v>132</v>
      </c>
      <c r="D16" s="67">
        <f>SUMIFS(XUẤT!AB:AB,XUẤT!AA:AA,'Vận chuyển'!B16)</f>
        <v>3</v>
      </c>
      <c r="E16" s="72">
        <f t="shared" si="0"/>
        <v>15000</v>
      </c>
    </row>
    <row r="17" spans="1:8" x14ac:dyDescent="0.35">
      <c r="A17" s="69">
        <v>14</v>
      </c>
      <c r="B17" s="125" t="s">
        <v>44</v>
      </c>
      <c r="C17" s="71" t="s">
        <v>216</v>
      </c>
      <c r="D17" s="67">
        <f>SUMIFS(XUẤT!AB:AB,XUẤT!AA:AA,'Vận chuyển'!B17)</f>
        <v>0</v>
      </c>
      <c r="E17" s="72">
        <f t="shared" si="0"/>
        <v>0</v>
      </c>
    </row>
    <row r="18" spans="1:8" x14ac:dyDescent="0.35">
      <c r="A18" s="69">
        <v>15</v>
      </c>
      <c r="B18" s="70" t="s">
        <v>42</v>
      </c>
      <c r="C18" s="71" t="s">
        <v>192</v>
      </c>
      <c r="D18" s="67">
        <f>SUMIFS(XUẤT!AB:AB,XUẤT!AA:AA,'Vận chuyển'!B18)</f>
        <v>0</v>
      </c>
      <c r="E18" s="72">
        <f t="shared" si="0"/>
        <v>0</v>
      </c>
    </row>
    <row r="19" spans="1:8" s="51" customFormat="1" x14ac:dyDescent="0.35">
      <c r="A19" s="69">
        <v>16</v>
      </c>
      <c r="B19" s="70" t="s">
        <v>256</v>
      </c>
      <c r="C19" s="71" t="s">
        <v>257</v>
      </c>
      <c r="D19" s="67">
        <f>SUMIFS(XUẤT!AB:AB,XUẤT!AA:AA,'Vận chuyển'!B19)</f>
        <v>0</v>
      </c>
      <c r="E19" s="72">
        <f t="shared" si="0"/>
        <v>0</v>
      </c>
      <c r="F19" s="62"/>
      <c r="G19" s="62"/>
      <c r="H19" s="62"/>
    </row>
    <row r="20" spans="1:8" x14ac:dyDescent="0.35">
      <c r="A20" s="74">
        <v>17</v>
      </c>
      <c r="B20" s="35" t="s">
        <v>45</v>
      </c>
      <c r="C20" s="75"/>
      <c r="D20" s="67">
        <f>SUMIFS(XUẤT!AB:AB,XUẤT!AA:AA,'Vận chuyển'!B20)</f>
        <v>5</v>
      </c>
      <c r="E20" s="76">
        <f t="shared" si="0"/>
        <v>25000</v>
      </c>
    </row>
    <row r="21" spans="1:8" x14ac:dyDescent="0.35">
      <c r="A21" s="176">
        <v>18</v>
      </c>
      <c r="B21" s="177" t="s">
        <v>112</v>
      </c>
      <c r="C21" s="178" t="s">
        <v>58</v>
      </c>
      <c r="D21" s="67">
        <f>SUMIFS(XUẤT!AB:AB,XUẤT!AA:AA,'Vận chuyển'!B21)</f>
        <v>0</v>
      </c>
      <c r="E21" s="76">
        <f t="shared" si="0"/>
        <v>0</v>
      </c>
    </row>
    <row r="22" spans="1:8" x14ac:dyDescent="0.35">
      <c r="A22" s="176">
        <v>18</v>
      </c>
      <c r="B22" s="179" t="s">
        <v>168</v>
      </c>
      <c r="C22" s="178" t="s">
        <v>151</v>
      </c>
      <c r="D22" s="67">
        <f>SUMIFS(XUẤT!AB:AB,XUẤT!AA:AA,'Vận chuyển'!B22)</f>
        <v>20</v>
      </c>
      <c r="E22" s="76">
        <f t="shared" si="0"/>
        <v>100000</v>
      </c>
    </row>
    <row r="23" spans="1:8" x14ac:dyDescent="0.35">
      <c r="A23" s="176">
        <v>19</v>
      </c>
      <c r="B23" s="10" t="s">
        <v>161</v>
      </c>
      <c r="C23" s="178" t="s">
        <v>151</v>
      </c>
      <c r="D23" s="67">
        <f>SUMIFS(XUẤT!AB:AB,XUẤT!AA:AA,'Vận chuyển'!B23)</f>
        <v>0</v>
      </c>
      <c r="E23" s="76">
        <f t="shared" si="0"/>
        <v>0</v>
      </c>
    </row>
    <row r="24" spans="1:8" x14ac:dyDescent="0.35">
      <c r="A24" s="176">
        <v>20</v>
      </c>
      <c r="B24" s="185" t="s">
        <v>48</v>
      </c>
      <c r="C24" s="178" t="s">
        <v>151</v>
      </c>
      <c r="D24" s="67">
        <f>SUMIFS(XUẤT!AB:AB,XUẤT!AA:AA,'Vận chuyển'!B24)</f>
        <v>0</v>
      </c>
      <c r="E24" s="76">
        <f t="shared" si="0"/>
        <v>0</v>
      </c>
    </row>
    <row r="25" spans="1:8" x14ac:dyDescent="0.35">
      <c r="A25" s="176">
        <v>21</v>
      </c>
      <c r="B25" s="185" t="s">
        <v>66</v>
      </c>
      <c r="C25" s="71" t="s">
        <v>303</v>
      </c>
      <c r="D25" s="67">
        <f>SUMIFS(XUẤT!AB:AB,XUẤT!AA:AA,'Vận chuyển'!B25)</f>
        <v>0</v>
      </c>
      <c r="E25" s="76">
        <f t="shared" si="0"/>
        <v>0</v>
      </c>
    </row>
    <row r="26" spans="1:8" x14ac:dyDescent="0.35">
      <c r="A26" s="176">
        <v>22</v>
      </c>
      <c r="B26" s="185" t="s">
        <v>207</v>
      </c>
      <c r="C26" s="186" t="s">
        <v>192</v>
      </c>
      <c r="D26" s="67">
        <f>SUMIFS(XUẤT!AB:AB,XUẤT!AA:AA,'Vận chuyển'!B26)</f>
        <v>0</v>
      </c>
      <c r="E26" s="76">
        <f t="shared" si="0"/>
        <v>0</v>
      </c>
    </row>
    <row r="27" spans="1:8" x14ac:dyDescent="0.35">
      <c r="A27" s="176">
        <v>23</v>
      </c>
      <c r="B27" s="185" t="s">
        <v>430</v>
      </c>
      <c r="C27" s="186" t="s">
        <v>58</v>
      </c>
      <c r="D27" s="67">
        <f>SUMIFS(XUẤT!AB:AB,XUẤT!AA:AA,'Vận chuyển'!B27)</f>
        <v>0</v>
      </c>
      <c r="E27" s="76">
        <f t="shared" si="0"/>
        <v>0</v>
      </c>
    </row>
    <row r="28" spans="1:8" x14ac:dyDescent="0.35">
      <c r="A28" s="176">
        <v>24</v>
      </c>
      <c r="B28" s="31" t="s">
        <v>80</v>
      </c>
      <c r="C28" s="186" t="s">
        <v>58</v>
      </c>
      <c r="D28" s="67">
        <f>SUMIFS(XUẤT!AB:AB,XUẤT!AA:AA,'Vận chuyển'!B28)</f>
        <v>0</v>
      </c>
      <c r="E28" s="76">
        <f t="shared" si="0"/>
        <v>0</v>
      </c>
    </row>
    <row r="29" spans="1:8" x14ac:dyDescent="0.35">
      <c r="A29" s="176">
        <v>25</v>
      </c>
      <c r="B29" s="10" t="s">
        <v>232</v>
      </c>
      <c r="C29" s="71" t="s">
        <v>216</v>
      </c>
      <c r="D29" s="67">
        <f>SUMIFS(XUẤT!AB:AB,XUẤT!AA:AA,'Vận chuyển'!B29)</f>
        <v>0</v>
      </c>
      <c r="E29" s="76">
        <f t="shared" si="0"/>
        <v>0</v>
      </c>
    </row>
    <row r="30" spans="1:8" x14ac:dyDescent="0.35">
      <c r="A30" s="176">
        <v>26</v>
      </c>
      <c r="B30" s="185" t="s">
        <v>33</v>
      </c>
      <c r="C30" s="71" t="s">
        <v>216</v>
      </c>
      <c r="D30" s="67">
        <f>SUMIFS(XUẤT!AB:AB,XUẤT!AA:AA,'Vận chuyển'!B30)</f>
        <v>0</v>
      </c>
      <c r="E30" s="76">
        <f t="shared" si="0"/>
        <v>0</v>
      </c>
    </row>
    <row r="31" spans="1:8" x14ac:dyDescent="0.35">
      <c r="A31" s="176">
        <v>27</v>
      </c>
      <c r="B31" s="185" t="s">
        <v>100</v>
      </c>
      <c r="C31" s="71" t="s">
        <v>216</v>
      </c>
      <c r="D31" s="67">
        <f>SUMIFS(XUẤT!AB:AB,XUẤT!AA:AA,'Vận chuyển'!B31)</f>
        <v>0</v>
      </c>
      <c r="E31" s="76">
        <f t="shared" si="0"/>
        <v>0</v>
      </c>
    </row>
    <row r="32" spans="1:8" x14ac:dyDescent="0.35">
      <c r="A32" s="176">
        <v>28</v>
      </c>
      <c r="B32" s="179" t="s">
        <v>189</v>
      </c>
      <c r="C32" s="71" t="s">
        <v>170</v>
      </c>
      <c r="D32" s="67">
        <f>SUMIFS(XUẤT!AB:AB,XUẤT!AA:AA,'Vận chuyển'!B32)</f>
        <v>0</v>
      </c>
      <c r="E32" s="76">
        <f t="shared" si="0"/>
        <v>0</v>
      </c>
    </row>
    <row r="33" spans="1:5" x14ac:dyDescent="0.35">
      <c r="A33" s="176">
        <v>29</v>
      </c>
      <c r="B33" s="10" t="s">
        <v>166</v>
      </c>
      <c r="D33" s="67">
        <f>SUMIFS(XUẤT!AB:AB,XUẤT!AA:AA,'Vận chuyển'!B33)</f>
        <v>10</v>
      </c>
      <c r="E33" s="76">
        <f t="shared" ref="E33:E37" si="1">D33*5000</f>
        <v>50000</v>
      </c>
    </row>
    <row r="34" spans="1:5" x14ac:dyDescent="0.35">
      <c r="A34" s="176">
        <v>30</v>
      </c>
      <c r="B34" s="10" t="s">
        <v>104</v>
      </c>
      <c r="C34" s="62" t="s">
        <v>312</v>
      </c>
      <c r="D34" s="67">
        <f>SUMIFS(XUẤT!AB:AB,XUẤT!AA:AA,'Vận chuyển'!B34)</f>
        <v>0</v>
      </c>
      <c r="E34" s="76">
        <f t="shared" si="1"/>
        <v>0</v>
      </c>
    </row>
    <row r="35" spans="1:5" x14ac:dyDescent="0.35">
      <c r="A35" s="176">
        <v>31</v>
      </c>
      <c r="B35" s="7" t="s">
        <v>187</v>
      </c>
      <c r="C35" s="62" t="s">
        <v>453</v>
      </c>
      <c r="D35" s="67">
        <f>SUMIFS(XUẤT!AB:AB,XUẤT!AA:AA,'Vận chuyển'!B35)</f>
        <v>0</v>
      </c>
      <c r="E35" s="76">
        <f t="shared" si="1"/>
        <v>0</v>
      </c>
    </row>
    <row r="36" spans="1:5" x14ac:dyDescent="0.35">
      <c r="A36" s="176">
        <v>32</v>
      </c>
      <c r="B36" s="7" t="s">
        <v>203</v>
      </c>
      <c r="C36" s="62" t="s">
        <v>454</v>
      </c>
      <c r="D36" s="67">
        <f>SUMIFS(XUẤT!AB:AB,XUẤT!AA:AA,'Vận chuyển'!B36)</f>
        <v>20</v>
      </c>
      <c r="E36" s="76">
        <f t="shared" si="1"/>
        <v>100000</v>
      </c>
    </row>
    <row r="37" spans="1:5" x14ac:dyDescent="0.35">
      <c r="A37" s="176">
        <v>33</v>
      </c>
      <c r="B37" s="10" t="s">
        <v>107</v>
      </c>
      <c r="D37" s="67">
        <f>SUMIFS(XUẤT!AB:AB,XUẤT!AA:AA,'Vận chuyển'!B37)</f>
        <v>0</v>
      </c>
      <c r="E37" s="76">
        <f t="shared" si="1"/>
        <v>0</v>
      </c>
    </row>
    <row r="38" spans="1:5" x14ac:dyDescent="0.35">
      <c r="A38" s="176">
        <v>34</v>
      </c>
      <c r="B38" s="141" t="s">
        <v>29</v>
      </c>
      <c r="D38" s="67">
        <f>SUMIFS(XUẤT!AB:AB,XUẤT!AA:AA,'Vận chuyển'!B38)</f>
        <v>0</v>
      </c>
      <c r="E38" s="76">
        <f t="shared" ref="E38:E44" si="2">D38*5000</f>
        <v>0</v>
      </c>
    </row>
    <row r="39" spans="1:5" x14ac:dyDescent="0.35">
      <c r="A39" s="176">
        <v>35</v>
      </c>
      <c r="B39" s="141" t="s">
        <v>445</v>
      </c>
      <c r="D39" s="67">
        <f>SUMIFS(XUẤT!AB:AB,XUẤT!AA:AA,'Vận chuyển'!B39)</f>
        <v>0</v>
      </c>
      <c r="E39" s="76">
        <f t="shared" si="2"/>
        <v>0</v>
      </c>
    </row>
    <row r="40" spans="1:5" x14ac:dyDescent="0.35">
      <c r="A40" s="176">
        <v>36</v>
      </c>
      <c r="B40" s="141" t="s">
        <v>144</v>
      </c>
      <c r="D40" s="67">
        <f>SUMIFS(XUẤT!AB:AB,XUẤT!AA:AA,'Vận chuyển'!B40)</f>
        <v>0</v>
      </c>
      <c r="E40" s="76">
        <f t="shared" si="2"/>
        <v>0</v>
      </c>
    </row>
    <row r="41" spans="1:5" x14ac:dyDescent="0.35">
      <c r="A41" s="176">
        <v>37</v>
      </c>
      <c r="B41" s="143" t="s">
        <v>447</v>
      </c>
      <c r="D41" s="67">
        <f>SUMIFS(XUẤT!AB:AB,XUẤT!AA:AA,'Vận chuyển'!B41)</f>
        <v>0</v>
      </c>
      <c r="E41" s="76">
        <f t="shared" si="2"/>
        <v>0</v>
      </c>
    </row>
    <row r="42" spans="1:5" x14ac:dyDescent="0.35">
      <c r="A42" s="176">
        <v>38</v>
      </c>
      <c r="B42" s="88" t="s">
        <v>449</v>
      </c>
      <c r="D42" s="67">
        <f>SUMIFS(XUẤT!AB:AB,XUẤT!AA:AA,'Vận chuyển'!B42)</f>
        <v>3</v>
      </c>
      <c r="E42" s="76">
        <f t="shared" si="2"/>
        <v>15000</v>
      </c>
    </row>
    <row r="43" spans="1:5" x14ac:dyDescent="0.35">
      <c r="A43" s="176">
        <v>39</v>
      </c>
      <c r="B43" s="10" t="s">
        <v>76</v>
      </c>
      <c r="D43" s="67">
        <f>SUMIFS(XUẤT!AB:AB,XUẤT!AA:AA,'Vận chuyển'!B43)</f>
        <v>0</v>
      </c>
      <c r="E43" s="76">
        <f t="shared" si="2"/>
        <v>0</v>
      </c>
    </row>
    <row r="44" spans="1:5" x14ac:dyDescent="0.35">
      <c r="A44" s="176">
        <v>40</v>
      </c>
      <c r="B44" s="88" t="s">
        <v>452</v>
      </c>
      <c r="D44" s="67">
        <f>SUMIFS(XUẤT!AB:AB,XUẤT!AA:AA,'Vận chuyển'!B44)</f>
        <v>28</v>
      </c>
      <c r="E44" s="76">
        <f t="shared" si="2"/>
        <v>140000</v>
      </c>
    </row>
    <row r="45" spans="1:5" x14ac:dyDescent="0.35">
      <c r="A45" s="176">
        <v>41</v>
      </c>
      <c r="B45" s="10" t="s">
        <v>181</v>
      </c>
      <c r="D45" s="67">
        <f>SUMIFS(XUẤT!AB:AB,XUẤT!AA:AA,'Vận chuyển'!B45)</f>
        <v>3</v>
      </c>
      <c r="E45" s="76">
        <f t="shared" ref="E45:E47" si="3">D45*5000</f>
        <v>15000</v>
      </c>
    </row>
    <row r="46" spans="1:5" x14ac:dyDescent="0.35">
      <c r="A46" s="176">
        <v>42</v>
      </c>
      <c r="B46" s="188" t="s">
        <v>130</v>
      </c>
      <c r="D46" s="67">
        <f>SUMIFS(XUẤT!AB:AB,XUẤT!AA:AA,'Vận chuyển'!B46)</f>
        <v>0</v>
      </c>
      <c r="E46" s="76">
        <f t="shared" si="3"/>
        <v>0</v>
      </c>
    </row>
    <row r="47" spans="1:5" x14ac:dyDescent="0.35">
      <c r="A47" s="176">
        <v>43</v>
      </c>
      <c r="B47" s="10" t="s">
        <v>212</v>
      </c>
      <c r="D47" s="67">
        <f>SUMIFS(XUẤT!AB:AB,XUẤT!AA:AA,'Vận chuyển'!B47)</f>
        <v>0</v>
      </c>
      <c r="E47" s="76">
        <f t="shared" si="3"/>
        <v>0</v>
      </c>
    </row>
    <row r="48" spans="1:5" x14ac:dyDescent="0.35">
      <c r="A48" s="176">
        <v>44</v>
      </c>
      <c r="B48" s="10" t="s">
        <v>108</v>
      </c>
      <c r="D48" s="67">
        <f>SUMIFS(XUẤT!AB:AB,XUẤT!AA:AA,'Vận chuyển'!B48)</f>
        <v>6</v>
      </c>
      <c r="E48" s="76">
        <f t="shared" ref="E48" si="4">D48*5000</f>
        <v>30000</v>
      </c>
    </row>
    <row r="49" spans="1:8" x14ac:dyDescent="0.35">
      <c r="A49" s="176">
        <v>45</v>
      </c>
      <c r="B49" s="100" t="s">
        <v>463</v>
      </c>
      <c r="D49" s="67">
        <f>SUMIFS(XUẤT!AB:AB,XUẤT!AA:AA,'Vận chuyển'!B49)</f>
        <v>0</v>
      </c>
      <c r="E49" s="76">
        <f t="shared" ref="E49" si="5">D49*5000</f>
        <v>0</v>
      </c>
    </row>
    <row r="50" spans="1:8" x14ac:dyDescent="0.35">
      <c r="A50" s="176">
        <v>46</v>
      </c>
      <c r="B50" s="10" t="s">
        <v>206</v>
      </c>
      <c r="D50" s="67">
        <f>SUMIFS(XUẤT!AB:AB,XUẤT!AA:AA,'Vận chuyển'!B50)</f>
        <v>0</v>
      </c>
      <c r="E50" s="76">
        <f t="shared" ref="E50" si="6">D50*5000</f>
        <v>0</v>
      </c>
    </row>
    <row r="51" spans="1:8" x14ac:dyDescent="0.35">
      <c r="A51" s="176">
        <v>47</v>
      </c>
      <c r="B51" s="10" t="s">
        <v>179</v>
      </c>
      <c r="D51" s="67">
        <f>SUMIFS(XUẤT!AB:AB,XUẤT!AA:AA,'Vận chuyển'!B51)</f>
        <v>0</v>
      </c>
      <c r="E51" s="76">
        <f t="shared" ref="E51" si="7">D51*5000</f>
        <v>0</v>
      </c>
    </row>
    <row r="52" spans="1:8" x14ac:dyDescent="0.35">
      <c r="A52" s="176">
        <v>48</v>
      </c>
      <c r="B52" s="10" t="s">
        <v>74</v>
      </c>
      <c r="D52" s="67">
        <f>SUMIFS(XUẤT!AB:AB,XUẤT!AA:AA,'Vận chuyển'!B52)</f>
        <v>0</v>
      </c>
      <c r="E52" s="76">
        <f t="shared" ref="E52" si="8">D52*5000</f>
        <v>0</v>
      </c>
    </row>
    <row r="53" spans="1:8" x14ac:dyDescent="0.35">
      <c r="A53" s="176">
        <v>49</v>
      </c>
      <c r="B53" s="188" t="s">
        <v>169</v>
      </c>
      <c r="D53" s="67">
        <f>SUMIFS(XUẤT!AB:AB,XUẤT!AA:AA,'Vận chuyển'!B53)</f>
        <v>0</v>
      </c>
      <c r="E53" s="76">
        <f t="shared" ref="E53" si="9">D53*5000</f>
        <v>0</v>
      </c>
    </row>
    <row r="54" spans="1:8" x14ac:dyDescent="0.35">
      <c r="A54" s="176">
        <v>50</v>
      </c>
      <c r="B54" s="10" t="s">
        <v>37</v>
      </c>
      <c r="D54" s="67">
        <f>SUMIFS(XUẤT!AB:AB,XUẤT!AA:AA,'Vận chuyển'!B54)</f>
        <v>3</v>
      </c>
      <c r="E54" s="76">
        <f t="shared" ref="E54" si="10">D54*5000</f>
        <v>15000</v>
      </c>
    </row>
    <row r="55" spans="1:8" x14ac:dyDescent="0.35">
      <c r="A55" s="176">
        <v>51</v>
      </c>
      <c r="B55" s="10" t="s">
        <v>69</v>
      </c>
      <c r="D55" s="67">
        <f>SUMIFS(XUẤT!AB:AB,XUẤT!AA:AA,'Vận chuyển'!B55)</f>
        <v>0</v>
      </c>
      <c r="E55" s="76">
        <f t="shared" ref="E55" si="11">D55*5000</f>
        <v>0</v>
      </c>
    </row>
    <row r="56" spans="1:8" x14ac:dyDescent="0.35">
      <c r="A56" s="176">
        <v>52</v>
      </c>
      <c r="B56" s="10" t="s">
        <v>86</v>
      </c>
      <c r="D56" s="67">
        <f>SUMIFS(XUẤT!AB:AB,XUẤT!AA:AA,'Vận chuyển'!B56)</f>
        <v>0</v>
      </c>
      <c r="E56" s="76">
        <f t="shared" ref="E56" si="12">D56*5000</f>
        <v>0</v>
      </c>
    </row>
    <row r="57" spans="1:8" x14ac:dyDescent="0.35">
      <c r="A57" s="176">
        <v>53</v>
      </c>
      <c r="B57" s="10" t="s">
        <v>31</v>
      </c>
      <c r="D57" s="67">
        <f>SUMIFS(XUẤT!AB:AB,XUẤT!AA:AA,'Vận chuyển'!B57)</f>
        <v>0</v>
      </c>
      <c r="E57" s="76">
        <f t="shared" ref="E57" si="13">D57*5000</f>
        <v>0</v>
      </c>
    </row>
    <row r="58" spans="1:8" x14ac:dyDescent="0.35">
      <c r="A58" s="176">
        <v>53</v>
      </c>
      <c r="B58" s="185" t="s">
        <v>172</v>
      </c>
      <c r="D58" s="67">
        <f>SUMIFS(XUẤT!AB:AB,XUẤT!AA:AA,'Vận chuyển'!B58)</f>
        <v>8</v>
      </c>
      <c r="E58" s="76">
        <f t="shared" ref="E58" si="14">D58*5000</f>
        <v>40000</v>
      </c>
    </row>
    <row r="59" spans="1:8" x14ac:dyDescent="0.35">
      <c r="A59" s="176">
        <v>54</v>
      </c>
      <c r="B59" s="10" t="s">
        <v>152</v>
      </c>
      <c r="D59" s="67">
        <f>SUMIFS(XUẤT!AB:AB,XUẤT!AA:AA,'Vận chuyển'!B59)</f>
        <v>4</v>
      </c>
      <c r="E59" s="76">
        <f t="shared" ref="E59" si="15">D59*5000</f>
        <v>20000</v>
      </c>
    </row>
    <row r="60" spans="1:8" ht="19.2" customHeight="1" x14ac:dyDescent="0.35">
      <c r="A60" s="52"/>
      <c r="B60" s="53" t="s">
        <v>22</v>
      </c>
      <c r="C60" s="53"/>
      <c r="D60" s="53">
        <f>SUM(D5:D37)</f>
        <v>171</v>
      </c>
      <c r="E60" s="202">
        <f>SUM(E5:E38)</f>
        <v>855000</v>
      </c>
      <c r="F60" s="201">
        <f>E60-XUẤT!AC5</f>
        <v>-2840000</v>
      </c>
      <c r="G60" s="51"/>
      <c r="H60" s="51"/>
    </row>
    <row r="62" spans="1:8" x14ac:dyDescent="0.35">
      <c r="B62"/>
    </row>
    <row r="63" spans="1:8" x14ac:dyDescent="0.35">
      <c r="B63"/>
    </row>
    <row r="64" spans="1:8" x14ac:dyDescent="0.35">
      <c r="B64"/>
    </row>
    <row r="65" spans="2:2" x14ac:dyDescent="0.35">
      <c r="B65"/>
    </row>
    <row r="66" spans="2:2" x14ac:dyDescent="0.35">
      <c r="B66"/>
    </row>
    <row r="67" spans="2:2" x14ac:dyDescent="0.35">
      <c r="B67"/>
    </row>
    <row r="68" spans="2:2" x14ac:dyDescent="0.35">
      <c r="B68"/>
    </row>
    <row r="69" spans="2:2" x14ac:dyDescent="0.35">
      <c r="B69"/>
    </row>
    <row r="70" spans="2:2" x14ac:dyDescent="0.35">
      <c r="B70"/>
    </row>
    <row r="71" spans="2:2" x14ac:dyDescent="0.35">
      <c r="B71"/>
    </row>
    <row r="72" spans="2:2" x14ac:dyDescent="0.35">
      <c r="B72"/>
    </row>
    <row r="73" spans="2:2" x14ac:dyDescent="0.35">
      <c r="B73"/>
    </row>
    <row r="74" spans="2:2" x14ac:dyDescent="0.35">
      <c r="B74"/>
    </row>
    <row r="75" spans="2:2" x14ac:dyDescent="0.35">
      <c r="B75"/>
    </row>
    <row r="76" spans="2:2" x14ac:dyDescent="0.35">
      <c r="B76"/>
    </row>
    <row r="77" spans="2:2" x14ac:dyDescent="0.35">
      <c r="B77"/>
    </row>
    <row r="78" spans="2:2" x14ac:dyDescent="0.35">
      <c r="B78"/>
    </row>
    <row r="79" spans="2:2" x14ac:dyDescent="0.35">
      <c r="B79"/>
    </row>
    <row r="80" spans="2:2" x14ac:dyDescent="0.35">
      <c r="B80"/>
    </row>
    <row r="81" spans="2:2" x14ac:dyDescent="0.35">
      <c r="B81"/>
    </row>
    <row r="82" spans="2:2" x14ac:dyDescent="0.35">
      <c r="B82"/>
    </row>
    <row r="83" spans="2:2" x14ac:dyDescent="0.35">
      <c r="B83"/>
    </row>
    <row r="84" spans="2:2" x14ac:dyDescent="0.35">
      <c r="B84"/>
    </row>
    <row r="85" spans="2:2" x14ac:dyDescent="0.35">
      <c r="B85"/>
    </row>
    <row r="86" spans="2:2" x14ac:dyDescent="0.35">
      <c r="B86"/>
    </row>
    <row r="87" spans="2:2" x14ac:dyDescent="0.35">
      <c r="B87"/>
    </row>
    <row r="88" spans="2:2" x14ac:dyDescent="0.35">
      <c r="B88"/>
    </row>
    <row r="89" spans="2:2" x14ac:dyDescent="0.35">
      <c r="B89"/>
    </row>
    <row r="90" spans="2:2" x14ac:dyDescent="0.35">
      <c r="B90"/>
    </row>
    <row r="91" spans="2:2" x14ac:dyDescent="0.35">
      <c r="B91"/>
    </row>
    <row r="92" spans="2:2" x14ac:dyDescent="0.35">
      <c r="B92"/>
    </row>
    <row r="93" spans="2:2" x14ac:dyDescent="0.35">
      <c r="B93"/>
    </row>
    <row r="94" spans="2:2" x14ac:dyDescent="0.35">
      <c r="B94"/>
    </row>
    <row r="95" spans="2:2" x14ac:dyDescent="0.35">
      <c r="B95"/>
    </row>
    <row r="96" spans="2:2" x14ac:dyDescent="0.35">
      <c r="B96"/>
    </row>
    <row r="97" spans="2:2" x14ac:dyDescent="0.35">
      <c r="B97"/>
    </row>
    <row r="98" spans="2:2" x14ac:dyDescent="0.35">
      <c r="B98"/>
    </row>
    <row r="99" spans="2:2" x14ac:dyDescent="0.35">
      <c r="B99"/>
    </row>
    <row r="100" spans="2:2" x14ac:dyDescent="0.35">
      <c r="B100"/>
    </row>
    <row r="101" spans="2:2" x14ac:dyDescent="0.35">
      <c r="B101"/>
    </row>
    <row r="102" spans="2:2" x14ac:dyDescent="0.35">
      <c r="B102"/>
    </row>
    <row r="103" spans="2:2" x14ac:dyDescent="0.35">
      <c r="B103"/>
    </row>
    <row r="104" spans="2:2" x14ac:dyDescent="0.35">
      <c r="B104"/>
    </row>
    <row r="105" spans="2:2" x14ac:dyDescent="0.35">
      <c r="B105"/>
    </row>
    <row r="106" spans="2:2" x14ac:dyDescent="0.35">
      <c r="B106"/>
    </row>
    <row r="107" spans="2:2" x14ac:dyDescent="0.35">
      <c r="B107"/>
    </row>
    <row r="108" spans="2:2" x14ac:dyDescent="0.35">
      <c r="B108"/>
    </row>
    <row r="109" spans="2:2" x14ac:dyDescent="0.35">
      <c r="B109"/>
    </row>
    <row r="110" spans="2:2" x14ac:dyDescent="0.35">
      <c r="B110"/>
    </row>
    <row r="111" spans="2:2" x14ac:dyDescent="0.35">
      <c r="B111"/>
    </row>
    <row r="112" spans="2:2" x14ac:dyDescent="0.35">
      <c r="B112"/>
    </row>
    <row r="113" spans="2:2" x14ac:dyDescent="0.35">
      <c r="B113"/>
    </row>
    <row r="114" spans="2:2" x14ac:dyDescent="0.35">
      <c r="B114"/>
    </row>
    <row r="115" spans="2:2" x14ac:dyDescent="0.35">
      <c r="B115"/>
    </row>
    <row r="116" spans="2:2" x14ac:dyDescent="0.35">
      <c r="B116"/>
    </row>
    <row r="117" spans="2:2" x14ac:dyDescent="0.35">
      <c r="B117"/>
    </row>
    <row r="118" spans="2:2" x14ac:dyDescent="0.35">
      <c r="B118"/>
    </row>
    <row r="119" spans="2:2" x14ac:dyDescent="0.35">
      <c r="B119"/>
    </row>
    <row r="120" spans="2:2" x14ac:dyDescent="0.35">
      <c r="B120"/>
    </row>
    <row r="121" spans="2:2" x14ac:dyDescent="0.35">
      <c r="B121"/>
    </row>
    <row r="122" spans="2:2" x14ac:dyDescent="0.35">
      <c r="B122"/>
    </row>
    <row r="123" spans="2:2" x14ac:dyDescent="0.35">
      <c r="B123"/>
    </row>
    <row r="124" spans="2:2" x14ac:dyDescent="0.35">
      <c r="B124"/>
    </row>
    <row r="125" spans="2:2" x14ac:dyDescent="0.35">
      <c r="B125"/>
    </row>
    <row r="126" spans="2:2" x14ac:dyDescent="0.35">
      <c r="B126"/>
    </row>
    <row r="127" spans="2:2" x14ac:dyDescent="0.35">
      <c r="B127"/>
    </row>
    <row r="128" spans="2:2" x14ac:dyDescent="0.35">
      <c r="B128"/>
    </row>
    <row r="129" spans="2:2" x14ac:dyDescent="0.35">
      <c r="B129"/>
    </row>
    <row r="130" spans="2:2" x14ac:dyDescent="0.35">
      <c r="B130"/>
    </row>
    <row r="131" spans="2:2" x14ac:dyDescent="0.35">
      <c r="B131"/>
    </row>
    <row r="132" spans="2:2" x14ac:dyDescent="0.35">
      <c r="B132"/>
    </row>
    <row r="133" spans="2:2" x14ac:dyDescent="0.35">
      <c r="B133"/>
    </row>
    <row r="134" spans="2:2" x14ac:dyDescent="0.35">
      <c r="B134"/>
    </row>
    <row r="135" spans="2:2" x14ac:dyDescent="0.35">
      <c r="B135"/>
    </row>
    <row r="136" spans="2:2" x14ac:dyDescent="0.35">
      <c r="B136"/>
    </row>
    <row r="137" spans="2:2" x14ac:dyDescent="0.35">
      <c r="B137"/>
    </row>
    <row r="138" spans="2:2" x14ac:dyDescent="0.35">
      <c r="B138"/>
    </row>
    <row r="139" spans="2:2" x14ac:dyDescent="0.35">
      <c r="B139"/>
    </row>
    <row r="140" spans="2:2" x14ac:dyDescent="0.35">
      <c r="B140"/>
    </row>
    <row r="141" spans="2:2" x14ac:dyDescent="0.35">
      <c r="B141"/>
    </row>
    <row r="142" spans="2:2" x14ac:dyDescent="0.35">
      <c r="B142"/>
    </row>
    <row r="143" spans="2:2" x14ac:dyDescent="0.35">
      <c r="B143"/>
    </row>
    <row r="144" spans="2:2" x14ac:dyDescent="0.35">
      <c r="B144"/>
    </row>
    <row r="145" spans="2:2" x14ac:dyDescent="0.35">
      <c r="B145"/>
    </row>
    <row r="146" spans="2:2" x14ac:dyDescent="0.35">
      <c r="B146"/>
    </row>
    <row r="147" spans="2:2" x14ac:dyDescent="0.35">
      <c r="B147"/>
    </row>
    <row r="148" spans="2:2" x14ac:dyDescent="0.35">
      <c r="B148"/>
    </row>
    <row r="149" spans="2:2" x14ac:dyDescent="0.35">
      <c r="B149"/>
    </row>
    <row r="150" spans="2:2" x14ac:dyDescent="0.35">
      <c r="B150"/>
    </row>
    <row r="151" spans="2:2" x14ac:dyDescent="0.35">
      <c r="B151"/>
    </row>
    <row r="152" spans="2:2" x14ac:dyDescent="0.35">
      <c r="B152"/>
    </row>
    <row r="153" spans="2:2" x14ac:dyDescent="0.35">
      <c r="B153"/>
    </row>
    <row r="154" spans="2:2" x14ac:dyDescent="0.35">
      <c r="B154"/>
    </row>
    <row r="155" spans="2:2" x14ac:dyDescent="0.35">
      <c r="B155"/>
    </row>
    <row r="156" spans="2:2" x14ac:dyDescent="0.35">
      <c r="B156"/>
    </row>
    <row r="157" spans="2:2" x14ac:dyDescent="0.35">
      <c r="B157"/>
    </row>
    <row r="158" spans="2:2" x14ac:dyDescent="0.35">
      <c r="B158"/>
    </row>
    <row r="159" spans="2:2" x14ac:dyDescent="0.35">
      <c r="B159"/>
    </row>
    <row r="160" spans="2:2" x14ac:dyDescent="0.35">
      <c r="B160"/>
    </row>
    <row r="161" spans="2:2" x14ac:dyDescent="0.35">
      <c r="B161"/>
    </row>
    <row r="162" spans="2:2" x14ac:dyDescent="0.35">
      <c r="B162"/>
    </row>
    <row r="163" spans="2:2" x14ac:dyDescent="0.35">
      <c r="B163"/>
    </row>
    <row r="164" spans="2:2" x14ac:dyDescent="0.35">
      <c r="B164"/>
    </row>
    <row r="165" spans="2:2" x14ac:dyDescent="0.35">
      <c r="B165"/>
    </row>
    <row r="166" spans="2:2" x14ac:dyDescent="0.35">
      <c r="B166"/>
    </row>
    <row r="167" spans="2:2" x14ac:dyDescent="0.35">
      <c r="B167"/>
    </row>
    <row r="168" spans="2:2" x14ac:dyDescent="0.35">
      <c r="B168"/>
    </row>
    <row r="169" spans="2:2" x14ac:dyDescent="0.35">
      <c r="B169"/>
    </row>
    <row r="170" spans="2:2" x14ac:dyDescent="0.35">
      <c r="B170"/>
    </row>
    <row r="171" spans="2:2" x14ac:dyDescent="0.35">
      <c r="B171"/>
    </row>
    <row r="172" spans="2:2" x14ac:dyDescent="0.35">
      <c r="B172"/>
    </row>
    <row r="173" spans="2:2" x14ac:dyDescent="0.35">
      <c r="B173"/>
    </row>
    <row r="174" spans="2:2" x14ac:dyDescent="0.35">
      <c r="B174"/>
    </row>
    <row r="175" spans="2:2" x14ac:dyDescent="0.35">
      <c r="B175"/>
    </row>
    <row r="176" spans="2:2" x14ac:dyDescent="0.35">
      <c r="B176"/>
    </row>
    <row r="177" spans="2:2" x14ac:dyDescent="0.35">
      <c r="B177"/>
    </row>
    <row r="178" spans="2:2" x14ac:dyDescent="0.35">
      <c r="B178"/>
    </row>
  </sheetData>
  <mergeCells count="3">
    <mergeCell ref="A1:E1"/>
    <mergeCell ref="A2:E2"/>
    <mergeCell ref="C8:C14"/>
  </mergeCells>
  <conditionalFormatting sqref="B11">
    <cfRule type="duplicateValues" dxfId="27" priority="16"/>
  </conditionalFormatting>
  <conditionalFormatting sqref="B13">
    <cfRule type="duplicateValues" dxfId="26" priority="2"/>
  </conditionalFormatting>
  <conditionalFormatting sqref="B20:B21">
    <cfRule type="duplicateValues" dxfId="25" priority="83"/>
  </conditionalFormatting>
  <conditionalFormatting sqref="B22 B24:B27">
    <cfRule type="duplicateValues" dxfId="24" priority="80"/>
  </conditionalFormatting>
  <conditionalFormatting sqref="B23">
    <cfRule type="duplicateValues" dxfId="23" priority="76"/>
  </conditionalFormatting>
  <conditionalFormatting sqref="B28">
    <cfRule type="duplicateValues" dxfId="22" priority="79"/>
  </conditionalFormatting>
  <conditionalFormatting sqref="B29:B31">
    <cfRule type="duplicateValues" dxfId="21" priority="78"/>
  </conditionalFormatting>
  <conditionalFormatting sqref="B32">
    <cfRule type="duplicateValues" dxfId="20" priority="77"/>
  </conditionalFormatting>
  <conditionalFormatting sqref="B33">
    <cfRule type="duplicateValues" dxfId="19" priority="19"/>
  </conditionalFormatting>
  <conditionalFormatting sqref="B34">
    <cfRule type="duplicateValues" dxfId="18" priority="18"/>
  </conditionalFormatting>
  <conditionalFormatting sqref="B36">
    <cfRule type="duplicateValues" dxfId="17" priority="58"/>
  </conditionalFormatting>
  <conditionalFormatting sqref="B37">
    <cfRule type="duplicateValues" dxfId="16" priority="53"/>
  </conditionalFormatting>
  <conditionalFormatting sqref="B43">
    <cfRule type="duplicateValues" dxfId="15" priority="247"/>
  </conditionalFormatting>
  <conditionalFormatting sqref="B45">
    <cfRule type="duplicateValues" dxfId="14" priority="15"/>
  </conditionalFormatting>
  <conditionalFormatting sqref="B46">
    <cfRule type="duplicateValues" dxfId="13" priority="14"/>
  </conditionalFormatting>
  <conditionalFormatting sqref="B47">
    <cfRule type="duplicateValues" dxfId="12" priority="12"/>
  </conditionalFormatting>
  <conditionalFormatting sqref="B48">
    <cfRule type="duplicateValues" dxfId="11" priority="11"/>
  </conditionalFormatting>
  <conditionalFormatting sqref="B50">
    <cfRule type="duplicateValues" dxfId="10" priority="10"/>
  </conditionalFormatting>
  <conditionalFormatting sqref="B51">
    <cfRule type="duplicateValues" dxfId="9" priority="9"/>
  </conditionalFormatting>
  <conditionalFormatting sqref="B52">
    <cfRule type="duplicateValues" dxfId="8" priority="8"/>
  </conditionalFormatting>
  <conditionalFormatting sqref="B53">
    <cfRule type="duplicateValues" dxfId="7" priority="7"/>
  </conditionalFormatting>
  <conditionalFormatting sqref="B54">
    <cfRule type="duplicateValues" dxfId="6" priority="6"/>
  </conditionalFormatting>
  <conditionalFormatting sqref="B55">
    <cfRule type="duplicateValues" dxfId="5" priority="5"/>
  </conditionalFormatting>
  <conditionalFormatting sqref="B56">
    <cfRule type="duplicateValues" dxfId="4" priority="4"/>
  </conditionalFormatting>
  <conditionalFormatting sqref="B57:B58">
    <cfRule type="duplicateValues" dxfId="3" priority="3"/>
  </conditionalFormatting>
  <conditionalFormatting sqref="B59">
    <cfRule type="duplicateValues" dxfId="2" priority="1"/>
  </conditionalFormatting>
  <conditionalFormatting sqref="B179:B1048576 B1:B10 B35:B37 B60:B61 B12 B14:B32">
    <cfRule type="duplicateValues" dxfId="1" priority="194"/>
  </conditionalFormatting>
  <conditionalFormatting sqref="B179:B1048576 B60:B61 B3:B10 B12 B14:B21">
    <cfRule type="duplicateValues" dxfId="0" priority="82"/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FD6AE5-B278-43B6-B341-CE5F82D4EA99}">
          <x14:formula1>
            <xm:f>'Đơn giá'!$B$4:$B$9</xm:f>
          </x14:formula1>
          <xm:sqref>B43</xm:sqref>
        </x14:dataValidation>
        <x14:dataValidation type="list" allowBlank="1" showInputMessage="1" showErrorMessage="1" xr:uid="{7F7B7D18-E590-497E-B210-F14E495091B7}">
          <x14:formula1>
            <xm:f>'Đơn giá'!$F$4:$F$5</xm:f>
          </x14:formula1>
          <xm:sqref>B11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K9"/>
  <sheetViews>
    <sheetView zoomScaleNormal="100" workbookViewId="0">
      <selection activeCell="A3" sqref="A3:C9"/>
    </sheetView>
  </sheetViews>
  <sheetFormatPr defaultColWidth="8.5546875" defaultRowHeight="14.4" x14ac:dyDescent="0.3"/>
  <cols>
    <col min="2" max="2" width="13.109375" customWidth="1"/>
    <col min="3" max="3" width="11.109375" customWidth="1"/>
    <col min="6" max="6" width="15.109375" customWidth="1"/>
    <col min="9" max="9" width="13.88671875" bestFit="1" customWidth="1"/>
    <col min="11" max="11" width="11.33203125" customWidth="1"/>
    <col min="12" max="12" width="13.88671875" bestFit="1" customWidth="1"/>
  </cols>
  <sheetData>
    <row r="3" spans="1:11" ht="17.399999999999999" x14ac:dyDescent="0.3">
      <c r="A3" s="4" t="s">
        <v>3</v>
      </c>
      <c r="B3" s="4" t="s">
        <v>19</v>
      </c>
      <c r="C3" s="4" t="s">
        <v>20</v>
      </c>
      <c r="I3" s="207" t="s">
        <v>457</v>
      </c>
      <c r="J3" s="207" t="s">
        <v>458</v>
      </c>
      <c r="K3" s="207" t="s">
        <v>459</v>
      </c>
    </row>
    <row r="4" spans="1:11" ht="18" x14ac:dyDescent="0.3">
      <c r="A4" s="13">
        <v>1</v>
      </c>
      <c r="B4" s="5" t="s">
        <v>28</v>
      </c>
      <c r="C4" s="6">
        <v>85000</v>
      </c>
      <c r="F4" t="s">
        <v>41</v>
      </c>
      <c r="I4" s="79">
        <v>688</v>
      </c>
      <c r="J4" s="208">
        <v>98000</v>
      </c>
      <c r="K4" s="208">
        <f>I4*J4</f>
        <v>67424000</v>
      </c>
    </row>
    <row r="5" spans="1:11" ht="18" x14ac:dyDescent="0.3">
      <c r="A5" s="13">
        <v>2</v>
      </c>
      <c r="B5" s="5" t="s">
        <v>35</v>
      </c>
      <c r="C5" s="6">
        <v>93000</v>
      </c>
      <c r="E5" s="5"/>
      <c r="F5" t="s">
        <v>30</v>
      </c>
      <c r="I5" s="79">
        <v>80</v>
      </c>
      <c r="J5" s="208">
        <v>93000</v>
      </c>
      <c r="K5" s="208">
        <f t="shared" ref="K5:K8" si="0">I5*J5</f>
        <v>7440000</v>
      </c>
    </row>
    <row r="6" spans="1:11" ht="18" x14ac:dyDescent="0.3">
      <c r="A6" s="13">
        <v>3</v>
      </c>
      <c r="B6" s="5" t="s">
        <v>25</v>
      </c>
      <c r="C6" s="6">
        <v>98000</v>
      </c>
      <c r="I6" s="79">
        <v>62</v>
      </c>
      <c r="J6" s="208">
        <v>48000</v>
      </c>
      <c r="K6" s="208">
        <f t="shared" si="0"/>
        <v>2976000</v>
      </c>
    </row>
    <row r="7" spans="1:11" ht="18" x14ac:dyDescent="0.3">
      <c r="A7" s="13">
        <v>4</v>
      </c>
      <c r="B7" s="5" t="s">
        <v>32</v>
      </c>
      <c r="C7" s="6">
        <v>106000</v>
      </c>
      <c r="I7" s="79">
        <v>147</v>
      </c>
      <c r="J7" s="208">
        <v>52000</v>
      </c>
      <c r="K7" s="208">
        <f t="shared" si="0"/>
        <v>7644000</v>
      </c>
    </row>
    <row r="8" spans="1:11" ht="18" x14ac:dyDescent="0.3">
      <c r="A8" s="13">
        <v>5</v>
      </c>
      <c r="B8" s="5" t="s">
        <v>36</v>
      </c>
      <c r="C8" s="6">
        <v>52000</v>
      </c>
      <c r="I8" s="79">
        <v>18</v>
      </c>
      <c r="J8" s="208">
        <v>93000</v>
      </c>
      <c r="K8" s="208">
        <f t="shared" si="0"/>
        <v>1674000</v>
      </c>
    </row>
    <row r="9" spans="1:11" ht="18" x14ac:dyDescent="0.3">
      <c r="A9" s="13">
        <v>6</v>
      </c>
      <c r="B9" s="5" t="s">
        <v>38</v>
      </c>
      <c r="C9" s="6">
        <v>48000</v>
      </c>
      <c r="I9" s="79"/>
      <c r="J9" s="207" t="s">
        <v>460</v>
      </c>
      <c r="K9" s="208">
        <f>SUM(K4:K8)</f>
        <v>87158000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86007-DA33-457E-973D-29066436F714}">
  <dimension ref="A1:I48"/>
  <sheetViews>
    <sheetView workbookViewId="0">
      <selection activeCell="E3" sqref="E3"/>
    </sheetView>
  </sheetViews>
  <sheetFormatPr defaultColWidth="10.109375" defaultRowHeight="13.8" x14ac:dyDescent="0.3"/>
  <cols>
    <col min="1" max="1" width="5.5546875" style="160" customWidth="1"/>
    <col min="2" max="2" width="13.109375" style="163" customWidth="1"/>
    <col min="3" max="3" width="22" style="163" customWidth="1"/>
    <col min="4" max="4" width="10.109375" style="160"/>
    <col min="5" max="5" width="14.109375" style="160" customWidth="1"/>
    <col min="6" max="6" width="11.5546875" style="160" customWidth="1"/>
    <col min="7" max="8" width="10.109375" style="160"/>
    <col min="9" max="9" width="24.33203125" style="160" customWidth="1"/>
    <col min="10" max="16384" width="10.109375" style="160"/>
  </cols>
  <sheetData>
    <row r="1" spans="1:9" ht="30.6" customHeight="1" x14ac:dyDescent="0.3">
      <c r="A1" s="378" t="s">
        <v>3</v>
      </c>
      <c r="B1" s="378" t="s">
        <v>344</v>
      </c>
      <c r="C1" s="380" t="s">
        <v>407</v>
      </c>
      <c r="D1" s="379" t="s">
        <v>348</v>
      </c>
      <c r="E1" s="379"/>
      <c r="F1" s="379"/>
      <c r="G1" s="379"/>
      <c r="H1" s="379"/>
      <c r="I1" s="157" t="s">
        <v>18</v>
      </c>
    </row>
    <row r="2" spans="1:9" ht="32.85" customHeight="1" x14ac:dyDescent="0.3">
      <c r="A2" s="378"/>
      <c r="B2" s="378"/>
      <c r="C2" s="381"/>
      <c r="D2" s="193" t="s">
        <v>349</v>
      </c>
      <c r="E2" s="194" t="s">
        <v>350</v>
      </c>
      <c r="F2" s="194" t="s">
        <v>433</v>
      </c>
      <c r="G2" s="193" t="s">
        <v>351</v>
      </c>
      <c r="H2" s="193" t="s">
        <v>352</v>
      </c>
      <c r="I2" s="161"/>
    </row>
    <row r="3" spans="1:9" ht="31.2" customHeight="1" x14ac:dyDescent="0.3">
      <c r="A3" s="161"/>
      <c r="B3" s="385" t="s">
        <v>472</v>
      </c>
      <c r="C3" s="215" t="s">
        <v>476</v>
      </c>
      <c r="D3" s="161">
        <v>0</v>
      </c>
      <c r="E3" s="161">
        <v>8</v>
      </c>
      <c r="F3" s="161">
        <v>0</v>
      </c>
      <c r="G3" s="161">
        <v>192</v>
      </c>
      <c r="H3" s="161">
        <v>11</v>
      </c>
      <c r="I3" s="161"/>
    </row>
    <row r="4" spans="1:9" ht="31.2" customHeight="1" x14ac:dyDescent="0.3">
      <c r="A4" s="161"/>
      <c r="B4" s="383"/>
      <c r="C4" s="213" t="s">
        <v>359</v>
      </c>
      <c r="D4" s="161">
        <v>1</v>
      </c>
      <c r="E4" s="161">
        <v>7</v>
      </c>
      <c r="F4" s="161">
        <v>0</v>
      </c>
      <c r="G4" s="161">
        <v>214</v>
      </c>
      <c r="H4" s="161">
        <v>4</v>
      </c>
      <c r="I4" s="161"/>
    </row>
    <row r="5" spans="1:9" ht="31.2" customHeight="1" x14ac:dyDescent="0.3">
      <c r="A5" s="161"/>
      <c r="B5" s="383"/>
      <c r="C5" s="214" t="s">
        <v>432</v>
      </c>
      <c r="D5" s="161">
        <f>'Tồn kho VP'!R22</f>
        <v>0</v>
      </c>
      <c r="E5" s="161">
        <f>'Tồn kho VP'!S22</f>
        <v>1</v>
      </c>
      <c r="F5" s="161">
        <f>'Tồn kho VP'!T22</f>
        <v>0</v>
      </c>
      <c r="G5" s="161">
        <f>'Tồn kho VP'!U22</f>
        <v>24</v>
      </c>
      <c r="H5" s="161">
        <f>'Tồn kho VP'!V22</f>
        <v>0</v>
      </c>
      <c r="I5" s="161"/>
    </row>
    <row r="6" spans="1:9" ht="31.2" customHeight="1" x14ac:dyDescent="0.3">
      <c r="A6" s="161"/>
      <c r="B6" s="383"/>
      <c r="C6" s="161" t="s">
        <v>436</v>
      </c>
      <c r="D6" s="161"/>
      <c r="E6" s="161"/>
      <c r="F6" s="161"/>
      <c r="G6" s="161"/>
      <c r="H6" s="161"/>
      <c r="I6" s="161"/>
    </row>
    <row r="7" spans="1:9" ht="31.2" customHeight="1" x14ac:dyDescent="0.3">
      <c r="A7" s="161"/>
      <c r="B7" s="384"/>
      <c r="C7" s="161" t="s">
        <v>439</v>
      </c>
      <c r="D7" s="161">
        <f>'TỒN KHO HÀ LẦM'!R19</f>
        <v>0</v>
      </c>
      <c r="E7" s="161">
        <f>'TỒN KHO HÀ LẦM'!S19</f>
        <v>0</v>
      </c>
      <c r="F7" s="161">
        <f>'TỒN KHO HÀ LẦM'!T19</f>
        <v>0</v>
      </c>
      <c r="G7" s="161">
        <f>'TỒN KHO HÀ LẦM'!U19</f>
        <v>17</v>
      </c>
      <c r="H7" s="161">
        <f>'TỒN KHO HÀ LẦM'!V19</f>
        <v>30</v>
      </c>
      <c r="I7" s="161"/>
    </row>
    <row r="8" spans="1:9" ht="27" customHeight="1" x14ac:dyDescent="0.3">
      <c r="A8" s="161"/>
      <c r="B8" s="385" t="s">
        <v>475</v>
      </c>
      <c r="C8" s="215" t="s">
        <v>476</v>
      </c>
      <c r="D8" s="161">
        <f>'TỒN KHO HUẾ'!R5</f>
        <v>0</v>
      </c>
      <c r="E8" s="161">
        <f>'TỒN KHO HUẾ'!S5</f>
        <v>28</v>
      </c>
      <c r="F8" s="161">
        <f>'TỒN KHO HUẾ'!T5</f>
        <v>0</v>
      </c>
      <c r="G8" s="161">
        <f>'TỒN KHO HUẾ'!U5</f>
        <v>213</v>
      </c>
      <c r="H8" s="161">
        <f>'TỒN KHO HUẾ'!V5</f>
        <v>30</v>
      </c>
      <c r="I8" s="161"/>
    </row>
    <row r="9" spans="1:9" ht="27" customHeight="1" x14ac:dyDescent="0.3">
      <c r="A9" s="161"/>
      <c r="B9" s="383"/>
      <c r="C9" s="213" t="s">
        <v>359</v>
      </c>
      <c r="D9" s="161">
        <f>'TỒN KHO TĂNG ÁP'!R5</f>
        <v>1</v>
      </c>
      <c r="E9" s="161">
        <f>'TỒN KHO TĂNG ÁP'!S5</f>
        <v>47</v>
      </c>
      <c r="F9" s="161">
        <f>'TỒN KHO TĂNG ÁP'!T5</f>
        <v>0</v>
      </c>
      <c r="G9" s="161">
        <f>'TỒN KHO TĂNG ÁP'!U5</f>
        <v>237</v>
      </c>
      <c r="H9" s="161">
        <f>'TỒN KHO TĂNG ÁP'!V5</f>
        <v>4</v>
      </c>
      <c r="I9" s="161"/>
    </row>
    <row r="10" spans="1:9" ht="27" customHeight="1" x14ac:dyDescent="0.3">
      <c r="A10" s="161"/>
      <c r="B10" s="383"/>
      <c r="C10" s="214" t="s">
        <v>432</v>
      </c>
      <c r="D10" s="161">
        <f>'Tồn kho VP'!R22</f>
        <v>0</v>
      </c>
      <c r="E10" s="161">
        <f>'Tồn kho VP'!S22</f>
        <v>1</v>
      </c>
      <c r="F10" s="161">
        <f>'Tồn kho VP'!T22</f>
        <v>0</v>
      </c>
      <c r="G10" s="161">
        <f>'Tồn kho VP'!U22</f>
        <v>24</v>
      </c>
      <c r="H10" s="161">
        <f>'Tồn kho VP'!V22</f>
        <v>0</v>
      </c>
      <c r="I10" s="161"/>
    </row>
    <row r="11" spans="1:9" ht="27" customHeight="1" x14ac:dyDescent="0.3">
      <c r="A11" s="161"/>
      <c r="B11" s="383"/>
      <c r="C11" s="161" t="s">
        <v>436</v>
      </c>
      <c r="D11" s="161"/>
      <c r="E11" s="161"/>
      <c r="F11" s="161"/>
      <c r="G11" s="161"/>
      <c r="H11" s="161"/>
      <c r="I11" s="161"/>
    </row>
    <row r="12" spans="1:9" ht="27" customHeight="1" x14ac:dyDescent="0.3">
      <c r="A12" s="161"/>
      <c r="B12" s="384"/>
      <c r="C12" s="161" t="s">
        <v>439</v>
      </c>
      <c r="D12" s="161">
        <f>'TỒN KHO HÀ LẦM'!R20</f>
        <v>0</v>
      </c>
      <c r="E12" s="161">
        <f>'TỒN KHO HÀ LẦM'!S20</f>
        <v>0</v>
      </c>
      <c r="F12" s="161">
        <f>'TỒN KHO HÀ LẦM'!T20</f>
        <v>0</v>
      </c>
      <c r="G12" s="161">
        <f>'TỒN KHO HÀ LẦM'!U20</f>
        <v>17</v>
      </c>
      <c r="H12" s="161">
        <f>'TỒN KHO HÀ LẦM'!V20</f>
        <v>19</v>
      </c>
      <c r="I12" s="161"/>
    </row>
    <row r="13" spans="1:9" ht="25.2" customHeight="1" x14ac:dyDescent="0.3">
      <c r="A13" s="161"/>
      <c r="B13" s="385" t="s">
        <v>494</v>
      </c>
      <c r="C13" s="215" t="s">
        <v>476</v>
      </c>
      <c r="D13" s="161">
        <f>'TỒN KHO HUẾ'!R7</f>
        <v>10</v>
      </c>
      <c r="E13" s="161">
        <f>'TỒN KHO HUẾ'!S7</f>
        <v>28</v>
      </c>
      <c r="F13" s="161">
        <f>'TỒN KHO HUẾ'!T7</f>
        <v>0</v>
      </c>
      <c r="G13" s="161">
        <f>'TỒN KHO HUẾ'!U7</f>
        <v>201</v>
      </c>
      <c r="H13" s="161">
        <f>'TỒN KHO HUẾ'!V7</f>
        <v>6</v>
      </c>
      <c r="I13" s="161"/>
    </row>
    <row r="14" spans="1:9" ht="25.2" customHeight="1" x14ac:dyDescent="0.3">
      <c r="A14" s="161"/>
      <c r="B14" s="383"/>
      <c r="C14" s="213" t="s">
        <v>359</v>
      </c>
      <c r="D14" s="161">
        <f>'TỒN KHO TĂNG ÁP'!R6</f>
        <v>15</v>
      </c>
      <c r="E14" s="161">
        <f>'TỒN KHO TĂNG ÁP'!S6</f>
        <v>43</v>
      </c>
      <c r="F14" s="161">
        <f>'TỒN KHO TĂNG ÁP'!T6</f>
        <v>0</v>
      </c>
      <c r="G14" s="161">
        <f>'TỒN KHO TĂNG ÁP'!U6</f>
        <v>312</v>
      </c>
      <c r="H14" s="161">
        <f>'TỒN KHO TĂNG ÁP'!V6</f>
        <v>54</v>
      </c>
      <c r="I14" s="161"/>
    </row>
    <row r="15" spans="1:9" ht="25.2" customHeight="1" x14ac:dyDescent="0.3">
      <c r="A15" s="161"/>
      <c r="B15" s="383"/>
      <c r="C15" s="214" t="s">
        <v>432</v>
      </c>
      <c r="D15" s="161"/>
      <c r="E15" s="161"/>
      <c r="F15" s="161"/>
      <c r="G15" s="161"/>
      <c r="H15" s="161"/>
      <c r="I15" s="161"/>
    </row>
    <row r="16" spans="1:9" ht="25.2" customHeight="1" x14ac:dyDescent="0.3">
      <c r="A16" s="161"/>
      <c r="B16" s="383"/>
      <c r="C16" s="161" t="s">
        <v>436</v>
      </c>
      <c r="D16" s="161">
        <f>'tồn xe'!O15</f>
        <v>0</v>
      </c>
      <c r="E16" s="161">
        <f>'tồn xe'!P15</f>
        <v>0</v>
      </c>
      <c r="F16" s="161">
        <f>'tồn xe'!Q15</f>
        <v>6</v>
      </c>
      <c r="G16" s="161">
        <f>'tồn xe'!R15</f>
        <v>0</v>
      </c>
      <c r="H16" s="161">
        <f>'tồn xe'!S15</f>
        <v>0</v>
      </c>
      <c r="I16" s="161"/>
    </row>
    <row r="17" spans="1:9" ht="25.2" customHeight="1" x14ac:dyDescent="0.3">
      <c r="A17" s="161"/>
      <c r="B17" s="384"/>
      <c r="C17" s="161" t="s">
        <v>439</v>
      </c>
      <c r="D17" s="161">
        <f>'TỒN KHO HÀ LẦM'!R21</f>
        <v>0</v>
      </c>
      <c r="E17" s="161">
        <f>'TỒN KHO HÀ LẦM'!S21</f>
        <v>0</v>
      </c>
      <c r="F17" s="161">
        <f>'TỒN KHO HÀ LẦM'!T21</f>
        <v>0</v>
      </c>
      <c r="G17" s="161">
        <f>'TỒN KHO HÀ LẦM'!U21</f>
        <v>17</v>
      </c>
      <c r="H17" s="161">
        <f>'TỒN KHO HÀ LẦM'!V21</f>
        <v>19</v>
      </c>
      <c r="I17" s="161"/>
    </row>
    <row r="18" spans="1:9" ht="22.8" customHeight="1" x14ac:dyDescent="0.3">
      <c r="A18" s="161"/>
      <c r="B18" s="382">
        <v>46032</v>
      </c>
      <c r="C18" s="215" t="s">
        <v>476</v>
      </c>
      <c r="D18" s="161">
        <f>'TỒN KHO HUẾ'!R8</f>
        <v>0</v>
      </c>
      <c r="E18" s="161">
        <f>'TỒN KHO HUẾ'!S8</f>
        <v>28</v>
      </c>
      <c r="F18" s="161">
        <f>'TỒN KHO HUẾ'!T8</f>
        <v>0</v>
      </c>
      <c r="G18" s="161">
        <f>'TỒN KHO HUẾ'!U8</f>
        <v>188</v>
      </c>
      <c r="H18" s="161">
        <f>'TỒN KHO HUẾ'!V8</f>
        <v>50</v>
      </c>
      <c r="I18" s="161"/>
    </row>
    <row r="19" spans="1:9" ht="26.4" customHeight="1" x14ac:dyDescent="0.3">
      <c r="A19" s="161"/>
      <c r="B19" s="386"/>
      <c r="C19" s="213" t="s">
        <v>359</v>
      </c>
      <c r="D19" s="161">
        <f>'TỒN KHO TĂNG ÁP'!R7</f>
        <v>0</v>
      </c>
      <c r="E19" s="161">
        <f>'TỒN KHO TĂNG ÁP'!S7</f>
        <v>42</v>
      </c>
      <c r="F19" s="161">
        <f>'TỒN KHO TĂNG ÁP'!T7</f>
        <v>0</v>
      </c>
      <c r="G19" s="161">
        <f>'TỒN KHO TĂNG ÁP'!U7</f>
        <v>301</v>
      </c>
      <c r="H19" s="161">
        <f>'TỒN KHO TĂNG ÁP'!V7</f>
        <v>6</v>
      </c>
      <c r="I19" s="161"/>
    </row>
    <row r="20" spans="1:9" ht="26.4" customHeight="1" x14ac:dyDescent="0.3">
      <c r="A20" s="161"/>
      <c r="B20" s="386"/>
      <c r="C20" s="214" t="s">
        <v>432</v>
      </c>
      <c r="D20" s="161">
        <f>'Tồn kho VP'!R23</f>
        <v>0</v>
      </c>
      <c r="E20" s="161">
        <f>'Tồn kho VP'!S23</f>
        <v>1</v>
      </c>
      <c r="F20" s="161">
        <f>'Tồn kho VP'!T23</f>
        <v>0</v>
      </c>
      <c r="G20" s="161">
        <f>'Tồn kho VP'!U23</f>
        <v>24</v>
      </c>
      <c r="H20" s="161">
        <f>'Tồn kho VP'!V23</f>
        <v>0</v>
      </c>
      <c r="I20" s="161"/>
    </row>
    <row r="21" spans="1:9" ht="26.4" customHeight="1" x14ac:dyDescent="0.3">
      <c r="A21" s="161"/>
      <c r="B21" s="386"/>
      <c r="C21" s="161" t="s">
        <v>436</v>
      </c>
      <c r="D21" s="161">
        <f>'tồn xe'!O16</f>
        <v>0</v>
      </c>
      <c r="E21" s="161">
        <f>'tồn xe'!P16</f>
        <v>0</v>
      </c>
      <c r="F21" s="161">
        <f>'tồn xe'!Q16</f>
        <v>11</v>
      </c>
      <c r="G21" s="161">
        <f>'tồn xe'!R16</f>
        <v>0</v>
      </c>
      <c r="H21" s="161">
        <f>'tồn xe'!S16</f>
        <v>0</v>
      </c>
      <c r="I21" s="161"/>
    </row>
    <row r="22" spans="1:9" ht="26.4" customHeight="1" x14ac:dyDescent="0.3">
      <c r="A22" s="161"/>
      <c r="B22" s="387"/>
      <c r="C22" s="161" t="s">
        <v>439</v>
      </c>
      <c r="D22" s="161">
        <f>'TỒN KHO HÀ LẦM'!R22</f>
        <v>0</v>
      </c>
      <c r="E22" s="161">
        <f>'TỒN KHO HÀ LẦM'!S22</f>
        <v>0</v>
      </c>
      <c r="F22" s="161">
        <f>'TỒN KHO HÀ LẦM'!T22</f>
        <v>0</v>
      </c>
      <c r="G22" s="161">
        <f>'TỒN KHO HÀ LẦM'!U22</f>
        <v>17</v>
      </c>
      <c r="H22" s="161">
        <f>'TỒN KHO HÀ LẦM'!V22</f>
        <v>19</v>
      </c>
      <c r="I22" s="161"/>
    </row>
    <row r="23" spans="1:9" ht="40.799999999999997" customHeight="1" x14ac:dyDescent="0.3">
      <c r="A23" s="161"/>
      <c r="B23" s="385" t="s">
        <v>568</v>
      </c>
      <c r="C23" s="215" t="s">
        <v>476</v>
      </c>
      <c r="D23" s="161">
        <f>'TỒN KHO HUẾ'!R9</f>
        <v>19</v>
      </c>
      <c r="E23" s="161">
        <f>'TỒN KHO HUẾ'!S9</f>
        <v>23</v>
      </c>
      <c r="F23" s="161">
        <f>'TỒN KHO HUẾ'!T9</f>
        <v>0</v>
      </c>
      <c r="G23" s="161">
        <f>'TỒN KHO HUẾ'!U9</f>
        <v>140</v>
      </c>
      <c r="H23" s="161">
        <f>'TỒN KHO HUẾ'!V9</f>
        <v>5</v>
      </c>
      <c r="I23" s="161"/>
    </row>
    <row r="24" spans="1:9" ht="40.799999999999997" customHeight="1" x14ac:dyDescent="0.3">
      <c r="A24" s="161"/>
      <c r="B24" s="383"/>
      <c r="C24" s="213" t="s">
        <v>359</v>
      </c>
      <c r="D24" s="161">
        <f>'TỒN KHO TĂNG ÁP'!R8</f>
        <v>0</v>
      </c>
      <c r="E24" s="161">
        <f>'TỒN KHO TĂNG ÁP'!S8</f>
        <v>41</v>
      </c>
      <c r="F24" s="161">
        <f>'TỒN KHO TĂNG ÁP'!T8</f>
        <v>0</v>
      </c>
      <c r="G24" s="161">
        <f>'TỒN KHO TĂNG ÁP'!U8</f>
        <v>301</v>
      </c>
      <c r="H24" s="161">
        <f>'TỒN KHO TĂNG ÁP'!V8</f>
        <v>4</v>
      </c>
      <c r="I24" s="161"/>
    </row>
    <row r="25" spans="1:9" ht="40.799999999999997" customHeight="1" x14ac:dyDescent="0.3">
      <c r="A25" s="161"/>
      <c r="B25" s="383"/>
      <c r="C25" s="214" t="s">
        <v>432</v>
      </c>
      <c r="D25" s="161">
        <f>'Tồn kho VP'!R24</f>
        <v>0</v>
      </c>
      <c r="E25" s="161">
        <f>'Tồn kho VP'!S24</f>
        <v>1</v>
      </c>
      <c r="F25" s="161">
        <f>'Tồn kho VP'!T24</f>
        <v>0</v>
      </c>
      <c r="G25" s="161">
        <f>'Tồn kho VP'!U24</f>
        <v>21</v>
      </c>
      <c r="H25" s="161">
        <f>'Tồn kho VP'!V24</f>
        <v>0</v>
      </c>
      <c r="I25" s="161"/>
    </row>
    <row r="26" spans="1:9" ht="40.799999999999997" customHeight="1" x14ac:dyDescent="0.3">
      <c r="A26" s="161"/>
      <c r="B26" s="383"/>
      <c r="C26" s="161" t="s">
        <v>436</v>
      </c>
      <c r="D26" s="161"/>
      <c r="E26" s="161"/>
      <c r="F26" s="161"/>
      <c r="G26" s="161"/>
      <c r="H26" s="161"/>
      <c r="I26" s="161"/>
    </row>
    <row r="27" spans="1:9" ht="40.799999999999997" customHeight="1" x14ac:dyDescent="0.3">
      <c r="A27" s="161"/>
      <c r="B27" s="384"/>
      <c r="C27" s="161" t="s">
        <v>439</v>
      </c>
      <c r="D27" s="161">
        <f>'TỒN KHO HÀ LẦM'!R23</f>
        <v>0</v>
      </c>
      <c r="E27" s="161">
        <f>'TỒN KHO HÀ LẦM'!S23</f>
        <v>0</v>
      </c>
      <c r="F27" s="161">
        <f>'TỒN KHO HÀ LẦM'!T23</f>
        <v>0</v>
      </c>
      <c r="G27" s="161">
        <f>'TỒN KHO HÀ LẦM'!U23</f>
        <v>17</v>
      </c>
      <c r="H27" s="161">
        <f>'TỒN KHO HÀ LẦM'!V23</f>
        <v>19</v>
      </c>
      <c r="I27" s="161"/>
    </row>
    <row r="28" spans="1:9" ht="36" customHeight="1" x14ac:dyDescent="0.3">
      <c r="A28" s="161"/>
      <c r="B28" s="382">
        <v>46091</v>
      </c>
      <c r="C28" s="215" t="s">
        <v>476</v>
      </c>
      <c r="D28" s="161">
        <f>'TỒN KHO HUẾ'!R10</f>
        <v>11</v>
      </c>
      <c r="E28" s="161">
        <f>'TỒN KHO HUẾ'!S10</f>
        <v>23</v>
      </c>
      <c r="F28" s="161">
        <f>'TỒN KHO HUẾ'!T10</f>
        <v>0</v>
      </c>
      <c r="G28" s="161">
        <f>'TỒN KHO HUẾ'!U10</f>
        <v>85</v>
      </c>
      <c r="H28" s="161">
        <f>'TỒN KHO HUẾ'!V10</f>
        <v>5</v>
      </c>
      <c r="I28" s="161"/>
    </row>
    <row r="29" spans="1:9" ht="36" customHeight="1" x14ac:dyDescent="0.3">
      <c r="A29" s="161"/>
      <c r="B29" s="383"/>
      <c r="C29" s="213" t="s">
        <v>359</v>
      </c>
      <c r="D29" s="161">
        <f>'TỒN KHO TĂNG ÁP'!R9</f>
        <v>0</v>
      </c>
      <c r="E29" s="161">
        <f>'TỒN KHO TĂNG ÁP'!S9</f>
        <v>41</v>
      </c>
      <c r="F29" s="161">
        <f>'TỒN KHO TĂNG ÁP'!T9</f>
        <v>0</v>
      </c>
      <c r="G29" s="161">
        <f>'TỒN KHO TĂNG ÁP'!U9</f>
        <v>250</v>
      </c>
      <c r="H29" s="161">
        <f>'TỒN KHO TĂNG ÁP'!V9</f>
        <v>28</v>
      </c>
      <c r="I29" s="161"/>
    </row>
    <row r="30" spans="1:9" ht="36" customHeight="1" x14ac:dyDescent="0.3">
      <c r="A30" s="161"/>
      <c r="B30" s="383"/>
      <c r="C30" s="214" t="s">
        <v>432</v>
      </c>
      <c r="D30" s="161">
        <f>'Tồn kho VP'!R25</f>
        <v>0</v>
      </c>
      <c r="E30" s="161">
        <f>'Tồn kho VP'!S25</f>
        <v>1</v>
      </c>
      <c r="F30" s="161">
        <f>'Tồn kho VP'!T25</f>
        <v>0</v>
      </c>
      <c r="G30" s="161">
        <f>'Tồn kho VP'!U25</f>
        <v>16</v>
      </c>
      <c r="H30" s="161">
        <f>'Tồn kho VP'!V25</f>
        <v>0</v>
      </c>
      <c r="I30" s="161"/>
    </row>
    <row r="31" spans="1:9" ht="36" customHeight="1" x14ac:dyDescent="0.3">
      <c r="A31" s="161"/>
      <c r="B31" s="383"/>
      <c r="C31" s="161" t="s">
        <v>436</v>
      </c>
      <c r="D31" s="161"/>
      <c r="E31" s="161"/>
      <c r="F31" s="161"/>
      <c r="G31" s="161"/>
      <c r="H31" s="161"/>
      <c r="I31" s="161"/>
    </row>
    <row r="32" spans="1:9" ht="36" customHeight="1" x14ac:dyDescent="0.3">
      <c r="A32" s="161"/>
      <c r="B32" s="384"/>
      <c r="C32" s="161" t="s">
        <v>439</v>
      </c>
      <c r="D32" s="161">
        <f>'TỒN KHO HÀ LẦM'!R24</f>
        <v>0</v>
      </c>
      <c r="E32" s="161">
        <f>'TỒN KHO HÀ LẦM'!S24</f>
        <v>0</v>
      </c>
      <c r="F32" s="161">
        <f>'TỒN KHO HÀ LẦM'!T24</f>
        <v>0</v>
      </c>
      <c r="G32" s="161">
        <f>'TỒN KHO HÀ LẦM'!U24</f>
        <v>17</v>
      </c>
      <c r="H32" s="161">
        <f>'TỒN KHO HÀ LẦM'!V24</f>
        <v>19</v>
      </c>
      <c r="I32" s="161"/>
    </row>
    <row r="33" spans="1:9" ht="25.2" customHeight="1" x14ac:dyDescent="0.3">
      <c r="A33" s="161"/>
      <c r="B33" s="382">
        <v>46122</v>
      </c>
      <c r="C33" s="215" t="s">
        <v>476</v>
      </c>
      <c r="D33" s="161">
        <f>'TỒN KHO HUẾ'!R11</f>
        <v>11</v>
      </c>
      <c r="E33" s="161">
        <f>'TỒN KHO HUẾ'!S11</f>
        <v>23</v>
      </c>
      <c r="F33" s="161">
        <f>'TỒN KHO HUẾ'!T11</f>
        <v>0</v>
      </c>
      <c r="G33" s="161">
        <f>'TỒN KHO HUẾ'!U11</f>
        <v>85</v>
      </c>
      <c r="H33" s="161">
        <f>'TỒN KHO HUẾ'!V11</f>
        <v>5</v>
      </c>
      <c r="I33" s="161"/>
    </row>
    <row r="34" spans="1:9" ht="25.2" customHeight="1" x14ac:dyDescent="0.3">
      <c r="A34" s="161"/>
      <c r="B34" s="383"/>
      <c r="C34" s="213" t="s">
        <v>359</v>
      </c>
      <c r="D34" s="161">
        <f>'TỒN KHO TĂNG ÁP'!R10</f>
        <v>0</v>
      </c>
      <c r="E34" s="161">
        <f>'TỒN KHO TĂNG ÁP'!S10</f>
        <v>41</v>
      </c>
      <c r="F34" s="161">
        <f>'TỒN KHO TĂNG ÁP'!T10</f>
        <v>0</v>
      </c>
      <c r="G34" s="161">
        <f>'TỒN KHO TĂNG ÁP'!U10</f>
        <v>250</v>
      </c>
      <c r="H34" s="161">
        <f>'TỒN KHO TĂNG ÁP'!V10</f>
        <v>28</v>
      </c>
      <c r="I34" s="161"/>
    </row>
    <row r="35" spans="1:9" ht="25.2" customHeight="1" x14ac:dyDescent="0.3">
      <c r="A35" s="161"/>
      <c r="B35" s="383"/>
      <c r="C35" s="214" t="s">
        <v>432</v>
      </c>
      <c r="D35" s="161">
        <f>'Tồn kho VP'!R27</f>
        <v>0</v>
      </c>
      <c r="E35" s="161">
        <f>'Tồn kho VP'!S27</f>
        <v>1</v>
      </c>
      <c r="F35" s="161">
        <f>'Tồn kho VP'!T27</f>
        <v>0</v>
      </c>
      <c r="G35" s="161">
        <f>'Tồn kho VP'!U27</f>
        <v>9</v>
      </c>
      <c r="H35" s="161">
        <f>'Tồn kho VP'!V27</f>
        <v>0</v>
      </c>
      <c r="I35" s="161"/>
    </row>
    <row r="36" spans="1:9" ht="25.2" customHeight="1" x14ac:dyDescent="0.3">
      <c r="A36" s="161"/>
      <c r="B36" s="383"/>
      <c r="C36" s="161" t="s">
        <v>436</v>
      </c>
      <c r="D36" s="161">
        <f>'tồn xe'!O18</f>
        <v>0</v>
      </c>
      <c r="E36" s="161">
        <f>'tồn xe'!P18</f>
        <v>0</v>
      </c>
      <c r="F36" s="161">
        <f>'tồn xe'!Q18</f>
        <v>11</v>
      </c>
      <c r="G36" s="161">
        <f>'tồn xe'!R18</f>
        <v>0</v>
      </c>
      <c r="H36" s="161">
        <f>'tồn xe'!S18</f>
        <v>0</v>
      </c>
      <c r="I36" s="161"/>
    </row>
    <row r="37" spans="1:9" ht="25.2" customHeight="1" x14ac:dyDescent="0.3">
      <c r="A37" s="161"/>
      <c r="B37" s="384"/>
      <c r="C37" s="161" t="s">
        <v>439</v>
      </c>
      <c r="D37" s="161">
        <f>'TỒN KHO HÀ LẦM'!R25</f>
        <v>0</v>
      </c>
      <c r="E37" s="161">
        <f>'TỒN KHO HÀ LẦM'!S25</f>
        <v>0</v>
      </c>
      <c r="F37" s="161">
        <f>'TỒN KHO HÀ LẦM'!T25</f>
        <v>0</v>
      </c>
      <c r="G37" s="161">
        <f>'TỒN KHO HÀ LẦM'!U25</f>
        <v>17</v>
      </c>
      <c r="H37" s="161">
        <f>'TỒN KHO HÀ LẦM'!V25</f>
        <v>19</v>
      </c>
      <c r="I37" s="161"/>
    </row>
    <row r="38" spans="1:9" ht="33" customHeight="1" x14ac:dyDescent="0.3">
      <c r="A38" s="161"/>
      <c r="B38" s="382">
        <v>46152</v>
      </c>
      <c r="C38" s="215" t="s">
        <v>476</v>
      </c>
      <c r="D38" s="161">
        <f>'TỒN KHO HUẾ'!R12</f>
        <v>0</v>
      </c>
      <c r="E38" s="161">
        <f>'TỒN KHO HUẾ'!S12</f>
        <v>18</v>
      </c>
      <c r="F38" s="161">
        <f>'TỒN KHO HUẾ'!T12</f>
        <v>0</v>
      </c>
      <c r="G38" s="161">
        <f>'TỒN KHO HUẾ'!U12</f>
        <v>28</v>
      </c>
      <c r="H38" s="161">
        <f>'TỒN KHO HUẾ'!V12</f>
        <v>48</v>
      </c>
      <c r="I38" s="161"/>
    </row>
    <row r="39" spans="1:9" ht="33" customHeight="1" x14ac:dyDescent="0.3">
      <c r="A39" s="161"/>
      <c r="B39" s="383"/>
      <c r="C39" s="213" t="s">
        <v>359</v>
      </c>
      <c r="D39" s="161">
        <f>'TỒN KHO TĂNG ÁP'!R11</f>
        <v>0</v>
      </c>
      <c r="E39" s="161">
        <f>'TỒN KHO TĂNG ÁP'!S11</f>
        <v>38</v>
      </c>
      <c r="F39" s="161">
        <f>'TỒN KHO TĂNG ÁP'!T11</f>
        <v>0</v>
      </c>
      <c r="G39" s="161">
        <f>'TỒN KHO TĂNG ÁP'!U11</f>
        <v>203</v>
      </c>
      <c r="H39" s="161">
        <f>'TỒN KHO TĂNG ÁP'!V11</f>
        <v>28</v>
      </c>
      <c r="I39" s="161"/>
    </row>
    <row r="40" spans="1:9" ht="33" customHeight="1" x14ac:dyDescent="0.3">
      <c r="A40" s="161"/>
      <c r="B40" s="383"/>
      <c r="C40" s="214" t="s">
        <v>432</v>
      </c>
      <c r="D40" s="161">
        <f>'Tồn kho VP'!R27</f>
        <v>0</v>
      </c>
      <c r="E40" s="161">
        <f>'Tồn kho VP'!S27</f>
        <v>1</v>
      </c>
      <c r="F40" s="161">
        <f>'Tồn kho VP'!T27</f>
        <v>0</v>
      </c>
      <c r="G40" s="161">
        <f>'Tồn kho VP'!U27</f>
        <v>9</v>
      </c>
      <c r="H40" s="161">
        <f>'Tồn kho VP'!V27</f>
        <v>0</v>
      </c>
      <c r="I40" s="161"/>
    </row>
    <row r="41" spans="1:9" ht="33" customHeight="1" x14ac:dyDescent="0.3">
      <c r="A41" s="161"/>
      <c r="B41" s="383"/>
      <c r="C41" s="161" t="s">
        <v>436</v>
      </c>
      <c r="D41" s="161">
        <f>'tồn xe'!O19</f>
        <v>0</v>
      </c>
      <c r="E41" s="161">
        <f>'tồn xe'!P19</f>
        <v>0</v>
      </c>
      <c r="F41" s="161">
        <f>'tồn xe'!Q19</f>
        <v>11</v>
      </c>
      <c r="G41" s="161">
        <f>'tồn xe'!R19</f>
        <v>0</v>
      </c>
      <c r="H41" s="161">
        <f>'tồn xe'!S19</f>
        <v>0</v>
      </c>
      <c r="I41" s="161"/>
    </row>
    <row r="42" spans="1:9" ht="33" customHeight="1" x14ac:dyDescent="0.3">
      <c r="A42" s="161"/>
      <c r="B42" s="384"/>
      <c r="C42" s="161" t="s">
        <v>439</v>
      </c>
      <c r="D42" s="161">
        <f>'TỒN KHO HÀ LẦM'!R26</f>
        <v>0</v>
      </c>
      <c r="E42" s="161">
        <f>'TỒN KHO HÀ LẦM'!S26</f>
        <v>0</v>
      </c>
      <c r="F42" s="161">
        <f>'TỒN KHO HÀ LẦM'!T26</f>
        <v>0</v>
      </c>
      <c r="G42" s="161">
        <f>'TỒN KHO HÀ LẦM'!U26</f>
        <v>17</v>
      </c>
      <c r="H42" s="161">
        <f>'TỒN KHO HÀ LẦM'!V26</f>
        <v>19</v>
      </c>
      <c r="I42" s="161"/>
    </row>
    <row r="43" spans="1:9" x14ac:dyDescent="0.3">
      <c r="A43" s="161"/>
      <c r="B43" s="162"/>
      <c r="C43" s="162"/>
      <c r="D43" s="161"/>
      <c r="E43" s="161"/>
      <c r="F43" s="161"/>
      <c r="G43" s="161"/>
      <c r="H43" s="161"/>
      <c r="I43" s="161"/>
    </row>
    <row r="44" spans="1:9" x14ac:dyDescent="0.3">
      <c r="A44" s="161"/>
      <c r="B44" s="162"/>
      <c r="C44" s="162"/>
      <c r="D44" s="161"/>
      <c r="E44" s="161"/>
      <c r="F44" s="161"/>
      <c r="G44" s="161"/>
      <c r="H44" s="161"/>
      <c r="I44" s="161"/>
    </row>
    <row r="45" spans="1:9" x14ac:dyDescent="0.3">
      <c r="A45" s="161"/>
      <c r="B45" s="162"/>
      <c r="C45" s="162"/>
      <c r="D45" s="161"/>
      <c r="E45" s="161"/>
      <c r="F45" s="161"/>
      <c r="G45" s="161"/>
      <c r="H45" s="161"/>
      <c r="I45" s="161"/>
    </row>
    <row r="46" spans="1:9" x14ac:dyDescent="0.3">
      <c r="A46" s="161"/>
      <c r="B46" s="162"/>
      <c r="C46" s="162"/>
      <c r="D46" s="161"/>
      <c r="E46" s="161"/>
      <c r="F46" s="161"/>
      <c r="G46" s="161"/>
      <c r="H46" s="161"/>
      <c r="I46" s="161"/>
    </row>
    <row r="47" spans="1:9" x14ac:dyDescent="0.3">
      <c r="A47" s="161"/>
      <c r="B47" s="162"/>
      <c r="C47" s="162"/>
      <c r="D47" s="161"/>
      <c r="E47" s="161"/>
      <c r="F47" s="161"/>
      <c r="G47" s="161"/>
      <c r="H47" s="161"/>
      <c r="I47" s="161"/>
    </row>
    <row r="48" spans="1:9" x14ac:dyDescent="0.3">
      <c r="A48" s="161"/>
      <c r="B48" s="162"/>
      <c r="C48" s="162"/>
      <c r="D48" s="161"/>
      <c r="E48" s="161"/>
      <c r="F48" s="161"/>
      <c r="G48" s="161"/>
      <c r="H48" s="161"/>
      <c r="I48" s="161"/>
    </row>
  </sheetData>
  <mergeCells count="12">
    <mergeCell ref="B38:B42"/>
    <mergeCell ref="B28:B32"/>
    <mergeCell ref="B23:B27"/>
    <mergeCell ref="B18:B22"/>
    <mergeCell ref="B13:B17"/>
    <mergeCell ref="A1:A2"/>
    <mergeCell ref="B1:B2"/>
    <mergeCell ref="D1:H1"/>
    <mergeCell ref="C1:C2"/>
    <mergeCell ref="B33:B37"/>
    <mergeCell ref="B8:B12"/>
    <mergeCell ref="B3:B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85"/>
  <sheetViews>
    <sheetView topLeftCell="J1" zoomScaleNormal="100" workbookViewId="0">
      <selection activeCell="T10" sqref="T10"/>
    </sheetView>
  </sheetViews>
  <sheetFormatPr defaultColWidth="10.109375" defaultRowHeight="14.4" x14ac:dyDescent="0.3"/>
  <cols>
    <col min="1" max="1" width="5.5546875" customWidth="1"/>
    <col min="2" max="2" width="21" style="79" customWidth="1"/>
    <col min="3" max="3" width="13.109375" customWidth="1"/>
    <col min="23" max="23" width="14.33203125" customWidth="1"/>
    <col min="24" max="24" width="23.33203125" style="120" customWidth="1"/>
    <col min="25" max="25" width="23.33203125" customWidth="1"/>
    <col min="26" max="26" width="14.33203125" customWidth="1"/>
    <col min="27" max="27" width="10.44140625"/>
    <col min="28" max="28" width="7.88671875" customWidth="1"/>
    <col min="29" max="29" width="7.33203125" customWidth="1"/>
    <col min="30" max="30" width="9.33203125" customWidth="1"/>
    <col min="31" max="31" width="8" customWidth="1"/>
    <col min="32" max="33" width="8.109375" customWidth="1"/>
    <col min="34" max="34" width="7.88671875" customWidth="1"/>
    <col min="35" max="35" width="7.109375" customWidth="1"/>
    <col min="36" max="36" width="8.109375" customWidth="1"/>
    <col min="37" max="37" width="7.44140625" customWidth="1"/>
    <col min="38" max="38" width="7.6640625" customWidth="1"/>
  </cols>
  <sheetData>
    <row r="1" spans="1:38" ht="30.6" customHeight="1" x14ac:dyDescent="0.3">
      <c r="A1" s="78" t="s">
        <v>3</v>
      </c>
      <c r="B1" s="78" t="s">
        <v>344</v>
      </c>
      <c r="C1" s="388" t="s">
        <v>345</v>
      </c>
      <c r="D1" s="388"/>
      <c r="E1" s="388"/>
      <c r="F1" s="388"/>
      <c r="G1" s="388"/>
      <c r="H1" s="389" t="s">
        <v>346</v>
      </c>
      <c r="I1" s="389"/>
      <c r="J1" s="389"/>
      <c r="K1" s="389"/>
      <c r="L1" s="389"/>
      <c r="M1" s="390" t="s">
        <v>347</v>
      </c>
      <c r="N1" s="390"/>
      <c r="O1" s="390"/>
      <c r="P1" s="390"/>
      <c r="Q1" s="390"/>
      <c r="R1" s="391" t="s">
        <v>348</v>
      </c>
      <c r="S1" s="391"/>
      <c r="T1" s="391"/>
      <c r="U1" s="391"/>
      <c r="V1" s="391"/>
      <c r="W1" s="77" t="s">
        <v>383</v>
      </c>
      <c r="X1" s="112"/>
      <c r="Y1" s="111" t="s">
        <v>347</v>
      </c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</row>
    <row r="2" spans="1:38" ht="30.6" customHeight="1" x14ac:dyDescent="0.3">
      <c r="A2" s="78"/>
      <c r="B2" s="78"/>
      <c r="C2" s="172"/>
      <c r="D2" s="172"/>
      <c r="E2" s="172"/>
      <c r="F2" s="172"/>
      <c r="G2" s="172"/>
      <c r="H2" s="173"/>
      <c r="I2" s="173"/>
      <c r="J2" s="173"/>
      <c r="K2" s="173"/>
      <c r="L2" s="173"/>
      <c r="M2" s="174"/>
      <c r="N2" s="174"/>
      <c r="O2" s="174"/>
      <c r="P2" s="174"/>
      <c r="Q2" s="174"/>
      <c r="R2" s="175"/>
      <c r="S2" s="175"/>
      <c r="T2" s="175"/>
      <c r="U2" s="175"/>
      <c r="V2" s="175"/>
      <c r="W2" s="77"/>
      <c r="X2" s="112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</row>
    <row r="3" spans="1:38" ht="32.85" customHeight="1" x14ac:dyDescent="0.3">
      <c r="A3" s="77"/>
      <c r="B3" s="80"/>
      <c r="C3" s="92" t="s">
        <v>349</v>
      </c>
      <c r="D3" s="92" t="s">
        <v>350</v>
      </c>
      <c r="E3" s="92" t="s">
        <v>424</v>
      </c>
      <c r="F3" s="92" t="s">
        <v>351</v>
      </c>
      <c r="G3" s="92" t="s">
        <v>352</v>
      </c>
      <c r="H3" s="93" t="s">
        <v>349</v>
      </c>
      <c r="I3" s="93" t="s">
        <v>350</v>
      </c>
      <c r="J3" s="93" t="s">
        <v>423</v>
      </c>
      <c r="K3" s="93" t="s">
        <v>351</v>
      </c>
      <c r="L3" s="93" t="s">
        <v>352</v>
      </c>
      <c r="M3" s="94" t="s">
        <v>349</v>
      </c>
      <c r="N3" s="94" t="s">
        <v>350</v>
      </c>
      <c r="O3" s="94" t="s">
        <v>424</v>
      </c>
      <c r="P3" s="94" t="s">
        <v>351</v>
      </c>
      <c r="Q3" s="94" t="s">
        <v>352</v>
      </c>
      <c r="R3" s="189" t="s">
        <v>349</v>
      </c>
      <c r="S3" s="189" t="s">
        <v>350</v>
      </c>
      <c r="T3" s="189" t="s">
        <v>425</v>
      </c>
      <c r="U3" s="189" t="s">
        <v>351</v>
      </c>
      <c r="V3" s="189" t="s">
        <v>352</v>
      </c>
      <c r="W3" s="77"/>
      <c r="X3" s="118"/>
      <c r="Y3" s="105" t="s">
        <v>296</v>
      </c>
      <c r="Z3" s="105" t="s">
        <v>361</v>
      </c>
      <c r="AA3" s="106" t="s">
        <v>25</v>
      </c>
      <c r="AB3" s="104" t="s">
        <v>362</v>
      </c>
      <c r="AC3" s="104" t="s">
        <v>363</v>
      </c>
      <c r="AD3" s="104" t="s">
        <v>364</v>
      </c>
      <c r="AE3" s="104" t="s">
        <v>28</v>
      </c>
      <c r="AF3" s="104" t="s">
        <v>365</v>
      </c>
      <c r="AG3" s="104" t="s">
        <v>366</v>
      </c>
      <c r="AH3" s="104" t="s">
        <v>367</v>
      </c>
      <c r="AI3" s="104" t="s">
        <v>368</v>
      </c>
      <c r="AJ3" s="104" t="s">
        <v>369</v>
      </c>
      <c r="AK3" s="104" t="s">
        <v>38</v>
      </c>
      <c r="AL3" s="104" t="s">
        <v>370</v>
      </c>
    </row>
    <row r="4" spans="1:38" ht="32.85" customHeight="1" x14ac:dyDescent="0.35">
      <c r="A4" s="77"/>
      <c r="B4" s="80" t="s">
        <v>472</v>
      </c>
      <c r="C4" s="77">
        <v>11</v>
      </c>
      <c r="D4" s="77">
        <v>11</v>
      </c>
      <c r="E4" s="77"/>
      <c r="F4" s="77">
        <v>148</v>
      </c>
      <c r="G4" s="77">
        <v>28</v>
      </c>
      <c r="H4" s="77"/>
      <c r="I4" s="77">
        <v>33</v>
      </c>
      <c r="J4" s="77"/>
      <c r="K4" s="77">
        <v>108</v>
      </c>
      <c r="L4" s="77"/>
      <c r="M4" s="77">
        <v>11</v>
      </c>
      <c r="N4" s="77">
        <v>36</v>
      </c>
      <c r="O4" s="77"/>
      <c r="P4" s="77">
        <v>64</v>
      </c>
      <c r="Q4" s="77">
        <v>17</v>
      </c>
      <c r="R4" s="77">
        <v>0</v>
      </c>
      <c r="S4" s="77">
        <v>8</v>
      </c>
      <c r="T4" s="77">
        <v>0</v>
      </c>
      <c r="U4" s="77">
        <v>192</v>
      </c>
      <c r="V4" s="77">
        <v>11</v>
      </c>
      <c r="W4" s="77"/>
      <c r="X4" s="121">
        <v>46269</v>
      </c>
      <c r="Y4" s="107" t="s">
        <v>375</v>
      </c>
      <c r="Z4" s="107" t="s">
        <v>373</v>
      </c>
      <c r="AA4" s="107"/>
      <c r="AB4" s="107"/>
      <c r="AC4" s="107"/>
      <c r="AD4" s="107"/>
      <c r="AE4" s="107">
        <v>5</v>
      </c>
      <c r="AF4" s="107"/>
      <c r="AG4" s="107"/>
      <c r="AH4" s="107"/>
      <c r="AI4" s="107"/>
      <c r="AJ4" s="107"/>
      <c r="AK4" s="107"/>
      <c r="AL4" s="107"/>
    </row>
    <row r="5" spans="1:38" ht="35.1" customHeight="1" x14ac:dyDescent="0.3">
      <c r="A5" s="77"/>
      <c r="B5" s="85" t="s">
        <v>475</v>
      </c>
      <c r="C5" s="77">
        <f>R4</f>
        <v>0</v>
      </c>
      <c r="D5" s="77">
        <f t="shared" ref="D5:G5" si="0">S4</f>
        <v>8</v>
      </c>
      <c r="E5" s="77">
        <f t="shared" si="0"/>
        <v>0</v>
      </c>
      <c r="F5" s="77">
        <f t="shared" si="0"/>
        <v>192</v>
      </c>
      <c r="G5" s="77">
        <f t="shared" si="0"/>
        <v>11</v>
      </c>
      <c r="H5" s="77"/>
      <c r="I5" s="77">
        <v>20</v>
      </c>
      <c r="J5" s="77"/>
      <c r="K5" s="77">
        <v>32</v>
      </c>
      <c r="L5" s="77">
        <v>30</v>
      </c>
      <c r="M5" s="77"/>
      <c r="N5" s="77"/>
      <c r="O5" s="77"/>
      <c r="P5" s="77">
        <v>11</v>
      </c>
      <c r="Q5" s="77">
        <v>11</v>
      </c>
      <c r="R5" s="115">
        <f t="shared" ref="R5" si="1">C5+H5-M5</f>
        <v>0</v>
      </c>
      <c r="S5" s="115">
        <f t="shared" ref="S5" si="2">D5+I5-N5</f>
        <v>28</v>
      </c>
      <c r="T5" s="115">
        <f t="shared" ref="T5" si="3">E5+J5-O5</f>
        <v>0</v>
      </c>
      <c r="U5" s="115">
        <f t="shared" ref="U5" si="4">F5+K5-P5</f>
        <v>213</v>
      </c>
      <c r="V5" s="115">
        <f t="shared" ref="V5" si="5">G5+L5-Q5</f>
        <v>30</v>
      </c>
      <c r="W5" s="77"/>
      <c r="X5" s="119">
        <v>46270</v>
      </c>
      <c r="Y5" s="108" t="s">
        <v>376</v>
      </c>
      <c r="Z5" s="108" t="s">
        <v>371</v>
      </c>
      <c r="AA5" s="108">
        <v>55</v>
      </c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38" ht="35.1" customHeight="1" x14ac:dyDescent="0.3">
      <c r="A6" s="77"/>
      <c r="B6" s="85" t="s">
        <v>475</v>
      </c>
      <c r="C6" s="77">
        <f t="shared" ref="C6" si="6">R5</f>
        <v>0</v>
      </c>
      <c r="D6" s="77">
        <f t="shared" ref="D6" si="7">S5</f>
        <v>28</v>
      </c>
      <c r="E6" s="77"/>
      <c r="F6" s="77">
        <f t="shared" ref="F6" si="8">U5</f>
        <v>213</v>
      </c>
      <c r="G6" s="77">
        <f t="shared" ref="G6" si="9">V5</f>
        <v>30</v>
      </c>
      <c r="H6" s="77"/>
      <c r="I6" s="77"/>
      <c r="J6" s="77"/>
      <c r="K6" s="77"/>
      <c r="L6" s="77"/>
      <c r="M6" s="77"/>
      <c r="N6" s="77"/>
      <c r="O6" s="77"/>
      <c r="P6" s="77"/>
      <c r="Q6" s="77"/>
      <c r="R6" s="115">
        <f t="shared" ref="R6" si="10">C6+H6-M6</f>
        <v>0</v>
      </c>
      <c r="S6" s="115">
        <f t="shared" ref="S6" si="11">D6+I6-N6</f>
        <v>28</v>
      </c>
      <c r="T6" s="115">
        <f t="shared" ref="T6" si="12">E6+J6-O6</f>
        <v>0</v>
      </c>
      <c r="U6" s="115">
        <f t="shared" ref="U6" si="13">F6+K6-P6</f>
        <v>213</v>
      </c>
      <c r="V6" s="115">
        <f t="shared" ref="V6" si="14">G6+L6-Q6</f>
        <v>30</v>
      </c>
      <c r="W6" s="77"/>
      <c r="X6" s="119">
        <v>46271</v>
      </c>
      <c r="Y6" s="108" t="s">
        <v>377</v>
      </c>
      <c r="Z6" s="108" t="s">
        <v>371</v>
      </c>
      <c r="AA6" s="108">
        <v>2</v>
      </c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</row>
    <row r="7" spans="1:38" ht="35.1" customHeight="1" x14ac:dyDescent="0.3">
      <c r="A7" s="77"/>
      <c r="B7" s="85" t="s">
        <v>494</v>
      </c>
      <c r="C7" s="77">
        <f t="shared" ref="C7" si="15">R6</f>
        <v>0</v>
      </c>
      <c r="D7" s="77">
        <f t="shared" ref="D7" si="16">S6</f>
        <v>28</v>
      </c>
      <c r="E7" s="77"/>
      <c r="F7" s="77">
        <f t="shared" ref="F7" si="17">U6</f>
        <v>213</v>
      </c>
      <c r="G7" s="77">
        <f t="shared" ref="G7" si="18">V6</f>
        <v>30</v>
      </c>
      <c r="H7" s="77">
        <v>10</v>
      </c>
      <c r="I7" s="77"/>
      <c r="J7" s="77"/>
      <c r="K7" s="77">
        <v>10</v>
      </c>
      <c r="L7" s="77"/>
      <c r="M7" s="77"/>
      <c r="N7" s="77"/>
      <c r="O7" s="77"/>
      <c r="P7" s="77">
        <v>22</v>
      </c>
      <c r="Q7" s="77">
        <v>24</v>
      </c>
      <c r="R7" s="115">
        <f t="shared" ref="R7" si="19">C7+H7-M7</f>
        <v>10</v>
      </c>
      <c r="S7" s="115">
        <f t="shared" ref="S7" si="20">D7+I7-N7</f>
        <v>28</v>
      </c>
      <c r="T7" s="115">
        <f t="shared" ref="T7" si="21">E7+J7-O7</f>
        <v>0</v>
      </c>
      <c r="U7" s="115">
        <f t="shared" ref="U7" si="22">F7+K7-P7</f>
        <v>201</v>
      </c>
      <c r="V7" s="115">
        <f t="shared" ref="V7" si="23">G7+L7-Q7</f>
        <v>6</v>
      </c>
      <c r="W7" s="77"/>
      <c r="X7" s="119">
        <v>46271</v>
      </c>
      <c r="Y7" s="108" t="s">
        <v>378</v>
      </c>
      <c r="Z7" s="108" t="s">
        <v>371</v>
      </c>
      <c r="AA7" s="108">
        <v>11</v>
      </c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</row>
    <row r="8" spans="1:38" ht="35.1" customHeight="1" x14ac:dyDescent="0.3">
      <c r="A8" s="77"/>
      <c r="B8" s="95" t="s">
        <v>534</v>
      </c>
      <c r="C8" s="77">
        <f t="shared" ref="C8" si="24">R7</f>
        <v>10</v>
      </c>
      <c r="D8" s="77">
        <f t="shared" ref="D8" si="25">S7</f>
        <v>28</v>
      </c>
      <c r="E8" s="77"/>
      <c r="F8" s="77">
        <f t="shared" ref="F8" si="26">U7</f>
        <v>201</v>
      </c>
      <c r="G8" s="77">
        <f t="shared" ref="G8" si="27">V7</f>
        <v>6</v>
      </c>
      <c r="H8" s="77">
        <v>17</v>
      </c>
      <c r="I8" s="77"/>
      <c r="J8" s="77"/>
      <c r="K8" s="77">
        <f>12+25</f>
        <v>37</v>
      </c>
      <c r="L8" s="77">
        <v>50</v>
      </c>
      <c r="M8" s="77">
        <f>17+10</f>
        <v>27</v>
      </c>
      <c r="N8" s="77"/>
      <c r="O8" s="77"/>
      <c r="P8" s="77">
        <f>12+33+5</f>
        <v>50</v>
      </c>
      <c r="Q8" s="77">
        <v>6</v>
      </c>
      <c r="R8" s="115">
        <f t="shared" ref="R8" si="28">C8+H8-M8</f>
        <v>0</v>
      </c>
      <c r="S8" s="115">
        <f t="shared" ref="S8" si="29">D8+I8-N8</f>
        <v>28</v>
      </c>
      <c r="T8" s="115">
        <f t="shared" ref="T8" si="30">E8+J8-O8</f>
        <v>0</v>
      </c>
      <c r="U8" s="115">
        <f t="shared" ref="U8" si="31">F8+K8-P8</f>
        <v>188</v>
      </c>
      <c r="V8" s="115">
        <f t="shared" ref="V8" si="32">G8+L8-Q8</f>
        <v>50</v>
      </c>
      <c r="W8" s="77"/>
      <c r="X8" s="119">
        <v>46271</v>
      </c>
      <c r="Y8" s="108" t="s">
        <v>379</v>
      </c>
      <c r="Z8" s="108" t="s">
        <v>371</v>
      </c>
      <c r="AA8" s="108"/>
      <c r="AB8" s="108"/>
      <c r="AC8" s="108"/>
      <c r="AD8" s="108"/>
      <c r="AE8" s="108">
        <v>1</v>
      </c>
      <c r="AF8" s="108"/>
      <c r="AG8" s="108"/>
      <c r="AH8" s="108"/>
      <c r="AI8" s="108"/>
      <c r="AJ8" s="108"/>
      <c r="AK8" s="108"/>
      <c r="AL8" s="108"/>
    </row>
    <row r="9" spans="1:38" ht="35.1" customHeight="1" x14ac:dyDescent="0.3">
      <c r="A9" s="77"/>
      <c r="B9" s="85" t="s">
        <v>569</v>
      </c>
      <c r="C9" s="77">
        <f t="shared" ref="C9" si="33">R8</f>
        <v>0</v>
      </c>
      <c r="D9" s="77">
        <f t="shared" ref="D9" si="34">S8</f>
        <v>28</v>
      </c>
      <c r="E9" s="77"/>
      <c r="F9" s="77">
        <f t="shared" ref="F9" si="35">U8</f>
        <v>188</v>
      </c>
      <c r="G9" s="77">
        <f t="shared" ref="G9" si="36">V8</f>
        <v>50</v>
      </c>
      <c r="H9" s="77">
        <f>11+10</f>
        <v>21</v>
      </c>
      <c r="I9" s="77"/>
      <c r="J9" s="77"/>
      <c r="K9" s="77">
        <v>17</v>
      </c>
      <c r="L9" s="77"/>
      <c r="M9" s="77">
        <v>2</v>
      </c>
      <c r="N9" s="77">
        <v>5</v>
      </c>
      <c r="O9" s="77"/>
      <c r="P9" s="77">
        <v>65</v>
      </c>
      <c r="Q9" s="77">
        <v>45</v>
      </c>
      <c r="R9" s="115">
        <f t="shared" ref="R9" si="37">C9+H9-M9</f>
        <v>19</v>
      </c>
      <c r="S9" s="115">
        <f t="shared" ref="S9" si="38">D9+I9-N9</f>
        <v>23</v>
      </c>
      <c r="T9" s="115">
        <f t="shared" ref="T9" si="39">E9+J9-O9</f>
        <v>0</v>
      </c>
      <c r="U9" s="115">
        <f t="shared" ref="U9" si="40">F9+K9-P9</f>
        <v>140</v>
      </c>
      <c r="V9" s="115">
        <f t="shared" ref="V9" si="41">G9+L9-Q9</f>
        <v>5</v>
      </c>
      <c r="W9" s="77"/>
      <c r="X9" s="181" t="s">
        <v>418</v>
      </c>
      <c r="Y9" s="108" t="s">
        <v>372</v>
      </c>
      <c r="Z9" s="108"/>
      <c r="AA9" s="108">
        <v>22</v>
      </c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</row>
    <row r="10" spans="1:38" ht="35.1" customHeight="1" x14ac:dyDescent="0.3">
      <c r="A10" s="77"/>
      <c r="B10" s="182">
        <v>46091</v>
      </c>
      <c r="C10" s="77">
        <f t="shared" ref="C10" si="42">R9</f>
        <v>19</v>
      </c>
      <c r="D10" s="77">
        <f t="shared" ref="D10" si="43">S9</f>
        <v>23</v>
      </c>
      <c r="E10" s="77"/>
      <c r="F10" s="77">
        <f t="shared" ref="F10" si="44">U9</f>
        <v>140</v>
      </c>
      <c r="G10" s="77">
        <f t="shared" ref="G10" si="45">V9</f>
        <v>5</v>
      </c>
      <c r="H10" s="77"/>
      <c r="I10" s="77"/>
      <c r="J10" s="77"/>
      <c r="K10" s="77"/>
      <c r="L10" s="77"/>
      <c r="M10" s="77">
        <v>8</v>
      </c>
      <c r="N10" s="77"/>
      <c r="O10" s="77"/>
      <c r="P10" s="77">
        <v>55</v>
      </c>
      <c r="Q10" s="77"/>
      <c r="R10" s="115">
        <f t="shared" ref="R10" si="46">C10+H10-M10</f>
        <v>11</v>
      </c>
      <c r="S10" s="115">
        <f t="shared" ref="S10" si="47">D10+I10-N10</f>
        <v>23</v>
      </c>
      <c r="T10" s="115">
        <f t="shared" ref="T10" si="48">E10+J10-O10</f>
        <v>0</v>
      </c>
      <c r="U10" s="115">
        <f t="shared" ref="U10" si="49">F10+K10-P10</f>
        <v>85</v>
      </c>
      <c r="V10" s="115">
        <f t="shared" ref="V10" si="50">G10+L10-Q10</f>
        <v>5</v>
      </c>
      <c r="W10" s="77"/>
      <c r="X10" s="181" t="s">
        <v>418</v>
      </c>
      <c r="Y10" s="108" t="s">
        <v>372</v>
      </c>
      <c r="Z10" s="108"/>
      <c r="AA10" s="108">
        <v>17</v>
      </c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</row>
    <row r="11" spans="1:38" ht="35.1" customHeight="1" x14ac:dyDescent="0.3">
      <c r="A11" s="77"/>
      <c r="B11" s="182">
        <v>46122</v>
      </c>
      <c r="C11" s="77">
        <f t="shared" ref="C11:C12" si="51">R10</f>
        <v>11</v>
      </c>
      <c r="D11" s="77">
        <f t="shared" ref="D11:D12" si="52">S10</f>
        <v>23</v>
      </c>
      <c r="E11" s="77"/>
      <c r="F11" s="77">
        <f t="shared" ref="F11:F12" si="53">U10</f>
        <v>85</v>
      </c>
      <c r="G11" s="77">
        <f t="shared" ref="G11:G12" si="54">V10</f>
        <v>5</v>
      </c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115">
        <f t="shared" ref="R11:R12" si="55">C11+H11-M11</f>
        <v>11</v>
      </c>
      <c r="S11" s="115">
        <f t="shared" ref="S11:S12" si="56">D11+I11-N11</f>
        <v>23</v>
      </c>
      <c r="T11" s="115">
        <f t="shared" ref="T11:T12" si="57">E11+J11-O11</f>
        <v>0</v>
      </c>
      <c r="U11" s="115">
        <f t="shared" ref="U11:U12" si="58">F11+K11-P11</f>
        <v>85</v>
      </c>
      <c r="V11" s="115">
        <f t="shared" ref="V11:V12" si="59">G11+L11-Q11</f>
        <v>5</v>
      </c>
      <c r="W11" s="77"/>
      <c r="X11" s="181" t="s">
        <v>418</v>
      </c>
      <c r="Y11" s="108" t="s">
        <v>380</v>
      </c>
      <c r="Z11" s="108" t="s">
        <v>374</v>
      </c>
      <c r="AA11" s="108"/>
      <c r="AB11" s="108"/>
      <c r="AC11" s="108"/>
      <c r="AD11" s="108"/>
      <c r="AE11" s="108"/>
      <c r="AF11" s="108"/>
      <c r="AG11" s="108"/>
      <c r="AH11" s="108"/>
      <c r="AI11" s="108">
        <v>1</v>
      </c>
      <c r="AJ11" s="108"/>
      <c r="AK11" s="108"/>
      <c r="AL11" s="108"/>
    </row>
    <row r="12" spans="1:38" ht="35.1" customHeight="1" x14ac:dyDescent="0.3">
      <c r="A12" s="77"/>
      <c r="B12" s="182">
        <v>46152</v>
      </c>
      <c r="C12" s="77">
        <f t="shared" si="51"/>
        <v>11</v>
      </c>
      <c r="D12" s="77">
        <f t="shared" si="52"/>
        <v>23</v>
      </c>
      <c r="E12" s="77"/>
      <c r="F12" s="77">
        <f t="shared" si="53"/>
        <v>85</v>
      </c>
      <c r="G12" s="77">
        <f t="shared" si="54"/>
        <v>5</v>
      </c>
      <c r="H12" s="77"/>
      <c r="I12" s="77"/>
      <c r="J12" s="77"/>
      <c r="K12" s="77">
        <v>64</v>
      </c>
      <c r="L12" s="77">
        <v>55</v>
      </c>
      <c r="M12" s="77">
        <v>11</v>
      </c>
      <c r="N12" s="77">
        <v>5</v>
      </c>
      <c r="O12" s="77"/>
      <c r="P12" s="77">
        <f>66+55</f>
        <v>121</v>
      </c>
      <c r="Q12" s="77">
        <v>12</v>
      </c>
      <c r="R12" s="115">
        <f t="shared" si="55"/>
        <v>0</v>
      </c>
      <c r="S12" s="115">
        <f t="shared" si="56"/>
        <v>18</v>
      </c>
      <c r="T12" s="115">
        <f t="shared" si="57"/>
        <v>0</v>
      </c>
      <c r="U12" s="115">
        <f t="shared" si="58"/>
        <v>28</v>
      </c>
      <c r="V12" s="115">
        <f t="shared" si="59"/>
        <v>48</v>
      </c>
      <c r="W12" s="77"/>
      <c r="X12" s="181" t="s">
        <v>418</v>
      </c>
      <c r="Y12" s="108" t="s">
        <v>380</v>
      </c>
      <c r="Z12" s="108" t="s">
        <v>374</v>
      </c>
      <c r="AA12" s="108"/>
      <c r="AB12" s="108"/>
      <c r="AC12" s="108"/>
      <c r="AD12" s="108"/>
      <c r="AE12" s="108"/>
      <c r="AF12" s="108"/>
      <c r="AG12" s="108"/>
      <c r="AH12" s="108"/>
      <c r="AI12" s="108">
        <v>1</v>
      </c>
      <c r="AJ12" s="108"/>
      <c r="AK12" s="108"/>
      <c r="AL12" s="108"/>
    </row>
    <row r="13" spans="1:38" ht="35.1" customHeight="1" x14ac:dyDescent="0.3">
      <c r="X13" s="122" t="s">
        <v>355</v>
      </c>
      <c r="Y13" s="108" t="s">
        <v>386</v>
      </c>
      <c r="Z13" s="108"/>
      <c r="AA13" s="108">
        <v>11</v>
      </c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</row>
    <row r="14" spans="1:38" ht="35.1" customHeight="1" x14ac:dyDescent="0.3">
      <c r="X14" s="116"/>
      <c r="Y14" s="108" t="s">
        <v>384</v>
      </c>
      <c r="Z14" s="108"/>
      <c r="AA14" s="108">
        <v>4</v>
      </c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</row>
    <row r="15" spans="1:38" ht="35.1" customHeight="1" x14ac:dyDescent="0.3">
      <c r="X15" s="116"/>
      <c r="Y15" s="108" t="s">
        <v>385</v>
      </c>
      <c r="Z15" s="108"/>
      <c r="AA15" s="108">
        <v>3</v>
      </c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</row>
    <row r="16" spans="1:38" ht="35.1" customHeight="1" x14ac:dyDescent="0.3">
      <c r="X16" s="122" t="s">
        <v>415</v>
      </c>
      <c r="Y16" s="142" t="s">
        <v>416</v>
      </c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</row>
    <row r="17" spans="24:38" x14ac:dyDescent="0.3">
      <c r="X17" s="364"/>
      <c r="Y17" s="364" t="s">
        <v>417</v>
      </c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</row>
    <row r="18" spans="24:38" x14ac:dyDescent="0.3">
      <c r="X18" s="365"/>
      <c r="Y18" s="365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</row>
    <row r="19" spans="24:38" x14ac:dyDescent="0.3">
      <c r="X19" s="116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</row>
    <row r="20" spans="24:38" x14ac:dyDescent="0.3">
      <c r="X20" s="116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</row>
    <row r="21" spans="24:38" x14ac:dyDescent="0.3">
      <c r="X21" s="116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</row>
    <row r="22" spans="24:38" x14ac:dyDescent="0.3">
      <c r="X22" s="116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</row>
    <row r="23" spans="24:38" x14ac:dyDescent="0.3">
      <c r="X23" s="116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</row>
    <row r="24" spans="24:38" x14ac:dyDescent="0.3">
      <c r="X24" s="116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</row>
    <row r="25" spans="24:38" x14ac:dyDescent="0.3">
      <c r="X25" s="116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</row>
    <row r="26" spans="24:38" x14ac:dyDescent="0.3">
      <c r="X26" s="116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</row>
    <row r="27" spans="24:38" x14ac:dyDescent="0.3">
      <c r="X27" s="116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</row>
    <row r="28" spans="24:38" x14ac:dyDescent="0.3">
      <c r="X28" s="116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</row>
    <row r="29" spans="24:38" x14ac:dyDescent="0.3">
      <c r="X29" s="116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</row>
    <row r="30" spans="24:38" x14ac:dyDescent="0.3">
      <c r="X30" s="116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</row>
    <row r="31" spans="24:38" x14ac:dyDescent="0.3">
      <c r="X31" s="116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</row>
    <row r="32" spans="24:38" x14ac:dyDescent="0.3">
      <c r="X32" s="116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</row>
    <row r="33" spans="24:38" x14ac:dyDescent="0.3">
      <c r="X33" s="116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</row>
    <row r="34" spans="24:38" x14ac:dyDescent="0.3">
      <c r="X34" s="116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</row>
    <row r="35" spans="24:38" x14ac:dyDescent="0.3">
      <c r="X35" s="116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</row>
    <row r="36" spans="24:38" x14ac:dyDescent="0.3">
      <c r="X36" s="116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</row>
    <row r="37" spans="24:38" x14ac:dyDescent="0.3">
      <c r="X37" s="116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</row>
    <row r="38" spans="24:38" x14ac:dyDescent="0.3">
      <c r="X38" s="116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</row>
    <row r="39" spans="24:38" x14ac:dyDescent="0.3">
      <c r="X39" s="116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</row>
    <row r="40" spans="24:38" x14ac:dyDescent="0.3">
      <c r="X40" s="11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</row>
    <row r="41" spans="24:38" x14ac:dyDescent="0.3">
      <c r="X41" s="11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</row>
    <row r="42" spans="24:38" x14ac:dyDescent="0.3">
      <c r="X42" s="11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</row>
    <row r="43" spans="24:38" x14ac:dyDescent="0.3">
      <c r="X43" s="11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</row>
    <row r="44" spans="24:38" x14ac:dyDescent="0.3">
      <c r="X44" s="11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</row>
    <row r="45" spans="24:38" x14ac:dyDescent="0.3">
      <c r="X45" s="11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</row>
    <row r="46" spans="24:38" x14ac:dyDescent="0.3">
      <c r="X46" s="11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</row>
    <row r="47" spans="24:38" x14ac:dyDescent="0.3">
      <c r="X47" s="11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</row>
    <row r="48" spans="24:38" x14ac:dyDescent="0.3">
      <c r="X48" s="11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</row>
    <row r="49" spans="24:38" x14ac:dyDescent="0.3">
      <c r="X49" s="11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</row>
    <row r="50" spans="24:38" x14ac:dyDescent="0.3">
      <c r="X50" s="11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</row>
    <row r="51" spans="24:38" x14ac:dyDescent="0.3">
      <c r="X51" s="11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</row>
    <row r="52" spans="24:38" x14ac:dyDescent="0.3">
      <c r="X52" s="11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</row>
    <row r="53" spans="24:38" x14ac:dyDescent="0.3">
      <c r="X53" s="11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</row>
    <row r="54" spans="24:38" x14ac:dyDescent="0.3">
      <c r="X54" s="11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</row>
    <row r="55" spans="24:38" x14ac:dyDescent="0.3">
      <c r="X55" s="11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</row>
    <row r="56" spans="24:38" x14ac:dyDescent="0.3">
      <c r="X56" s="11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</row>
    <row r="57" spans="24:38" x14ac:dyDescent="0.3">
      <c r="X57" s="11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</row>
    <row r="58" spans="24:38" x14ac:dyDescent="0.3">
      <c r="X58" s="11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</row>
    <row r="59" spans="24:38" x14ac:dyDescent="0.3">
      <c r="X59" s="11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</row>
    <row r="60" spans="24:38" x14ac:dyDescent="0.3">
      <c r="X60" s="11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</row>
    <row r="61" spans="24:38" x14ac:dyDescent="0.3">
      <c r="X61" s="11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</row>
    <row r="62" spans="24:38" x14ac:dyDescent="0.3">
      <c r="X62" s="11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</row>
    <row r="63" spans="24:38" x14ac:dyDescent="0.3">
      <c r="X63" s="11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</row>
    <row r="64" spans="24:38" x14ac:dyDescent="0.3">
      <c r="X64" s="11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</row>
    <row r="65" spans="24:38" x14ac:dyDescent="0.3">
      <c r="X65" s="11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</row>
    <row r="66" spans="24:38" x14ac:dyDescent="0.3">
      <c r="X66" s="11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</row>
    <row r="67" spans="24:38" x14ac:dyDescent="0.3">
      <c r="X67" s="11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</row>
    <row r="68" spans="24:38" x14ac:dyDescent="0.3">
      <c r="X68" s="11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</row>
    <row r="69" spans="24:38" x14ac:dyDescent="0.3">
      <c r="X69" s="11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</row>
    <row r="70" spans="24:38" x14ac:dyDescent="0.3">
      <c r="X70" s="11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</row>
    <row r="71" spans="24:38" x14ac:dyDescent="0.3">
      <c r="X71" s="11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</row>
    <row r="72" spans="24:38" x14ac:dyDescent="0.3">
      <c r="X72" s="11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</row>
    <row r="73" spans="24:38" x14ac:dyDescent="0.3">
      <c r="X73" s="11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</row>
    <row r="74" spans="24:38" x14ac:dyDescent="0.3">
      <c r="X74" s="11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</row>
    <row r="75" spans="24:38" x14ac:dyDescent="0.3">
      <c r="X75" s="11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</row>
    <row r="76" spans="24:38" x14ac:dyDescent="0.3">
      <c r="X76" s="11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</row>
    <row r="77" spans="24:38" x14ac:dyDescent="0.3">
      <c r="X77" s="11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</row>
    <row r="78" spans="24:38" x14ac:dyDescent="0.3">
      <c r="X78" s="11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</row>
    <row r="79" spans="24:38" x14ac:dyDescent="0.3">
      <c r="X79" s="11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</row>
    <row r="80" spans="24:38" x14ac:dyDescent="0.3">
      <c r="X80" s="11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</row>
    <row r="81" spans="24:38" x14ac:dyDescent="0.3">
      <c r="X81" s="11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</row>
    <row r="82" spans="24:38" x14ac:dyDescent="0.3">
      <c r="X82" s="11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</row>
    <row r="83" spans="24:38" x14ac:dyDescent="0.3">
      <c r="X83" s="11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</row>
    <row r="84" spans="24:38" x14ac:dyDescent="0.3">
      <c r="X84" s="117"/>
      <c r="Y84" s="77"/>
      <c r="Z84" s="109" t="s">
        <v>381</v>
      </c>
      <c r="AA84" s="77">
        <f t="shared" ref="AA84:AL84" si="60">SUM(AA5:AA83)</f>
        <v>125</v>
      </c>
      <c r="AB84" s="77">
        <f t="shared" si="60"/>
        <v>0</v>
      </c>
      <c r="AC84" s="77">
        <f t="shared" si="60"/>
        <v>0</v>
      </c>
      <c r="AD84" s="77">
        <f t="shared" si="60"/>
        <v>0</v>
      </c>
      <c r="AE84" s="77">
        <f t="shared" si="60"/>
        <v>1</v>
      </c>
      <c r="AF84" s="77">
        <f t="shared" si="60"/>
        <v>0</v>
      </c>
      <c r="AG84" s="77">
        <f t="shared" si="60"/>
        <v>0</v>
      </c>
      <c r="AH84" s="77">
        <f t="shared" si="60"/>
        <v>0</v>
      </c>
      <c r="AI84" s="77">
        <f t="shared" si="60"/>
        <v>2</v>
      </c>
      <c r="AJ84" s="77">
        <f t="shared" si="60"/>
        <v>0</v>
      </c>
      <c r="AK84" s="77">
        <f t="shared" si="60"/>
        <v>0</v>
      </c>
      <c r="AL84" s="77">
        <f t="shared" si="60"/>
        <v>0</v>
      </c>
    </row>
    <row r="85" spans="24:38" x14ac:dyDescent="0.3">
      <c r="X85" s="117"/>
      <c r="Y85" s="77"/>
      <c r="Z85" s="109" t="s">
        <v>382</v>
      </c>
      <c r="AA85" s="110" t="e">
        <f>#REF!+I84-AA84</f>
        <v>#REF!</v>
      </c>
      <c r="AB85" s="110" t="e">
        <f>#REF!+K84-AB84</f>
        <v>#REF!</v>
      </c>
      <c r="AC85" s="110" t="e">
        <f>#REF!+L84-AC84</f>
        <v>#REF!</v>
      </c>
      <c r="AD85" s="110" t="e">
        <f>#REF!+M84-AD84</f>
        <v>#REF!</v>
      </c>
      <c r="AE85" s="110" t="e">
        <f>#REF!+N84-AE84</f>
        <v>#REF!</v>
      </c>
      <c r="AF85" s="110" t="e">
        <f>#REF!+P84-AF84</f>
        <v>#REF!</v>
      </c>
      <c r="AG85" s="110" t="e">
        <f>#REF!+Q84-AG84</f>
        <v>#REF!</v>
      </c>
      <c r="AH85" s="110" t="e">
        <f>#REF!+R84-AH84</f>
        <v>#REF!</v>
      </c>
      <c r="AI85" s="110" t="e">
        <f>#REF!+S84-AI84</f>
        <v>#REF!</v>
      </c>
      <c r="AJ85" s="110" t="e">
        <f>#REF!+U84-AJ84</f>
        <v>#REF!</v>
      </c>
      <c r="AK85" s="110" t="e">
        <f>#REF!+V84-AK84</f>
        <v>#REF!</v>
      </c>
      <c r="AL85" s="110" t="e">
        <f>#REF!+W84-AL84</f>
        <v>#REF!</v>
      </c>
    </row>
  </sheetData>
  <autoFilter ref="A2:AL2" xr:uid="{00000000-0001-0000-0700-000000000000}"/>
  <mergeCells count="6">
    <mergeCell ref="Y17:Y18"/>
    <mergeCell ref="C1:G1"/>
    <mergeCell ref="H1:L1"/>
    <mergeCell ref="M1:Q1"/>
    <mergeCell ref="R1:V1"/>
    <mergeCell ref="X17:X18"/>
  </mergeCells>
  <dataValidations count="1">
    <dataValidation type="list" allowBlank="1" showInputMessage="1" showErrorMessage="1" sqref="Y84:Y1085 Y1:Y4" xr:uid="{F3A35D46-F104-47B1-AFD8-5FB672FEA399}">
      <formula1>$A$4:$A$435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Roman,thường"&amp;12&amp;Kffffff&amp;A</oddHeader>
    <oddFooter>&amp;C&amp;"Times New Roman,thường"&amp;12&amp;KffffffTrang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107"/>
  <sheetViews>
    <sheetView topLeftCell="F1" zoomScaleNormal="100" workbookViewId="0">
      <pane ySplit="2" topLeftCell="A3" activePane="bottomLeft" state="frozen"/>
      <selection activeCell="H1" sqref="H1"/>
      <selection pane="bottomLeft" activeCell="R4" sqref="R4:V4"/>
    </sheetView>
  </sheetViews>
  <sheetFormatPr defaultColWidth="10.109375" defaultRowHeight="14.4" x14ac:dyDescent="0.3"/>
  <cols>
    <col min="1" max="1" width="5.5546875" customWidth="1"/>
    <col min="2" max="2" width="13.109375" style="79" customWidth="1"/>
    <col min="3" max="3" width="7.44140625" customWidth="1"/>
    <col min="4" max="5" width="11.109375" customWidth="1"/>
    <col min="19" max="20" width="11.6640625" customWidth="1"/>
    <col min="24" max="25" width="26.6640625" customWidth="1"/>
    <col min="26" max="26" width="14.33203125" customWidth="1"/>
    <col min="27" max="27" width="10.44140625"/>
    <col min="28" max="28" width="7.88671875" customWidth="1"/>
    <col min="29" max="29" width="9.44140625" customWidth="1"/>
    <col min="30" max="30" width="9.33203125" customWidth="1"/>
    <col min="31" max="31" width="8" customWidth="1"/>
    <col min="32" max="33" width="8.109375" customWidth="1"/>
    <col min="34" max="34" width="7.88671875" customWidth="1"/>
    <col min="35" max="35" width="7.109375" customWidth="1"/>
    <col min="36" max="36" width="8.109375" customWidth="1"/>
    <col min="37" max="37" width="7.44140625" customWidth="1"/>
    <col min="38" max="38" width="7.6640625" customWidth="1"/>
  </cols>
  <sheetData>
    <row r="1" spans="1:38" ht="30.6" customHeight="1" x14ac:dyDescent="0.3">
      <c r="A1" s="78" t="s">
        <v>3</v>
      </c>
      <c r="B1" s="78" t="s">
        <v>344</v>
      </c>
      <c r="C1" s="388" t="s">
        <v>345</v>
      </c>
      <c r="D1" s="388"/>
      <c r="E1" s="388"/>
      <c r="F1" s="388"/>
      <c r="G1" s="388"/>
      <c r="H1" s="389" t="s">
        <v>346</v>
      </c>
      <c r="I1" s="389"/>
      <c r="J1" s="389"/>
      <c r="K1" s="389"/>
      <c r="L1" s="389"/>
      <c r="M1" s="390" t="s">
        <v>347</v>
      </c>
      <c r="N1" s="390"/>
      <c r="O1" s="390"/>
      <c r="P1" s="390"/>
      <c r="Q1" s="390"/>
      <c r="R1" s="391" t="s">
        <v>348</v>
      </c>
      <c r="S1" s="391"/>
      <c r="T1" s="391"/>
      <c r="U1" s="391"/>
      <c r="V1" s="391"/>
      <c r="W1" s="77"/>
      <c r="X1" s="112"/>
      <c r="Y1" s="111" t="s">
        <v>347</v>
      </c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</row>
    <row r="2" spans="1:38" ht="32.85" customHeight="1" x14ac:dyDescent="0.3">
      <c r="A2" s="77"/>
      <c r="B2" s="80"/>
      <c r="C2" s="81" t="s">
        <v>349</v>
      </c>
      <c r="D2" s="81" t="s">
        <v>350</v>
      </c>
      <c r="E2" s="81" t="s">
        <v>411</v>
      </c>
      <c r="F2" s="81" t="s">
        <v>351</v>
      </c>
      <c r="G2" s="81" t="s">
        <v>352</v>
      </c>
      <c r="H2" s="82" t="s">
        <v>349</v>
      </c>
      <c r="I2" s="82" t="s">
        <v>350</v>
      </c>
      <c r="J2" s="82" t="s">
        <v>411</v>
      </c>
      <c r="K2" s="82" t="s">
        <v>351</v>
      </c>
      <c r="L2" s="82" t="s">
        <v>352</v>
      </c>
      <c r="M2" s="83" t="s">
        <v>349</v>
      </c>
      <c r="N2" s="83" t="s">
        <v>350</v>
      </c>
      <c r="O2" s="170" t="s">
        <v>411</v>
      </c>
      <c r="P2" s="83" t="s">
        <v>351</v>
      </c>
      <c r="Q2" s="83" t="s">
        <v>352</v>
      </c>
      <c r="R2" s="84" t="s">
        <v>349</v>
      </c>
      <c r="S2" s="84" t="s">
        <v>350</v>
      </c>
      <c r="T2" s="169" t="s">
        <v>411</v>
      </c>
      <c r="U2" s="84" t="s">
        <v>351</v>
      </c>
      <c r="V2" s="84" t="s">
        <v>352</v>
      </c>
      <c r="W2" s="77"/>
      <c r="X2" s="113"/>
      <c r="Y2" s="105" t="s">
        <v>296</v>
      </c>
      <c r="Z2" s="105" t="s">
        <v>361</v>
      </c>
      <c r="AA2" s="106" t="s">
        <v>25</v>
      </c>
      <c r="AB2" s="104" t="s">
        <v>362</v>
      </c>
      <c r="AC2" s="104" t="s">
        <v>363</v>
      </c>
      <c r="AD2" s="104" t="s">
        <v>364</v>
      </c>
      <c r="AE2" s="104" t="s">
        <v>28</v>
      </c>
      <c r="AF2" s="104" t="s">
        <v>365</v>
      </c>
      <c r="AG2" s="104" t="s">
        <v>366</v>
      </c>
      <c r="AH2" s="104" t="s">
        <v>367</v>
      </c>
      <c r="AI2" s="104" t="s">
        <v>368</v>
      </c>
      <c r="AJ2" s="104" t="s">
        <v>369</v>
      </c>
      <c r="AK2" s="104" t="s">
        <v>38</v>
      </c>
      <c r="AL2" s="104" t="s">
        <v>370</v>
      </c>
    </row>
    <row r="3" spans="1:38" ht="32.85" customHeight="1" x14ac:dyDescent="0.3">
      <c r="A3" s="77"/>
      <c r="B3" s="80"/>
      <c r="C3" s="81"/>
      <c r="D3" s="81"/>
      <c r="E3" s="81"/>
      <c r="F3" s="81"/>
      <c r="G3" s="81"/>
      <c r="H3" s="82"/>
      <c r="I3" s="82"/>
      <c r="J3" s="82"/>
      <c r="K3" s="82"/>
      <c r="L3" s="82"/>
      <c r="M3" s="83"/>
      <c r="N3" s="83"/>
      <c r="O3" s="170"/>
      <c r="P3" s="83"/>
      <c r="Q3" s="83"/>
      <c r="R3" s="84"/>
      <c r="S3" s="84"/>
      <c r="T3" s="169"/>
      <c r="U3" s="84"/>
      <c r="V3" s="84"/>
      <c r="W3" s="77"/>
      <c r="X3" s="113"/>
      <c r="Y3" s="105"/>
      <c r="Z3" s="105"/>
      <c r="AA3" s="106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</row>
    <row r="4" spans="1:38" ht="32.85" customHeight="1" x14ac:dyDescent="0.35">
      <c r="A4" s="77"/>
      <c r="B4" s="80" t="s">
        <v>472</v>
      </c>
      <c r="C4" s="77">
        <v>20</v>
      </c>
      <c r="D4" s="77">
        <v>9</v>
      </c>
      <c r="E4" s="77"/>
      <c r="F4" s="77">
        <v>230</v>
      </c>
      <c r="G4" s="77">
        <v>45</v>
      </c>
      <c r="H4" s="77"/>
      <c r="I4" s="77"/>
      <c r="J4" s="77"/>
      <c r="K4" s="77"/>
      <c r="L4" s="77"/>
      <c r="M4" s="77">
        <v>19</v>
      </c>
      <c r="N4" s="77">
        <v>2</v>
      </c>
      <c r="O4" s="77"/>
      <c r="P4" s="77">
        <v>16</v>
      </c>
      <c r="Q4" s="77">
        <v>41</v>
      </c>
      <c r="R4" s="77">
        <v>1</v>
      </c>
      <c r="S4" s="77">
        <v>7</v>
      </c>
      <c r="T4" s="77">
        <v>0</v>
      </c>
      <c r="U4" s="77">
        <v>214</v>
      </c>
      <c r="V4" s="77">
        <v>4</v>
      </c>
      <c r="W4" s="77"/>
      <c r="X4" s="114">
        <v>46268</v>
      </c>
      <c r="Y4" s="107" t="s">
        <v>388</v>
      </c>
      <c r="Z4" s="107" t="s">
        <v>371</v>
      </c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>
        <v>3</v>
      </c>
      <c r="AL4" s="107"/>
    </row>
    <row r="5" spans="1:38" ht="35.1" customHeight="1" x14ac:dyDescent="0.3">
      <c r="A5" s="77"/>
      <c r="B5" s="85" t="s">
        <v>475</v>
      </c>
      <c r="C5" s="77">
        <f>R4</f>
        <v>1</v>
      </c>
      <c r="D5" s="77">
        <f t="shared" ref="D5:G5" si="0">S4</f>
        <v>7</v>
      </c>
      <c r="E5" s="77">
        <f t="shared" si="0"/>
        <v>0</v>
      </c>
      <c r="F5" s="77">
        <f t="shared" si="0"/>
        <v>214</v>
      </c>
      <c r="G5" s="77">
        <f t="shared" si="0"/>
        <v>4</v>
      </c>
      <c r="H5" s="77">
        <v>33</v>
      </c>
      <c r="I5" s="77">
        <v>40</v>
      </c>
      <c r="J5" s="77"/>
      <c r="K5" s="77">
        <f>11+34</f>
        <v>45</v>
      </c>
      <c r="L5" s="77"/>
      <c r="M5" s="77">
        <v>33</v>
      </c>
      <c r="N5" s="77"/>
      <c r="O5" s="77"/>
      <c r="P5" s="77">
        <f>11+11</f>
        <v>22</v>
      </c>
      <c r="Q5" s="77"/>
      <c r="R5" s="115">
        <f t="shared" ref="R5" si="1">C5+H5-M5</f>
        <v>1</v>
      </c>
      <c r="S5" s="115">
        <f t="shared" ref="S5" si="2">D5+I5-N5</f>
        <v>47</v>
      </c>
      <c r="T5" s="115">
        <f t="shared" ref="T5" si="3">E5+J5-O5</f>
        <v>0</v>
      </c>
      <c r="U5" s="115">
        <f t="shared" ref="U5" si="4">F5+K5-P5</f>
        <v>237</v>
      </c>
      <c r="V5" s="115">
        <f t="shared" ref="V5" si="5">G5+L5-Q5</f>
        <v>4</v>
      </c>
      <c r="W5" s="77"/>
      <c r="X5" s="123">
        <v>46268</v>
      </c>
      <c r="Y5" s="77" t="s">
        <v>389</v>
      </c>
      <c r="Z5" s="77" t="s">
        <v>41</v>
      </c>
      <c r="AA5" s="77"/>
      <c r="AB5" s="77"/>
      <c r="AC5" s="77"/>
      <c r="AD5" s="77"/>
      <c r="AE5" s="77"/>
      <c r="AF5" s="77"/>
      <c r="AG5" s="77"/>
      <c r="AH5" s="77"/>
      <c r="AI5" s="77">
        <v>2</v>
      </c>
      <c r="AJ5" s="77"/>
      <c r="AK5" s="77"/>
      <c r="AL5" s="77"/>
    </row>
    <row r="6" spans="1:38" ht="35.1" customHeight="1" x14ac:dyDescent="0.3">
      <c r="A6" s="77"/>
      <c r="B6" s="85" t="s">
        <v>494</v>
      </c>
      <c r="C6" s="77">
        <f t="shared" ref="C6" si="6">R5</f>
        <v>1</v>
      </c>
      <c r="D6" s="77">
        <f t="shared" ref="D6" si="7">S5</f>
        <v>47</v>
      </c>
      <c r="E6" s="77"/>
      <c r="F6" s="77">
        <f t="shared" ref="F6" si="8">U5</f>
        <v>237</v>
      </c>
      <c r="G6" s="77">
        <f t="shared" ref="G6" si="9">V5</f>
        <v>4</v>
      </c>
      <c r="H6" s="77">
        <v>30</v>
      </c>
      <c r="I6" s="77"/>
      <c r="J6" s="77"/>
      <c r="K6" s="77">
        <f>78+2</f>
        <v>80</v>
      </c>
      <c r="L6" s="77">
        <v>50</v>
      </c>
      <c r="M6" s="77">
        <v>16</v>
      </c>
      <c r="N6" s="77">
        <v>4</v>
      </c>
      <c r="O6" s="77"/>
      <c r="P6" s="77">
        <v>5</v>
      </c>
      <c r="Q6" s="77"/>
      <c r="R6" s="115">
        <f t="shared" ref="R6" si="10">C6+H6-M6</f>
        <v>15</v>
      </c>
      <c r="S6" s="115">
        <f t="shared" ref="S6" si="11">D6+I6-N6</f>
        <v>43</v>
      </c>
      <c r="T6" s="115">
        <f t="shared" ref="T6" si="12">E6+J6-O6</f>
        <v>0</v>
      </c>
      <c r="U6" s="115">
        <f t="shared" ref="U6" si="13">F6+K6-P6</f>
        <v>312</v>
      </c>
      <c r="V6" s="115">
        <f t="shared" ref="V6" si="14">G6+L6-Q6</f>
        <v>54</v>
      </c>
      <c r="W6" s="77"/>
      <c r="X6" s="123">
        <v>46268</v>
      </c>
      <c r="Y6" s="77" t="s">
        <v>390</v>
      </c>
      <c r="Z6" s="77" t="s">
        <v>41</v>
      </c>
      <c r="AA6" s="77"/>
      <c r="AB6" s="77"/>
      <c r="AC6" s="77"/>
      <c r="AD6" s="77"/>
      <c r="AE6" s="77"/>
      <c r="AF6" s="77"/>
      <c r="AG6" s="77"/>
      <c r="AH6" s="77"/>
      <c r="AI6" s="77">
        <v>4</v>
      </c>
      <c r="AJ6" s="77"/>
      <c r="AK6" s="77"/>
      <c r="AL6" s="77"/>
    </row>
    <row r="7" spans="1:38" ht="35.1" customHeight="1" x14ac:dyDescent="0.3">
      <c r="A7" s="77"/>
      <c r="B7" s="95" t="s">
        <v>534</v>
      </c>
      <c r="C7" s="77">
        <f t="shared" ref="C7" si="15">R6</f>
        <v>15</v>
      </c>
      <c r="D7" s="77">
        <f t="shared" ref="D7" si="16">S6</f>
        <v>43</v>
      </c>
      <c r="E7" s="77"/>
      <c r="F7" s="77">
        <f t="shared" ref="F7" si="17">U6</f>
        <v>312</v>
      </c>
      <c r="G7" s="77">
        <f t="shared" ref="G7" si="18">V6</f>
        <v>54</v>
      </c>
      <c r="H7" s="77"/>
      <c r="I7" s="77"/>
      <c r="J7" s="77"/>
      <c r="K7" s="77"/>
      <c r="L7" s="77"/>
      <c r="M7" s="77">
        <v>15</v>
      </c>
      <c r="N7" s="77">
        <v>1</v>
      </c>
      <c r="O7" s="77"/>
      <c r="P7" s="77">
        <v>11</v>
      </c>
      <c r="Q7" s="77">
        <v>48</v>
      </c>
      <c r="R7" s="115">
        <f t="shared" ref="R7" si="19">C7+H7-M7</f>
        <v>0</v>
      </c>
      <c r="S7" s="115">
        <f t="shared" ref="S7" si="20">D7+I7-N7</f>
        <v>42</v>
      </c>
      <c r="T7" s="115">
        <f t="shared" ref="T7" si="21">E7+J7-O7</f>
        <v>0</v>
      </c>
      <c r="U7" s="115">
        <f t="shared" ref="U7" si="22">F7+K7-P7</f>
        <v>301</v>
      </c>
      <c r="V7" s="115">
        <f t="shared" ref="V7" si="23">G7+L7-Q7</f>
        <v>6</v>
      </c>
      <c r="W7" s="229"/>
      <c r="X7" s="123">
        <v>46268</v>
      </c>
      <c r="Y7" s="77" t="s">
        <v>372</v>
      </c>
      <c r="Z7" s="77"/>
      <c r="AA7" s="77">
        <v>21</v>
      </c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spans="1:38" ht="35.1" customHeight="1" x14ac:dyDescent="0.3">
      <c r="A8" s="77"/>
      <c r="B8" s="182">
        <v>46063</v>
      </c>
      <c r="C8" s="77">
        <f t="shared" ref="C8" si="24">R7</f>
        <v>0</v>
      </c>
      <c r="D8" s="77">
        <f t="shared" ref="D8" si="25">S7</f>
        <v>42</v>
      </c>
      <c r="E8" s="77"/>
      <c r="F8" s="77">
        <f t="shared" ref="F8" si="26">U7</f>
        <v>301</v>
      </c>
      <c r="G8" s="77">
        <f t="shared" ref="G8" si="27">V7</f>
        <v>6</v>
      </c>
      <c r="H8" s="77"/>
      <c r="I8" s="77"/>
      <c r="J8" s="77"/>
      <c r="K8" s="77"/>
      <c r="L8" s="77"/>
      <c r="M8" s="77"/>
      <c r="N8" s="77">
        <v>1</v>
      </c>
      <c r="O8" s="77"/>
      <c r="P8" s="77"/>
      <c r="Q8" s="77">
        <v>2</v>
      </c>
      <c r="R8" s="115">
        <f t="shared" ref="R8" si="28">C8+H8-M8</f>
        <v>0</v>
      </c>
      <c r="S8" s="115">
        <f t="shared" ref="S8" si="29">D8+I8-N8</f>
        <v>41</v>
      </c>
      <c r="T8" s="115">
        <f t="shared" ref="T8" si="30">E8+J8-O8</f>
        <v>0</v>
      </c>
      <c r="U8" s="115">
        <f t="shared" ref="U8" si="31">F8+K8-P8</f>
        <v>301</v>
      </c>
      <c r="V8" s="115">
        <f t="shared" ref="V8" si="32">G8+L8-Q8</f>
        <v>4</v>
      </c>
      <c r="W8" s="229"/>
      <c r="X8" s="123">
        <v>46268</v>
      </c>
      <c r="Y8" s="77" t="s">
        <v>391</v>
      </c>
      <c r="Z8" s="77"/>
      <c r="AA8" s="77">
        <v>12</v>
      </c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</row>
    <row r="9" spans="1:38" ht="35.1" customHeight="1" x14ac:dyDescent="0.3">
      <c r="A9" s="77"/>
      <c r="B9" s="182">
        <v>46091</v>
      </c>
      <c r="C9" s="77">
        <f t="shared" ref="C9" si="33">R8</f>
        <v>0</v>
      </c>
      <c r="D9" s="77">
        <f t="shared" ref="D9" si="34">S8</f>
        <v>41</v>
      </c>
      <c r="E9" s="77"/>
      <c r="F9" s="77">
        <f t="shared" ref="F9" si="35">U8</f>
        <v>301</v>
      </c>
      <c r="G9" s="77">
        <f t="shared" ref="G9" si="36">V8</f>
        <v>4</v>
      </c>
      <c r="H9" s="77"/>
      <c r="I9" s="77"/>
      <c r="J9" s="77"/>
      <c r="K9" s="77"/>
      <c r="L9" s="77">
        <v>26</v>
      </c>
      <c r="M9" s="77"/>
      <c r="N9" s="77"/>
      <c r="O9" s="77"/>
      <c r="P9" s="77">
        <v>51</v>
      </c>
      <c r="Q9" s="77">
        <v>2</v>
      </c>
      <c r="R9" s="115">
        <f t="shared" ref="R9" si="37">C9+H9-M9</f>
        <v>0</v>
      </c>
      <c r="S9" s="115">
        <f t="shared" ref="S9" si="38">D9+I9-N9</f>
        <v>41</v>
      </c>
      <c r="T9" s="115">
        <f t="shared" ref="T9" si="39">E9+J9-O9</f>
        <v>0</v>
      </c>
      <c r="U9" s="115">
        <f t="shared" ref="U9" si="40">F9+K9-P9</f>
        <v>250</v>
      </c>
      <c r="V9" s="115">
        <f t="shared" ref="V9" si="41">G9+L9-Q9</f>
        <v>28</v>
      </c>
      <c r="W9" s="229"/>
      <c r="X9" s="123">
        <v>46269</v>
      </c>
      <c r="Y9" s="77" t="s">
        <v>372</v>
      </c>
      <c r="Z9" s="77"/>
      <c r="AA9" s="77">
        <v>22</v>
      </c>
      <c r="AB9" s="77"/>
      <c r="AC9" s="77"/>
      <c r="AD9" s="77"/>
      <c r="AE9" s="77">
        <v>16</v>
      </c>
      <c r="AF9" s="77"/>
      <c r="AG9" s="77"/>
      <c r="AH9" s="77"/>
      <c r="AI9" s="77"/>
      <c r="AJ9" s="77"/>
      <c r="AK9" s="77"/>
      <c r="AL9" s="77"/>
    </row>
    <row r="10" spans="1:38" ht="35.1" customHeight="1" x14ac:dyDescent="0.3">
      <c r="A10" s="77"/>
      <c r="B10" s="182">
        <v>46122</v>
      </c>
      <c r="C10" s="77">
        <f t="shared" ref="C10" si="42">R9</f>
        <v>0</v>
      </c>
      <c r="D10" s="77">
        <f t="shared" ref="D10" si="43">S9</f>
        <v>41</v>
      </c>
      <c r="E10" s="77"/>
      <c r="F10" s="77">
        <f t="shared" ref="F10" si="44">U9</f>
        <v>250</v>
      </c>
      <c r="G10" s="77">
        <f t="shared" ref="G10" si="45">V9</f>
        <v>28</v>
      </c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115">
        <f t="shared" ref="R10:R11" si="46">C10+H10-M10</f>
        <v>0</v>
      </c>
      <c r="S10" s="115">
        <f t="shared" ref="S10:S11" si="47">D10+I10-N10</f>
        <v>41</v>
      </c>
      <c r="T10" s="115">
        <f t="shared" ref="T10:T11" si="48">E10+J10-O10</f>
        <v>0</v>
      </c>
      <c r="U10" s="115">
        <f t="shared" ref="U10:U11" si="49">F10+K10-P10</f>
        <v>250</v>
      </c>
      <c r="V10" s="115">
        <f t="shared" ref="V10:V11" si="50">G10+L10-Q10</f>
        <v>28</v>
      </c>
      <c r="W10" s="229"/>
      <c r="X10" s="123">
        <v>46269</v>
      </c>
      <c r="Y10" s="77" t="s">
        <v>392</v>
      </c>
      <c r="Z10" s="77"/>
      <c r="AA10" s="77"/>
      <c r="AB10" s="77"/>
      <c r="AC10" s="77"/>
      <c r="AD10" s="77"/>
      <c r="AE10" s="77"/>
      <c r="AF10" s="77"/>
      <c r="AG10" s="77"/>
      <c r="AH10" s="77"/>
      <c r="AI10" s="77">
        <v>3</v>
      </c>
      <c r="AJ10" s="77"/>
      <c r="AK10" s="77"/>
      <c r="AL10" s="77"/>
    </row>
    <row r="11" spans="1:38" ht="35.1" customHeight="1" x14ac:dyDescent="0.3">
      <c r="A11" s="77"/>
      <c r="B11" s="182">
        <v>46152</v>
      </c>
      <c r="C11" s="77">
        <f t="shared" ref="C11" si="51">R10</f>
        <v>0</v>
      </c>
      <c r="D11" s="77">
        <f t="shared" ref="D11" si="52">S10</f>
        <v>41</v>
      </c>
      <c r="E11" s="77"/>
      <c r="F11" s="77">
        <f t="shared" ref="F11" si="53">U10</f>
        <v>250</v>
      </c>
      <c r="G11" s="77">
        <f t="shared" ref="G11" si="54">V10</f>
        <v>28</v>
      </c>
      <c r="H11" s="77"/>
      <c r="I11" s="77"/>
      <c r="J11" s="77"/>
      <c r="K11" s="77"/>
      <c r="L11" s="77"/>
      <c r="M11" s="77"/>
      <c r="N11" s="77">
        <v>3</v>
      </c>
      <c r="O11" s="77"/>
      <c r="P11" s="77">
        <v>47</v>
      </c>
      <c r="Q11" s="77"/>
      <c r="R11" s="115">
        <f t="shared" si="46"/>
        <v>0</v>
      </c>
      <c r="S11" s="115">
        <f t="shared" si="47"/>
        <v>38</v>
      </c>
      <c r="T11" s="115">
        <f t="shared" si="48"/>
        <v>0</v>
      </c>
      <c r="U11" s="115">
        <f t="shared" si="49"/>
        <v>203</v>
      </c>
      <c r="V11" s="115">
        <f t="shared" si="50"/>
        <v>28</v>
      </c>
      <c r="W11" s="229"/>
      <c r="X11" s="123">
        <v>46269</v>
      </c>
      <c r="Y11" s="77" t="s">
        <v>393</v>
      </c>
      <c r="Z11" s="77"/>
      <c r="AA11" s="77">
        <v>2</v>
      </c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</row>
    <row r="12" spans="1:38" ht="35.1" customHeight="1" x14ac:dyDescent="0.3">
      <c r="A12" s="77"/>
      <c r="B12" s="85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229"/>
      <c r="X12" s="123">
        <v>46270</v>
      </c>
      <c r="Y12" s="77" t="s">
        <v>372</v>
      </c>
      <c r="Z12" s="77"/>
      <c r="AA12" s="77">
        <v>33</v>
      </c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</row>
    <row r="13" spans="1:38" ht="35.1" customHeight="1" x14ac:dyDescent="0.3">
      <c r="A13" s="77"/>
      <c r="B13" s="85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X13" s="123">
        <v>46270</v>
      </c>
      <c r="Y13" s="77" t="s">
        <v>394</v>
      </c>
      <c r="Z13" s="77" t="s">
        <v>373</v>
      </c>
      <c r="AA13" s="77">
        <v>2</v>
      </c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</row>
    <row r="14" spans="1:38" ht="35.1" customHeight="1" x14ac:dyDescent="0.3">
      <c r="A14" s="77"/>
      <c r="B14" s="85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X14" s="123">
        <v>46270</v>
      </c>
      <c r="Y14" s="77" t="s">
        <v>395</v>
      </c>
      <c r="Z14" s="77" t="s">
        <v>373</v>
      </c>
      <c r="AA14" s="77">
        <v>4</v>
      </c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</row>
    <row r="15" spans="1:38" ht="35.1" customHeight="1" x14ac:dyDescent="0.3">
      <c r="A15" s="77"/>
      <c r="B15" s="85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X15" s="123">
        <v>46271</v>
      </c>
      <c r="Y15" s="77" t="s">
        <v>395</v>
      </c>
      <c r="Z15" s="77" t="s">
        <v>373</v>
      </c>
      <c r="AA15" s="77"/>
      <c r="AB15" s="77"/>
      <c r="AC15" s="77"/>
      <c r="AD15" s="77"/>
      <c r="AE15" s="77">
        <v>2</v>
      </c>
      <c r="AF15" s="77"/>
      <c r="AG15" s="77"/>
      <c r="AH15" s="77"/>
      <c r="AI15" s="77"/>
      <c r="AJ15" s="77"/>
      <c r="AK15" s="77"/>
      <c r="AL15" s="77"/>
    </row>
    <row r="16" spans="1:38" ht="35.1" customHeight="1" x14ac:dyDescent="0.3">
      <c r="A16" s="77"/>
      <c r="B16" s="85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X16" s="123">
        <v>46271</v>
      </c>
      <c r="Y16" s="77" t="s">
        <v>396</v>
      </c>
      <c r="Z16" s="77" t="s">
        <v>371</v>
      </c>
      <c r="AA16" s="77"/>
      <c r="AB16" s="77"/>
      <c r="AC16" s="77"/>
      <c r="AD16" s="77"/>
      <c r="AE16" s="77"/>
      <c r="AF16" s="77"/>
      <c r="AG16" s="77"/>
      <c r="AH16" s="77"/>
      <c r="AI16" s="77">
        <v>2</v>
      </c>
      <c r="AJ16" s="77"/>
      <c r="AK16" s="77"/>
      <c r="AL16" s="77"/>
    </row>
    <row r="17" spans="1:38" ht="31.8" customHeight="1" x14ac:dyDescent="0.3">
      <c r="A17" s="77"/>
      <c r="B17" s="85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X17" s="123">
        <v>46271</v>
      </c>
      <c r="Y17" s="77" t="s">
        <v>395</v>
      </c>
      <c r="Z17" s="77" t="s">
        <v>373</v>
      </c>
      <c r="AA17" s="77"/>
      <c r="AB17" s="77"/>
      <c r="AC17" s="77"/>
      <c r="AD17" s="77"/>
      <c r="AE17" s="77"/>
      <c r="AF17" s="77"/>
      <c r="AG17" s="77"/>
      <c r="AH17" s="77"/>
      <c r="AI17" s="77">
        <v>2</v>
      </c>
      <c r="AJ17" s="77"/>
      <c r="AK17" s="77"/>
      <c r="AL17" s="77"/>
    </row>
    <row r="18" spans="1:38" ht="31.8" customHeight="1" x14ac:dyDescent="0.3">
      <c r="A18" s="77"/>
      <c r="B18" s="85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X18" s="123">
        <v>46272</v>
      </c>
      <c r="Y18" s="77" t="s">
        <v>50</v>
      </c>
      <c r="Z18" s="77"/>
      <c r="AA18" s="77">
        <v>3</v>
      </c>
      <c r="AB18" s="77"/>
      <c r="AC18" s="77"/>
      <c r="AD18" s="77"/>
      <c r="AE18" s="77">
        <v>2</v>
      </c>
      <c r="AF18" s="77"/>
      <c r="AG18" s="77"/>
      <c r="AH18" s="77"/>
      <c r="AI18" s="77">
        <v>10</v>
      </c>
      <c r="AJ18" s="77">
        <v>1</v>
      </c>
      <c r="AK18" s="77"/>
      <c r="AL18" s="77"/>
    </row>
    <row r="19" spans="1:38" ht="31.8" customHeight="1" x14ac:dyDescent="0.3">
      <c r="A19" s="77"/>
      <c r="B19" s="85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X19" s="123">
        <v>46272</v>
      </c>
      <c r="Y19" s="77" t="s">
        <v>50</v>
      </c>
      <c r="Z19" s="77"/>
      <c r="AA19" s="77">
        <v>3</v>
      </c>
      <c r="AB19" s="77"/>
      <c r="AC19" s="77"/>
      <c r="AD19" s="77"/>
      <c r="AE19" s="77">
        <v>2</v>
      </c>
      <c r="AF19" s="77"/>
      <c r="AG19" s="77"/>
      <c r="AH19" s="77"/>
      <c r="AI19" s="77">
        <v>10</v>
      </c>
      <c r="AJ19" s="77">
        <v>1</v>
      </c>
      <c r="AK19" s="77"/>
      <c r="AL19" s="77"/>
    </row>
    <row r="20" spans="1:38" ht="31.8" customHeight="1" x14ac:dyDescent="0.3">
      <c r="A20" s="77"/>
      <c r="B20" s="85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X20" s="77"/>
      <c r="Y20" s="77" t="s">
        <v>387</v>
      </c>
      <c r="Z20" s="77"/>
      <c r="AA20" s="77">
        <v>2</v>
      </c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</row>
    <row r="21" spans="1:38" ht="31.8" customHeight="1" x14ac:dyDescent="0.3">
      <c r="A21" s="77"/>
      <c r="B21" s="85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X21" s="77"/>
      <c r="Y21" s="77" t="s">
        <v>372</v>
      </c>
      <c r="Z21" s="77"/>
      <c r="AA21" s="77">
        <v>36</v>
      </c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</row>
    <row r="22" spans="1:38" ht="31.8" customHeight="1" x14ac:dyDescent="0.3">
      <c r="A22" s="77"/>
      <c r="B22" s="85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X22" s="77"/>
      <c r="Y22" s="77" t="s">
        <v>397</v>
      </c>
      <c r="Z22" s="77"/>
      <c r="AA22" s="77">
        <v>6</v>
      </c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</row>
    <row r="23" spans="1:38" ht="31.8" customHeight="1" x14ac:dyDescent="0.3">
      <c r="A23" s="77"/>
      <c r="B23" s="85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X23" s="77"/>
      <c r="Y23" s="77" t="s">
        <v>398</v>
      </c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>
        <v>10</v>
      </c>
      <c r="AL23" s="77">
        <v>1</v>
      </c>
    </row>
    <row r="24" spans="1:38" ht="31.8" customHeight="1" x14ac:dyDescent="0.3">
      <c r="A24" s="77"/>
      <c r="B24" s="85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X24" s="77"/>
      <c r="Y24" s="77" t="s">
        <v>399</v>
      </c>
      <c r="Z24" s="77"/>
      <c r="AA24" s="77">
        <v>2</v>
      </c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</row>
    <row r="25" spans="1:38" ht="31.8" customHeight="1" x14ac:dyDescent="0.3">
      <c r="A25" s="77"/>
      <c r="B25" s="85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X25" s="77"/>
      <c r="Y25" s="77" t="s">
        <v>400</v>
      </c>
      <c r="Z25" s="77"/>
      <c r="AA25" s="77">
        <v>6</v>
      </c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</row>
    <row r="26" spans="1:38" ht="31.8" customHeight="1" x14ac:dyDescent="0.3">
      <c r="A26" s="77"/>
      <c r="B26" s="85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X26" s="77"/>
      <c r="Y26" s="77" t="s">
        <v>401</v>
      </c>
      <c r="Z26" s="77"/>
      <c r="AA26" s="77">
        <v>2</v>
      </c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</row>
    <row r="27" spans="1:38" ht="31.8" customHeight="1" x14ac:dyDescent="0.3">
      <c r="A27" s="77"/>
      <c r="B27" s="85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X27" s="77"/>
      <c r="Y27" s="77" t="s">
        <v>402</v>
      </c>
      <c r="Z27" s="77"/>
      <c r="AA27" s="77"/>
      <c r="AB27" s="77"/>
      <c r="AC27" s="77"/>
      <c r="AD27" s="77"/>
      <c r="AE27" s="77"/>
      <c r="AF27" s="77"/>
      <c r="AG27" s="77"/>
      <c r="AH27" s="77"/>
      <c r="AI27" s="77">
        <v>4</v>
      </c>
      <c r="AJ27" s="77"/>
      <c r="AK27" s="77"/>
      <c r="AL27" s="77"/>
    </row>
    <row r="28" spans="1:38" ht="31.8" customHeight="1" x14ac:dyDescent="0.3">
      <c r="A28" s="77"/>
      <c r="B28" s="85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X28" s="77"/>
      <c r="Y28" s="77" t="s">
        <v>372</v>
      </c>
      <c r="Z28" s="77"/>
      <c r="AA28" s="77">
        <v>11</v>
      </c>
      <c r="AB28" s="77"/>
      <c r="AC28" s="77"/>
      <c r="AD28" s="77"/>
      <c r="AE28" s="77">
        <v>33</v>
      </c>
      <c r="AF28" s="77"/>
      <c r="AG28" s="77"/>
      <c r="AH28" s="77"/>
      <c r="AI28" s="77">
        <v>2</v>
      </c>
      <c r="AJ28" s="77"/>
      <c r="AK28" s="77"/>
      <c r="AL28" s="77"/>
    </row>
    <row r="29" spans="1:38" ht="31.8" customHeight="1" x14ac:dyDescent="0.3">
      <c r="A29" s="77"/>
      <c r="B29" s="85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X29" s="77"/>
      <c r="Y29" s="77" t="s">
        <v>403</v>
      </c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>
        <v>8</v>
      </c>
      <c r="AL29" s="77"/>
    </row>
    <row r="30" spans="1:38" ht="31.8" customHeight="1" x14ac:dyDescent="0.3">
      <c r="A30" s="77"/>
      <c r="B30" s="85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X30" s="77"/>
      <c r="Y30" s="77" t="s">
        <v>392</v>
      </c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>
        <v>4</v>
      </c>
      <c r="AL30" s="77"/>
    </row>
    <row r="31" spans="1:38" x14ac:dyDescent="0.3">
      <c r="X31" s="123">
        <v>46243</v>
      </c>
      <c r="Y31" s="77" t="s">
        <v>404</v>
      </c>
      <c r="Z31" s="77"/>
      <c r="AA31" s="77">
        <v>22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</row>
    <row r="32" spans="1:38" x14ac:dyDescent="0.3">
      <c r="X32" s="77"/>
      <c r="Y32" s="77" t="s">
        <v>404</v>
      </c>
      <c r="Z32" s="77"/>
      <c r="AA32" s="77">
        <v>22</v>
      </c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</row>
    <row r="33" spans="24:38" x14ac:dyDescent="0.3">
      <c r="X33" s="77"/>
      <c r="Y33" s="77" t="s">
        <v>404</v>
      </c>
      <c r="Z33" s="77"/>
      <c r="AA33" s="77"/>
      <c r="AB33" s="77"/>
      <c r="AC33" s="77"/>
      <c r="AD33" s="77"/>
      <c r="AE33" s="77">
        <v>11</v>
      </c>
      <c r="AF33" s="77"/>
      <c r="AG33" s="77"/>
      <c r="AH33" s="77"/>
      <c r="AI33" s="77">
        <v>4</v>
      </c>
      <c r="AJ33" s="77"/>
      <c r="AK33" s="77"/>
      <c r="AL33" s="77"/>
    </row>
    <row r="34" spans="24:38" x14ac:dyDescent="0.3">
      <c r="X34" s="77"/>
      <c r="Y34" s="77" t="s">
        <v>50</v>
      </c>
      <c r="Z34" s="77"/>
      <c r="AA34" s="77">
        <v>3</v>
      </c>
      <c r="AB34" s="77"/>
      <c r="AC34" s="77"/>
      <c r="AD34" s="77"/>
      <c r="AE34" s="77">
        <v>3</v>
      </c>
      <c r="AF34" s="77"/>
      <c r="AG34" s="77"/>
      <c r="AH34" s="77"/>
      <c r="AI34" s="77"/>
      <c r="AJ34" s="77"/>
      <c r="AK34" s="77"/>
      <c r="AL34" s="77"/>
    </row>
    <row r="35" spans="24:38" x14ac:dyDescent="0.3">
      <c r="X35" s="77"/>
      <c r="Y35" s="77" t="s">
        <v>405</v>
      </c>
      <c r="Z35" s="77"/>
      <c r="AA35" s="77">
        <v>2</v>
      </c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</row>
    <row r="36" spans="24:38" x14ac:dyDescent="0.3">
      <c r="X36" s="77"/>
      <c r="Y36" s="77" t="s">
        <v>397</v>
      </c>
      <c r="Z36" s="77"/>
      <c r="AA36" s="77">
        <v>4</v>
      </c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</row>
    <row r="37" spans="24:38" x14ac:dyDescent="0.3">
      <c r="X37" s="77"/>
      <c r="Y37" s="77" t="s">
        <v>404</v>
      </c>
      <c r="Z37" s="77"/>
      <c r="AA37" s="77"/>
      <c r="AB37" s="77"/>
      <c r="AC37" s="77"/>
      <c r="AD37" s="77"/>
      <c r="AE37" s="77">
        <v>22</v>
      </c>
      <c r="AF37" s="77"/>
      <c r="AG37" s="77"/>
      <c r="AH37" s="77"/>
      <c r="AI37" s="77"/>
      <c r="AJ37" s="77"/>
      <c r="AK37" s="77"/>
      <c r="AL37" s="77"/>
    </row>
    <row r="38" spans="24:38" x14ac:dyDescent="0.3">
      <c r="X38" s="77"/>
      <c r="Y38" s="77" t="s">
        <v>406</v>
      </c>
      <c r="Z38" s="77"/>
      <c r="AA38" s="77"/>
      <c r="AB38" s="77"/>
      <c r="AC38" s="77"/>
      <c r="AD38" s="77"/>
      <c r="AE38" s="77"/>
      <c r="AF38" s="77"/>
      <c r="AG38" s="77"/>
      <c r="AH38" s="77"/>
      <c r="AI38" s="77">
        <v>3</v>
      </c>
      <c r="AJ38" s="77"/>
      <c r="AK38" s="77"/>
      <c r="AL38" s="77"/>
    </row>
    <row r="39" spans="24:38" x14ac:dyDescent="0.3">
      <c r="X39" s="171" t="s">
        <v>353</v>
      </c>
      <c r="Y39" s="77" t="s">
        <v>405</v>
      </c>
      <c r="Z39" s="77"/>
      <c r="AA39" s="77"/>
      <c r="AB39" s="77"/>
      <c r="AC39" s="77"/>
      <c r="AD39" s="77"/>
      <c r="AE39" s="77"/>
      <c r="AF39" s="77"/>
      <c r="AG39" s="77"/>
      <c r="AH39" s="77"/>
      <c r="AI39" s="77">
        <v>1</v>
      </c>
      <c r="AJ39" s="77"/>
      <c r="AK39" s="77"/>
      <c r="AL39" s="77"/>
    </row>
    <row r="40" spans="24:38" x14ac:dyDescent="0.3">
      <c r="X40" s="77"/>
      <c r="Y40" s="77" t="s">
        <v>50</v>
      </c>
      <c r="Z40" s="77"/>
      <c r="AA40" s="77">
        <v>4</v>
      </c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</row>
    <row r="41" spans="24:38" x14ac:dyDescent="0.3">
      <c r="X41" s="77"/>
      <c r="Y41" s="77" t="s">
        <v>405</v>
      </c>
      <c r="Z41" s="77"/>
      <c r="AA41" s="77">
        <v>3</v>
      </c>
      <c r="AB41" s="77"/>
      <c r="AC41" s="77"/>
      <c r="AD41" s="77"/>
      <c r="AE41" s="77">
        <v>1</v>
      </c>
      <c r="AF41" s="77"/>
      <c r="AG41" s="77"/>
      <c r="AH41" s="77"/>
      <c r="AI41" s="77"/>
      <c r="AJ41" s="77"/>
      <c r="AK41" s="77"/>
      <c r="AL41" s="77"/>
    </row>
    <row r="42" spans="24:38" x14ac:dyDescent="0.3">
      <c r="X42" s="77"/>
      <c r="Y42" s="77" t="s">
        <v>413</v>
      </c>
      <c r="Z42" s="77"/>
      <c r="AA42" s="77"/>
      <c r="AB42" s="77"/>
      <c r="AC42" s="77"/>
      <c r="AD42" s="77"/>
      <c r="AE42" s="77"/>
      <c r="AF42" s="77"/>
      <c r="AG42" s="77"/>
      <c r="AH42" s="77"/>
      <c r="AI42" s="77">
        <v>2</v>
      </c>
      <c r="AJ42" s="77"/>
      <c r="AK42" s="77"/>
      <c r="AL42" s="77"/>
    </row>
    <row r="43" spans="24:38" x14ac:dyDescent="0.3">
      <c r="X43" s="77"/>
      <c r="Y43" s="77" t="s">
        <v>414</v>
      </c>
      <c r="Z43" s="77"/>
      <c r="AA43" s="77"/>
      <c r="AB43" s="77"/>
      <c r="AC43" s="77">
        <v>11</v>
      </c>
      <c r="AD43" s="77"/>
      <c r="AE43" s="77"/>
      <c r="AF43" s="77"/>
      <c r="AG43" s="77"/>
      <c r="AH43" s="77"/>
      <c r="AI43" s="77"/>
      <c r="AJ43" s="77"/>
      <c r="AK43" s="77"/>
      <c r="AL43" s="77"/>
    </row>
    <row r="44" spans="24:38" x14ac:dyDescent="0.3"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</row>
    <row r="45" spans="24:38" x14ac:dyDescent="0.3"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</row>
    <row r="46" spans="24:38" x14ac:dyDescent="0.3"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</row>
    <row r="47" spans="24:38" x14ac:dyDescent="0.3"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</row>
    <row r="48" spans="24:38" x14ac:dyDescent="0.3">
      <c r="X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</row>
    <row r="49" spans="24:38" x14ac:dyDescent="0.3"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</row>
    <row r="50" spans="24:38" x14ac:dyDescent="0.3"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</row>
    <row r="51" spans="24:38" x14ac:dyDescent="0.3">
      <c r="X51" s="77"/>
      <c r="Y51" s="77"/>
      <c r="Z51" s="109" t="s">
        <v>381</v>
      </c>
      <c r="AA51" s="77">
        <f>SUM(AA31:AA50)</f>
        <v>60</v>
      </c>
      <c r="AB51" s="77">
        <f t="shared" ref="AB51:AL51" si="55">SUM(AB31:AB50)</f>
        <v>0</v>
      </c>
      <c r="AC51" s="77">
        <f t="shared" si="55"/>
        <v>11</v>
      </c>
      <c r="AD51" s="77">
        <f t="shared" si="55"/>
        <v>0</v>
      </c>
      <c r="AE51" s="77">
        <f t="shared" si="55"/>
        <v>37</v>
      </c>
      <c r="AF51" s="77">
        <f t="shared" si="55"/>
        <v>0</v>
      </c>
      <c r="AG51" s="77">
        <f t="shared" si="55"/>
        <v>0</v>
      </c>
      <c r="AH51" s="77">
        <f t="shared" si="55"/>
        <v>0</v>
      </c>
      <c r="AI51" s="77">
        <f t="shared" si="55"/>
        <v>10</v>
      </c>
      <c r="AJ51" s="77">
        <f t="shared" si="55"/>
        <v>0</v>
      </c>
      <c r="AK51" s="77">
        <f t="shared" si="55"/>
        <v>0</v>
      </c>
      <c r="AL51" s="77">
        <f t="shared" si="55"/>
        <v>0</v>
      </c>
    </row>
    <row r="52" spans="24:38" x14ac:dyDescent="0.3">
      <c r="X52" s="77"/>
      <c r="Y52" s="77"/>
      <c r="Z52" s="109" t="s">
        <v>382</v>
      </c>
      <c r="AA52" s="110" t="e">
        <f>#REF!+I106-AA51</f>
        <v>#REF!</v>
      </c>
      <c r="AB52" s="110" t="e">
        <f>#REF!+K106-AB51</f>
        <v>#REF!</v>
      </c>
      <c r="AC52" s="110" t="e">
        <f>#REF!+L106-AC51</f>
        <v>#REF!</v>
      </c>
      <c r="AD52" s="110" t="e">
        <f>#REF!+M106-AD51</f>
        <v>#REF!</v>
      </c>
      <c r="AE52" s="110" t="e">
        <f>#REF!+N106-AE51</f>
        <v>#REF!</v>
      </c>
      <c r="AF52" s="110" t="e">
        <f>#REF!+P106-AF51</f>
        <v>#REF!</v>
      </c>
      <c r="AG52" s="110" t="e">
        <f>#REF!+Q106-AG51</f>
        <v>#REF!</v>
      </c>
      <c r="AH52" s="110" t="e">
        <f>#REF!+R106-AH51</f>
        <v>#REF!</v>
      </c>
      <c r="AI52" s="110" t="e">
        <f>#REF!+S106-AI51</f>
        <v>#REF!</v>
      </c>
      <c r="AJ52" s="110" t="e">
        <f>#REF!+U106-AJ51</f>
        <v>#REF!</v>
      </c>
      <c r="AK52" s="110" t="e">
        <f>#REF!+V106-AK51</f>
        <v>#REF!</v>
      </c>
      <c r="AL52" s="110" t="e">
        <f>#REF!+W106-AL51</f>
        <v>#REF!</v>
      </c>
    </row>
    <row r="53" spans="24:38" x14ac:dyDescent="0.3">
      <c r="X53" s="77"/>
    </row>
    <row r="54" spans="24:38" x14ac:dyDescent="0.3">
      <c r="X54" s="77"/>
    </row>
    <row r="55" spans="24:38" x14ac:dyDescent="0.3">
      <c r="X55" s="77"/>
    </row>
    <row r="56" spans="24:38" x14ac:dyDescent="0.3">
      <c r="X56" s="77"/>
    </row>
    <row r="57" spans="24:38" x14ac:dyDescent="0.3">
      <c r="X57" s="77"/>
    </row>
    <row r="58" spans="24:38" x14ac:dyDescent="0.3">
      <c r="X58" s="77"/>
    </row>
    <row r="59" spans="24:38" x14ac:dyDescent="0.3">
      <c r="X59" s="77"/>
    </row>
    <row r="60" spans="24:38" x14ac:dyDescent="0.3">
      <c r="X60" s="77"/>
    </row>
    <row r="61" spans="24:38" x14ac:dyDescent="0.3">
      <c r="X61" s="77"/>
    </row>
    <row r="62" spans="24:38" x14ac:dyDescent="0.3">
      <c r="X62" s="77"/>
    </row>
    <row r="63" spans="24:38" x14ac:dyDescent="0.3">
      <c r="X63" s="77"/>
    </row>
    <row r="64" spans="24:38" x14ac:dyDescent="0.3">
      <c r="X64" s="77"/>
    </row>
    <row r="65" spans="24:24" x14ac:dyDescent="0.3">
      <c r="X65" s="77"/>
    </row>
    <row r="66" spans="24:24" x14ac:dyDescent="0.3">
      <c r="X66" s="77"/>
    </row>
    <row r="67" spans="24:24" x14ac:dyDescent="0.3">
      <c r="X67" s="77"/>
    </row>
    <row r="68" spans="24:24" x14ac:dyDescent="0.3">
      <c r="X68" s="77"/>
    </row>
    <row r="69" spans="24:24" x14ac:dyDescent="0.3">
      <c r="X69" s="77"/>
    </row>
    <row r="70" spans="24:24" x14ac:dyDescent="0.3">
      <c r="X70" s="77"/>
    </row>
    <row r="71" spans="24:24" x14ac:dyDescent="0.3">
      <c r="X71" s="77"/>
    </row>
    <row r="72" spans="24:24" x14ac:dyDescent="0.3">
      <c r="X72" s="77"/>
    </row>
    <row r="73" spans="24:24" x14ac:dyDescent="0.3">
      <c r="X73" s="77"/>
    </row>
    <row r="74" spans="24:24" x14ac:dyDescent="0.3">
      <c r="X74" s="77"/>
    </row>
    <row r="75" spans="24:24" x14ac:dyDescent="0.3">
      <c r="X75" s="77"/>
    </row>
    <row r="76" spans="24:24" x14ac:dyDescent="0.3">
      <c r="X76" s="77"/>
    </row>
    <row r="77" spans="24:24" x14ac:dyDescent="0.3">
      <c r="X77" s="77"/>
    </row>
    <row r="78" spans="24:24" x14ac:dyDescent="0.3">
      <c r="X78" s="77"/>
    </row>
    <row r="79" spans="24:24" x14ac:dyDescent="0.3">
      <c r="X79" s="77"/>
    </row>
    <row r="80" spans="24:24" x14ac:dyDescent="0.3">
      <c r="X80" s="77"/>
    </row>
    <row r="81" spans="24:24" x14ac:dyDescent="0.3">
      <c r="X81" s="77"/>
    </row>
    <row r="82" spans="24:24" x14ac:dyDescent="0.3">
      <c r="X82" s="77"/>
    </row>
    <row r="83" spans="24:24" x14ac:dyDescent="0.3">
      <c r="X83" s="77"/>
    </row>
    <row r="84" spans="24:24" x14ac:dyDescent="0.3">
      <c r="X84" s="77"/>
    </row>
    <row r="85" spans="24:24" x14ac:dyDescent="0.3">
      <c r="X85" s="77"/>
    </row>
    <row r="86" spans="24:24" x14ac:dyDescent="0.3">
      <c r="X86" s="77"/>
    </row>
    <row r="87" spans="24:24" x14ac:dyDescent="0.3">
      <c r="X87" s="77"/>
    </row>
    <row r="88" spans="24:24" x14ac:dyDescent="0.3">
      <c r="X88" s="77"/>
    </row>
    <row r="89" spans="24:24" x14ac:dyDescent="0.3">
      <c r="X89" s="77"/>
    </row>
    <row r="90" spans="24:24" x14ac:dyDescent="0.3">
      <c r="X90" s="77"/>
    </row>
    <row r="91" spans="24:24" x14ac:dyDescent="0.3">
      <c r="X91" s="77"/>
    </row>
    <row r="92" spans="24:24" x14ac:dyDescent="0.3">
      <c r="X92" s="77"/>
    </row>
    <row r="93" spans="24:24" x14ac:dyDescent="0.3">
      <c r="X93" s="77"/>
    </row>
    <row r="94" spans="24:24" x14ac:dyDescent="0.3">
      <c r="X94" s="77"/>
    </row>
    <row r="95" spans="24:24" x14ac:dyDescent="0.3">
      <c r="X95" s="77"/>
    </row>
    <row r="96" spans="24:24" x14ac:dyDescent="0.3">
      <c r="X96" s="77"/>
    </row>
    <row r="97" spans="24:24" x14ac:dyDescent="0.3">
      <c r="X97" s="77"/>
    </row>
    <row r="98" spans="24:24" x14ac:dyDescent="0.3">
      <c r="X98" s="77"/>
    </row>
    <row r="99" spans="24:24" x14ac:dyDescent="0.3">
      <c r="X99" s="77"/>
    </row>
    <row r="100" spans="24:24" x14ac:dyDescent="0.3">
      <c r="X100" s="77"/>
    </row>
    <row r="101" spans="24:24" x14ac:dyDescent="0.3">
      <c r="X101" s="77"/>
    </row>
    <row r="102" spans="24:24" x14ac:dyDescent="0.3">
      <c r="X102" s="77"/>
    </row>
    <row r="103" spans="24:24" x14ac:dyDescent="0.3">
      <c r="X103" s="77"/>
    </row>
    <row r="104" spans="24:24" x14ac:dyDescent="0.3">
      <c r="X104" s="77"/>
    </row>
    <row r="105" spans="24:24" x14ac:dyDescent="0.3">
      <c r="X105" s="77"/>
    </row>
    <row r="106" spans="24:24" x14ac:dyDescent="0.3">
      <c r="X106" s="77"/>
    </row>
    <row r="107" spans="24:24" x14ac:dyDescent="0.3">
      <c r="X107" s="77"/>
    </row>
  </sheetData>
  <mergeCells count="4">
    <mergeCell ref="C1:G1"/>
    <mergeCell ref="H1:L1"/>
    <mergeCell ref="M1:Q1"/>
    <mergeCell ref="R1:V1"/>
  </mergeCells>
  <dataValidations count="1">
    <dataValidation type="list" allowBlank="1" showInputMessage="1" showErrorMessage="1" sqref="Y51:Y1052 Y1:Y4" xr:uid="{DCAE6A82-7BE0-4C4E-A8DC-91242BF08B54}">
      <formula1>$A$4:$A$457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Roman,thường"&amp;12&amp;Kffffff&amp;A</oddHeader>
    <oddFooter>&amp;C&amp;"Times New Roman,thường"&amp;12&amp;KffffffTrang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BA2E9-C323-41E9-986E-93A3DDC3FB46}">
  <dimension ref="A1:AH125"/>
  <sheetViews>
    <sheetView workbookViewId="0">
      <selection activeCell="O17" sqref="O17:R19"/>
    </sheetView>
  </sheetViews>
  <sheetFormatPr defaultColWidth="10.109375" defaultRowHeight="14.4" x14ac:dyDescent="0.3"/>
  <cols>
    <col min="1" max="1" width="5.5546875" customWidth="1"/>
    <col min="2" max="2" width="13.109375" style="79" customWidth="1"/>
    <col min="3" max="3" width="13.109375" customWidth="1"/>
    <col min="4" max="4" width="11.109375" customWidth="1"/>
    <col min="16" max="16" width="11.6640625" customWidth="1"/>
    <col min="20" max="21" width="26.6640625" customWidth="1"/>
    <col min="22" max="22" width="14.33203125" customWidth="1"/>
    <col min="24" max="24" width="7.88671875" customWidth="1"/>
    <col min="25" max="25" width="7.33203125" customWidth="1"/>
    <col min="26" max="26" width="9.33203125" customWidth="1"/>
    <col min="27" max="27" width="8" customWidth="1"/>
    <col min="28" max="29" width="8.109375" customWidth="1"/>
    <col min="30" max="30" width="7.88671875" customWidth="1"/>
    <col min="31" max="31" width="7.109375" customWidth="1"/>
    <col min="32" max="32" width="8.109375" customWidth="1"/>
    <col min="33" max="33" width="7.44140625" customWidth="1"/>
    <col min="34" max="34" width="7.6640625" customWidth="1"/>
  </cols>
  <sheetData>
    <row r="1" spans="1:34" ht="30.6" customHeight="1" x14ac:dyDescent="0.3">
      <c r="A1" s="78" t="s">
        <v>3</v>
      </c>
      <c r="B1" s="78" t="s">
        <v>344</v>
      </c>
      <c r="C1" s="388" t="s">
        <v>345</v>
      </c>
      <c r="D1" s="388"/>
      <c r="E1" s="388"/>
      <c r="F1" s="388"/>
      <c r="G1" s="389" t="s">
        <v>346</v>
      </c>
      <c r="H1" s="389"/>
      <c r="I1" s="389"/>
      <c r="J1" s="389"/>
      <c r="K1" s="390" t="s">
        <v>347</v>
      </c>
      <c r="L1" s="390"/>
      <c r="M1" s="390"/>
      <c r="N1" s="390"/>
      <c r="O1" s="391" t="s">
        <v>348</v>
      </c>
      <c r="P1" s="391"/>
      <c r="Q1" s="391"/>
      <c r="R1" s="391"/>
      <c r="S1" s="77"/>
      <c r="T1" s="112"/>
      <c r="U1" s="111" t="s">
        <v>347</v>
      </c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</row>
    <row r="2" spans="1:34" ht="32.85" customHeight="1" x14ac:dyDescent="0.3">
      <c r="A2" s="77"/>
      <c r="B2" s="80"/>
      <c r="C2" s="81" t="s">
        <v>349</v>
      </c>
      <c r="D2" s="81" t="s">
        <v>350</v>
      </c>
      <c r="E2" s="81" t="s">
        <v>351</v>
      </c>
      <c r="F2" s="81" t="s">
        <v>352</v>
      </c>
      <c r="G2" s="82" t="s">
        <v>349</v>
      </c>
      <c r="H2" s="82" t="s">
        <v>350</v>
      </c>
      <c r="I2" s="82" t="s">
        <v>351</v>
      </c>
      <c r="J2" s="82" t="s">
        <v>352</v>
      </c>
      <c r="K2" s="83" t="s">
        <v>349</v>
      </c>
      <c r="L2" s="83" t="s">
        <v>350</v>
      </c>
      <c r="M2" s="83" t="s">
        <v>351</v>
      </c>
      <c r="N2" s="83" t="s">
        <v>352</v>
      </c>
      <c r="O2" s="84" t="s">
        <v>349</v>
      </c>
      <c r="P2" s="84" t="s">
        <v>350</v>
      </c>
      <c r="Q2" s="84" t="s">
        <v>351</v>
      </c>
      <c r="R2" s="84" t="s">
        <v>352</v>
      </c>
      <c r="S2" s="77"/>
      <c r="T2" s="113"/>
      <c r="U2" s="105" t="s">
        <v>296</v>
      </c>
      <c r="V2" s="105" t="s">
        <v>361</v>
      </c>
      <c r="W2" s="106" t="s">
        <v>25</v>
      </c>
      <c r="X2" s="104" t="s">
        <v>362</v>
      </c>
      <c r="Y2" s="104" t="s">
        <v>363</v>
      </c>
      <c r="Z2" s="104" t="s">
        <v>364</v>
      </c>
      <c r="AA2" s="104" t="s">
        <v>28</v>
      </c>
      <c r="AB2" s="104" t="s">
        <v>365</v>
      </c>
      <c r="AC2" s="104" t="s">
        <v>366</v>
      </c>
      <c r="AD2" s="104" t="s">
        <v>367</v>
      </c>
      <c r="AE2" s="104" t="s">
        <v>368</v>
      </c>
      <c r="AF2" s="104" t="s">
        <v>369</v>
      </c>
      <c r="AG2" s="104" t="s">
        <v>38</v>
      </c>
      <c r="AH2" s="104" t="s">
        <v>370</v>
      </c>
    </row>
    <row r="3" spans="1:34" ht="32.85" hidden="1" customHeight="1" x14ac:dyDescent="0.35">
      <c r="A3" s="77"/>
      <c r="B3" s="80">
        <v>46273</v>
      </c>
      <c r="C3" s="77"/>
      <c r="D3" s="77"/>
      <c r="E3" s="77">
        <v>11</v>
      </c>
      <c r="F3" s="77"/>
      <c r="G3" s="77"/>
      <c r="H3" s="77"/>
      <c r="I3" s="77"/>
      <c r="J3" s="77"/>
      <c r="K3" s="77"/>
      <c r="L3" s="77"/>
      <c r="M3" s="77">
        <v>11</v>
      </c>
      <c r="N3" s="77"/>
      <c r="O3" s="77">
        <f>C3+G3-K3</f>
        <v>0</v>
      </c>
      <c r="P3" s="77">
        <f>D3+H3-L3</f>
        <v>0</v>
      </c>
      <c r="Q3" s="77">
        <f>E3+I3-M3</f>
        <v>0</v>
      </c>
      <c r="R3" s="77">
        <f>F3+J3-N3</f>
        <v>0</v>
      </c>
      <c r="S3" s="77"/>
      <c r="T3" s="114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</row>
    <row r="4" spans="1:34" ht="32.85" hidden="1" customHeight="1" x14ac:dyDescent="0.3">
      <c r="A4" s="77"/>
      <c r="B4" s="80">
        <v>46274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>
        <f t="shared" ref="O4:O5" si="0">C4+G4-K4</f>
        <v>0</v>
      </c>
      <c r="P4" s="77">
        <f t="shared" ref="P4:P5" si="1">D4+H4-L4</f>
        <v>0</v>
      </c>
      <c r="Q4" s="77">
        <f t="shared" ref="Q4:Q5" si="2">E4+I4-M4</f>
        <v>0</v>
      </c>
      <c r="R4" s="77">
        <f t="shared" ref="R4:R5" si="3">F4+J4-N4</f>
        <v>0</v>
      </c>
      <c r="S4" s="124"/>
      <c r="T4" s="123">
        <v>46243</v>
      </c>
      <c r="U4" s="86" t="s">
        <v>47</v>
      </c>
      <c r="V4" s="77"/>
      <c r="W4" s="77">
        <v>11</v>
      </c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 ht="32.85" hidden="1" customHeight="1" x14ac:dyDescent="0.3">
      <c r="A5" s="77"/>
      <c r="B5" s="85" t="s">
        <v>435</v>
      </c>
      <c r="C5" s="77"/>
      <c r="D5" s="77"/>
      <c r="E5" s="77"/>
      <c r="F5" s="77"/>
      <c r="G5" s="77"/>
      <c r="H5" s="77"/>
      <c r="I5" s="77">
        <f>49+8</f>
        <v>57</v>
      </c>
      <c r="J5" s="77"/>
      <c r="K5" s="77"/>
      <c r="L5" s="77"/>
      <c r="M5" s="77">
        <f>22+24</f>
        <v>46</v>
      </c>
      <c r="N5" s="77"/>
      <c r="O5" s="77">
        <f t="shared" si="0"/>
        <v>0</v>
      </c>
      <c r="P5" s="77">
        <f t="shared" si="1"/>
        <v>0</v>
      </c>
      <c r="Q5" s="77">
        <f t="shared" si="2"/>
        <v>11</v>
      </c>
      <c r="R5" s="77">
        <f t="shared" si="3"/>
        <v>0</v>
      </c>
      <c r="S5" s="12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 ht="32.85" hidden="1" customHeight="1" x14ac:dyDescent="0.3">
      <c r="A6" s="77"/>
      <c r="B6" s="85" t="s">
        <v>437</v>
      </c>
      <c r="C6" s="77">
        <f>O5</f>
        <v>0</v>
      </c>
      <c r="D6" s="77">
        <f t="shared" ref="D6:F6" si="4">P5</f>
        <v>0</v>
      </c>
      <c r="E6" s="77">
        <f t="shared" si="4"/>
        <v>11</v>
      </c>
      <c r="F6" s="77">
        <f t="shared" si="4"/>
        <v>0</v>
      </c>
      <c r="G6" s="77"/>
      <c r="H6" s="77"/>
      <c r="I6" s="77"/>
      <c r="J6" s="77"/>
      <c r="K6" s="77"/>
      <c r="L6" s="77"/>
      <c r="M6" s="77">
        <v>11</v>
      </c>
      <c r="N6" s="77"/>
      <c r="O6" s="77">
        <f t="shared" ref="O6" si="5">C6+G6-K6</f>
        <v>0</v>
      </c>
      <c r="P6" s="77">
        <f t="shared" ref="P6" si="6">D6+H6-L6</f>
        <v>0</v>
      </c>
      <c r="Q6" s="77">
        <f t="shared" ref="Q6" si="7">E6+I6-M6</f>
        <v>0</v>
      </c>
      <c r="R6" s="77">
        <f t="shared" ref="R6" si="8">F6+J6-N6</f>
        <v>0</v>
      </c>
      <c r="S6" s="124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 ht="32.85" hidden="1" customHeight="1" x14ac:dyDescent="0.3">
      <c r="A7" s="77"/>
      <c r="B7" s="85" t="s">
        <v>441</v>
      </c>
      <c r="C7" s="77">
        <f>O6</f>
        <v>0</v>
      </c>
      <c r="D7" s="77">
        <f t="shared" ref="D7" si="9">P6</f>
        <v>0</v>
      </c>
      <c r="E7" s="77">
        <f t="shared" ref="E7" si="10">Q6</f>
        <v>0</v>
      </c>
      <c r="F7" s="77">
        <f t="shared" ref="F7" si="11">R6</f>
        <v>0</v>
      </c>
      <c r="G7" s="77"/>
      <c r="H7" s="77"/>
      <c r="I7" s="77">
        <v>33</v>
      </c>
      <c r="J7" s="77"/>
      <c r="K7" s="77"/>
      <c r="L7" s="77"/>
      <c r="M7" s="77">
        <f>22+11</f>
        <v>33</v>
      </c>
      <c r="N7" s="77"/>
      <c r="O7" s="77">
        <f t="shared" ref="O7" si="12">C7+G7-K7</f>
        <v>0</v>
      </c>
      <c r="P7" s="77">
        <f t="shared" ref="P7" si="13">D7+H7-L7</f>
        <v>0</v>
      </c>
      <c r="Q7" s="77">
        <f t="shared" ref="Q7" si="14">E7+I7-M7</f>
        <v>0</v>
      </c>
      <c r="R7" s="77">
        <f t="shared" ref="R7" si="15">F7+J7-N7</f>
        <v>0</v>
      </c>
      <c r="S7" s="124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 ht="35.1" hidden="1" customHeight="1" x14ac:dyDescent="0.3">
      <c r="A8" s="77"/>
      <c r="B8" s="85" t="s">
        <v>442</v>
      </c>
      <c r="C8" s="77">
        <f t="shared" ref="C8:C9" si="16">O7</f>
        <v>0</v>
      </c>
      <c r="D8" s="77">
        <f t="shared" ref="D8:D9" si="17">P7</f>
        <v>0</v>
      </c>
      <c r="E8" s="77">
        <f t="shared" ref="E8:E9" si="18">Q7</f>
        <v>0</v>
      </c>
      <c r="F8" s="77">
        <f t="shared" ref="F8:F9" si="19">R7</f>
        <v>0</v>
      </c>
      <c r="G8" s="77"/>
      <c r="H8" s="77"/>
      <c r="I8" s="77"/>
      <c r="J8" s="77"/>
      <c r="K8" s="77"/>
      <c r="L8" s="77"/>
      <c r="M8" s="77"/>
      <c r="N8" s="77"/>
      <c r="O8" s="77">
        <f t="shared" ref="O8:O9" si="20">C8+G8-K8</f>
        <v>0</v>
      </c>
      <c r="P8" s="77">
        <f t="shared" ref="P8:P9" si="21">D8+H8-L8</f>
        <v>0</v>
      </c>
      <c r="Q8" s="77">
        <f t="shared" ref="Q8:Q9" si="22">E8+I8-M8</f>
        <v>0</v>
      </c>
      <c r="R8" s="77">
        <f t="shared" ref="R8:R9" si="23">F8+J8-N8</f>
        <v>0</v>
      </c>
      <c r="S8" s="124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 ht="35.1" hidden="1" customHeight="1" x14ac:dyDescent="0.3">
      <c r="A9" s="77"/>
      <c r="B9" s="85" t="s">
        <v>444</v>
      </c>
      <c r="C9" s="77">
        <f t="shared" si="16"/>
        <v>0</v>
      </c>
      <c r="D9" s="77">
        <f t="shared" si="17"/>
        <v>0</v>
      </c>
      <c r="E9" s="77">
        <f t="shared" si="18"/>
        <v>0</v>
      </c>
      <c r="F9" s="77">
        <f t="shared" si="19"/>
        <v>0</v>
      </c>
      <c r="G9" s="77"/>
      <c r="H9" s="77"/>
      <c r="I9" s="77"/>
      <c r="J9" s="77"/>
      <c r="K9" s="77"/>
      <c r="L9" s="77"/>
      <c r="M9" s="77"/>
      <c r="N9" s="77"/>
      <c r="O9" s="77">
        <f t="shared" si="20"/>
        <v>0</v>
      </c>
      <c r="P9" s="77">
        <f t="shared" si="21"/>
        <v>0</v>
      </c>
      <c r="Q9" s="77">
        <f t="shared" si="22"/>
        <v>0</v>
      </c>
      <c r="R9" s="77">
        <f t="shared" si="23"/>
        <v>0</v>
      </c>
      <c r="S9" s="12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 ht="35.1" hidden="1" customHeight="1" x14ac:dyDescent="0.3">
      <c r="A10" s="77"/>
      <c r="B10" s="85" t="s">
        <v>446</v>
      </c>
      <c r="C10" s="77">
        <f t="shared" ref="C10" si="24">O9</f>
        <v>0</v>
      </c>
      <c r="D10" s="77">
        <f t="shared" ref="D10" si="25">P9</f>
        <v>0</v>
      </c>
      <c r="E10" s="77">
        <f t="shared" ref="E10" si="26">Q9</f>
        <v>0</v>
      </c>
      <c r="F10" s="77">
        <f t="shared" ref="F10" si="27">R9</f>
        <v>0</v>
      </c>
      <c r="G10" s="77"/>
      <c r="H10" s="77"/>
      <c r="I10" s="77"/>
      <c r="J10" s="77"/>
      <c r="K10" s="77"/>
      <c r="L10" s="77"/>
      <c r="M10" s="77"/>
      <c r="N10" s="77"/>
      <c r="O10" s="77">
        <f t="shared" ref="O10" si="28">C10+G10-K10</f>
        <v>0</v>
      </c>
      <c r="P10" s="77">
        <f t="shared" ref="P10" si="29">D10+H10-L10</f>
        <v>0</v>
      </c>
      <c r="Q10" s="77">
        <f t="shared" ref="Q10" si="30">E10+I10-M10</f>
        <v>0</v>
      </c>
      <c r="R10" s="77">
        <f t="shared" ref="R10" si="31">F10+J10-N10</f>
        <v>0</v>
      </c>
      <c r="S10" s="124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 ht="35.1" hidden="1" customHeight="1" x14ac:dyDescent="0.3">
      <c r="A11" s="77"/>
      <c r="B11" s="85" t="s">
        <v>455</v>
      </c>
      <c r="C11" s="77">
        <f t="shared" ref="C11" si="32">O10</f>
        <v>0</v>
      </c>
      <c r="D11" s="77">
        <f t="shared" ref="D11" si="33">P10</f>
        <v>0</v>
      </c>
      <c r="E11" s="77">
        <f t="shared" ref="E11" si="34">Q10</f>
        <v>0</v>
      </c>
      <c r="F11" s="77">
        <f t="shared" ref="F11" si="35">R10</f>
        <v>0</v>
      </c>
      <c r="G11" s="77"/>
      <c r="H11" s="77"/>
      <c r="I11" s="77"/>
      <c r="J11" s="77"/>
      <c r="K11" s="77"/>
      <c r="L11" s="77"/>
      <c r="M11" s="77"/>
      <c r="N11" s="77"/>
      <c r="O11" s="77">
        <f t="shared" ref="O11" si="36">C11+G11-K11</f>
        <v>0</v>
      </c>
      <c r="P11" s="77">
        <f t="shared" ref="P11" si="37">D11+H11-L11</f>
        <v>0</v>
      </c>
      <c r="Q11" s="77">
        <f t="shared" ref="Q11" si="38">E11+I11-M11</f>
        <v>0</v>
      </c>
      <c r="R11" s="77">
        <f t="shared" ref="R11" si="39">F11+J11-N11</f>
        <v>0</v>
      </c>
      <c r="S11" s="124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 ht="35.1" hidden="1" customHeight="1" x14ac:dyDescent="0.3">
      <c r="A12" s="77"/>
      <c r="B12" s="85" t="s">
        <v>461</v>
      </c>
      <c r="C12" s="77">
        <f t="shared" ref="C12" si="40">O11</f>
        <v>0</v>
      </c>
      <c r="D12" s="77">
        <f t="shared" ref="D12" si="41">P11</f>
        <v>0</v>
      </c>
      <c r="E12" s="77">
        <f t="shared" ref="E12" si="42">Q11</f>
        <v>0</v>
      </c>
      <c r="F12" s="77">
        <f t="shared" ref="F12" si="43">R11</f>
        <v>0</v>
      </c>
      <c r="G12" s="77"/>
      <c r="H12" s="77"/>
      <c r="I12" s="77"/>
      <c r="J12" s="77"/>
      <c r="K12" s="77"/>
      <c r="L12" s="77"/>
      <c r="M12" s="77"/>
      <c r="N12" s="77"/>
      <c r="O12" s="77">
        <f t="shared" ref="O12" si="44">C12+G12-K12</f>
        <v>0</v>
      </c>
      <c r="P12" s="77">
        <f t="shared" ref="P12" si="45">D12+H12-L12</f>
        <v>0</v>
      </c>
      <c r="Q12" s="77">
        <f t="shared" ref="Q12" si="46">E12+I12-M12</f>
        <v>0</v>
      </c>
      <c r="R12" s="77">
        <f t="shared" ref="R12" si="47">F12+J12-N12</f>
        <v>0</v>
      </c>
      <c r="S12" s="124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 ht="35.1" hidden="1" customHeight="1" x14ac:dyDescent="0.3">
      <c r="A13" s="77"/>
      <c r="B13" s="85" t="s">
        <v>470</v>
      </c>
      <c r="C13" s="77">
        <f t="shared" ref="C13" si="48">O12</f>
        <v>0</v>
      </c>
      <c r="D13" s="77">
        <f t="shared" ref="D13" si="49">P12</f>
        <v>0</v>
      </c>
      <c r="E13" s="77">
        <f t="shared" ref="E13" si="50">Q12</f>
        <v>0</v>
      </c>
      <c r="F13" s="77">
        <f t="shared" ref="F13" si="51">R12</f>
        <v>0</v>
      </c>
      <c r="G13" s="77"/>
      <c r="H13" s="77"/>
      <c r="I13" s="77">
        <v>22</v>
      </c>
      <c r="J13" s="77"/>
      <c r="K13" s="77"/>
      <c r="L13" s="77"/>
      <c r="M13" s="77"/>
      <c r="N13" s="77"/>
      <c r="O13" s="77">
        <f t="shared" ref="O13" si="52">C13+G13-K13</f>
        <v>0</v>
      </c>
      <c r="P13" s="77">
        <f t="shared" ref="P13" si="53">D13+H13-L13</f>
        <v>0</v>
      </c>
      <c r="Q13" s="77">
        <f t="shared" ref="Q13" si="54">E13+I13-M13</f>
        <v>22</v>
      </c>
      <c r="R13" s="77">
        <f t="shared" ref="R13" si="55">F13+J13-N13</f>
        <v>0</v>
      </c>
      <c r="S13" s="124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 ht="35.1" customHeight="1" x14ac:dyDescent="0.3">
      <c r="A14" s="77"/>
      <c r="B14" s="85" t="s">
        <v>471</v>
      </c>
      <c r="C14" s="77">
        <f t="shared" ref="C14" si="56">O13</f>
        <v>0</v>
      </c>
      <c r="D14" s="77">
        <f t="shared" ref="D14" si="57">P13</f>
        <v>0</v>
      </c>
      <c r="E14" s="77">
        <f t="shared" ref="E14" si="58">Q13</f>
        <v>22</v>
      </c>
      <c r="F14" s="77">
        <f t="shared" ref="F14" si="59">R13</f>
        <v>0</v>
      </c>
      <c r="G14" s="77"/>
      <c r="H14" s="77"/>
      <c r="I14" s="77"/>
      <c r="J14" s="77"/>
      <c r="K14" s="77"/>
      <c r="L14" s="77"/>
      <c r="M14" s="77">
        <f>12+10</f>
        <v>22</v>
      </c>
      <c r="N14" s="77"/>
      <c r="O14" s="77">
        <f t="shared" ref="O14" si="60">C14+G14-K14</f>
        <v>0</v>
      </c>
      <c r="P14" s="77">
        <f t="shared" ref="P14" si="61">D14+H14-L14</f>
        <v>0</v>
      </c>
      <c r="Q14" s="77">
        <f t="shared" ref="Q14" si="62">E14+I14-M14</f>
        <v>0</v>
      </c>
      <c r="R14" s="77">
        <f t="shared" ref="R14" si="63">F14+J14-N14</f>
        <v>0</v>
      </c>
      <c r="S14" s="124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 ht="35.1" customHeight="1" x14ac:dyDescent="0.3">
      <c r="A15" s="77"/>
      <c r="B15" s="85" t="s">
        <v>494</v>
      </c>
      <c r="C15" s="77">
        <f t="shared" ref="C15" si="64">O14</f>
        <v>0</v>
      </c>
      <c r="D15" s="77">
        <f t="shared" ref="D15" si="65">P14</f>
        <v>0</v>
      </c>
      <c r="E15" s="77">
        <f t="shared" ref="E15" si="66">Q14</f>
        <v>0</v>
      </c>
      <c r="F15" s="77">
        <f t="shared" ref="F15" si="67">R14</f>
        <v>0</v>
      </c>
      <c r="G15" s="77"/>
      <c r="H15" s="77"/>
      <c r="I15" s="77">
        <v>22</v>
      </c>
      <c r="J15" s="77"/>
      <c r="K15" s="77"/>
      <c r="L15" s="77"/>
      <c r="M15" s="77">
        <v>16</v>
      </c>
      <c r="N15" s="77"/>
      <c r="O15" s="77">
        <f t="shared" ref="O15" si="68">C15+G15-K15</f>
        <v>0</v>
      </c>
      <c r="P15" s="77">
        <f t="shared" ref="P15" si="69">D15+H15-L15</f>
        <v>0</v>
      </c>
      <c r="Q15" s="77">
        <f t="shared" ref="Q15" si="70">E15+I15-M15</f>
        <v>6</v>
      </c>
      <c r="R15" s="77">
        <f t="shared" ref="R15" si="71">F15+J15-N15</f>
        <v>0</v>
      </c>
      <c r="S15" s="124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 ht="35.1" customHeight="1" x14ac:dyDescent="0.3">
      <c r="A16" s="77"/>
      <c r="B16" s="182">
        <v>46032</v>
      </c>
      <c r="C16" s="77">
        <f t="shared" ref="C16" si="72">O15</f>
        <v>0</v>
      </c>
      <c r="D16" s="77">
        <f t="shared" ref="D16" si="73">P15</f>
        <v>0</v>
      </c>
      <c r="E16" s="77">
        <f t="shared" ref="E16" si="74">Q15</f>
        <v>6</v>
      </c>
      <c r="F16" s="77">
        <f t="shared" ref="F16" si="75">R15</f>
        <v>0</v>
      </c>
      <c r="G16" s="77"/>
      <c r="H16" s="77"/>
      <c r="I16" s="77">
        <v>5</v>
      </c>
      <c r="J16" s="77"/>
      <c r="K16" s="77"/>
      <c r="L16" s="77"/>
      <c r="M16" s="77"/>
      <c r="N16" s="77"/>
      <c r="O16" s="77">
        <f t="shared" ref="O16" si="76">C16+G16-K16</f>
        <v>0</v>
      </c>
      <c r="P16" s="77">
        <f t="shared" ref="P16" si="77">D16+H16-L16</f>
        <v>0</v>
      </c>
      <c r="Q16" s="77">
        <f t="shared" ref="Q16" si="78">E16+I16-M16</f>
        <v>11</v>
      </c>
      <c r="R16" s="77">
        <f t="shared" ref="R16" si="79">F16+J16-N16</f>
        <v>0</v>
      </c>
      <c r="S16" s="124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1:34" ht="35.1" customHeight="1" x14ac:dyDescent="0.3">
      <c r="A17" s="77"/>
      <c r="B17" s="182">
        <v>46091</v>
      </c>
      <c r="C17" s="77">
        <f t="shared" ref="C17" si="80">O16</f>
        <v>0</v>
      </c>
      <c r="D17" s="77">
        <f t="shared" ref="D17" si="81">P16</f>
        <v>0</v>
      </c>
      <c r="E17" s="77">
        <f t="shared" ref="E17" si="82">Q16</f>
        <v>11</v>
      </c>
      <c r="F17" s="77">
        <f t="shared" ref="F17" si="83">R16</f>
        <v>0</v>
      </c>
      <c r="G17" s="77"/>
      <c r="H17" s="77"/>
      <c r="I17" s="77"/>
      <c r="J17" s="77"/>
      <c r="K17" s="77"/>
      <c r="L17" s="77"/>
      <c r="M17" s="77"/>
      <c r="N17" s="77"/>
      <c r="O17" s="77">
        <f t="shared" ref="O17" si="84">C17+G17-K17</f>
        <v>0</v>
      </c>
      <c r="P17" s="77">
        <f t="shared" ref="P17" si="85">D17+H17-L17</f>
        <v>0</v>
      </c>
      <c r="Q17" s="77">
        <f t="shared" ref="Q17" si="86">E17+I17-M17</f>
        <v>11</v>
      </c>
      <c r="R17" s="77">
        <f t="shared" ref="R17" si="87">F17+J17-N17</f>
        <v>0</v>
      </c>
      <c r="S17" s="124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1:34" ht="35.1" customHeight="1" x14ac:dyDescent="0.3">
      <c r="A18" s="77"/>
      <c r="B18" s="182">
        <v>46122</v>
      </c>
      <c r="C18" s="77">
        <f t="shared" ref="C18:C19" si="88">O17</f>
        <v>0</v>
      </c>
      <c r="D18" s="77">
        <f t="shared" ref="D18:D19" si="89">P17</f>
        <v>0</v>
      </c>
      <c r="E18" s="77">
        <f t="shared" ref="E18:E19" si="90">Q17</f>
        <v>11</v>
      </c>
      <c r="F18" s="77">
        <f t="shared" ref="F18:F19" si="91">R17</f>
        <v>0</v>
      </c>
      <c r="G18" s="77"/>
      <c r="H18" s="77"/>
      <c r="I18" s="77"/>
      <c r="J18" s="77"/>
      <c r="K18" s="77"/>
      <c r="L18" s="77"/>
      <c r="M18" s="77"/>
      <c r="N18" s="77"/>
      <c r="O18" s="77">
        <f t="shared" ref="O18:O19" si="92">C18+G18-K18</f>
        <v>0</v>
      </c>
      <c r="P18" s="77">
        <f t="shared" ref="P18:P19" si="93">D18+H18-L18</f>
        <v>0</v>
      </c>
      <c r="Q18" s="77">
        <f t="shared" ref="Q18:Q19" si="94">E18+I18-M18</f>
        <v>11</v>
      </c>
      <c r="R18" s="77">
        <f t="shared" ref="R18:R19" si="95">F18+J18-N18</f>
        <v>0</v>
      </c>
      <c r="S18" s="124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1:34" ht="35.1" customHeight="1" x14ac:dyDescent="0.3">
      <c r="A19" s="77"/>
      <c r="B19" s="182">
        <v>46152</v>
      </c>
      <c r="C19" s="77">
        <f t="shared" si="88"/>
        <v>0</v>
      </c>
      <c r="D19" s="77">
        <f t="shared" si="89"/>
        <v>0</v>
      </c>
      <c r="E19" s="77">
        <f t="shared" si="90"/>
        <v>11</v>
      </c>
      <c r="F19" s="77">
        <f t="shared" si="91"/>
        <v>0</v>
      </c>
      <c r="G19" s="77"/>
      <c r="H19" s="77"/>
      <c r="I19" s="77"/>
      <c r="J19" s="77"/>
      <c r="K19" s="77"/>
      <c r="L19" s="77"/>
      <c r="M19" s="77"/>
      <c r="N19" s="77"/>
      <c r="O19" s="77">
        <f t="shared" si="92"/>
        <v>0</v>
      </c>
      <c r="P19" s="77">
        <f t="shared" si="93"/>
        <v>0</v>
      </c>
      <c r="Q19" s="77">
        <f t="shared" si="94"/>
        <v>11</v>
      </c>
      <c r="R19" s="77">
        <f t="shared" si="95"/>
        <v>0</v>
      </c>
      <c r="S19" s="124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1:34" ht="35.1" customHeight="1" x14ac:dyDescent="0.3">
      <c r="A20" s="77"/>
      <c r="B20" s="85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124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</row>
    <row r="21" spans="1:34" ht="35.1" customHeight="1" x14ac:dyDescent="0.3">
      <c r="A21" s="77"/>
      <c r="B21" s="85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12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</row>
    <row r="22" spans="1:34" ht="35.1" customHeight="1" x14ac:dyDescent="0.3">
      <c r="A22" s="77"/>
      <c r="B22" s="85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124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</row>
    <row r="23" spans="1:34" ht="35.1" customHeight="1" x14ac:dyDescent="0.3">
      <c r="A23" s="77"/>
      <c r="B23" s="85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124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</row>
    <row r="24" spans="1:34" ht="35.1" customHeight="1" x14ac:dyDescent="0.3">
      <c r="A24" s="77"/>
      <c r="B24" s="85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124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</row>
    <row r="25" spans="1:34" ht="35.1" customHeight="1" x14ac:dyDescent="0.3">
      <c r="O25" s="77"/>
      <c r="P25" s="77"/>
      <c r="Q25" s="77"/>
      <c r="R25" s="77"/>
      <c r="S25" s="124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</row>
    <row r="26" spans="1:34" ht="35.1" customHeight="1" x14ac:dyDescent="0.3">
      <c r="O26" s="77"/>
      <c r="P26" s="77"/>
      <c r="Q26" s="77"/>
      <c r="R26" s="77"/>
      <c r="S26" s="124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</row>
    <row r="27" spans="1:34" ht="35.1" customHeight="1" x14ac:dyDescent="0.3">
      <c r="O27" s="77"/>
      <c r="P27" s="77"/>
      <c r="Q27" s="77"/>
      <c r="R27" s="77"/>
      <c r="S27" s="12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</row>
    <row r="28" spans="1:34" ht="35.1" customHeight="1" x14ac:dyDescent="0.3">
      <c r="O28" s="77"/>
      <c r="P28" s="77"/>
      <c r="Q28" s="77"/>
      <c r="R28" s="77"/>
      <c r="S28" s="12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</row>
    <row r="29" spans="1:34" ht="35.1" customHeight="1" x14ac:dyDescent="0.3">
      <c r="O29" s="77"/>
      <c r="P29" s="77"/>
      <c r="Q29" s="77"/>
      <c r="R29" s="77"/>
      <c r="S29" s="12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</row>
    <row r="30" spans="1:34" ht="35.1" customHeight="1" x14ac:dyDescent="0.3">
      <c r="O30" s="77"/>
      <c r="P30" s="77"/>
      <c r="Q30" s="77"/>
      <c r="R30" s="77"/>
      <c r="S30" s="124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</row>
    <row r="31" spans="1:34" ht="35.1" customHeight="1" x14ac:dyDescent="0.3"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</row>
    <row r="32" spans="1:34" ht="35.1" customHeight="1" x14ac:dyDescent="0.3"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</row>
    <row r="33" spans="20:34" ht="35.1" customHeight="1" x14ac:dyDescent="0.3"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</row>
    <row r="34" spans="20:34" ht="35.1" customHeight="1" x14ac:dyDescent="0.3"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</row>
    <row r="35" spans="20:34" x14ac:dyDescent="0.3"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</row>
    <row r="36" spans="20:34" x14ac:dyDescent="0.3"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</row>
    <row r="37" spans="20:34" x14ac:dyDescent="0.3"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</row>
    <row r="38" spans="20:34" x14ac:dyDescent="0.3">
      <c r="T38" s="77"/>
      <c r="U38" s="77" t="s">
        <v>387</v>
      </c>
      <c r="V38" s="77"/>
      <c r="W38" s="77">
        <v>2</v>
      </c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</row>
    <row r="39" spans="20:34" x14ac:dyDescent="0.3">
      <c r="T39" s="77"/>
      <c r="U39" s="77" t="s">
        <v>372</v>
      </c>
      <c r="V39" s="77"/>
      <c r="W39" s="77">
        <v>36</v>
      </c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</row>
    <row r="40" spans="20:34" x14ac:dyDescent="0.3">
      <c r="T40" s="77"/>
      <c r="U40" s="77" t="s">
        <v>397</v>
      </c>
      <c r="V40" s="77"/>
      <c r="W40" s="77">
        <v>6</v>
      </c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</row>
    <row r="41" spans="20:34" x14ac:dyDescent="0.3">
      <c r="T41" s="77"/>
      <c r="U41" s="77" t="s">
        <v>398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>
        <v>10</v>
      </c>
      <c r="AH41" s="77">
        <v>1</v>
      </c>
    </row>
    <row r="42" spans="20:34" x14ac:dyDescent="0.3">
      <c r="T42" s="77"/>
      <c r="U42" s="77" t="s">
        <v>399</v>
      </c>
      <c r="V42" s="77"/>
      <c r="W42" s="77">
        <v>2</v>
      </c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</row>
    <row r="43" spans="20:34" x14ac:dyDescent="0.3">
      <c r="T43" s="77"/>
      <c r="U43" s="77" t="s">
        <v>400</v>
      </c>
      <c r="V43" s="77"/>
      <c r="W43" s="77">
        <v>6</v>
      </c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</row>
    <row r="44" spans="20:34" x14ac:dyDescent="0.3">
      <c r="T44" s="77"/>
      <c r="U44" s="77" t="s">
        <v>401</v>
      </c>
      <c r="V44" s="77"/>
      <c r="W44" s="77">
        <v>2</v>
      </c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</row>
    <row r="45" spans="20:34" x14ac:dyDescent="0.3">
      <c r="T45" s="77"/>
      <c r="U45" s="77" t="s">
        <v>402</v>
      </c>
      <c r="V45" s="77"/>
      <c r="W45" s="77"/>
      <c r="X45" s="77"/>
      <c r="Y45" s="77"/>
      <c r="Z45" s="77"/>
      <c r="AA45" s="77"/>
      <c r="AB45" s="77"/>
      <c r="AC45" s="77"/>
      <c r="AD45" s="77"/>
      <c r="AE45" s="77">
        <v>4</v>
      </c>
      <c r="AF45" s="77"/>
      <c r="AG45" s="77"/>
      <c r="AH45" s="77"/>
    </row>
    <row r="46" spans="20:34" x14ac:dyDescent="0.3">
      <c r="T46" s="77"/>
      <c r="U46" s="77" t="s">
        <v>372</v>
      </c>
      <c r="V46" s="77"/>
      <c r="W46" s="77">
        <v>11</v>
      </c>
      <c r="X46" s="77"/>
      <c r="Y46" s="77"/>
      <c r="Z46" s="77"/>
      <c r="AA46" s="77">
        <v>33</v>
      </c>
      <c r="AB46" s="77"/>
      <c r="AC46" s="77"/>
      <c r="AD46" s="77"/>
      <c r="AE46" s="77">
        <v>2</v>
      </c>
      <c r="AF46" s="77"/>
      <c r="AG46" s="77"/>
      <c r="AH46" s="77"/>
    </row>
    <row r="47" spans="20:34" x14ac:dyDescent="0.3">
      <c r="T47" s="77"/>
      <c r="U47" s="77" t="s">
        <v>403</v>
      </c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>
        <v>8</v>
      </c>
      <c r="AH47" s="77"/>
    </row>
    <row r="48" spans="20:34" x14ac:dyDescent="0.3">
      <c r="T48" s="77"/>
      <c r="U48" s="77" t="s">
        <v>392</v>
      </c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>
        <v>4</v>
      </c>
      <c r="AH48" s="77"/>
    </row>
    <row r="49" spans="20:34" x14ac:dyDescent="0.3">
      <c r="T49" s="123">
        <v>46243</v>
      </c>
      <c r="U49" s="77" t="s">
        <v>404</v>
      </c>
      <c r="V49" s="77"/>
      <c r="W49" s="77">
        <v>22</v>
      </c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</row>
    <row r="50" spans="20:34" x14ac:dyDescent="0.3">
      <c r="T50" s="77"/>
      <c r="U50" s="77" t="s">
        <v>404</v>
      </c>
      <c r="V50" s="77"/>
      <c r="W50" s="77">
        <v>22</v>
      </c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</row>
    <row r="51" spans="20:34" x14ac:dyDescent="0.3">
      <c r="T51" s="77"/>
      <c r="U51" s="77" t="s">
        <v>404</v>
      </c>
      <c r="V51" s="77"/>
      <c r="W51" s="77"/>
      <c r="X51" s="77"/>
      <c r="Y51" s="77"/>
      <c r="Z51" s="77"/>
      <c r="AA51" s="77">
        <v>11</v>
      </c>
      <c r="AB51" s="77"/>
      <c r="AC51" s="77"/>
      <c r="AD51" s="77"/>
      <c r="AE51" s="77">
        <v>4</v>
      </c>
      <c r="AF51" s="77"/>
      <c r="AG51" s="77"/>
      <c r="AH51" s="77"/>
    </row>
    <row r="52" spans="20:34" x14ac:dyDescent="0.3">
      <c r="T52" s="77"/>
      <c r="U52" s="77" t="s">
        <v>50</v>
      </c>
      <c r="V52" s="77"/>
      <c r="W52" s="77">
        <v>3</v>
      </c>
      <c r="X52" s="77"/>
      <c r="Y52" s="77"/>
      <c r="Z52" s="77"/>
      <c r="AA52" s="77">
        <v>3</v>
      </c>
      <c r="AB52" s="77"/>
      <c r="AC52" s="77"/>
      <c r="AD52" s="77"/>
      <c r="AE52" s="77"/>
      <c r="AF52" s="77"/>
      <c r="AG52" s="77"/>
      <c r="AH52" s="77"/>
    </row>
    <row r="53" spans="20:34" x14ac:dyDescent="0.3">
      <c r="T53" s="77"/>
      <c r="U53" s="77" t="s">
        <v>405</v>
      </c>
      <c r="V53" s="77"/>
      <c r="W53" s="77">
        <v>2</v>
      </c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</row>
    <row r="54" spans="20:34" x14ac:dyDescent="0.3">
      <c r="T54" s="77"/>
      <c r="U54" s="77" t="s">
        <v>397</v>
      </c>
      <c r="V54" s="77"/>
      <c r="W54" s="77">
        <v>4</v>
      </c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</row>
    <row r="55" spans="20:34" x14ac:dyDescent="0.3">
      <c r="T55" s="77"/>
      <c r="U55" s="77" t="s">
        <v>404</v>
      </c>
      <c r="V55" s="77"/>
      <c r="W55" s="77"/>
      <c r="X55" s="77"/>
      <c r="Y55" s="77"/>
      <c r="Z55" s="77"/>
      <c r="AA55" s="77">
        <v>22</v>
      </c>
      <c r="AB55" s="77"/>
      <c r="AC55" s="77"/>
      <c r="AD55" s="77"/>
      <c r="AE55" s="77"/>
      <c r="AF55" s="77"/>
      <c r="AG55" s="77"/>
      <c r="AH55" s="77"/>
    </row>
    <row r="56" spans="20:34" x14ac:dyDescent="0.3">
      <c r="T56" s="77"/>
      <c r="U56" s="77" t="s">
        <v>406</v>
      </c>
      <c r="V56" s="77"/>
      <c r="W56" s="77"/>
      <c r="X56" s="77"/>
      <c r="Y56" s="77"/>
      <c r="Z56" s="77"/>
      <c r="AA56" s="77"/>
      <c r="AB56" s="77"/>
      <c r="AC56" s="77"/>
      <c r="AD56" s="77"/>
      <c r="AE56" s="77">
        <v>3</v>
      </c>
      <c r="AF56" s="77"/>
      <c r="AG56" s="77"/>
      <c r="AH56" s="77"/>
    </row>
    <row r="57" spans="20:34" x14ac:dyDescent="0.3"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</row>
    <row r="58" spans="20:34" x14ac:dyDescent="0.3"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</row>
    <row r="59" spans="20:34" x14ac:dyDescent="0.3"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</row>
    <row r="60" spans="20:34" x14ac:dyDescent="0.3"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</row>
    <row r="61" spans="20:34" x14ac:dyDescent="0.3"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</row>
    <row r="62" spans="20:34" x14ac:dyDescent="0.3"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</row>
    <row r="63" spans="20:34" x14ac:dyDescent="0.3"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</row>
    <row r="64" spans="20:34" x14ac:dyDescent="0.3"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</row>
    <row r="65" spans="20:34" x14ac:dyDescent="0.3"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</row>
    <row r="66" spans="20:34" x14ac:dyDescent="0.3">
      <c r="T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</row>
    <row r="67" spans="20:34" x14ac:dyDescent="0.3"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</row>
    <row r="68" spans="20:34" x14ac:dyDescent="0.3"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</row>
    <row r="69" spans="20:34" x14ac:dyDescent="0.3">
      <c r="T69" s="77"/>
      <c r="U69" s="77"/>
      <c r="V69" s="109" t="s">
        <v>381</v>
      </c>
      <c r="W69" s="77">
        <f t="shared" ref="W69:AH69" si="96">SUM(W38:W65)</f>
        <v>118</v>
      </c>
      <c r="X69" s="77">
        <f t="shared" si="96"/>
        <v>0</v>
      </c>
      <c r="Y69" s="77">
        <f t="shared" si="96"/>
        <v>0</v>
      </c>
      <c r="Z69" s="77">
        <f t="shared" si="96"/>
        <v>0</v>
      </c>
      <c r="AA69" s="77">
        <f t="shared" si="96"/>
        <v>69</v>
      </c>
      <c r="AB69" s="77">
        <f t="shared" si="96"/>
        <v>0</v>
      </c>
      <c r="AC69" s="77">
        <f t="shared" si="96"/>
        <v>0</v>
      </c>
      <c r="AD69" s="77">
        <f t="shared" si="96"/>
        <v>0</v>
      </c>
      <c r="AE69" s="77">
        <f t="shared" si="96"/>
        <v>13</v>
      </c>
      <c r="AF69" s="77">
        <f t="shared" si="96"/>
        <v>0</v>
      </c>
      <c r="AG69" s="77">
        <f t="shared" si="96"/>
        <v>22</v>
      </c>
      <c r="AH69" s="77">
        <f t="shared" si="96"/>
        <v>1</v>
      </c>
    </row>
    <row r="70" spans="20:34" x14ac:dyDescent="0.3">
      <c r="T70" s="77"/>
      <c r="U70" s="77"/>
      <c r="V70" s="109" t="s">
        <v>382</v>
      </c>
      <c r="W70" s="110">
        <f t="shared" ref="W70:AH70" si="97">H4+H124-W69</f>
        <v>-118</v>
      </c>
      <c r="X70" s="110">
        <f t="shared" si="97"/>
        <v>0</v>
      </c>
      <c r="Y70" s="110">
        <f t="shared" si="97"/>
        <v>0</v>
      </c>
      <c r="Z70" s="110">
        <f t="shared" si="97"/>
        <v>0</v>
      </c>
      <c r="AA70" s="110">
        <f t="shared" si="97"/>
        <v>-69</v>
      </c>
      <c r="AB70" s="110">
        <f t="shared" si="97"/>
        <v>0</v>
      </c>
      <c r="AC70" s="110">
        <f t="shared" si="97"/>
        <v>0</v>
      </c>
      <c r="AD70" s="110">
        <f t="shared" si="97"/>
        <v>0</v>
      </c>
      <c r="AE70" s="110">
        <f t="shared" si="97"/>
        <v>-13</v>
      </c>
      <c r="AF70" s="110">
        <f t="shared" si="97"/>
        <v>0</v>
      </c>
      <c r="AG70" s="110">
        <f t="shared" si="97"/>
        <v>-22</v>
      </c>
      <c r="AH70" s="110">
        <f t="shared" si="97"/>
        <v>-1</v>
      </c>
    </row>
    <row r="71" spans="20:34" x14ac:dyDescent="0.3">
      <c r="T71" s="77"/>
    </row>
    <row r="72" spans="20:34" x14ac:dyDescent="0.3">
      <c r="T72" s="77"/>
    </row>
    <row r="73" spans="20:34" x14ac:dyDescent="0.3">
      <c r="T73" s="77"/>
    </row>
    <row r="74" spans="20:34" x14ac:dyDescent="0.3">
      <c r="T74" s="77"/>
    </row>
    <row r="75" spans="20:34" x14ac:dyDescent="0.3">
      <c r="T75" s="77"/>
    </row>
    <row r="76" spans="20:34" x14ac:dyDescent="0.3">
      <c r="T76" s="77"/>
    </row>
    <row r="77" spans="20:34" x14ac:dyDescent="0.3">
      <c r="T77" s="77"/>
    </row>
    <row r="78" spans="20:34" x14ac:dyDescent="0.3">
      <c r="T78" s="77"/>
    </row>
    <row r="79" spans="20:34" x14ac:dyDescent="0.3">
      <c r="T79" s="77"/>
    </row>
    <row r="80" spans="20:34" x14ac:dyDescent="0.3">
      <c r="T80" s="77"/>
    </row>
    <row r="81" spans="20:20" x14ac:dyDescent="0.3">
      <c r="T81" s="77"/>
    </row>
    <row r="82" spans="20:20" x14ac:dyDescent="0.3">
      <c r="T82" s="77"/>
    </row>
    <row r="83" spans="20:20" x14ac:dyDescent="0.3">
      <c r="T83" s="77"/>
    </row>
    <row r="84" spans="20:20" x14ac:dyDescent="0.3">
      <c r="T84" s="77"/>
    </row>
    <row r="85" spans="20:20" x14ac:dyDescent="0.3">
      <c r="T85" s="77"/>
    </row>
    <row r="86" spans="20:20" x14ac:dyDescent="0.3">
      <c r="T86" s="77"/>
    </row>
    <row r="87" spans="20:20" x14ac:dyDescent="0.3">
      <c r="T87" s="77"/>
    </row>
    <row r="88" spans="20:20" x14ac:dyDescent="0.3">
      <c r="T88" s="77"/>
    </row>
    <row r="89" spans="20:20" x14ac:dyDescent="0.3">
      <c r="T89" s="77"/>
    </row>
    <row r="90" spans="20:20" x14ac:dyDescent="0.3">
      <c r="T90" s="77"/>
    </row>
    <row r="91" spans="20:20" x14ac:dyDescent="0.3">
      <c r="T91" s="77"/>
    </row>
    <row r="92" spans="20:20" x14ac:dyDescent="0.3">
      <c r="T92" s="77"/>
    </row>
    <row r="93" spans="20:20" x14ac:dyDescent="0.3">
      <c r="T93" s="77"/>
    </row>
    <row r="94" spans="20:20" x14ac:dyDescent="0.3">
      <c r="T94" s="77"/>
    </row>
    <row r="95" spans="20:20" x14ac:dyDescent="0.3">
      <c r="T95" s="77"/>
    </row>
    <row r="96" spans="20:20" x14ac:dyDescent="0.3">
      <c r="T96" s="77"/>
    </row>
    <row r="97" spans="20:20" x14ac:dyDescent="0.3">
      <c r="T97" s="77"/>
    </row>
    <row r="98" spans="20:20" x14ac:dyDescent="0.3">
      <c r="T98" s="77"/>
    </row>
    <row r="99" spans="20:20" x14ac:dyDescent="0.3">
      <c r="T99" s="77"/>
    </row>
    <row r="100" spans="20:20" x14ac:dyDescent="0.3">
      <c r="T100" s="77"/>
    </row>
    <row r="101" spans="20:20" x14ac:dyDescent="0.3">
      <c r="T101" s="77"/>
    </row>
    <row r="102" spans="20:20" x14ac:dyDescent="0.3">
      <c r="T102" s="77"/>
    </row>
    <row r="103" spans="20:20" x14ac:dyDescent="0.3">
      <c r="T103" s="77"/>
    </row>
    <row r="104" spans="20:20" x14ac:dyDescent="0.3">
      <c r="T104" s="77"/>
    </row>
    <row r="105" spans="20:20" x14ac:dyDescent="0.3">
      <c r="T105" s="77"/>
    </row>
    <row r="106" spans="20:20" x14ac:dyDescent="0.3">
      <c r="T106" s="77"/>
    </row>
    <row r="107" spans="20:20" x14ac:dyDescent="0.3">
      <c r="T107" s="77"/>
    </row>
    <row r="108" spans="20:20" x14ac:dyDescent="0.3">
      <c r="T108" s="77"/>
    </row>
    <row r="109" spans="20:20" x14ac:dyDescent="0.3">
      <c r="T109" s="77"/>
    </row>
    <row r="110" spans="20:20" x14ac:dyDescent="0.3">
      <c r="T110" s="77"/>
    </row>
    <row r="111" spans="20:20" x14ac:dyDescent="0.3">
      <c r="T111" s="77"/>
    </row>
    <row r="112" spans="20:20" x14ac:dyDescent="0.3">
      <c r="T112" s="77"/>
    </row>
    <row r="113" spans="20:20" x14ac:dyDescent="0.3">
      <c r="T113" s="77"/>
    </row>
    <row r="114" spans="20:20" x14ac:dyDescent="0.3">
      <c r="T114" s="77"/>
    </row>
    <row r="115" spans="20:20" x14ac:dyDescent="0.3">
      <c r="T115" s="77"/>
    </row>
    <row r="116" spans="20:20" x14ac:dyDescent="0.3">
      <c r="T116" s="77"/>
    </row>
    <row r="117" spans="20:20" x14ac:dyDescent="0.3">
      <c r="T117" s="77"/>
    </row>
    <row r="118" spans="20:20" x14ac:dyDescent="0.3">
      <c r="T118" s="77"/>
    </row>
    <row r="119" spans="20:20" x14ac:dyDescent="0.3">
      <c r="T119" s="77"/>
    </row>
    <row r="120" spans="20:20" x14ac:dyDescent="0.3">
      <c r="T120" s="77"/>
    </row>
    <row r="121" spans="20:20" x14ac:dyDescent="0.3">
      <c r="T121" s="77"/>
    </row>
    <row r="122" spans="20:20" x14ac:dyDescent="0.3">
      <c r="T122" s="77"/>
    </row>
    <row r="123" spans="20:20" x14ac:dyDescent="0.3">
      <c r="T123" s="77"/>
    </row>
    <row r="124" spans="20:20" x14ac:dyDescent="0.3">
      <c r="T124" s="77"/>
    </row>
    <row r="125" spans="20:20" x14ac:dyDescent="0.3">
      <c r="T125" s="77"/>
    </row>
  </sheetData>
  <mergeCells count="4">
    <mergeCell ref="C1:F1"/>
    <mergeCell ref="G1:J1"/>
    <mergeCell ref="K1:N1"/>
    <mergeCell ref="O1:R1"/>
  </mergeCells>
  <dataValidations count="1">
    <dataValidation type="list" allowBlank="1" showInputMessage="1" showErrorMessage="1" sqref="U69:U1070 U1:U3" xr:uid="{9CB99B33-2F28-47AA-ADCC-D423528D1254}">
      <formula1>$A$3:$A$475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72D82-A132-4EA9-B13F-7E4050A3300F}">
  <dimension ref="A1:AL125"/>
  <sheetViews>
    <sheetView workbookViewId="0">
      <selection activeCell="P26" sqref="P26"/>
    </sheetView>
  </sheetViews>
  <sheetFormatPr defaultColWidth="10.109375" defaultRowHeight="14.4" x14ac:dyDescent="0.3"/>
  <cols>
    <col min="1" max="1" width="5.5546875" customWidth="1"/>
    <col min="2" max="2" width="13.109375" style="79" customWidth="1"/>
    <col min="3" max="3" width="13.109375" customWidth="1"/>
    <col min="4" max="5" width="11.109375" customWidth="1"/>
    <col min="19" max="20" width="11.6640625" customWidth="1"/>
    <col min="24" max="25" width="26.6640625" customWidth="1"/>
    <col min="26" max="26" width="23.6640625" customWidth="1"/>
    <col min="28" max="28" width="7.88671875" customWidth="1"/>
    <col min="29" max="29" width="7.33203125" customWidth="1"/>
    <col min="30" max="30" width="9.33203125" customWidth="1"/>
    <col min="31" max="31" width="8" customWidth="1"/>
    <col min="32" max="33" width="8.109375" customWidth="1"/>
    <col min="34" max="34" width="7.88671875" customWidth="1"/>
    <col min="35" max="35" width="7.109375" customWidth="1"/>
    <col min="36" max="36" width="8.109375" customWidth="1"/>
    <col min="37" max="37" width="7.44140625" customWidth="1"/>
    <col min="38" max="38" width="7.6640625" customWidth="1"/>
  </cols>
  <sheetData>
    <row r="1" spans="1:38" ht="30.6" customHeight="1" x14ac:dyDescent="0.3">
      <c r="A1" s="78" t="s">
        <v>3</v>
      </c>
      <c r="B1" s="78" t="s">
        <v>344</v>
      </c>
      <c r="C1" s="388" t="s">
        <v>345</v>
      </c>
      <c r="D1" s="388"/>
      <c r="E1" s="388"/>
      <c r="F1" s="388"/>
      <c r="G1" s="388"/>
      <c r="H1" s="389" t="s">
        <v>346</v>
      </c>
      <c r="I1" s="389"/>
      <c r="J1" s="389"/>
      <c r="K1" s="389"/>
      <c r="L1" s="389"/>
      <c r="M1" s="390" t="s">
        <v>347</v>
      </c>
      <c r="N1" s="390"/>
      <c r="O1" s="390"/>
      <c r="P1" s="390"/>
      <c r="Q1" s="390"/>
      <c r="R1" s="391" t="s">
        <v>348</v>
      </c>
      <c r="S1" s="391"/>
      <c r="T1" s="391"/>
      <c r="U1" s="391"/>
      <c r="V1" s="391"/>
      <c r="W1" s="77"/>
      <c r="X1" s="112"/>
      <c r="Y1" s="111" t="s">
        <v>347</v>
      </c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</row>
    <row r="2" spans="1:38" ht="32.85" customHeight="1" x14ac:dyDescent="0.3">
      <c r="A2" s="77"/>
      <c r="B2" s="80"/>
      <c r="C2" s="81" t="s">
        <v>349</v>
      </c>
      <c r="D2" s="81" t="s">
        <v>350</v>
      </c>
      <c r="E2" s="81" t="s">
        <v>424</v>
      </c>
      <c r="F2" s="81" t="s">
        <v>351</v>
      </c>
      <c r="G2" s="81" t="s">
        <v>352</v>
      </c>
      <c r="H2" s="82" t="s">
        <v>349</v>
      </c>
      <c r="I2" s="82" t="s">
        <v>350</v>
      </c>
      <c r="J2" s="184" t="s">
        <v>424</v>
      </c>
      <c r="K2" s="82" t="s">
        <v>351</v>
      </c>
      <c r="L2" s="82" t="s">
        <v>352</v>
      </c>
      <c r="M2" s="83" t="s">
        <v>349</v>
      </c>
      <c r="N2" s="83" t="s">
        <v>350</v>
      </c>
      <c r="O2" s="83" t="s">
        <v>412</v>
      </c>
      <c r="P2" s="83" t="s">
        <v>351</v>
      </c>
      <c r="Q2" s="83" t="s">
        <v>352</v>
      </c>
      <c r="R2" s="84" t="s">
        <v>349</v>
      </c>
      <c r="S2" s="84" t="s">
        <v>350</v>
      </c>
      <c r="T2" s="84" t="s">
        <v>412</v>
      </c>
      <c r="U2" s="84" t="s">
        <v>351</v>
      </c>
      <c r="V2" s="84" t="s">
        <v>352</v>
      </c>
      <c r="W2" s="77"/>
      <c r="X2" s="113"/>
      <c r="Y2" s="105" t="s">
        <v>296</v>
      </c>
      <c r="Z2" s="105" t="s">
        <v>361</v>
      </c>
      <c r="AA2" s="106" t="s">
        <v>25</v>
      </c>
      <c r="AB2" s="104" t="s">
        <v>362</v>
      </c>
      <c r="AC2" s="104" t="s">
        <v>363</v>
      </c>
      <c r="AD2" s="104" t="s">
        <v>364</v>
      </c>
      <c r="AE2" s="104" t="s">
        <v>28</v>
      </c>
      <c r="AF2" s="104" t="s">
        <v>365</v>
      </c>
      <c r="AG2" s="104" t="s">
        <v>366</v>
      </c>
      <c r="AH2" s="104" t="s">
        <v>367</v>
      </c>
      <c r="AI2" s="104" t="s">
        <v>368</v>
      </c>
      <c r="AJ2" s="104" t="s">
        <v>369</v>
      </c>
      <c r="AK2" s="104" t="s">
        <v>38</v>
      </c>
      <c r="AL2" s="104" t="s">
        <v>370</v>
      </c>
    </row>
    <row r="3" spans="1:38" ht="32.85" hidden="1" customHeight="1" x14ac:dyDescent="0.35">
      <c r="A3" s="77"/>
      <c r="B3" s="80">
        <v>46273</v>
      </c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>
        <f>C3+H3-M3</f>
        <v>0</v>
      </c>
      <c r="S3" s="77">
        <f>D3+I3-N3</f>
        <v>0</v>
      </c>
      <c r="T3" s="77"/>
      <c r="U3" s="77">
        <f>F3+K3-P3</f>
        <v>0</v>
      </c>
      <c r="V3" s="77">
        <f>G3+L3-Q3</f>
        <v>0</v>
      </c>
      <c r="W3" s="77"/>
      <c r="X3" s="114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</row>
    <row r="4" spans="1:38" ht="32.85" hidden="1" customHeight="1" x14ac:dyDescent="0.3">
      <c r="A4" s="77"/>
      <c r="B4" s="80">
        <v>46274</v>
      </c>
      <c r="C4" s="77"/>
      <c r="D4" s="77"/>
      <c r="E4" s="77"/>
      <c r="F4" s="77"/>
      <c r="G4" s="77"/>
      <c r="H4" s="77"/>
      <c r="I4" s="77"/>
      <c r="J4" s="77"/>
      <c r="K4" s="77">
        <v>50</v>
      </c>
      <c r="L4" s="77"/>
      <c r="M4" s="77"/>
      <c r="N4" s="77"/>
      <c r="O4" s="77"/>
      <c r="P4" s="77">
        <v>2</v>
      </c>
      <c r="Q4" s="77"/>
      <c r="R4" s="77">
        <f t="shared" ref="R4:R9" si="0">C4+H4-M4</f>
        <v>0</v>
      </c>
      <c r="S4" s="77">
        <f t="shared" ref="S4:S9" si="1">D4+I4-N4</f>
        <v>0</v>
      </c>
      <c r="T4" s="77"/>
      <c r="U4" s="77">
        <f t="shared" ref="U4:U9" si="2">F4+K4-P4</f>
        <v>48</v>
      </c>
      <c r="V4" s="77">
        <f t="shared" ref="V4:V9" si="3">G4+L4-Q4</f>
        <v>0</v>
      </c>
      <c r="W4" s="124"/>
      <c r="X4" s="123"/>
      <c r="Y4" s="86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</row>
    <row r="5" spans="1:38" ht="32.85" hidden="1" customHeight="1" x14ac:dyDescent="0.3">
      <c r="A5" s="77"/>
      <c r="B5" s="182">
        <v>46304</v>
      </c>
      <c r="C5" s="77">
        <f t="shared" ref="C5:D7" si="4">R4</f>
        <v>0</v>
      </c>
      <c r="D5" s="77">
        <f t="shared" si="4"/>
        <v>0</v>
      </c>
      <c r="E5" s="77"/>
      <c r="F5" s="77">
        <f t="shared" ref="F5:G5" si="5">U4</f>
        <v>48</v>
      </c>
      <c r="G5" s="77">
        <f t="shared" si="5"/>
        <v>0</v>
      </c>
      <c r="H5" s="77"/>
      <c r="I5" s="77"/>
      <c r="J5" s="77"/>
      <c r="K5" s="77">
        <v>40</v>
      </c>
      <c r="L5" s="77"/>
      <c r="M5" s="77"/>
      <c r="N5" s="77"/>
      <c r="O5" s="77"/>
      <c r="P5" s="77">
        <f>20+40+13</f>
        <v>73</v>
      </c>
      <c r="Q5" s="77"/>
      <c r="R5" s="77">
        <f t="shared" si="0"/>
        <v>0</v>
      </c>
      <c r="S5" s="77">
        <f t="shared" si="1"/>
        <v>0</v>
      </c>
      <c r="T5" s="77"/>
      <c r="U5" s="77">
        <f t="shared" si="2"/>
        <v>15</v>
      </c>
      <c r="V5" s="77">
        <f t="shared" si="3"/>
        <v>0</v>
      </c>
      <c r="W5" s="124"/>
      <c r="X5" s="77"/>
      <c r="Y5" s="171" t="s">
        <v>419</v>
      </c>
      <c r="Z5" s="77" t="s">
        <v>420</v>
      </c>
      <c r="AA5" s="77">
        <v>2</v>
      </c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</row>
    <row r="6" spans="1:38" ht="32.85" hidden="1" customHeight="1" x14ac:dyDescent="0.3">
      <c r="A6" s="77"/>
      <c r="B6" s="95" t="s">
        <v>429</v>
      </c>
      <c r="C6" s="77">
        <f t="shared" si="4"/>
        <v>0</v>
      </c>
      <c r="D6" s="77">
        <f t="shared" si="4"/>
        <v>0</v>
      </c>
      <c r="E6" s="77"/>
      <c r="F6" s="77">
        <f t="shared" ref="F6" si="6">U5</f>
        <v>15</v>
      </c>
      <c r="G6" s="77">
        <f t="shared" ref="G6" si="7">V5</f>
        <v>0</v>
      </c>
      <c r="H6" s="77"/>
      <c r="I6" s="77"/>
      <c r="J6" s="77"/>
      <c r="K6" s="77">
        <v>40</v>
      </c>
      <c r="L6" s="77"/>
      <c r="M6" s="77"/>
      <c r="N6" s="77"/>
      <c r="O6" s="77"/>
      <c r="P6" s="77">
        <v>4</v>
      </c>
      <c r="Q6" s="77"/>
      <c r="R6" s="77">
        <f t="shared" si="0"/>
        <v>0</v>
      </c>
      <c r="S6" s="77">
        <f t="shared" si="1"/>
        <v>0</v>
      </c>
      <c r="T6" s="77"/>
      <c r="U6" s="77">
        <f t="shared" si="2"/>
        <v>51</v>
      </c>
      <c r="V6" s="77">
        <f t="shared" si="3"/>
        <v>0</v>
      </c>
      <c r="W6" s="124"/>
      <c r="X6" s="77"/>
      <c r="Y6" s="183" t="s">
        <v>421</v>
      </c>
      <c r="Z6" s="77" t="s">
        <v>422</v>
      </c>
      <c r="AA6" s="77">
        <v>60</v>
      </c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</row>
    <row r="7" spans="1:38" ht="32.85" hidden="1" customHeight="1" x14ac:dyDescent="0.3">
      <c r="A7" s="77"/>
      <c r="B7" s="95" t="s">
        <v>434</v>
      </c>
      <c r="C7" s="77">
        <f t="shared" si="4"/>
        <v>0</v>
      </c>
      <c r="D7" s="77">
        <f t="shared" si="4"/>
        <v>0</v>
      </c>
      <c r="E7" s="77"/>
      <c r="F7" s="77">
        <f t="shared" ref="F7" si="8">U6</f>
        <v>51</v>
      </c>
      <c r="G7" s="77">
        <f t="shared" ref="G7" si="9">V6</f>
        <v>0</v>
      </c>
      <c r="H7" s="77"/>
      <c r="I7" s="77"/>
      <c r="J7" s="77"/>
      <c r="K7" s="77"/>
      <c r="L7" s="77"/>
      <c r="M7" s="77"/>
      <c r="N7" s="77"/>
      <c r="O7" s="77"/>
      <c r="P7" s="77">
        <v>4</v>
      </c>
      <c r="Q7" s="77"/>
      <c r="R7" s="77">
        <f t="shared" si="0"/>
        <v>0</v>
      </c>
      <c r="S7" s="77">
        <f t="shared" si="1"/>
        <v>0</v>
      </c>
      <c r="T7" s="77"/>
      <c r="U7" s="77">
        <f t="shared" si="2"/>
        <v>47</v>
      </c>
      <c r="V7" s="77">
        <f t="shared" si="3"/>
        <v>0</v>
      </c>
      <c r="W7" s="124"/>
      <c r="X7" s="77"/>
      <c r="Y7" s="183" t="s">
        <v>421</v>
      </c>
      <c r="Z7" s="77" t="s">
        <v>427</v>
      </c>
      <c r="AA7" s="77">
        <v>2</v>
      </c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spans="1:38" ht="35.1" hidden="1" customHeight="1" x14ac:dyDescent="0.3">
      <c r="A8" s="77"/>
      <c r="B8" s="85" t="s">
        <v>435</v>
      </c>
      <c r="C8" s="77">
        <f t="shared" ref="C8" si="10">R7</f>
        <v>0</v>
      </c>
      <c r="D8" s="77">
        <f t="shared" ref="D8" si="11">S7</f>
        <v>0</v>
      </c>
      <c r="E8" s="77"/>
      <c r="F8" s="77">
        <f t="shared" ref="F8" si="12">U7</f>
        <v>47</v>
      </c>
      <c r="G8" s="77">
        <f t="shared" ref="G8" si="13">V7</f>
        <v>0</v>
      </c>
      <c r="H8" s="77"/>
      <c r="I8" s="77"/>
      <c r="J8" s="77"/>
      <c r="K8" s="77"/>
      <c r="L8" s="77"/>
      <c r="M8" s="77"/>
      <c r="N8" s="77"/>
      <c r="O8" s="77"/>
      <c r="P8" s="77">
        <f>11+7</f>
        <v>18</v>
      </c>
      <c r="Q8" s="77"/>
      <c r="R8" s="77">
        <f t="shared" si="0"/>
        <v>0</v>
      </c>
      <c r="S8" s="77">
        <f t="shared" si="1"/>
        <v>0</v>
      </c>
      <c r="T8" s="77"/>
      <c r="U8" s="77">
        <f t="shared" si="2"/>
        <v>29</v>
      </c>
      <c r="V8" s="77">
        <f t="shared" si="3"/>
        <v>0</v>
      </c>
      <c r="W8" s="124"/>
      <c r="X8" s="77"/>
      <c r="Y8" s="183" t="s">
        <v>421</v>
      </c>
      <c r="Z8" s="77" t="s">
        <v>428</v>
      </c>
      <c r="AA8" s="77">
        <v>11</v>
      </c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</row>
    <row r="9" spans="1:38" ht="35.1" hidden="1" customHeight="1" x14ac:dyDescent="0.3">
      <c r="A9" s="77"/>
      <c r="B9" s="85" t="s">
        <v>437</v>
      </c>
      <c r="C9" s="77">
        <f t="shared" ref="C9" si="14">R8</f>
        <v>0</v>
      </c>
      <c r="D9" s="77">
        <f t="shared" ref="D9" si="15">S8</f>
        <v>0</v>
      </c>
      <c r="E9" s="77"/>
      <c r="F9" s="77">
        <f t="shared" ref="F9" si="16">U8</f>
        <v>29</v>
      </c>
      <c r="G9" s="77">
        <f t="shared" ref="G9" si="17">V8</f>
        <v>0</v>
      </c>
      <c r="H9" s="77"/>
      <c r="I9" s="77"/>
      <c r="J9" s="77"/>
      <c r="K9" s="77">
        <v>40</v>
      </c>
      <c r="L9" s="77"/>
      <c r="M9" s="77"/>
      <c r="N9" s="77"/>
      <c r="O9" s="77"/>
      <c r="P9" s="77">
        <v>40</v>
      </c>
      <c r="Q9" s="77"/>
      <c r="R9" s="77">
        <f t="shared" si="0"/>
        <v>0</v>
      </c>
      <c r="S9" s="77">
        <f t="shared" si="1"/>
        <v>0</v>
      </c>
      <c r="T9" s="77"/>
      <c r="U9" s="77">
        <f t="shared" si="2"/>
        <v>29</v>
      </c>
      <c r="V9" s="77">
        <f t="shared" si="3"/>
        <v>0</v>
      </c>
      <c r="W9" s="124"/>
      <c r="X9" s="77" t="s">
        <v>440</v>
      </c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</row>
    <row r="10" spans="1:38" ht="35.1" hidden="1" customHeight="1" x14ac:dyDescent="0.3">
      <c r="A10" s="77"/>
      <c r="B10" s="85" t="s">
        <v>441</v>
      </c>
      <c r="C10" s="77">
        <f t="shared" ref="C10" si="18">R9</f>
        <v>0</v>
      </c>
      <c r="D10" s="77">
        <f t="shared" ref="D10" si="19">S9</f>
        <v>0</v>
      </c>
      <c r="E10" s="77"/>
      <c r="F10" s="77">
        <f t="shared" ref="F10" si="20">U9</f>
        <v>29</v>
      </c>
      <c r="G10" s="77">
        <f t="shared" ref="G10" si="21">V9</f>
        <v>0</v>
      </c>
      <c r="H10" s="77"/>
      <c r="I10" s="77">
        <v>11</v>
      </c>
      <c r="J10" s="77"/>
      <c r="K10" s="77"/>
      <c r="L10" s="77"/>
      <c r="M10" s="77"/>
      <c r="N10" s="77">
        <v>11</v>
      </c>
      <c r="O10" s="77"/>
      <c r="P10" s="77">
        <v>1</v>
      </c>
      <c r="Q10" s="77"/>
      <c r="R10" s="77">
        <f t="shared" ref="R10" si="22">C10+H10-M10</f>
        <v>0</v>
      </c>
      <c r="S10" s="77">
        <f t="shared" ref="S10" si="23">D10+I10-N10</f>
        <v>0</v>
      </c>
      <c r="T10" s="77"/>
      <c r="U10" s="77">
        <f t="shared" ref="U10" si="24">F10+K10-P10</f>
        <v>28</v>
      </c>
      <c r="V10" s="77">
        <f t="shared" ref="V10" si="25">G10+L10-Q10</f>
        <v>0</v>
      </c>
      <c r="W10" s="124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</row>
    <row r="11" spans="1:38" ht="35.1" hidden="1" customHeight="1" x14ac:dyDescent="0.3">
      <c r="A11" s="77"/>
      <c r="B11" s="85" t="s">
        <v>442</v>
      </c>
      <c r="C11" s="77">
        <f t="shared" ref="C11" si="26">R10</f>
        <v>0</v>
      </c>
      <c r="D11" s="77">
        <f t="shared" ref="D11" si="27">S10</f>
        <v>0</v>
      </c>
      <c r="E11" s="77"/>
      <c r="F11" s="77">
        <f t="shared" ref="F11" si="28">U10</f>
        <v>28</v>
      </c>
      <c r="G11" s="77">
        <f t="shared" ref="G11" si="29">V10</f>
        <v>0</v>
      </c>
      <c r="H11" s="77"/>
      <c r="I11" s="77"/>
      <c r="J11" s="77"/>
      <c r="K11" s="77"/>
      <c r="L11" s="77"/>
      <c r="M11" s="77"/>
      <c r="N11" s="77"/>
      <c r="O11" s="77"/>
      <c r="P11" s="77">
        <v>4</v>
      </c>
      <c r="Q11" s="77"/>
      <c r="R11" s="77">
        <f t="shared" ref="R11" si="30">C11+H11-M11</f>
        <v>0</v>
      </c>
      <c r="S11" s="77">
        <f t="shared" ref="S11" si="31">D11+I11-N11</f>
        <v>0</v>
      </c>
      <c r="T11" s="77"/>
      <c r="U11" s="77">
        <f t="shared" ref="U11" si="32">F11+K11-P11</f>
        <v>24</v>
      </c>
      <c r="V11" s="77">
        <f t="shared" ref="V11" si="33">G11+L11-Q11</f>
        <v>0</v>
      </c>
      <c r="W11" s="124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</row>
    <row r="12" spans="1:38" ht="35.1" hidden="1" customHeight="1" x14ac:dyDescent="0.3">
      <c r="A12" s="77"/>
      <c r="B12" s="85" t="s">
        <v>444</v>
      </c>
      <c r="C12" s="77">
        <f t="shared" ref="C12" si="34">R11</f>
        <v>0</v>
      </c>
      <c r="D12" s="77">
        <f t="shared" ref="D12" si="35">S11</f>
        <v>0</v>
      </c>
      <c r="E12" s="77"/>
      <c r="F12" s="77">
        <f t="shared" ref="F12" si="36">U11</f>
        <v>24</v>
      </c>
      <c r="G12" s="77">
        <f t="shared" ref="G12" si="37">V11</f>
        <v>0</v>
      </c>
      <c r="H12" s="77"/>
      <c r="I12" s="77"/>
      <c r="J12" s="77"/>
      <c r="K12" s="77"/>
      <c r="L12" s="77"/>
      <c r="M12" s="77"/>
      <c r="N12" s="77"/>
      <c r="O12" s="77"/>
      <c r="P12" s="77">
        <v>2</v>
      </c>
      <c r="Q12" s="77"/>
      <c r="R12" s="77">
        <f t="shared" ref="R12" si="38">C12+H12-M12</f>
        <v>0</v>
      </c>
      <c r="S12" s="77">
        <f t="shared" ref="S12" si="39">D12+I12-N12</f>
        <v>0</v>
      </c>
      <c r="T12" s="77"/>
      <c r="U12" s="77">
        <f t="shared" ref="U12" si="40">F12+K12-P12</f>
        <v>22</v>
      </c>
      <c r="V12" s="77">
        <f t="shared" ref="V12" si="41">G12+L12-Q12</f>
        <v>0</v>
      </c>
      <c r="W12" s="124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</row>
    <row r="13" spans="1:38" ht="35.1" hidden="1" customHeight="1" x14ac:dyDescent="0.3">
      <c r="A13" s="77"/>
      <c r="B13" s="85" t="s">
        <v>446</v>
      </c>
      <c r="C13" s="77">
        <f t="shared" ref="C13" si="42">R12</f>
        <v>0</v>
      </c>
      <c r="D13" s="77">
        <f t="shared" ref="D13" si="43">S12</f>
        <v>0</v>
      </c>
      <c r="E13" s="77"/>
      <c r="F13" s="77">
        <f t="shared" ref="F13" si="44">U12</f>
        <v>22</v>
      </c>
      <c r="G13" s="77">
        <f t="shared" ref="G13" si="45">V12</f>
        <v>0</v>
      </c>
      <c r="H13" s="77"/>
      <c r="I13" s="77"/>
      <c r="J13" s="77"/>
      <c r="K13" s="77"/>
      <c r="L13" s="77"/>
      <c r="M13" s="77"/>
      <c r="N13" s="77"/>
      <c r="O13" s="77"/>
      <c r="P13" s="77">
        <v>4</v>
      </c>
      <c r="Q13" s="77"/>
      <c r="R13" s="77">
        <f t="shared" ref="R13" si="46">C13+H13-M13</f>
        <v>0</v>
      </c>
      <c r="S13" s="77">
        <f t="shared" ref="S13" si="47">D13+I13-N13</f>
        <v>0</v>
      </c>
      <c r="T13" s="77"/>
      <c r="U13" s="77">
        <f t="shared" ref="U13" si="48">F13+K13-P13</f>
        <v>18</v>
      </c>
      <c r="V13" s="77">
        <f t="shared" ref="V13" si="49">G13+L13-Q13</f>
        <v>0</v>
      </c>
      <c r="W13" s="124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</row>
    <row r="14" spans="1:38" ht="35.1" hidden="1" customHeight="1" x14ac:dyDescent="0.3">
      <c r="A14" s="77"/>
      <c r="B14" s="85" t="s">
        <v>455</v>
      </c>
      <c r="C14" s="77">
        <f t="shared" ref="C14" si="50">R13</f>
        <v>0</v>
      </c>
      <c r="D14" s="77">
        <f t="shared" ref="D14" si="51">S13</f>
        <v>0</v>
      </c>
      <c r="E14" s="77"/>
      <c r="F14" s="77">
        <f t="shared" ref="F14" si="52">U13</f>
        <v>18</v>
      </c>
      <c r="G14" s="77">
        <f t="shared" ref="G14" si="53">V13</f>
        <v>0</v>
      </c>
      <c r="H14" s="77"/>
      <c r="I14" s="77"/>
      <c r="J14" s="77"/>
      <c r="K14" s="77"/>
      <c r="L14" s="77"/>
      <c r="M14" s="77"/>
      <c r="N14" s="77"/>
      <c r="O14" s="77"/>
      <c r="P14" s="77">
        <v>1</v>
      </c>
      <c r="Q14" s="77"/>
      <c r="R14" s="77">
        <f t="shared" ref="R14" si="54">C14+H14-M14</f>
        <v>0</v>
      </c>
      <c r="S14" s="77">
        <f t="shared" ref="S14" si="55">D14+I14-N14</f>
        <v>0</v>
      </c>
      <c r="T14" s="77"/>
      <c r="U14" s="77">
        <f t="shared" ref="U14" si="56">F14+K14-P14</f>
        <v>17</v>
      </c>
      <c r="V14" s="77">
        <f t="shared" ref="V14" si="57">G14+L14-Q14</f>
        <v>0</v>
      </c>
      <c r="W14" s="124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</row>
    <row r="15" spans="1:38" ht="35.1" hidden="1" customHeight="1" x14ac:dyDescent="0.3">
      <c r="A15" s="77"/>
      <c r="B15" s="85" t="s">
        <v>461</v>
      </c>
      <c r="C15" s="77">
        <f t="shared" ref="C15" si="58">R14</f>
        <v>0</v>
      </c>
      <c r="D15" s="77">
        <f t="shared" ref="D15" si="59">S14</f>
        <v>0</v>
      </c>
      <c r="E15" s="77"/>
      <c r="F15" s="77">
        <f t="shared" ref="F15" si="60">U14</f>
        <v>17</v>
      </c>
      <c r="G15" s="77">
        <f t="shared" ref="G15" si="61">V14</f>
        <v>0</v>
      </c>
      <c r="H15" s="77"/>
      <c r="I15" s="77"/>
      <c r="J15" s="77"/>
      <c r="K15" s="77"/>
      <c r="L15" s="77"/>
      <c r="M15" s="77"/>
      <c r="N15" s="77"/>
      <c r="O15" s="77"/>
      <c r="P15" s="77">
        <v>1</v>
      </c>
      <c r="Q15" s="77"/>
      <c r="R15" s="77">
        <f t="shared" ref="R15" si="62">C15+H15-M15</f>
        <v>0</v>
      </c>
      <c r="S15" s="77">
        <f t="shared" ref="S15" si="63">D15+I15-N15</f>
        <v>0</v>
      </c>
      <c r="T15" s="77"/>
      <c r="U15" s="77">
        <f t="shared" ref="U15" si="64">F15+K15-P15</f>
        <v>16</v>
      </c>
      <c r="V15" s="77">
        <f t="shared" ref="V15" si="65">G15+L15-Q15</f>
        <v>0</v>
      </c>
      <c r="W15" s="124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</row>
    <row r="16" spans="1:38" ht="35.1" hidden="1" customHeight="1" x14ac:dyDescent="0.3">
      <c r="A16" s="77"/>
      <c r="B16" s="85" t="s">
        <v>456</v>
      </c>
      <c r="C16" s="77">
        <f t="shared" ref="C16" si="66">R15</f>
        <v>0</v>
      </c>
      <c r="D16" s="77">
        <f t="shared" ref="D16" si="67">S15</f>
        <v>0</v>
      </c>
      <c r="E16" s="77"/>
      <c r="F16" s="77">
        <f t="shared" ref="F16" si="68">U15</f>
        <v>16</v>
      </c>
      <c r="G16" s="77">
        <f t="shared" ref="G16" si="69">V15</f>
        <v>0</v>
      </c>
      <c r="H16" s="77"/>
      <c r="I16" s="77">
        <v>11</v>
      </c>
      <c r="J16" s="77"/>
      <c r="K16" s="77">
        <f>4+40</f>
        <v>44</v>
      </c>
      <c r="L16" s="77"/>
      <c r="M16" s="77"/>
      <c r="N16" s="77">
        <v>10</v>
      </c>
      <c r="O16" s="77"/>
      <c r="P16" s="77">
        <v>11</v>
      </c>
      <c r="Q16" s="77"/>
      <c r="R16" s="77">
        <f t="shared" ref="R16" si="70">C16+H16-M16</f>
        <v>0</v>
      </c>
      <c r="S16" s="77">
        <f t="shared" ref="S16" si="71">D16+I16-N16</f>
        <v>1</v>
      </c>
      <c r="T16" s="77"/>
      <c r="U16" s="77">
        <f t="shared" ref="U16" si="72">F16+K16-P16</f>
        <v>49</v>
      </c>
      <c r="V16" s="77">
        <f t="shared" ref="V16" si="73">G16+L16-Q16</f>
        <v>0</v>
      </c>
      <c r="W16" s="124"/>
      <c r="X16" s="77" t="s">
        <v>462</v>
      </c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</row>
    <row r="17" spans="1:38" ht="35.1" hidden="1" customHeight="1" x14ac:dyDescent="0.3">
      <c r="A17" s="77"/>
      <c r="B17" s="85" t="s">
        <v>464</v>
      </c>
      <c r="C17" s="77">
        <f t="shared" ref="C17" si="74">R16</f>
        <v>0</v>
      </c>
      <c r="D17" s="77">
        <f t="shared" ref="D17" si="75">S16</f>
        <v>1</v>
      </c>
      <c r="E17" s="77"/>
      <c r="F17" s="77">
        <f t="shared" ref="F17" si="76">U16</f>
        <v>49</v>
      </c>
      <c r="G17" s="77">
        <f t="shared" ref="G17" si="77">V16</f>
        <v>0</v>
      </c>
      <c r="H17" s="77">
        <f>44+20</f>
        <v>64</v>
      </c>
      <c r="I17" s="77"/>
      <c r="J17" s="77"/>
      <c r="K17" s="77"/>
      <c r="L17" s="77"/>
      <c r="M17" s="77">
        <f>44+20</f>
        <v>64</v>
      </c>
      <c r="N17" s="77"/>
      <c r="O17" s="77"/>
      <c r="P17" s="77">
        <f>5+2+5</f>
        <v>12</v>
      </c>
      <c r="Q17" s="77"/>
      <c r="R17" s="77">
        <f t="shared" ref="R17" si="78">C17+H17-M17</f>
        <v>0</v>
      </c>
      <c r="S17" s="77">
        <f t="shared" ref="S17" si="79">D17+I17-N17</f>
        <v>1</v>
      </c>
      <c r="T17" s="77"/>
      <c r="U17" s="77">
        <f t="shared" ref="U17" si="80">F17+K17-P17</f>
        <v>37</v>
      </c>
      <c r="V17" s="77">
        <f t="shared" ref="V17" si="81">G17+L17-Q17</f>
        <v>0</v>
      </c>
      <c r="W17" s="124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</row>
    <row r="18" spans="1:38" ht="35.1" hidden="1" customHeight="1" x14ac:dyDescent="0.3">
      <c r="A18" s="77"/>
      <c r="B18" s="85" t="s">
        <v>469</v>
      </c>
      <c r="C18" s="77">
        <f t="shared" ref="C18" si="82">R17</f>
        <v>0</v>
      </c>
      <c r="D18" s="77">
        <f t="shared" ref="D18" si="83">S17</f>
        <v>1</v>
      </c>
      <c r="E18" s="77"/>
      <c r="F18" s="77">
        <f t="shared" ref="F18" si="84">U17</f>
        <v>37</v>
      </c>
      <c r="G18" s="77">
        <f t="shared" ref="G18" si="85">V17</f>
        <v>0</v>
      </c>
      <c r="H18" s="77"/>
      <c r="I18" s="77"/>
      <c r="J18" s="77"/>
      <c r="K18" s="77"/>
      <c r="L18" s="77"/>
      <c r="M18" s="77"/>
      <c r="N18" s="77"/>
      <c r="O18" s="77"/>
      <c r="P18" s="77">
        <v>10</v>
      </c>
      <c r="Q18" s="77"/>
      <c r="R18" s="77">
        <f t="shared" ref="R18" si="86">C18+H18-M18</f>
        <v>0</v>
      </c>
      <c r="S18" s="77">
        <f t="shared" ref="S18" si="87">D18+I18-N18</f>
        <v>1</v>
      </c>
      <c r="T18" s="77"/>
      <c r="U18" s="77">
        <f t="shared" ref="U18" si="88">F18+K18-P18</f>
        <v>27</v>
      </c>
      <c r="V18" s="77">
        <f t="shared" ref="V18" si="89">G18+L18-Q18</f>
        <v>0</v>
      </c>
      <c r="W18" s="124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</row>
    <row r="19" spans="1:38" ht="35.1" hidden="1" customHeight="1" x14ac:dyDescent="0.3">
      <c r="A19" s="77"/>
      <c r="B19" s="85" t="s">
        <v>468</v>
      </c>
      <c r="C19" s="77">
        <f t="shared" ref="C19" si="90">R18</f>
        <v>0</v>
      </c>
      <c r="D19" s="77">
        <f t="shared" ref="D19" si="91">S18</f>
        <v>1</v>
      </c>
      <c r="E19" s="77"/>
      <c r="F19" s="77">
        <f t="shared" ref="F19" si="92">U18</f>
        <v>27</v>
      </c>
      <c r="G19" s="77">
        <f t="shared" ref="G19" si="93">V18</f>
        <v>0</v>
      </c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>
        <f t="shared" ref="R19" si="94">C19+H19-M19</f>
        <v>0</v>
      </c>
      <c r="S19" s="77">
        <f t="shared" ref="S19" si="95">D19+I19-N19</f>
        <v>1</v>
      </c>
      <c r="T19" s="77"/>
      <c r="U19" s="77">
        <f t="shared" ref="U19" si="96">F19+K19-P19</f>
        <v>27</v>
      </c>
      <c r="V19" s="77">
        <f t="shared" ref="V19" si="97">G19+L19-Q19</f>
        <v>0</v>
      </c>
      <c r="W19" s="124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</row>
    <row r="20" spans="1:38" ht="35.1" hidden="1" customHeight="1" x14ac:dyDescent="0.3">
      <c r="A20" s="77"/>
      <c r="B20" s="85" t="s">
        <v>470</v>
      </c>
      <c r="C20" s="77">
        <f t="shared" ref="C20" si="98">R19</f>
        <v>0</v>
      </c>
      <c r="D20" s="77">
        <f t="shared" ref="D20" si="99">S19</f>
        <v>1</v>
      </c>
      <c r="E20" s="77"/>
      <c r="F20" s="77">
        <f t="shared" ref="F20" si="100">U19</f>
        <v>27</v>
      </c>
      <c r="G20" s="77">
        <f t="shared" ref="G20" si="101">V19</f>
        <v>0</v>
      </c>
      <c r="H20" s="77"/>
      <c r="I20" s="77"/>
      <c r="J20" s="77"/>
      <c r="K20" s="77"/>
      <c r="L20" s="77"/>
      <c r="M20" s="77"/>
      <c r="N20" s="77"/>
      <c r="O20" s="77"/>
      <c r="P20" s="77">
        <v>2</v>
      </c>
      <c r="Q20" s="77"/>
      <c r="R20" s="77">
        <f t="shared" ref="R20" si="102">C20+H20-M20</f>
        <v>0</v>
      </c>
      <c r="S20" s="77">
        <f t="shared" ref="S20" si="103">D20+I20-N20</f>
        <v>1</v>
      </c>
      <c r="T20" s="77"/>
      <c r="U20" s="77">
        <f t="shared" ref="U20" si="104">F20+K20-P20</f>
        <v>25</v>
      </c>
      <c r="V20" s="77">
        <f t="shared" ref="V20" si="105">G20+L20-Q20</f>
        <v>0</v>
      </c>
      <c r="W20" s="124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</row>
    <row r="21" spans="1:38" ht="35.1" customHeight="1" x14ac:dyDescent="0.3">
      <c r="A21" s="77"/>
      <c r="B21" s="85" t="s">
        <v>471</v>
      </c>
      <c r="C21" s="77">
        <f t="shared" ref="C21" si="106">R20</f>
        <v>0</v>
      </c>
      <c r="D21" s="77">
        <f t="shared" ref="D21" si="107">S20</f>
        <v>1</v>
      </c>
      <c r="E21" s="77"/>
      <c r="F21" s="77">
        <f t="shared" ref="F21" si="108">U20</f>
        <v>25</v>
      </c>
      <c r="G21" s="77">
        <f t="shared" ref="G21" si="109">V20</f>
        <v>0</v>
      </c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>
        <f t="shared" ref="R21" si="110">C21+H21-M21</f>
        <v>0</v>
      </c>
      <c r="S21" s="77">
        <f t="shared" ref="S21" si="111">D21+I21-N21</f>
        <v>1</v>
      </c>
      <c r="T21" s="77"/>
      <c r="U21" s="77">
        <f t="shared" ref="U21" si="112">F21+K21-P21</f>
        <v>25</v>
      </c>
      <c r="V21" s="77">
        <f t="shared" ref="V21" si="113">G21+L21-Q21</f>
        <v>0</v>
      </c>
      <c r="W21" s="124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</row>
    <row r="22" spans="1:38" ht="35.1" customHeight="1" x14ac:dyDescent="0.3">
      <c r="A22" s="77"/>
      <c r="B22" s="85" t="s">
        <v>472</v>
      </c>
      <c r="C22" s="77">
        <f t="shared" ref="C22" si="114">R21</f>
        <v>0</v>
      </c>
      <c r="D22" s="77">
        <f t="shared" ref="D22" si="115">S21</f>
        <v>1</v>
      </c>
      <c r="E22" s="77"/>
      <c r="F22" s="77">
        <f t="shared" ref="F22" si="116">U21</f>
        <v>25</v>
      </c>
      <c r="G22" s="77">
        <f t="shared" ref="G22" si="117">V21</f>
        <v>0</v>
      </c>
      <c r="H22" s="77"/>
      <c r="I22" s="77"/>
      <c r="J22" s="77"/>
      <c r="K22" s="77"/>
      <c r="L22" s="77"/>
      <c r="M22" s="77"/>
      <c r="N22" s="77"/>
      <c r="O22" s="77"/>
      <c r="P22" s="77">
        <v>1</v>
      </c>
      <c r="Q22" s="77"/>
      <c r="R22" s="77">
        <f t="shared" ref="R22" si="118">C22+H22-M22</f>
        <v>0</v>
      </c>
      <c r="S22" s="77">
        <f t="shared" ref="S22" si="119">D22+I22-N22</f>
        <v>1</v>
      </c>
      <c r="T22" s="77"/>
      <c r="U22" s="77">
        <f t="shared" ref="U22" si="120">F22+K22-P22</f>
        <v>24</v>
      </c>
      <c r="V22" s="77">
        <f t="shared" ref="V22" si="121">G22+L22-Q22</f>
        <v>0</v>
      </c>
      <c r="W22" s="124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</row>
    <row r="23" spans="1:38" ht="35.1" customHeight="1" x14ac:dyDescent="0.3">
      <c r="A23" s="77"/>
      <c r="B23" s="182">
        <v>46032</v>
      </c>
      <c r="C23" s="77">
        <f t="shared" ref="C23" si="122">R22</f>
        <v>0</v>
      </c>
      <c r="D23" s="77">
        <f t="shared" ref="D23" si="123">S22</f>
        <v>1</v>
      </c>
      <c r="E23" s="77"/>
      <c r="F23" s="77">
        <f t="shared" ref="F23" si="124">U22</f>
        <v>24</v>
      </c>
      <c r="G23" s="77">
        <f t="shared" ref="G23" si="125">V22</f>
        <v>0</v>
      </c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>
        <f t="shared" ref="R23" si="126">C23+H23-M23</f>
        <v>0</v>
      </c>
      <c r="S23" s="77">
        <f t="shared" ref="S23" si="127">D23+I23-N23</f>
        <v>1</v>
      </c>
      <c r="T23" s="77"/>
      <c r="U23" s="77">
        <f t="shared" ref="U23" si="128">F23+K23-P23</f>
        <v>24</v>
      </c>
      <c r="V23" s="77">
        <f t="shared" ref="V23" si="129">G23+L23-Q23</f>
        <v>0</v>
      </c>
      <c r="W23" s="124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</row>
    <row r="24" spans="1:38" ht="35.1" customHeight="1" x14ac:dyDescent="0.3">
      <c r="A24" s="77"/>
      <c r="B24" s="182">
        <v>46063</v>
      </c>
      <c r="C24" s="77">
        <f t="shared" ref="C24" si="130">R23</f>
        <v>0</v>
      </c>
      <c r="D24" s="77">
        <f t="shared" ref="D24" si="131">S23</f>
        <v>1</v>
      </c>
      <c r="E24" s="77"/>
      <c r="F24" s="77">
        <f t="shared" ref="F24" si="132">U23</f>
        <v>24</v>
      </c>
      <c r="G24" s="77">
        <f t="shared" ref="G24" si="133">V23</f>
        <v>0</v>
      </c>
      <c r="H24" s="77"/>
      <c r="I24" s="77"/>
      <c r="J24" s="77"/>
      <c r="K24" s="77"/>
      <c r="L24" s="77"/>
      <c r="M24" s="77"/>
      <c r="N24" s="77"/>
      <c r="O24" s="77"/>
      <c r="P24" s="77">
        <v>3</v>
      </c>
      <c r="Q24" s="77"/>
      <c r="R24" s="77">
        <f t="shared" ref="R24" si="134">C24+H24-M24</f>
        <v>0</v>
      </c>
      <c r="S24" s="77">
        <f t="shared" ref="S24" si="135">D24+I24-N24</f>
        <v>1</v>
      </c>
      <c r="T24" s="77"/>
      <c r="U24" s="77">
        <f t="shared" ref="U24" si="136">F24+K24-P24</f>
        <v>21</v>
      </c>
      <c r="V24" s="77">
        <f t="shared" ref="V24" si="137">G24+L24-Q24</f>
        <v>0</v>
      </c>
      <c r="W24" s="124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</row>
    <row r="25" spans="1:38" ht="35.1" customHeight="1" x14ac:dyDescent="0.3">
      <c r="A25" s="77"/>
      <c r="B25" s="182">
        <v>46091</v>
      </c>
      <c r="C25" s="77">
        <f t="shared" ref="C25" si="138">R24</f>
        <v>0</v>
      </c>
      <c r="D25" s="77">
        <f t="shared" ref="D25" si="139">S24</f>
        <v>1</v>
      </c>
      <c r="E25" s="77"/>
      <c r="F25" s="77">
        <f t="shared" ref="F25" si="140">U24</f>
        <v>21</v>
      </c>
      <c r="G25" s="77">
        <f t="shared" ref="G25" si="141">V24</f>
        <v>0</v>
      </c>
      <c r="H25" s="77"/>
      <c r="I25" s="77"/>
      <c r="J25" s="77"/>
      <c r="K25" s="77"/>
      <c r="L25" s="77"/>
      <c r="M25" s="77"/>
      <c r="N25" s="77"/>
      <c r="O25" s="77"/>
      <c r="P25" s="77">
        <v>5</v>
      </c>
      <c r="Q25" s="77"/>
      <c r="R25" s="77">
        <f t="shared" ref="R25" si="142">C25+H25-M25</f>
        <v>0</v>
      </c>
      <c r="S25" s="77">
        <f t="shared" ref="S25" si="143">D25+I25-N25</f>
        <v>1</v>
      </c>
      <c r="T25" s="77"/>
      <c r="U25" s="77">
        <f t="shared" ref="U25" si="144">F25+K25-P25</f>
        <v>16</v>
      </c>
      <c r="V25" s="77">
        <f t="shared" ref="V25" si="145">G25+L25-Q25</f>
        <v>0</v>
      </c>
      <c r="W25" s="124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</row>
    <row r="26" spans="1:38" ht="35.1" customHeight="1" x14ac:dyDescent="0.3">
      <c r="A26" s="77"/>
      <c r="B26" s="182">
        <v>46122</v>
      </c>
      <c r="C26" s="77">
        <f t="shared" ref="C26:C27" si="146">R25</f>
        <v>0</v>
      </c>
      <c r="D26" s="77">
        <f t="shared" ref="D26:D27" si="147">S25</f>
        <v>1</v>
      </c>
      <c r="E26" s="77"/>
      <c r="F26" s="77">
        <f t="shared" ref="F26:F27" si="148">U25</f>
        <v>16</v>
      </c>
      <c r="G26" s="77">
        <f t="shared" ref="G26:G27" si="149">V25</f>
        <v>0</v>
      </c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>
        <f t="shared" ref="R26" si="150">C26+H26-M26</f>
        <v>0</v>
      </c>
      <c r="S26" s="77">
        <f t="shared" ref="S26" si="151">D26+I26-N26</f>
        <v>1</v>
      </c>
      <c r="T26" s="77"/>
      <c r="U26" s="77">
        <f t="shared" ref="U26" si="152">F26+K26-P26</f>
        <v>16</v>
      </c>
      <c r="V26" s="77">
        <f t="shared" ref="V26" si="153">G26+L26-Q26</f>
        <v>0</v>
      </c>
      <c r="W26" s="124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</row>
    <row r="27" spans="1:38" ht="35.1" customHeight="1" x14ac:dyDescent="0.3">
      <c r="A27" s="77"/>
      <c r="B27" s="182">
        <v>46152</v>
      </c>
      <c r="C27" s="77">
        <f t="shared" si="146"/>
        <v>0</v>
      </c>
      <c r="D27" s="77">
        <f t="shared" si="147"/>
        <v>1</v>
      </c>
      <c r="E27" s="77"/>
      <c r="F27" s="77">
        <f t="shared" si="148"/>
        <v>16</v>
      </c>
      <c r="G27" s="77">
        <f t="shared" si="149"/>
        <v>0</v>
      </c>
      <c r="H27" s="77"/>
      <c r="I27" s="77">
        <v>15</v>
      </c>
      <c r="J27" s="77"/>
      <c r="K27" s="77"/>
      <c r="L27" s="77"/>
      <c r="M27" s="77"/>
      <c r="N27" s="77">
        <v>15</v>
      </c>
      <c r="O27" s="77"/>
      <c r="P27" s="77">
        <v>7</v>
      </c>
      <c r="Q27" s="77"/>
      <c r="R27" s="77">
        <f t="shared" ref="R27" si="154">C27+H27-M27</f>
        <v>0</v>
      </c>
      <c r="S27" s="77">
        <f t="shared" ref="S27" si="155">D27+I27-N27</f>
        <v>1</v>
      </c>
      <c r="T27" s="77"/>
      <c r="U27" s="77">
        <f t="shared" ref="U27" si="156">F27+K27-P27</f>
        <v>9</v>
      </c>
      <c r="V27" s="77">
        <f t="shared" ref="V27" si="157">G27+L27-Q27</f>
        <v>0</v>
      </c>
      <c r="W27" s="124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</row>
    <row r="28" spans="1:38" ht="35.1" customHeight="1" x14ac:dyDescent="0.3">
      <c r="A28" s="77"/>
      <c r="B28" s="85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124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</row>
    <row r="29" spans="1:38" ht="35.1" customHeight="1" x14ac:dyDescent="0.3">
      <c r="A29" s="77"/>
      <c r="B29" s="85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124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</row>
    <row r="30" spans="1:38" ht="35.1" customHeight="1" x14ac:dyDescent="0.3">
      <c r="A30" s="77"/>
      <c r="B30" s="85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124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</row>
    <row r="31" spans="1:38" ht="35.1" customHeight="1" x14ac:dyDescent="0.3"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</row>
    <row r="32" spans="1:38" ht="35.1" customHeight="1" x14ac:dyDescent="0.3"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</row>
    <row r="33" spans="24:38" ht="35.1" customHeight="1" x14ac:dyDescent="0.3"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</row>
    <row r="34" spans="24:38" ht="35.1" customHeight="1" x14ac:dyDescent="0.3"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</row>
    <row r="35" spans="24:38" x14ac:dyDescent="0.3"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</row>
    <row r="36" spans="24:38" x14ac:dyDescent="0.3"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</row>
    <row r="37" spans="24:38" x14ac:dyDescent="0.3"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</row>
    <row r="38" spans="24:38" x14ac:dyDescent="0.3">
      <c r="X38" s="77"/>
      <c r="Y38" s="77" t="s">
        <v>387</v>
      </c>
      <c r="Z38" s="77"/>
      <c r="AA38" s="77">
        <v>2</v>
      </c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</row>
    <row r="39" spans="24:38" x14ac:dyDescent="0.3">
      <c r="X39" s="77"/>
      <c r="Y39" s="77" t="s">
        <v>372</v>
      </c>
      <c r="Z39" s="77"/>
      <c r="AA39" s="77">
        <v>36</v>
      </c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</row>
    <row r="40" spans="24:38" x14ac:dyDescent="0.3">
      <c r="X40" s="77"/>
      <c r="Y40" s="77" t="s">
        <v>397</v>
      </c>
      <c r="Z40" s="77"/>
      <c r="AA40" s="77">
        <v>6</v>
      </c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</row>
    <row r="41" spans="24:38" x14ac:dyDescent="0.3">
      <c r="X41" s="77"/>
      <c r="Y41" s="77" t="s">
        <v>398</v>
      </c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>
        <v>10</v>
      </c>
      <c r="AL41" s="77">
        <v>1</v>
      </c>
    </row>
    <row r="42" spans="24:38" x14ac:dyDescent="0.3">
      <c r="X42" s="77"/>
      <c r="Y42" s="77" t="s">
        <v>399</v>
      </c>
      <c r="Z42" s="77"/>
      <c r="AA42" s="77">
        <v>2</v>
      </c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</row>
    <row r="43" spans="24:38" x14ac:dyDescent="0.3">
      <c r="X43" s="77"/>
      <c r="Y43" s="77" t="s">
        <v>400</v>
      </c>
      <c r="Z43" s="77"/>
      <c r="AA43" s="77">
        <v>6</v>
      </c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</row>
    <row r="44" spans="24:38" x14ac:dyDescent="0.3">
      <c r="X44" s="77"/>
      <c r="Y44" s="77" t="s">
        <v>401</v>
      </c>
      <c r="Z44" s="77"/>
      <c r="AA44" s="77">
        <v>2</v>
      </c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</row>
    <row r="45" spans="24:38" x14ac:dyDescent="0.3">
      <c r="X45" s="77"/>
      <c r="Y45" s="77" t="s">
        <v>402</v>
      </c>
      <c r="Z45" s="77"/>
      <c r="AA45" s="77"/>
      <c r="AB45" s="77"/>
      <c r="AC45" s="77"/>
      <c r="AD45" s="77"/>
      <c r="AE45" s="77"/>
      <c r="AF45" s="77"/>
      <c r="AG45" s="77"/>
      <c r="AH45" s="77"/>
      <c r="AI45" s="77">
        <v>4</v>
      </c>
      <c r="AJ45" s="77"/>
      <c r="AK45" s="77"/>
      <c r="AL45" s="77"/>
    </row>
    <row r="46" spans="24:38" x14ac:dyDescent="0.3">
      <c r="X46" s="77"/>
      <c r="Y46" s="77" t="s">
        <v>372</v>
      </c>
      <c r="Z46" s="77"/>
      <c r="AA46" s="77">
        <v>11</v>
      </c>
      <c r="AB46" s="77"/>
      <c r="AC46" s="77"/>
      <c r="AD46" s="77"/>
      <c r="AE46" s="77">
        <v>33</v>
      </c>
      <c r="AF46" s="77"/>
      <c r="AG46" s="77"/>
      <c r="AH46" s="77"/>
      <c r="AI46" s="77">
        <v>2</v>
      </c>
      <c r="AJ46" s="77"/>
      <c r="AK46" s="77"/>
      <c r="AL46" s="77"/>
    </row>
    <row r="47" spans="24:38" x14ac:dyDescent="0.3">
      <c r="X47" s="77"/>
      <c r="Y47" s="77" t="s">
        <v>403</v>
      </c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>
        <v>8</v>
      </c>
      <c r="AL47" s="77"/>
    </row>
    <row r="48" spans="24:38" x14ac:dyDescent="0.3">
      <c r="X48" s="77"/>
      <c r="Y48" s="77" t="s">
        <v>392</v>
      </c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>
        <v>4</v>
      </c>
      <c r="AL48" s="77"/>
    </row>
    <row r="49" spans="24:38" x14ac:dyDescent="0.3">
      <c r="X49" s="123">
        <v>46243</v>
      </c>
      <c r="Y49" s="77" t="s">
        <v>404</v>
      </c>
      <c r="Z49" s="77"/>
      <c r="AA49" s="77">
        <v>22</v>
      </c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</row>
    <row r="50" spans="24:38" x14ac:dyDescent="0.3">
      <c r="X50" s="77"/>
      <c r="Y50" s="77" t="s">
        <v>404</v>
      </c>
      <c r="Z50" s="77"/>
      <c r="AA50" s="77">
        <v>22</v>
      </c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</row>
    <row r="51" spans="24:38" x14ac:dyDescent="0.3">
      <c r="X51" s="77"/>
      <c r="Y51" s="77" t="s">
        <v>404</v>
      </c>
      <c r="Z51" s="77"/>
      <c r="AA51" s="77"/>
      <c r="AB51" s="77"/>
      <c r="AC51" s="77"/>
      <c r="AD51" s="77"/>
      <c r="AE51" s="77">
        <v>11</v>
      </c>
      <c r="AF51" s="77"/>
      <c r="AG51" s="77"/>
      <c r="AH51" s="77"/>
      <c r="AI51" s="77">
        <v>4</v>
      </c>
      <c r="AJ51" s="77"/>
      <c r="AK51" s="77"/>
      <c r="AL51" s="77"/>
    </row>
    <row r="52" spans="24:38" x14ac:dyDescent="0.3">
      <c r="X52" s="77"/>
      <c r="Y52" s="77" t="s">
        <v>50</v>
      </c>
      <c r="Z52" s="77"/>
      <c r="AA52" s="77">
        <v>3</v>
      </c>
      <c r="AB52" s="77"/>
      <c r="AC52" s="77"/>
      <c r="AD52" s="77"/>
      <c r="AE52" s="77">
        <v>3</v>
      </c>
      <c r="AF52" s="77"/>
      <c r="AG52" s="77"/>
      <c r="AH52" s="77"/>
      <c r="AI52" s="77"/>
      <c r="AJ52" s="77"/>
      <c r="AK52" s="77"/>
      <c r="AL52" s="77"/>
    </row>
    <row r="53" spans="24:38" x14ac:dyDescent="0.3">
      <c r="X53" s="77"/>
      <c r="Y53" s="77" t="s">
        <v>405</v>
      </c>
      <c r="Z53" s="77"/>
      <c r="AA53" s="77">
        <v>2</v>
      </c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</row>
    <row r="54" spans="24:38" x14ac:dyDescent="0.3">
      <c r="X54" s="77"/>
      <c r="Y54" s="77" t="s">
        <v>397</v>
      </c>
      <c r="Z54" s="77"/>
      <c r="AA54" s="77">
        <v>4</v>
      </c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</row>
    <row r="55" spans="24:38" x14ac:dyDescent="0.3">
      <c r="X55" s="77"/>
      <c r="Y55" s="77" t="s">
        <v>404</v>
      </c>
      <c r="Z55" s="77"/>
      <c r="AA55" s="77"/>
      <c r="AB55" s="77"/>
      <c r="AC55" s="77"/>
      <c r="AD55" s="77"/>
      <c r="AE55" s="77">
        <v>22</v>
      </c>
      <c r="AF55" s="77"/>
      <c r="AG55" s="77"/>
      <c r="AH55" s="77"/>
      <c r="AI55" s="77"/>
      <c r="AJ55" s="77"/>
      <c r="AK55" s="77"/>
      <c r="AL55" s="77"/>
    </row>
    <row r="56" spans="24:38" x14ac:dyDescent="0.3">
      <c r="X56" s="77"/>
      <c r="Y56" s="77" t="s">
        <v>406</v>
      </c>
      <c r="Z56" s="77"/>
      <c r="AA56" s="77"/>
      <c r="AB56" s="77"/>
      <c r="AC56" s="77"/>
      <c r="AD56" s="77"/>
      <c r="AE56" s="77"/>
      <c r="AF56" s="77"/>
      <c r="AG56" s="77"/>
      <c r="AH56" s="77"/>
      <c r="AI56" s="77">
        <v>3</v>
      </c>
      <c r="AJ56" s="77"/>
      <c r="AK56" s="77"/>
      <c r="AL56" s="77"/>
    </row>
    <row r="57" spans="24:38" x14ac:dyDescent="0.3"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</row>
    <row r="58" spans="24:38" x14ac:dyDescent="0.3"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</row>
    <row r="59" spans="24:38" x14ac:dyDescent="0.3"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</row>
    <row r="60" spans="24:38" x14ac:dyDescent="0.3"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</row>
    <row r="61" spans="24:38" x14ac:dyDescent="0.3"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</row>
    <row r="62" spans="24:38" x14ac:dyDescent="0.3"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</row>
    <row r="63" spans="24:38" x14ac:dyDescent="0.3"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</row>
    <row r="64" spans="24:38" x14ac:dyDescent="0.3"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</row>
    <row r="65" spans="24:38" x14ac:dyDescent="0.3"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</row>
    <row r="66" spans="24:38" x14ac:dyDescent="0.3">
      <c r="X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</row>
    <row r="67" spans="24:38" x14ac:dyDescent="0.3"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</row>
    <row r="68" spans="24:38" x14ac:dyDescent="0.3"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</row>
    <row r="69" spans="24:38" x14ac:dyDescent="0.3">
      <c r="X69" s="77"/>
      <c r="Y69" s="77"/>
      <c r="Z69" s="109" t="s">
        <v>381</v>
      </c>
      <c r="AA69" s="77">
        <f t="shared" ref="AA69:AL69" si="158">SUM(AA38:AA65)</f>
        <v>118</v>
      </c>
      <c r="AB69" s="77">
        <f t="shared" si="158"/>
        <v>0</v>
      </c>
      <c r="AC69" s="77">
        <f t="shared" si="158"/>
        <v>0</v>
      </c>
      <c r="AD69" s="77">
        <f t="shared" si="158"/>
        <v>0</v>
      </c>
      <c r="AE69" s="77">
        <f t="shared" si="158"/>
        <v>69</v>
      </c>
      <c r="AF69" s="77">
        <f t="shared" si="158"/>
        <v>0</v>
      </c>
      <c r="AG69" s="77">
        <f t="shared" si="158"/>
        <v>0</v>
      </c>
      <c r="AH69" s="77">
        <f t="shared" si="158"/>
        <v>0</v>
      </c>
      <c r="AI69" s="77">
        <f t="shared" si="158"/>
        <v>13</v>
      </c>
      <c r="AJ69" s="77">
        <f t="shared" si="158"/>
        <v>0</v>
      </c>
      <c r="AK69" s="77">
        <f t="shared" si="158"/>
        <v>22</v>
      </c>
      <c r="AL69" s="77">
        <f t="shared" si="158"/>
        <v>1</v>
      </c>
    </row>
    <row r="70" spans="24:38" x14ac:dyDescent="0.3">
      <c r="X70" s="77"/>
      <c r="Y70" s="77"/>
      <c r="Z70" s="109" t="s">
        <v>382</v>
      </c>
      <c r="AA70" s="110">
        <f>I4+I124-AA69</f>
        <v>-118</v>
      </c>
      <c r="AB70" s="110">
        <f>K4+K124-AB69</f>
        <v>50</v>
      </c>
      <c r="AC70" s="110">
        <f>L4+L124-AC69</f>
        <v>0</v>
      </c>
      <c r="AD70" s="110">
        <f>M4+M124-AD69</f>
        <v>0</v>
      </c>
      <c r="AE70" s="110">
        <f>N4+N124-AE69</f>
        <v>-69</v>
      </c>
      <c r="AF70" s="110">
        <f>P4+P124-AF69</f>
        <v>2</v>
      </c>
      <c r="AG70" s="110">
        <f>Q4+Q124-AG69</f>
        <v>0</v>
      </c>
      <c r="AH70" s="110">
        <f>R4+R124-AH69</f>
        <v>0</v>
      </c>
      <c r="AI70" s="110">
        <f>S4+S124-AI69</f>
        <v>-13</v>
      </c>
      <c r="AJ70" s="110">
        <f t="shared" ref="AJ70:AL70" si="159">U4+U124-AJ69</f>
        <v>48</v>
      </c>
      <c r="AK70" s="110">
        <f t="shared" si="159"/>
        <v>-22</v>
      </c>
      <c r="AL70" s="110">
        <f t="shared" si="159"/>
        <v>-1</v>
      </c>
    </row>
    <row r="71" spans="24:38" x14ac:dyDescent="0.3">
      <c r="X71" s="77"/>
    </row>
    <row r="72" spans="24:38" x14ac:dyDescent="0.3">
      <c r="X72" s="77"/>
    </row>
    <row r="73" spans="24:38" x14ac:dyDescent="0.3">
      <c r="X73" s="77"/>
    </row>
    <row r="74" spans="24:38" x14ac:dyDescent="0.3">
      <c r="X74" s="77"/>
    </row>
    <row r="75" spans="24:38" x14ac:dyDescent="0.3">
      <c r="X75" s="77"/>
    </row>
    <row r="76" spans="24:38" x14ac:dyDescent="0.3">
      <c r="X76" s="77"/>
    </row>
    <row r="77" spans="24:38" x14ac:dyDescent="0.3">
      <c r="X77" s="77"/>
    </row>
    <row r="78" spans="24:38" x14ac:dyDescent="0.3">
      <c r="X78" s="77"/>
    </row>
    <row r="79" spans="24:38" x14ac:dyDescent="0.3">
      <c r="X79" s="77"/>
    </row>
    <row r="80" spans="24:38" x14ac:dyDescent="0.3">
      <c r="X80" s="77"/>
    </row>
    <row r="81" spans="24:24" x14ac:dyDescent="0.3">
      <c r="X81" s="77"/>
    </row>
    <row r="82" spans="24:24" x14ac:dyDescent="0.3">
      <c r="X82" s="77"/>
    </row>
    <row r="83" spans="24:24" x14ac:dyDescent="0.3">
      <c r="X83" s="77"/>
    </row>
    <row r="84" spans="24:24" x14ac:dyDescent="0.3">
      <c r="X84" s="77"/>
    </row>
    <row r="85" spans="24:24" x14ac:dyDescent="0.3">
      <c r="X85" s="77"/>
    </row>
    <row r="86" spans="24:24" x14ac:dyDescent="0.3">
      <c r="X86" s="77"/>
    </row>
    <row r="87" spans="24:24" x14ac:dyDescent="0.3">
      <c r="X87" s="77"/>
    </row>
    <row r="88" spans="24:24" x14ac:dyDescent="0.3">
      <c r="X88" s="77"/>
    </row>
    <row r="89" spans="24:24" x14ac:dyDescent="0.3">
      <c r="X89" s="77"/>
    </row>
    <row r="90" spans="24:24" x14ac:dyDescent="0.3">
      <c r="X90" s="77"/>
    </row>
    <row r="91" spans="24:24" x14ac:dyDescent="0.3">
      <c r="X91" s="77"/>
    </row>
    <row r="92" spans="24:24" x14ac:dyDescent="0.3">
      <c r="X92" s="77"/>
    </row>
    <row r="93" spans="24:24" x14ac:dyDescent="0.3">
      <c r="X93" s="77"/>
    </row>
    <row r="94" spans="24:24" x14ac:dyDescent="0.3">
      <c r="X94" s="77"/>
    </row>
    <row r="95" spans="24:24" x14ac:dyDescent="0.3">
      <c r="X95" s="77"/>
    </row>
    <row r="96" spans="24:24" x14ac:dyDescent="0.3">
      <c r="X96" s="77"/>
    </row>
    <row r="97" spans="24:24" x14ac:dyDescent="0.3">
      <c r="X97" s="77"/>
    </row>
    <row r="98" spans="24:24" x14ac:dyDescent="0.3">
      <c r="X98" s="77"/>
    </row>
    <row r="99" spans="24:24" x14ac:dyDescent="0.3">
      <c r="X99" s="77"/>
    </row>
    <row r="100" spans="24:24" x14ac:dyDescent="0.3">
      <c r="X100" s="77"/>
    </row>
    <row r="101" spans="24:24" x14ac:dyDescent="0.3">
      <c r="X101" s="77"/>
    </row>
    <row r="102" spans="24:24" x14ac:dyDescent="0.3">
      <c r="X102" s="77"/>
    </row>
    <row r="103" spans="24:24" x14ac:dyDescent="0.3">
      <c r="X103" s="77"/>
    </row>
    <row r="104" spans="24:24" x14ac:dyDescent="0.3">
      <c r="X104" s="77"/>
    </row>
    <row r="105" spans="24:24" x14ac:dyDescent="0.3">
      <c r="X105" s="77"/>
    </row>
    <row r="106" spans="24:24" x14ac:dyDescent="0.3">
      <c r="X106" s="77"/>
    </row>
    <row r="107" spans="24:24" x14ac:dyDescent="0.3">
      <c r="X107" s="77"/>
    </row>
    <row r="108" spans="24:24" x14ac:dyDescent="0.3">
      <c r="X108" s="77"/>
    </row>
    <row r="109" spans="24:24" x14ac:dyDescent="0.3">
      <c r="X109" s="77"/>
    </row>
    <row r="110" spans="24:24" x14ac:dyDescent="0.3">
      <c r="X110" s="77"/>
    </row>
    <row r="111" spans="24:24" x14ac:dyDescent="0.3">
      <c r="X111" s="77"/>
    </row>
    <row r="112" spans="24:24" x14ac:dyDescent="0.3">
      <c r="X112" s="77"/>
    </row>
    <row r="113" spans="24:24" x14ac:dyDescent="0.3">
      <c r="X113" s="77"/>
    </row>
    <row r="114" spans="24:24" x14ac:dyDescent="0.3">
      <c r="X114" s="77"/>
    </row>
    <row r="115" spans="24:24" x14ac:dyDescent="0.3">
      <c r="X115" s="77"/>
    </row>
    <row r="116" spans="24:24" x14ac:dyDescent="0.3">
      <c r="X116" s="77"/>
    </row>
    <row r="117" spans="24:24" x14ac:dyDescent="0.3">
      <c r="X117" s="77"/>
    </row>
    <row r="118" spans="24:24" x14ac:dyDescent="0.3">
      <c r="X118" s="77"/>
    </row>
    <row r="119" spans="24:24" x14ac:dyDescent="0.3">
      <c r="X119" s="77"/>
    </row>
    <row r="120" spans="24:24" x14ac:dyDescent="0.3">
      <c r="X120" s="77"/>
    </row>
    <row r="121" spans="24:24" x14ac:dyDescent="0.3">
      <c r="X121" s="77"/>
    </row>
    <row r="122" spans="24:24" x14ac:dyDescent="0.3">
      <c r="X122" s="77"/>
    </row>
    <row r="123" spans="24:24" x14ac:dyDescent="0.3">
      <c r="X123" s="77"/>
    </row>
    <row r="124" spans="24:24" x14ac:dyDescent="0.3">
      <c r="X124" s="77"/>
    </row>
    <row r="125" spans="24:24" x14ac:dyDescent="0.3">
      <c r="X125" s="77"/>
    </row>
  </sheetData>
  <mergeCells count="4">
    <mergeCell ref="C1:G1"/>
    <mergeCell ref="H1:L1"/>
    <mergeCell ref="M1:Q1"/>
    <mergeCell ref="R1:V1"/>
  </mergeCells>
  <dataValidations count="1">
    <dataValidation type="list" allowBlank="1" showInputMessage="1" showErrorMessage="1" sqref="Y69:Y1070 Y1:Y3" xr:uid="{4D1969D8-6AC5-4AE6-B529-BF5D06478DAE}">
      <formula1>$A$3:$A$475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9BB20-E06D-4FDA-8AA1-20C06565DD5E}">
  <dimension ref="A1:AL123"/>
  <sheetViews>
    <sheetView workbookViewId="0">
      <selection activeCell="L26" sqref="L26"/>
    </sheetView>
  </sheetViews>
  <sheetFormatPr defaultColWidth="10.109375" defaultRowHeight="14.4" x14ac:dyDescent="0.3"/>
  <cols>
    <col min="1" max="1" width="5.5546875" customWidth="1"/>
    <col min="2" max="2" width="13.109375" style="79" customWidth="1"/>
    <col min="3" max="3" width="13.109375" customWidth="1"/>
    <col min="4" max="5" width="11.109375" customWidth="1"/>
    <col min="19" max="20" width="11.6640625" customWidth="1"/>
    <col min="24" max="25" width="26.6640625" customWidth="1"/>
    <col min="26" max="26" width="23.6640625" customWidth="1"/>
    <col min="28" max="28" width="7.88671875" customWidth="1"/>
    <col min="29" max="29" width="7.33203125" customWidth="1"/>
    <col min="30" max="30" width="9.33203125" customWidth="1"/>
    <col min="31" max="31" width="8" customWidth="1"/>
    <col min="32" max="33" width="8.109375" customWidth="1"/>
    <col min="34" max="34" width="7.88671875" customWidth="1"/>
    <col min="35" max="35" width="7.109375" customWidth="1"/>
    <col min="36" max="36" width="8.109375" customWidth="1"/>
    <col min="37" max="37" width="7.44140625" customWidth="1"/>
    <col min="38" max="38" width="7.6640625" customWidth="1"/>
  </cols>
  <sheetData>
    <row r="1" spans="1:38" ht="30.6" customHeight="1" x14ac:dyDescent="0.3">
      <c r="A1" s="78" t="s">
        <v>3</v>
      </c>
      <c r="B1" s="78" t="s">
        <v>344</v>
      </c>
      <c r="C1" s="388" t="s">
        <v>345</v>
      </c>
      <c r="D1" s="388"/>
      <c r="E1" s="388"/>
      <c r="F1" s="388"/>
      <c r="G1" s="388"/>
      <c r="H1" s="389" t="s">
        <v>346</v>
      </c>
      <c r="I1" s="389"/>
      <c r="J1" s="389"/>
      <c r="K1" s="389"/>
      <c r="L1" s="389"/>
      <c r="M1" s="390" t="s">
        <v>347</v>
      </c>
      <c r="N1" s="390"/>
      <c r="O1" s="390"/>
      <c r="P1" s="390"/>
      <c r="Q1" s="390"/>
      <c r="R1" s="391" t="s">
        <v>348</v>
      </c>
      <c r="S1" s="391"/>
      <c r="T1" s="391"/>
      <c r="U1" s="391"/>
      <c r="V1" s="391"/>
      <c r="W1" s="77"/>
      <c r="X1" s="112"/>
      <c r="Y1" s="111" t="s">
        <v>347</v>
      </c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</row>
    <row r="2" spans="1:38" ht="32.85" customHeight="1" x14ac:dyDescent="0.3">
      <c r="A2" s="77"/>
      <c r="B2" s="80"/>
      <c r="C2" s="81" t="s">
        <v>349</v>
      </c>
      <c r="D2" s="81" t="s">
        <v>350</v>
      </c>
      <c r="E2" s="81" t="s">
        <v>424</v>
      </c>
      <c r="F2" s="81" t="s">
        <v>351</v>
      </c>
      <c r="G2" s="81" t="s">
        <v>352</v>
      </c>
      <c r="H2" s="82" t="s">
        <v>349</v>
      </c>
      <c r="I2" s="82" t="s">
        <v>350</v>
      </c>
      <c r="J2" s="184" t="s">
        <v>424</v>
      </c>
      <c r="K2" s="82" t="s">
        <v>351</v>
      </c>
      <c r="L2" s="82" t="s">
        <v>352</v>
      </c>
      <c r="M2" s="83" t="s">
        <v>349</v>
      </c>
      <c r="N2" s="83" t="s">
        <v>350</v>
      </c>
      <c r="O2" s="83" t="s">
        <v>412</v>
      </c>
      <c r="P2" s="83" t="s">
        <v>351</v>
      </c>
      <c r="Q2" s="83" t="s">
        <v>352</v>
      </c>
      <c r="R2" s="84" t="s">
        <v>349</v>
      </c>
      <c r="S2" s="84" t="s">
        <v>350</v>
      </c>
      <c r="T2" s="84" t="s">
        <v>412</v>
      </c>
      <c r="U2" s="84" t="s">
        <v>351</v>
      </c>
      <c r="V2" s="84" t="s">
        <v>352</v>
      </c>
      <c r="W2" s="77"/>
      <c r="X2" s="113"/>
      <c r="Y2" s="105" t="s">
        <v>296</v>
      </c>
      <c r="Z2" s="105" t="s">
        <v>361</v>
      </c>
      <c r="AA2" s="106" t="s">
        <v>25</v>
      </c>
      <c r="AB2" s="104" t="s">
        <v>362</v>
      </c>
      <c r="AC2" s="104" t="s">
        <v>363</v>
      </c>
      <c r="AD2" s="104" t="s">
        <v>364</v>
      </c>
      <c r="AE2" s="104" t="s">
        <v>28</v>
      </c>
      <c r="AF2" s="104" t="s">
        <v>365</v>
      </c>
      <c r="AG2" s="104" t="s">
        <v>366</v>
      </c>
      <c r="AH2" s="104" t="s">
        <v>367</v>
      </c>
      <c r="AI2" s="104" t="s">
        <v>368</v>
      </c>
      <c r="AJ2" s="104" t="s">
        <v>369</v>
      </c>
      <c r="AK2" s="104" t="s">
        <v>38</v>
      </c>
      <c r="AL2" s="104" t="s">
        <v>370</v>
      </c>
    </row>
    <row r="3" spans="1:38" ht="32.85" hidden="1" customHeight="1" x14ac:dyDescent="0.35">
      <c r="A3" s="77"/>
      <c r="B3" s="80">
        <v>46273</v>
      </c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>
        <f>C3+H3-M3</f>
        <v>0</v>
      </c>
      <c r="S3" s="77">
        <f>D3+I3-N3</f>
        <v>0</v>
      </c>
      <c r="T3" s="77"/>
      <c r="U3" s="77">
        <f>F3+K3-P3</f>
        <v>0</v>
      </c>
      <c r="V3" s="77">
        <f>G3+L3-Q3</f>
        <v>0</v>
      </c>
      <c r="W3" s="77"/>
      <c r="X3" s="114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</row>
    <row r="4" spans="1:38" ht="32.85" hidden="1" customHeight="1" x14ac:dyDescent="0.3">
      <c r="A4" s="77"/>
      <c r="B4" s="80">
        <v>46274</v>
      </c>
      <c r="C4" s="77"/>
      <c r="D4" s="77"/>
      <c r="E4" s="77"/>
      <c r="F4" s="77"/>
      <c r="G4" s="77"/>
      <c r="H4" s="77"/>
      <c r="I4" s="77"/>
      <c r="J4" s="77"/>
      <c r="K4" s="77">
        <v>50</v>
      </c>
      <c r="L4" s="77"/>
      <c r="M4" s="77"/>
      <c r="N4" s="77"/>
      <c r="O4" s="77"/>
      <c r="P4" s="77">
        <v>2</v>
      </c>
      <c r="Q4" s="77"/>
      <c r="R4" s="77">
        <f t="shared" ref="R4:S7" si="0">C4+H4-M4</f>
        <v>0</v>
      </c>
      <c r="S4" s="77">
        <f t="shared" si="0"/>
        <v>0</v>
      </c>
      <c r="T4" s="77"/>
      <c r="U4" s="77">
        <f t="shared" ref="U4:V7" si="1">F4+K4-P4</f>
        <v>48</v>
      </c>
      <c r="V4" s="77">
        <f t="shared" si="1"/>
        <v>0</v>
      </c>
      <c r="W4" s="124"/>
      <c r="X4" s="123"/>
      <c r="Y4" s="86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</row>
    <row r="5" spans="1:38" ht="32.85" hidden="1" customHeight="1" x14ac:dyDescent="0.3">
      <c r="A5" s="77"/>
      <c r="B5" s="182">
        <v>46304</v>
      </c>
      <c r="C5" s="77">
        <f t="shared" ref="C5:D6" si="2">R4</f>
        <v>0</v>
      </c>
      <c r="D5" s="77">
        <f t="shared" si="2"/>
        <v>0</v>
      </c>
      <c r="E5" s="77"/>
      <c r="F5" s="77">
        <f t="shared" ref="F5:G6" si="3">U4</f>
        <v>48</v>
      </c>
      <c r="G5" s="77">
        <f t="shared" si="3"/>
        <v>0</v>
      </c>
      <c r="H5" s="77"/>
      <c r="I5" s="77"/>
      <c r="J5" s="77"/>
      <c r="K5" s="77">
        <v>40</v>
      </c>
      <c r="L5" s="77"/>
      <c r="M5" s="77"/>
      <c r="N5" s="77"/>
      <c r="O5" s="77"/>
      <c r="P5" s="77">
        <f>20+40+13</f>
        <v>73</v>
      </c>
      <c r="Q5" s="77"/>
      <c r="R5" s="77">
        <f t="shared" si="0"/>
        <v>0</v>
      </c>
      <c r="S5" s="77">
        <f t="shared" si="0"/>
        <v>0</v>
      </c>
      <c r="T5" s="77"/>
      <c r="U5" s="77">
        <f t="shared" si="1"/>
        <v>15</v>
      </c>
      <c r="V5" s="77">
        <f t="shared" si="1"/>
        <v>0</v>
      </c>
      <c r="W5" s="124"/>
      <c r="X5" s="77"/>
      <c r="Y5" s="171" t="s">
        <v>419</v>
      </c>
      <c r="Z5" s="77" t="s">
        <v>420</v>
      </c>
      <c r="AA5" s="77">
        <v>2</v>
      </c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</row>
    <row r="6" spans="1:38" ht="32.85" hidden="1" customHeight="1" x14ac:dyDescent="0.3">
      <c r="A6" s="77"/>
      <c r="B6" s="95" t="s">
        <v>429</v>
      </c>
      <c r="C6" s="77">
        <f t="shared" si="2"/>
        <v>0</v>
      </c>
      <c r="D6" s="77">
        <f t="shared" si="2"/>
        <v>0</v>
      </c>
      <c r="E6" s="77"/>
      <c r="F6" s="77">
        <f t="shared" si="3"/>
        <v>15</v>
      </c>
      <c r="G6" s="77">
        <f t="shared" si="3"/>
        <v>0</v>
      </c>
      <c r="H6" s="77"/>
      <c r="I6" s="77"/>
      <c r="J6" s="77"/>
      <c r="K6" s="77">
        <v>40</v>
      </c>
      <c r="L6" s="77"/>
      <c r="M6" s="77"/>
      <c r="N6" s="77"/>
      <c r="O6" s="77"/>
      <c r="P6" s="77">
        <v>4</v>
      </c>
      <c r="Q6" s="77"/>
      <c r="R6" s="77">
        <f t="shared" si="0"/>
        <v>0</v>
      </c>
      <c r="S6" s="77">
        <f t="shared" si="0"/>
        <v>0</v>
      </c>
      <c r="T6" s="77"/>
      <c r="U6" s="77">
        <f t="shared" si="1"/>
        <v>51</v>
      </c>
      <c r="V6" s="77">
        <f t="shared" si="1"/>
        <v>0</v>
      </c>
      <c r="W6" s="124"/>
      <c r="X6" s="77"/>
      <c r="Y6" s="183" t="s">
        <v>421</v>
      </c>
      <c r="Z6" s="77" t="s">
        <v>422</v>
      </c>
      <c r="AA6" s="77">
        <v>60</v>
      </c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</row>
    <row r="7" spans="1:38" ht="35.1" hidden="1" customHeight="1" x14ac:dyDescent="0.3">
      <c r="A7" s="77"/>
      <c r="B7" s="85" t="s">
        <v>437</v>
      </c>
      <c r="C7" s="77"/>
      <c r="D7" s="77"/>
      <c r="E7" s="77"/>
      <c r="F7" s="77"/>
      <c r="G7" s="77"/>
      <c r="H7" s="77"/>
      <c r="I7" s="77"/>
      <c r="J7" s="77"/>
      <c r="K7" s="77">
        <v>17</v>
      </c>
      <c r="L7" s="77">
        <v>30</v>
      </c>
      <c r="M7" s="77"/>
      <c r="N7" s="77"/>
      <c r="O7" s="77"/>
      <c r="P7" s="77"/>
      <c r="Q7" s="77"/>
      <c r="R7" s="77">
        <f>C7+H7-M7</f>
        <v>0</v>
      </c>
      <c r="S7" s="77">
        <f t="shared" si="0"/>
        <v>0</v>
      </c>
      <c r="T7" s="77">
        <f t="shared" ref="T7" si="4">E7+J7-O7</f>
        <v>0</v>
      </c>
      <c r="U7" s="77">
        <f t="shared" si="1"/>
        <v>17</v>
      </c>
      <c r="V7" s="77">
        <f t="shared" si="1"/>
        <v>30</v>
      </c>
      <c r="W7" s="124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spans="1:38" ht="35.1" hidden="1" customHeight="1" x14ac:dyDescent="0.3">
      <c r="A8" s="77"/>
      <c r="B8" s="85" t="s">
        <v>441</v>
      </c>
      <c r="C8" s="77">
        <f>R7</f>
        <v>0</v>
      </c>
      <c r="D8" s="77">
        <f t="shared" ref="D8:G8" si="5">S7</f>
        <v>0</v>
      </c>
      <c r="E8" s="77">
        <f t="shared" si="5"/>
        <v>0</v>
      </c>
      <c r="F8" s="77">
        <f t="shared" si="5"/>
        <v>17</v>
      </c>
      <c r="G8" s="77">
        <f t="shared" si="5"/>
        <v>30</v>
      </c>
      <c r="H8" s="77"/>
      <c r="I8" s="77"/>
      <c r="J8" s="77"/>
      <c r="K8" s="77"/>
      <c r="L8" s="77"/>
      <c r="M8" s="77"/>
      <c r="N8" s="77"/>
      <c r="O8" s="77"/>
      <c r="P8" s="77"/>
      <c r="Q8" s="77"/>
      <c r="R8" s="77">
        <f>C8+H8-M8</f>
        <v>0</v>
      </c>
      <c r="S8" s="77">
        <f t="shared" ref="S8" si="6">D8+I8-N8</f>
        <v>0</v>
      </c>
      <c r="T8" s="77">
        <f t="shared" ref="T8" si="7">E8+J8-O8</f>
        <v>0</v>
      </c>
      <c r="U8" s="77">
        <f t="shared" ref="U8" si="8">F8+K8-P8</f>
        <v>17</v>
      </c>
      <c r="V8" s="77">
        <f t="shared" ref="V8" si="9">G8+L8-Q8</f>
        <v>30</v>
      </c>
      <c r="W8" s="124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</row>
    <row r="9" spans="1:38" ht="35.1" hidden="1" customHeight="1" x14ac:dyDescent="0.3">
      <c r="A9" s="77"/>
      <c r="B9" s="85" t="s">
        <v>442</v>
      </c>
      <c r="C9" s="77">
        <f t="shared" ref="C9:C10" si="10">R8</f>
        <v>0</v>
      </c>
      <c r="D9" s="77">
        <f t="shared" ref="D9:D10" si="11">S8</f>
        <v>0</v>
      </c>
      <c r="E9" s="77">
        <f t="shared" ref="E9:E10" si="12">T8</f>
        <v>0</v>
      </c>
      <c r="F9" s="77">
        <f t="shared" ref="F9:F10" si="13">U8</f>
        <v>17</v>
      </c>
      <c r="G9" s="77">
        <f t="shared" ref="G9:G10" si="14">V8</f>
        <v>30</v>
      </c>
      <c r="H9" s="77"/>
      <c r="I9" s="77"/>
      <c r="J9" s="77"/>
      <c r="K9" s="77"/>
      <c r="L9" s="77"/>
      <c r="M9" s="77"/>
      <c r="N9" s="77"/>
      <c r="O9" s="77"/>
      <c r="P9" s="77"/>
      <c r="Q9" s="77"/>
      <c r="R9" s="77">
        <f t="shared" ref="R9:R10" si="15">C9+H9-M9</f>
        <v>0</v>
      </c>
      <c r="S9" s="77">
        <f t="shared" ref="S9:S10" si="16">D9+I9-N9</f>
        <v>0</v>
      </c>
      <c r="T9" s="77">
        <f t="shared" ref="T9:T10" si="17">E9+J9-O9</f>
        <v>0</v>
      </c>
      <c r="U9" s="77">
        <f t="shared" ref="U9:U10" si="18">F9+K9-P9</f>
        <v>17</v>
      </c>
      <c r="V9" s="77">
        <f t="shared" ref="V9:V10" si="19">G9+L9-Q9</f>
        <v>30</v>
      </c>
      <c r="W9" s="124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</row>
    <row r="10" spans="1:38" ht="35.1" hidden="1" customHeight="1" x14ac:dyDescent="0.3">
      <c r="A10" s="77"/>
      <c r="B10" s="85" t="s">
        <v>444</v>
      </c>
      <c r="C10" s="77">
        <f t="shared" si="10"/>
        <v>0</v>
      </c>
      <c r="D10" s="77">
        <f t="shared" si="11"/>
        <v>0</v>
      </c>
      <c r="E10" s="77">
        <f t="shared" si="12"/>
        <v>0</v>
      </c>
      <c r="F10" s="77">
        <f t="shared" si="13"/>
        <v>17</v>
      </c>
      <c r="G10" s="77">
        <f t="shared" si="14"/>
        <v>30</v>
      </c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>
        <f t="shared" si="15"/>
        <v>0</v>
      </c>
      <c r="S10" s="77">
        <f t="shared" si="16"/>
        <v>0</v>
      </c>
      <c r="T10" s="77">
        <f t="shared" si="17"/>
        <v>0</v>
      </c>
      <c r="U10" s="77">
        <f t="shared" si="18"/>
        <v>17</v>
      </c>
      <c r="V10" s="77">
        <f t="shared" si="19"/>
        <v>30</v>
      </c>
      <c r="W10" s="124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</row>
    <row r="11" spans="1:38" ht="35.1" hidden="1" customHeight="1" x14ac:dyDescent="0.3">
      <c r="A11" s="77"/>
      <c r="B11" s="85" t="s">
        <v>446</v>
      </c>
      <c r="C11" s="77">
        <f t="shared" ref="C11" si="20">R10</f>
        <v>0</v>
      </c>
      <c r="D11" s="77">
        <f t="shared" ref="D11" si="21">S10</f>
        <v>0</v>
      </c>
      <c r="E11" s="77">
        <f t="shared" ref="E11" si="22">T10</f>
        <v>0</v>
      </c>
      <c r="F11" s="77">
        <f t="shared" ref="F11" si="23">U10</f>
        <v>17</v>
      </c>
      <c r="G11" s="77">
        <f t="shared" ref="G11" si="24">V10</f>
        <v>30</v>
      </c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>
        <f t="shared" ref="R11" si="25">C11+H11-M11</f>
        <v>0</v>
      </c>
      <c r="S11" s="77">
        <f t="shared" ref="S11" si="26">D11+I11-N11</f>
        <v>0</v>
      </c>
      <c r="T11" s="77">
        <f t="shared" ref="T11" si="27">E11+J11-O11</f>
        <v>0</v>
      </c>
      <c r="U11" s="77">
        <f t="shared" ref="U11" si="28">F11+K11-P11</f>
        <v>17</v>
      </c>
      <c r="V11" s="77">
        <f t="shared" ref="V11" si="29">G11+L11-Q11</f>
        <v>30</v>
      </c>
      <c r="W11" s="124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</row>
    <row r="12" spans="1:38" ht="35.1" hidden="1" customHeight="1" x14ac:dyDescent="0.3">
      <c r="A12" s="77"/>
      <c r="B12" s="85" t="s">
        <v>455</v>
      </c>
      <c r="C12" s="77">
        <f t="shared" ref="C12" si="30">R11</f>
        <v>0</v>
      </c>
      <c r="D12" s="77">
        <f t="shared" ref="D12" si="31">S11</f>
        <v>0</v>
      </c>
      <c r="E12" s="77">
        <f t="shared" ref="E12" si="32">T11</f>
        <v>0</v>
      </c>
      <c r="F12" s="77">
        <f t="shared" ref="F12" si="33">U11</f>
        <v>17</v>
      </c>
      <c r="G12" s="77">
        <f t="shared" ref="G12" si="34">V11</f>
        <v>30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>
        <f t="shared" ref="R12" si="35">C12+H12-M12</f>
        <v>0</v>
      </c>
      <c r="S12" s="77">
        <f t="shared" ref="S12" si="36">D12+I12-N12</f>
        <v>0</v>
      </c>
      <c r="T12" s="77">
        <f t="shared" ref="T12" si="37">E12+J12-O12</f>
        <v>0</v>
      </c>
      <c r="U12" s="77">
        <f t="shared" ref="U12" si="38">F12+K12-P12</f>
        <v>17</v>
      </c>
      <c r="V12" s="77">
        <f t="shared" ref="V12" si="39">G12+L12-Q12</f>
        <v>30</v>
      </c>
      <c r="W12" s="124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</row>
    <row r="13" spans="1:38" ht="35.1" hidden="1" customHeight="1" x14ac:dyDescent="0.3">
      <c r="A13" s="77"/>
      <c r="B13" s="85" t="s">
        <v>461</v>
      </c>
      <c r="C13" s="77">
        <f t="shared" ref="C13" si="40">R12</f>
        <v>0</v>
      </c>
      <c r="D13" s="77">
        <f t="shared" ref="D13" si="41">S12</f>
        <v>0</v>
      </c>
      <c r="E13" s="77">
        <f t="shared" ref="E13" si="42">T12</f>
        <v>0</v>
      </c>
      <c r="F13" s="77">
        <f t="shared" ref="F13" si="43">U12</f>
        <v>17</v>
      </c>
      <c r="G13" s="77">
        <f t="shared" ref="G13" si="44">V12</f>
        <v>30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>
        <f t="shared" ref="R13" si="45">C13+H13-M13</f>
        <v>0</v>
      </c>
      <c r="S13" s="77">
        <f t="shared" ref="S13" si="46">D13+I13-N13</f>
        <v>0</v>
      </c>
      <c r="T13" s="77">
        <f t="shared" ref="T13" si="47">E13+J13-O13</f>
        <v>0</v>
      </c>
      <c r="U13" s="77">
        <f t="shared" ref="U13" si="48">F13+K13-P13</f>
        <v>17</v>
      </c>
      <c r="V13" s="77">
        <f t="shared" ref="V13" si="49">G13+L13-Q13</f>
        <v>30</v>
      </c>
      <c r="W13" s="124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</row>
    <row r="14" spans="1:38" ht="35.1" hidden="1" customHeight="1" x14ac:dyDescent="0.3">
      <c r="A14" s="77"/>
      <c r="B14" s="85" t="s">
        <v>456</v>
      </c>
      <c r="C14" s="77">
        <f t="shared" ref="C14" si="50">R13</f>
        <v>0</v>
      </c>
      <c r="D14" s="77">
        <f t="shared" ref="D14" si="51">S13</f>
        <v>0</v>
      </c>
      <c r="E14" s="77">
        <f t="shared" ref="E14" si="52">T13</f>
        <v>0</v>
      </c>
      <c r="F14" s="77">
        <f t="shared" ref="F14" si="53">U13</f>
        <v>17</v>
      </c>
      <c r="G14" s="77">
        <f t="shared" ref="G14" si="54">V13</f>
        <v>30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>
        <f t="shared" ref="R14" si="55">C14+H14-M14</f>
        <v>0</v>
      </c>
      <c r="S14" s="77">
        <f t="shared" ref="S14" si="56">D14+I14-N14</f>
        <v>0</v>
      </c>
      <c r="T14" s="77">
        <f t="shared" ref="T14" si="57">E14+J14-O14</f>
        <v>0</v>
      </c>
      <c r="U14" s="77">
        <f t="shared" ref="U14" si="58">F14+K14-P14</f>
        <v>17</v>
      </c>
      <c r="V14" s="77">
        <f t="shared" ref="V14" si="59">G14+L14-Q14</f>
        <v>30</v>
      </c>
      <c r="W14" s="124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</row>
    <row r="15" spans="1:38" ht="35.1" hidden="1" customHeight="1" x14ac:dyDescent="0.3">
      <c r="A15" s="77"/>
      <c r="B15" s="85" t="s">
        <v>464</v>
      </c>
      <c r="C15" s="77">
        <f t="shared" ref="C15:C16" si="60">R14</f>
        <v>0</v>
      </c>
      <c r="D15" s="77">
        <f t="shared" ref="D15:D16" si="61">S14</f>
        <v>0</v>
      </c>
      <c r="E15" s="77">
        <f t="shared" ref="E15:E16" si="62">T14</f>
        <v>0</v>
      </c>
      <c r="F15" s="77">
        <f t="shared" ref="F15:F16" si="63">U14</f>
        <v>17</v>
      </c>
      <c r="G15" s="77">
        <f t="shared" ref="G15:G16" si="64">V14</f>
        <v>30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>
        <f t="shared" ref="R15:R16" si="65">C15+H15-M15</f>
        <v>0</v>
      </c>
      <c r="S15" s="77">
        <f t="shared" ref="S15:S16" si="66">D15+I15-N15</f>
        <v>0</v>
      </c>
      <c r="T15" s="77">
        <f t="shared" ref="T15:T16" si="67">E15+J15-O15</f>
        <v>0</v>
      </c>
      <c r="U15" s="77">
        <f t="shared" ref="U15:U16" si="68">F15+K15-P15</f>
        <v>17</v>
      </c>
      <c r="V15" s="77">
        <f t="shared" ref="V15:V16" si="69">G15+L15-Q15</f>
        <v>30</v>
      </c>
      <c r="W15" s="124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</row>
    <row r="16" spans="1:38" ht="35.1" hidden="1" customHeight="1" x14ac:dyDescent="0.3">
      <c r="A16" s="77"/>
      <c r="B16" s="85" t="s">
        <v>467</v>
      </c>
      <c r="C16" s="77">
        <f t="shared" si="60"/>
        <v>0</v>
      </c>
      <c r="D16" s="77">
        <f t="shared" si="61"/>
        <v>0</v>
      </c>
      <c r="E16" s="77">
        <f t="shared" si="62"/>
        <v>0</v>
      </c>
      <c r="F16" s="77">
        <f t="shared" si="63"/>
        <v>17</v>
      </c>
      <c r="G16" s="77">
        <f t="shared" si="64"/>
        <v>30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>
        <f t="shared" si="65"/>
        <v>0</v>
      </c>
      <c r="S16" s="77">
        <f t="shared" si="66"/>
        <v>0</v>
      </c>
      <c r="T16" s="77">
        <f t="shared" si="67"/>
        <v>0</v>
      </c>
      <c r="U16" s="77">
        <f t="shared" si="68"/>
        <v>17</v>
      </c>
      <c r="V16" s="77">
        <f t="shared" si="69"/>
        <v>30</v>
      </c>
      <c r="W16" s="124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</row>
    <row r="17" spans="1:38" ht="35.1" hidden="1" customHeight="1" x14ac:dyDescent="0.3">
      <c r="A17" s="77"/>
      <c r="B17" s="85" t="s">
        <v>468</v>
      </c>
      <c r="C17" s="77">
        <f t="shared" ref="C17" si="70">R16</f>
        <v>0</v>
      </c>
      <c r="D17" s="77">
        <f t="shared" ref="D17" si="71">S16</f>
        <v>0</v>
      </c>
      <c r="E17" s="77">
        <f t="shared" ref="E17" si="72">T16</f>
        <v>0</v>
      </c>
      <c r="F17" s="77">
        <f t="shared" ref="F17" si="73">U16</f>
        <v>17</v>
      </c>
      <c r="G17" s="77">
        <f t="shared" ref="G17" si="74">V16</f>
        <v>30</v>
      </c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>
        <f t="shared" ref="R17" si="75">C17+H17-M17</f>
        <v>0</v>
      </c>
      <c r="S17" s="77">
        <f t="shared" ref="S17" si="76">D17+I17-N17</f>
        <v>0</v>
      </c>
      <c r="T17" s="77">
        <f t="shared" ref="T17" si="77">E17+J17-O17</f>
        <v>0</v>
      </c>
      <c r="U17" s="77">
        <f t="shared" ref="U17" si="78">F17+K17-P17</f>
        <v>17</v>
      </c>
      <c r="V17" s="77">
        <f t="shared" ref="V17" si="79">G17+L17-Q17</f>
        <v>30</v>
      </c>
      <c r="W17" s="124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</row>
    <row r="18" spans="1:38" ht="35.1" hidden="1" customHeight="1" x14ac:dyDescent="0.3">
      <c r="A18" s="77"/>
      <c r="B18" s="85" t="s">
        <v>470</v>
      </c>
      <c r="C18" s="77">
        <f t="shared" ref="C18" si="80">R17</f>
        <v>0</v>
      </c>
      <c r="D18" s="77">
        <f t="shared" ref="D18" si="81">S17</f>
        <v>0</v>
      </c>
      <c r="E18" s="77">
        <f t="shared" ref="E18" si="82">T17</f>
        <v>0</v>
      </c>
      <c r="F18" s="77">
        <f t="shared" ref="F18" si="83">U17</f>
        <v>17</v>
      </c>
      <c r="G18" s="77">
        <f t="shared" ref="G18" si="84">V17</f>
        <v>30</v>
      </c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>
        <f t="shared" ref="R18" si="85">C18+H18-M18</f>
        <v>0</v>
      </c>
      <c r="S18" s="77">
        <f t="shared" ref="S18" si="86">D18+I18-N18</f>
        <v>0</v>
      </c>
      <c r="T18" s="77">
        <f t="shared" ref="T18" si="87">E18+J18-O18</f>
        <v>0</v>
      </c>
      <c r="U18" s="77">
        <f t="shared" ref="U18" si="88">F18+K18-P18</f>
        <v>17</v>
      </c>
      <c r="V18" s="77">
        <f t="shared" ref="V18" si="89">G18+L18-Q18</f>
        <v>30</v>
      </c>
      <c r="W18" s="124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</row>
    <row r="19" spans="1:38" ht="35.1" customHeight="1" x14ac:dyDescent="0.3">
      <c r="A19" s="77"/>
      <c r="B19" s="85" t="s">
        <v>471</v>
      </c>
      <c r="C19" s="77">
        <f t="shared" ref="C19" si="90">R18</f>
        <v>0</v>
      </c>
      <c r="D19" s="77">
        <f t="shared" ref="D19" si="91">S18</f>
        <v>0</v>
      </c>
      <c r="E19" s="77">
        <f t="shared" ref="E19" si="92">T18</f>
        <v>0</v>
      </c>
      <c r="F19" s="77">
        <f t="shared" ref="F19" si="93">U18</f>
        <v>17</v>
      </c>
      <c r="G19" s="77">
        <f t="shared" ref="G19" si="94">V18</f>
        <v>30</v>
      </c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>
        <f t="shared" ref="R19" si="95">C19+H19-M19</f>
        <v>0</v>
      </c>
      <c r="S19" s="77">
        <f t="shared" ref="S19" si="96">D19+I19-N19</f>
        <v>0</v>
      </c>
      <c r="T19" s="77">
        <f t="shared" ref="T19" si="97">E19+J19-O19</f>
        <v>0</v>
      </c>
      <c r="U19" s="77">
        <f t="shared" ref="U19" si="98">F19+K19-P19</f>
        <v>17</v>
      </c>
      <c r="V19" s="77">
        <f t="shared" ref="V19" si="99">G19+L19-Q19</f>
        <v>30</v>
      </c>
      <c r="W19" s="124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</row>
    <row r="20" spans="1:38" ht="35.1" customHeight="1" x14ac:dyDescent="0.3">
      <c r="A20" s="77"/>
      <c r="B20" s="85" t="s">
        <v>475</v>
      </c>
      <c r="C20" s="77">
        <f t="shared" ref="C20" si="100">R19</f>
        <v>0</v>
      </c>
      <c r="D20" s="77">
        <f t="shared" ref="D20" si="101">S19</f>
        <v>0</v>
      </c>
      <c r="E20" s="77">
        <f t="shared" ref="E20" si="102">T19</f>
        <v>0</v>
      </c>
      <c r="F20" s="77">
        <f t="shared" ref="F20" si="103">U19</f>
        <v>17</v>
      </c>
      <c r="G20" s="77">
        <f t="shared" ref="G20" si="104">V19</f>
        <v>30</v>
      </c>
      <c r="H20" s="77"/>
      <c r="I20" s="77"/>
      <c r="J20" s="77"/>
      <c r="K20" s="77"/>
      <c r="L20" s="77"/>
      <c r="M20" s="77"/>
      <c r="N20" s="77"/>
      <c r="O20" s="77"/>
      <c r="P20" s="77"/>
      <c r="Q20" s="77">
        <v>11</v>
      </c>
      <c r="R20" s="77">
        <f t="shared" ref="R20" si="105">C20+H20-M20</f>
        <v>0</v>
      </c>
      <c r="S20" s="77">
        <f t="shared" ref="S20" si="106">D20+I20-N20</f>
        <v>0</v>
      </c>
      <c r="T20" s="77">
        <f t="shared" ref="T20" si="107">E20+J20-O20</f>
        <v>0</v>
      </c>
      <c r="U20" s="77">
        <f t="shared" ref="U20" si="108">F20+K20-P20</f>
        <v>17</v>
      </c>
      <c r="V20" s="77">
        <f t="shared" ref="V20" si="109">G20+L20-Q20</f>
        <v>19</v>
      </c>
      <c r="W20" s="124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</row>
    <row r="21" spans="1:38" ht="35.1" customHeight="1" x14ac:dyDescent="0.3">
      <c r="A21" s="77"/>
      <c r="B21" s="85" t="s">
        <v>494</v>
      </c>
      <c r="C21" s="77">
        <f t="shared" ref="C21" si="110">R20</f>
        <v>0</v>
      </c>
      <c r="D21" s="77">
        <f t="shared" ref="D21" si="111">S20</f>
        <v>0</v>
      </c>
      <c r="E21" s="77">
        <f t="shared" ref="E21" si="112">T20</f>
        <v>0</v>
      </c>
      <c r="F21" s="77">
        <f t="shared" ref="F21" si="113">U20</f>
        <v>17</v>
      </c>
      <c r="G21" s="77">
        <f t="shared" ref="G21" si="114">V20</f>
        <v>19</v>
      </c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>
        <f t="shared" ref="R21" si="115">C21+H21-M21</f>
        <v>0</v>
      </c>
      <c r="S21" s="77">
        <f t="shared" ref="S21" si="116">D21+I21-N21</f>
        <v>0</v>
      </c>
      <c r="T21" s="77">
        <f t="shared" ref="T21" si="117">E21+J21-O21</f>
        <v>0</v>
      </c>
      <c r="U21" s="77">
        <f t="shared" ref="U21" si="118">F21+K21-P21</f>
        <v>17</v>
      </c>
      <c r="V21" s="77">
        <f t="shared" ref="V21" si="119">G21+L21-Q21</f>
        <v>19</v>
      </c>
      <c r="W21" s="124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</row>
    <row r="22" spans="1:38" ht="35.1" customHeight="1" x14ac:dyDescent="0.3">
      <c r="A22" s="77"/>
      <c r="B22" s="182">
        <v>46032</v>
      </c>
      <c r="C22" s="77">
        <f t="shared" ref="C22" si="120">R21</f>
        <v>0</v>
      </c>
      <c r="D22" s="77">
        <f t="shared" ref="D22" si="121">S21</f>
        <v>0</v>
      </c>
      <c r="E22" s="77">
        <f t="shared" ref="E22" si="122">T21</f>
        <v>0</v>
      </c>
      <c r="F22" s="77">
        <f t="shared" ref="F22" si="123">U21</f>
        <v>17</v>
      </c>
      <c r="G22" s="77">
        <f t="shared" ref="G22" si="124">V21</f>
        <v>19</v>
      </c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>
        <f t="shared" ref="R22" si="125">C22+H22-M22</f>
        <v>0</v>
      </c>
      <c r="S22" s="77">
        <f t="shared" ref="S22" si="126">D22+I22-N22</f>
        <v>0</v>
      </c>
      <c r="T22" s="77">
        <f t="shared" ref="T22" si="127">E22+J22-O22</f>
        <v>0</v>
      </c>
      <c r="U22" s="77">
        <f t="shared" ref="U22" si="128">F22+K22-P22</f>
        <v>17</v>
      </c>
      <c r="V22" s="77">
        <f t="shared" ref="V22" si="129">G22+L22-Q22</f>
        <v>19</v>
      </c>
      <c r="W22" s="124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</row>
    <row r="23" spans="1:38" ht="35.1" customHeight="1" x14ac:dyDescent="0.3">
      <c r="A23" s="77"/>
      <c r="B23" s="182">
        <v>46063</v>
      </c>
      <c r="C23" s="77">
        <f t="shared" ref="C23" si="130">R22</f>
        <v>0</v>
      </c>
      <c r="D23" s="77">
        <f t="shared" ref="D23" si="131">S22</f>
        <v>0</v>
      </c>
      <c r="E23" s="77">
        <f t="shared" ref="E23" si="132">T22</f>
        <v>0</v>
      </c>
      <c r="F23" s="77">
        <f t="shared" ref="F23" si="133">U22</f>
        <v>17</v>
      </c>
      <c r="G23" s="77">
        <f t="shared" ref="G23" si="134">V22</f>
        <v>19</v>
      </c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>
        <f t="shared" ref="R23" si="135">C23+H23-M23</f>
        <v>0</v>
      </c>
      <c r="S23" s="77">
        <f t="shared" ref="S23" si="136">D23+I23-N23</f>
        <v>0</v>
      </c>
      <c r="T23" s="77">
        <f t="shared" ref="T23" si="137">E23+J23-O23</f>
        <v>0</v>
      </c>
      <c r="U23" s="77">
        <f t="shared" ref="U23" si="138">F23+K23-P23</f>
        <v>17</v>
      </c>
      <c r="V23" s="77">
        <f t="shared" ref="V23" si="139">G23+L23-Q23</f>
        <v>19</v>
      </c>
      <c r="W23" s="124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</row>
    <row r="24" spans="1:38" ht="35.1" customHeight="1" x14ac:dyDescent="0.3">
      <c r="A24" s="77"/>
      <c r="B24" s="182">
        <v>46091</v>
      </c>
      <c r="C24" s="77">
        <f t="shared" ref="C24" si="140">R23</f>
        <v>0</v>
      </c>
      <c r="D24" s="77">
        <f t="shared" ref="D24" si="141">S23</f>
        <v>0</v>
      </c>
      <c r="E24" s="77">
        <f t="shared" ref="E24" si="142">T23</f>
        <v>0</v>
      </c>
      <c r="F24" s="77">
        <f t="shared" ref="F24" si="143">U23</f>
        <v>17</v>
      </c>
      <c r="G24" s="77">
        <f t="shared" ref="G24" si="144">V23</f>
        <v>19</v>
      </c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>
        <f t="shared" ref="R24" si="145">C24+H24-M24</f>
        <v>0</v>
      </c>
      <c r="S24" s="77">
        <f t="shared" ref="S24" si="146">D24+I24-N24</f>
        <v>0</v>
      </c>
      <c r="T24" s="77">
        <f t="shared" ref="T24" si="147">E24+J24-O24</f>
        <v>0</v>
      </c>
      <c r="U24" s="77">
        <f t="shared" ref="U24" si="148">F24+K24-P24</f>
        <v>17</v>
      </c>
      <c r="V24" s="77">
        <f t="shared" ref="V24" si="149">G24+L24-Q24</f>
        <v>19</v>
      </c>
      <c r="W24" s="124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</row>
    <row r="25" spans="1:38" ht="35.1" customHeight="1" x14ac:dyDescent="0.3">
      <c r="A25" s="77"/>
      <c r="B25" s="182">
        <v>46122</v>
      </c>
      <c r="C25" s="77">
        <f t="shared" ref="C25:C26" si="150">R24</f>
        <v>0</v>
      </c>
      <c r="D25" s="77">
        <f t="shared" ref="D25:D26" si="151">S24</f>
        <v>0</v>
      </c>
      <c r="E25" s="77">
        <f t="shared" ref="E25:E26" si="152">T24</f>
        <v>0</v>
      </c>
      <c r="F25" s="77">
        <f t="shared" ref="F25:F26" si="153">U24</f>
        <v>17</v>
      </c>
      <c r="G25" s="77">
        <f t="shared" ref="G25:G26" si="154">V24</f>
        <v>19</v>
      </c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>
        <f t="shared" ref="R25:R26" si="155">C25+H25-M25</f>
        <v>0</v>
      </c>
      <c r="S25" s="77">
        <f t="shared" ref="S25:S26" si="156">D25+I25-N25</f>
        <v>0</v>
      </c>
      <c r="T25" s="77">
        <f t="shared" ref="T25:T26" si="157">E25+J25-O25</f>
        <v>0</v>
      </c>
      <c r="U25" s="77">
        <f t="shared" ref="U25:U26" si="158">F25+K25-P25</f>
        <v>17</v>
      </c>
      <c r="V25" s="77">
        <f t="shared" ref="V25:V26" si="159">G25+L25-Q25</f>
        <v>19</v>
      </c>
      <c r="W25" s="124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</row>
    <row r="26" spans="1:38" ht="35.1" customHeight="1" x14ac:dyDescent="0.3">
      <c r="A26" s="77"/>
      <c r="B26" s="182">
        <v>46152</v>
      </c>
      <c r="C26" s="77">
        <f t="shared" si="150"/>
        <v>0</v>
      </c>
      <c r="D26" s="77">
        <f t="shared" si="151"/>
        <v>0</v>
      </c>
      <c r="E26" s="77">
        <f t="shared" si="152"/>
        <v>0</v>
      </c>
      <c r="F26" s="77">
        <f t="shared" si="153"/>
        <v>17</v>
      </c>
      <c r="G26" s="77">
        <f t="shared" si="154"/>
        <v>19</v>
      </c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>
        <f t="shared" si="155"/>
        <v>0</v>
      </c>
      <c r="S26" s="77">
        <f t="shared" si="156"/>
        <v>0</v>
      </c>
      <c r="T26" s="77">
        <f t="shared" si="157"/>
        <v>0</v>
      </c>
      <c r="U26" s="77">
        <f t="shared" si="158"/>
        <v>17</v>
      </c>
      <c r="V26" s="77">
        <f t="shared" si="159"/>
        <v>19</v>
      </c>
      <c r="W26" s="124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</row>
    <row r="27" spans="1:38" ht="35.1" customHeight="1" x14ac:dyDescent="0.3">
      <c r="A27" s="77"/>
      <c r="B27" s="85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124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</row>
    <row r="28" spans="1:38" ht="35.1" customHeight="1" x14ac:dyDescent="0.3">
      <c r="A28" s="77"/>
      <c r="B28" s="85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124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</row>
    <row r="29" spans="1:38" ht="35.1" customHeight="1" x14ac:dyDescent="0.3"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</row>
    <row r="30" spans="1:38" ht="35.1" customHeight="1" x14ac:dyDescent="0.3"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</row>
    <row r="31" spans="1:38" ht="35.1" customHeight="1" x14ac:dyDescent="0.3"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</row>
    <row r="32" spans="1:38" ht="35.1" customHeight="1" x14ac:dyDescent="0.3"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</row>
    <row r="33" spans="24:38" x14ac:dyDescent="0.3"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</row>
    <row r="34" spans="24:38" x14ac:dyDescent="0.3"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</row>
    <row r="35" spans="24:38" x14ac:dyDescent="0.3"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</row>
    <row r="36" spans="24:38" x14ac:dyDescent="0.3">
      <c r="X36" s="77"/>
      <c r="Y36" s="77" t="s">
        <v>387</v>
      </c>
      <c r="Z36" s="77"/>
      <c r="AA36" s="77">
        <v>2</v>
      </c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</row>
    <row r="37" spans="24:38" x14ac:dyDescent="0.3">
      <c r="X37" s="77"/>
      <c r="Y37" s="77" t="s">
        <v>372</v>
      </c>
      <c r="Z37" s="77"/>
      <c r="AA37" s="77">
        <v>36</v>
      </c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</row>
    <row r="38" spans="24:38" x14ac:dyDescent="0.3">
      <c r="X38" s="77"/>
      <c r="Y38" s="77" t="s">
        <v>397</v>
      </c>
      <c r="Z38" s="77"/>
      <c r="AA38" s="77">
        <v>6</v>
      </c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</row>
    <row r="39" spans="24:38" x14ac:dyDescent="0.3">
      <c r="X39" s="77"/>
      <c r="Y39" s="77" t="s">
        <v>398</v>
      </c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>
        <v>10</v>
      </c>
      <c r="AL39" s="77">
        <v>1</v>
      </c>
    </row>
    <row r="40" spans="24:38" x14ac:dyDescent="0.3">
      <c r="X40" s="77"/>
      <c r="Y40" s="77" t="s">
        <v>399</v>
      </c>
      <c r="Z40" s="77"/>
      <c r="AA40" s="77">
        <v>2</v>
      </c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</row>
    <row r="41" spans="24:38" x14ac:dyDescent="0.3">
      <c r="X41" s="77"/>
      <c r="Y41" s="77" t="s">
        <v>400</v>
      </c>
      <c r="Z41" s="77"/>
      <c r="AA41" s="77">
        <v>6</v>
      </c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</row>
    <row r="42" spans="24:38" x14ac:dyDescent="0.3">
      <c r="X42" s="77"/>
      <c r="Y42" s="77" t="s">
        <v>401</v>
      </c>
      <c r="Z42" s="77"/>
      <c r="AA42" s="77">
        <v>2</v>
      </c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</row>
    <row r="43" spans="24:38" x14ac:dyDescent="0.3">
      <c r="X43" s="77"/>
      <c r="Y43" s="77" t="s">
        <v>402</v>
      </c>
      <c r="Z43" s="77"/>
      <c r="AA43" s="77"/>
      <c r="AB43" s="77"/>
      <c r="AC43" s="77"/>
      <c r="AD43" s="77"/>
      <c r="AE43" s="77"/>
      <c r="AF43" s="77"/>
      <c r="AG43" s="77"/>
      <c r="AH43" s="77"/>
      <c r="AI43" s="77">
        <v>4</v>
      </c>
      <c r="AJ43" s="77"/>
      <c r="AK43" s="77"/>
      <c r="AL43" s="77"/>
    </row>
    <row r="44" spans="24:38" x14ac:dyDescent="0.3">
      <c r="X44" s="77"/>
      <c r="Y44" s="77" t="s">
        <v>372</v>
      </c>
      <c r="Z44" s="77"/>
      <c r="AA44" s="77">
        <v>11</v>
      </c>
      <c r="AB44" s="77"/>
      <c r="AC44" s="77"/>
      <c r="AD44" s="77"/>
      <c r="AE44" s="77">
        <v>33</v>
      </c>
      <c r="AF44" s="77"/>
      <c r="AG44" s="77"/>
      <c r="AH44" s="77"/>
      <c r="AI44" s="77">
        <v>2</v>
      </c>
      <c r="AJ44" s="77"/>
      <c r="AK44" s="77"/>
      <c r="AL44" s="77"/>
    </row>
    <row r="45" spans="24:38" x14ac:dyDescent="0.3">
      <c r="X45" s="77"/>
      <c r="Y45" s="77" t="s">
        <v>403</v>
      </c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>
        <v>8</v>
      </c>
      <c r="AL45" s="77"/>
    </row>
    <row r="46" spans="24:38" x14ac:dyDescent="0.3">
      <c r="X46" s="77"/>
      <c r="Y46" s="77" t="s">
        <v>392</v>
      </c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>
        <v>4</v>
      </c>
      <c r="AL46" s="77"/>
    </row>
    <row r="47" spans="24:38" x14ac:dyDescent="0.3">
      <c r="X47" s="123">
        <v>46243</v>
      </c>
      <c r="Y47" s="77" t="s">
        <v>404</v>
      </c>
      <c r="Z47" s="77"/>
      <c r="AA47" s="77">
        <v>22</v>
      </c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</row>
    <row r="48" spans="24:38" x14ac:dyDescent="0.3">
      <c r="X48" s="77"/>
      <c r="Y48" s="77" t="s">
        <v>404</v>
      </c>
      <c r="Z48" s="77"/>
      <c r="AA48" s="77">
        <v>22</v>
      </c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</row>
    <row r="49" spans="24:38" x14ac:dyDescent="0.3">
      <c r="X49" s="77"/>
      <c r="Y49" s="77" t="s">
        <v>404</v>
      </c>
      <c r="Z49" s="77"/>
      <c r="AA49" s="77"/>
      <c r="AB49" s="77"/>
      <c r="AC49" s="77"/>
      <c r="AD49" s="77"/>
      <c r="AE49" s="77">
        <v>11</v>
      </c>
      <c r="AF49" s="77"/>
      <c r="AG49" s="77"/>
      <c r="AH49" s="77"/>
      <c r="AI49" s="77">
        <v>4</v>
      </c>
      <c r="AJ49" s="77"/>
      <c r="AK49" s="77"/>
      <c r="AL49" s="77"/>
    </row>
    <row r="50" spans="24:38" x14ac:dyDescent="0.3">
      <c r="X50" s="77"/>
      <c r="Y50" s="77" t="s">
        <v>50</v>
      </c>
      <c r="Z50" s="77"/>
      <c r="AA50" s="77">
        <v>3</v>
      </c>
      <c r="AB50" s="77"/>
      <c r="AC50" s="77"/>
      <c r="AD50" s="77"/>
      <c r="AE50" s="77">
        <v>3</v>
      </c>
      <c r="AF50" s="77"/>
      <c r="AG50" s="77"/>
      <c r="AH50" s="77"/>
      <c r="AI50" s="77"/>
      <c r="AJ50" s="77"/>
      <c r="AK50" s="77"/>
      <c r="AL50" s="77"/>
    </row>
    <row r="51" spans="24:38" x14ac:dyDescent="0.3">
      <c r="X51" s="77"/>
      <c r="Y51" s="77" t="s">
        <v>405</v>
      </c>
      <c r="Z51" s="77"/>
      <c r="AA51" s="77">
        <v>2</v>
      </c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</row>
    <row r="52" spans="24:38" x14ac:dyDescent="0.3">
      <c r="X52" s="77"/>
      <c r="Y52" s="77" t="s">
        <v>397</v>
      </c>
      <c r="Z52" s="77"/>
      <c r="AA52" s="77">
        <v>4</v>
      </c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</row>
    <row r="53" spans="24:38" x14ac:dyDescent="0.3">
      <c r="X53" s="77"/>
      <c r="Y53" s="77" t="s">
        <v>404</v>
      </c>
      <c r="Z53" s="77"/>
      <c r="AA53" s="77"/>
      <c r="AB53" s="77"/>
      <c r="AC53" s="77"/>
      <c r="AD53" s="77"/>
      <c r="AE53" s="77">
        <v>22</v>
      </c>
      <c r="AF53" s="77"/>
      <c r="AG53" s="77"/>
      <c r="AH53" s="77"/>
      <c r="AI53" s="77"/>
      <c r="AJ53" s="77"/>
      <c r="AK53" s="77"/>
      <c r="AL53" s="77"/>
    </row>
    <row r="54" spans="24:38" x14ac:dyDescent="0.3">
      <c r="X54" s="77"/>
      <c r="Y54" s="77" t="s">
        <v>406</v>
      </c>
      <c r="Z54" s="77"/>
      <c r="AA54" s="77"/>
      <c r="AB54" s="77"/>
      <c r="AC54" s="77"/>
      <c r="AD54" s="77"/>
      <c r="AE54" s="77"/>
      <c r="AF54" s="77"/>
      <c r="AG54" s="77"/>
      <c r="AH54" s="77"/>
      <c r="AI54" s="77">
        <v>3</v>
      </c>
      <c r="AJ54" s="77"/>
      <c r="AK54" s="77"/>
      <c r="AL54" s="77"/>
    </row>
    <row r="55" spans="24:38" x14ac:dyDescent="0.3"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</row>
    <row r="56" spans="24:38" x14ac:dyDescent="0.3"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</row>
    <row r="57" spans="24:38" x14ac:dyDescent="0.3"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</row>
    <row r="58" spans="24:38" x14ac:dyDescent="0.3"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</row>
    <row r="59" spans="24:38" x14ac:dyDescent="0.3"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</row>
    <row r="60" spans="24:38" x14ac:dyDescent="0.3"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</row>
    <row r="61" spans="24:38" x14ac:dyDescent="0.3"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</row>
    <row r="62" spans="24:38" x14ac:dyDescent="0.3"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</row>
    <row r="63" spans="24:38" x14ac:dyDescent="0.3"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</row>
    <row r="64" spans="24:38" x14ac:dyDescent="0.3">
      <c r="X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</row>
    <row r="65" spans="24:38" x14ac:dyDescent="0.3"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</row>
    <row r="66" spans="24:38" x14ac:dyDescent="0.3"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</row>
    <row r="67" spans="24:38" x14ac:dyDescent="0.3">
      <c r="X67" s="77"/>
      <c r="Y67" s="77"/>
      <c r="Z67" s="109" t="s">
        <v>381</v>
      </c>
      <c r="AA67" s="77">
        <f t="shared" ref="AA67:AL67" si="160">SUM(AA36:AA63)</f>
        <v>118</v>
      </c>
      <c r="AB67" s="77">
        <f t="shared" si="160"/>
        <v>0</v>
      </c>
      <c r="AC67" s="77">
        <f t="shared" si="160"/>
        <v>0</v>
      </c>
      <c r="AD67" s="77">
        <f t="shared" si="160"/>
        <v>0</v>
      </c>
      <c r="AE67" s="77">
        <f t="shared" si="160"/>
        <v>69</v>
      </c>
      <c r="AF67" s="77">
        <f t="shared" si="160"/>
        <v>0</v>
      </c>
      <c r="AG67" s="77">
        <f t="shared" si="160"/>
        <v>0</v>
      </c>
      <c r="AH67" s="77">
        <f t="shared" si="160"/>
        <v>0</v>
      </c>
      <c r="AI67" s="77">
        <f t="shared" si="160"/>
        <v>13</v>
      </c>
      <c r="AJ67" s="77">
        <f t="shared" si="160"/>
        <v>0</v>
      </c>
      <c r="AK67" s="77">
        <f t="shared" si="160"/>
        <v>22</v>
      </c>
      <c r="AL67" s="77">
        <f t="shared" si="160"/>
        <v>1</v>
      </c>
    </row>
    <row r="68" spans="24:38" x14ac:dyDescent="0.3">
      <c r="X68" s="77"/>
      <c r="Y68" s="77"/>
      <c r="Z68" s="109" t="s">
        <v>382</v>
      </c>
      <c r="AA68" s="110">
        <f>I4+I122-AA67</f>
        <v>-118</v>
      </c>
      <c r="AB68" s="110">
        <f>K4+K122-AB67</f>
        <v>50</v>
      </c>
      <c r="AC68" s="110">
        <f>L4+L122-AC67</f>
        <v>0</v>
      </c>
      <c r="AD68" s="110">
        <f>M4+M122-AD67</f>
        <v>0</v>
      </c>
      <c r="AE68" s="110">
        <f>N4+N122-AE67</f>
        <v>-69</v>
      </c>
      <c r="AF68" s="110">
        <f>P4+P122-AF67</f>
        <v>2</v>
      </c>
      <c r="AG68" s="110">
        <f>Q4+Q122-AG67</f>
        <v>0</v>
      </c>
      <c r="AH68" s="110">
        <f>R4+R122-AH67</f>
        <v>0</v>
      </c>
      <c r="AI68" s="110">
        <f>S4+S122-AI67</f>
        <v>-13</v>
      </c>
      <c r="AJ68" s="110">
        <f>U4+U122-AJ67</f>
        <v>48</v>
      </c>
      <c r="AK68" s="110">
        <f>V4+V122-AK67</f>
        <v>-22</v>
      </c>
      <c r="AL68" s="110">
        <f>W4+W122-AL67</f>
        <v>-1</v>
      </c>
    </row>
    <row r="69" spans="24:38" x14ac:dyDescent="0.3">
      <c r="X69" s="77"/>
    </row>
    <row r="70" spans="24:38" x14ac:dyDescent="0.3">
      <c r="X70" s="77"/>
    </row>
    <row r="71" spans="24:38" x14ac:dyDescent="0.3">
      <c r="X71" s="77"/>
    </row>
    <row r="72" spans="24:38" x14ac:dyDescent="0.3">
      <c r="X72" s="77"/>
    </row>
    <row r="73" spans="24:38" x14ac:dyDescent="0.3">
      <c r="X73" s="77"/>
    </row>
    <row r="74" spans="24:38" x14ac:dyDescent="0.3">
      <c r="X74" s="77"/>
    </row>
    <row r="75" spans="24:38" x14ac:dyDescent="0.3">
      <c r="X75" s="77"/>
    </row>
    <row r="76" spans="24:38" x14ac:dyDescent="0.3">
      <c r="X76" s="77"/>
    </row>
    <row r="77" spans="24:38" x14ac:dyDescent="0.3">
      <c r="X77" s="77"/>
    </row>
    <row r="78" spans="24:38" x14ac:dyDescent="0.3">
      <c r="X78" s="77"/>
    </row>
    <row r="79" spans="24:38" x14ac:dyDescent="0.3">
      <c r="X79" s="77"/>
    </row>
    <row r="80" spans="24:38" x14ac:dyDescent="0.3">
      <c r="X80" s="77"/>
    </row>
    <row r="81" spans="24:24" x14ac:dyDescent="0.3">
      <c r="X81" s="77"/>
    </row>
    <row r="82" spans="24:24" x14ac:dyDescent="0.3">
      <c r="X82" s="77"/>
    </row>
    <row r="83" spans="24:24" x14ac:dyDescent="0.3">
      <c r="X83" s="77"/>
    </row>
    <row r="84" spans="24:24" x14ac:dyDescent="0.3">
      <c r="X84" s="77"/>
    </row>
    <row r="85" spans="24:24" x14ac:dyDescent="0.3">
      <c r="X85" s="77"/>
    </row>
    <row r="86" spans="24:24" x14ac:dyDescent="0.3">
      <c r="X86" s="77"/>
    </row>
    <row r="87" spans="24:24" x14ac:dyDescent="0.3">
      <c r="X87" s="77"/>
    </row>
    <row r="88" spans="24:24" x14ac:dyDescent="0.3">
      <c r="X88" s="77"/>
    </row>
    <row r="89" spans="24:24" x14ac:dyDescent="0.3">
      <c r="X89" s="77"/>
    </row>
    <row r="90" spans="24:24" x14ac:dyDescent="0.3">
      <c r="X90" s="77"/>
    </row>
    <row r="91" spans="24:24" x14ac:dyDescent="0.3">
      <c r="X91" s="77"/>
    </row>
    <row r="92" spans="24:24" x14ac:dyDescent="0.3">
      <c r="X92" s="77"/>
    </row>
    <row r="93" spans="24:24" x14ac:dyDescent="0.3">
      <c r="X93" s="77"/>
    </row>
    <row r="94" spans="24:24" x14ac:dyDescent="0.3">
      <c r="X94" s="77"/>
    </row>
    <row r="95" spans="24:24" x14ac:dyDescent="0.3">
      <c r="X95" s="77"/>
    </row>
    <row r="96" spans="24:24" x14ac:dyDescent="0.3">
      <c r="X96" s="77"/>
    </row>
    <row r="97" spans="24:24" x14ac:dyDescent="0.3">
      <c r="X97" s="77"/>
    </row>
    <row r="98" spans="24:24" x14ac:dyDescent="0.3">
      <c r="X98" s="77"/>
    </row>
    <row r="99" spans="24:24" x14ac:dyDescent="0.3">
      <c r="X99" s="77"/>
    </row>
    <row r="100" spans="24:24" x14ac:dyDescent="0.3">
      <c r="X100" s="77"/>
    </row>
    <row r="101" spans="24:24" x14ac:dyDescent="0.3">
      <c r="X101" s="77"/>
    </row>
    <row r="102" spans="24:24" x14ac:dyDescent="0.3">
      <c r="X102" s="77"/>
    </row>
    <row r="103" spans="24:24" x14ac:dyDescent="0.3">
      <c r="X103" s="77"/>
    </row>
    <row r="104" spans="24:24" x14ac:dyDescent="0.3">
      <c r="X104" s="77"/>
    </row>
    <row r="105" spans="24:24" x14ac:dyDescent="0.3">
      <c r="X105" s="77"/>
    </row>
    <row r="106" spans="24:24" x14ac:dyDescent="0.3">
      <c r="X106" s="77"/>
    </row>
    <row r="107" spans="24:24" x14ac:dyDescent="0.3">
      <c r="X107" s="77"/>
    </row>
    <row r="108" spans="24:24" x14ac:dyDescent="0.3">
      <c r="X108" s="77"/>
    </row>
    <row r="109" spans="24:24" x14ac:dyDescent="0.3">
      <c r="X109" s="77"/>
    </row>
    <row r="110" spans="24:24" x14ac:dyDescent="0.3">
      <c r="X110" s="77"/>
    </row>
    <row r="111" spans="24:24" x14ac:dyDescent="0.3">
      <c r="X111" s="77"/>
    </row>
    <row r="112" spans="24:24" x14ac:dyDescent="0.3">
      <c r="X112" s="77"/>
    </row>
    <row r="113" spans="24:24" x14ac:dyDescent="0.3">
      <c r="X113" s="77"/>
    </row>
    <row r="114" spans="24:24" x14ac:dyDescent="0.3">
      <c r="X114" s="77"/>
    </row>
    <row r="115" spans="24:24" x14ac:dyDescent="0.3">
      <c r="X115" s="77"/>
    </row>
    <row r="116" spans="24:24" x14ac:dyDescent="0.3">
      <c r="X116" s="77"/>
    </row>
    <row r="117" spans="24:24" x14ac:dyDescent="0.3">
      <c r="X117" s="77"/>
    </row>
    <row r="118" spans="24:24" x14ac:dyDescent="0.3">
      <c r="X118" s="77"/>
    </row>
    <row r="119" spans="24:24" x14ac:dyDescent="0.3">
      <c r="X119" s="77"/>
    </row>
    <row r="120" spans="24:24" x14ac:dyDescent="0.3">
      <c r="X120" s="77"/>
    </row>
    <row r="121" spans="24:24" x14ac:dyDescent="0.3">
      <c r="X121" s="77"/>
    </row>
    <row r="122" spans="24:24" x14ac:dyDescent="0.3">
      <c r="X122" s="77"/>
    </row>
    <row r="123" spans="24:24" x14ac:dyDescent="0.3">
      <c r="X123" s="77"/>
    </row>
  </sheetData>
  <mergeCells count="4">
    <mergeCell ref="C1:G1"/>
    <mergeCell ref="H1:L1"/>
    <mergeCell ref="M1:Q1"/>
    <mergeCell ref="R1:V1"/>
  </mergeCells>
  <dataValidations count="1">
    <dataValidation type="list" allowBlank="1" showInputMessage="1" showErrorMessage="1" sqref="Y67:Y1068 Y1:Y3" xr:uid="{B96D943A-84BD-4808-A877-33DB660F9EA6}">
      <formula1>$A$3:$A$473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B3F9-E62E-480C-8EED-496EE4B761FD}">
  <dimension ref="A1:AK20"/>
  <sheetViews>
    <sheetView workbookViewId="0">
      <pane ySplit="3" topLeftCell="A4" activePane="bottomLeft" state="frozen"/>
      <selection pane="bottomLeft" activeCell="N13" sqref="N13"/>
    </sheetView>
  </sheetViews>
  <sheetFormatPr defaultColWidth="9.109375" defaultRowHeight="13.8" x14ac:dyDescent="0.25"/>
  <cols>
    <col min="1" max="1" width="4.21875" style="163" customWidth="1"/>
    <col min="2" max="2" width="9.44140625" style="158" customWidth="1"/>
    <col min="3" max="3" width="10.77734375" style="158" customWidth="1"/>
    <col min="4" max="17" width="13.33203125" style="158" customWidth="1"/>
    <col min="18" max="19" width="17.77734375" style="158" customWidth="1"/>
    <col min="20" max="31" width="13.33203125" style="158" customWidth="1"/>
    <col min="32" max="16384" width="9.109375" style="158"/>
  </cols>
  <sheetData>
    <row r="1" spans="1:37" s="164" customFormat="1" ht="18" customHeight="1" x14ac:dyDescent="0.25">
      <c r="A1" s="331" t="s">
        <v>3</v>
      </c>
      <c r="B1" s="331" t="s">
        <v>354</v>
      </c>
      <c r="C1" s="327" t="s">
        <v>359</v>
      </c>
      <c r="D1" s="333"/>
      <c r="E1" s="333"/>
      <c r="F1" s="333"/>
      <c r="G1" s="333"/>
      <c r="H1" s="328"/>
      <c r="I1" s="221"/>
      <c r="J1" s="334" t="s">
        <v>360</v>
      </c>
      <c r="K1" s="335"/>
      <c r="L1" s="335"/>
      <c r="M1" s="335"/>
      <c r="N1" s="335"/>
      <c r="O1" s="336"/>
      <c r="P1" s="218"/>
      <c r="Q1" s="337" t="s">
        <v>432</v>
      </c>
      <c r="R1" s="338"/>
      <c r="S1" s="338"/>
      <c r="T1" s="338"/>
      <c r="U1" s="338"/>
      <c r="V1" s="339"/>
      <c r="W1" s="217"/>
      <c r="X1" s="340" t="s">
        <v>438</v>
      </c>
      <c r="Y1" s="341"/>
      <c r="Z1" s="341"/>
      <c r="AA1" s="341"/>
      <c r="AB1" s="341"/>
      <c r="AC1" s="342"/>
      <c r="AD1" s="219"/>
      <c r="AE1" s="323" t="s">
        <v>477</v>
      </c>
      <c r="AF1" s="343"/>
      <c r="AG1" s="343"/>
      <c r="AH1" s="343"/>
      <c r="AI1" s="343"/>
      <c r="AJ1" s="343"/>
      <c r="AK1" s="324"/>
    </row>
    <row r="2" spans="1:37" s="164" customFormat="1" ht="21.6" customHeight="1" x14ac:dyDescent="0.25">
      <c r="A2" s="332"/>
      <c r="B2" s="332"/>
      <c r="C2" s="165" t="s">
        <v>356</v>
      </c>
      <c r="D2" s="327" t="s">
        <v>357</v>
      </c>
      <c r="E2" s="328"/>
      <c r="F2" s="327" t="s">
        <v>479</v>
      </c>
      <c r="G2" s="328"/>
      <c r="H2" s="327" t="s">
        <v>480</v>
      </c>
      <c r="I2" s="328"/>
      <c r="J2" s="166" t="s">
        <v>356</v>
      </c>
      <c r="K2" s="323" t="s">
        <v>357</v>
      </c>
      <c r="L2" s="324"/>
      <c r="M2" s="323" t="s">
        <v>479</v>
      </c>
      <c r="N2" s="324"/>
      <c r="O2" s="323" t="s">
        <v>480</v>
      </c>
      <c r="P2" s="324"/>
      <c r="Q2" s="197" t="s">
        <v>356</v>
      </c>
      <c r="R2" s="329" t="s">
        <v>357</v>
      </c>
      <c r="S2" s="330"/>
      <c r="T2" s="329" t="s">
        <v>482</v>
      </c>
      <c r="U2" s="330"/>
      <c r="V2" s="329" t="s">
        <v>358</v>
      </c>
      <c r="W2" s="330"/>
      <c r="X2" s="198" t="s">
        <v>356</v>
      </c>
      <c r="Y2" s="198" t="s">
        <v>357</v>
      </c>
      <c r="Z2" s="198"/>
      <c r="AA2" s="325" t="s">
        <v>479</v>
      </c>
      <c r="AB2" s="326"/>
      <c r="AC2" s="325" t="s">
        <v>358</v>
      </c>
      <c r="AD2" s="326"/>
      <c r="AE2" s="166" t="s">
        <v>356</v>
      </c>
      <c r="AF2" s="323" t="s">
        <v>357</v>
      </c>
      <c r="AG2" s="324"/>
      <c r="AH2" s="323" t="s">
        <v>479</v>
      </c>
      <c r="AI2" s="324"/>
      <c r="AJ2" s="323" t="s">
        <v>480</v>
      </c>
      <c r="AK2" s="324"/>
    </row>
    <row r="3" spans="1:37" s="164" customFormat="1" ht="21.6" customHeight="1" x14ac:dyDescent="0.25">
      <c r="A3" s="195"/>
      <c r="B3" s="195"/>
      <c r="C3" s="165"/>
      <c r="D3" s="197" t="s">
        <v>474</v>
      </c>
      <c r="E3" s="197" t="s">
        <v>483</v>
      </c>
      <c r="F3" s="165" t="s">
        <v>21</v>
      </c>
      <c r="G3" s="165" t="s">
        <v>481</v>
      </c>
      <c r="H3" s="165" t="s">
        <v>21</v>
      </c>
      <c r="I3" s="165" t="s">
        <v>481</v>
      </c>
      <c r="J3" s="166"/>
      <c r="K3" s="197" t="s">
        <v>474</v>
      </c>
      <c r="L3" s="197" t="s">
        <v>483</v>
      </c>
      <c r="M3" s="165" t="s">
        <v>21</v>
      </c>
      <c r="N3" s="165" t="s">
        <v>481</v>
      </c>
      <c r="O3" s="165" t="s">
        <v>21</v>
      </c>
      <c r="P3" s="165" t="s">
        <v>481</v>
      </c>
      <c r="Q3" s="197"/>
      <c r="R3" s="197" t="s">
        <v>474</v>
      </c>
      <c r="S3" s="197" t="s">
        <v>473</v>
      </c>
      <c r="T3" s="165" t="s">
        <v>21</v>
      </c>
      <c r="U3" s="165" t="s">
        <v>481</v>
      </c>
      <c r="V3" s="165" t="s">
        <v>21</v>
      </c>
      <c r="W3" s="165" t="s">
        <v>481</v>
      </c>
      <c r="X3" s="198"/>
      <c r="Y3" s="197" t="s">
        <v>474</v>
      </c>
      <c r="Z3" s="197" t="s">
        <v>473</v>
      </c>
      <c r="AA3" s="198" t="s">
        <v>484</v>
      </c>
      <c r="AB3" s="198" t="s">
        <v>481</v>
      </c>
      <c r="AC3" s="165" t="s">
        <v>21</v>
      </c>
      <c r="AD3" s="165" t="s">
        <v>481</v>
      </c>
      <c r="AE3" s="166"/>
      <c r="AF3" s="166" t="s">
        <v>474</v>
      </c>
      <c r="AG3" s="166" t="s">
        <v>473</v>
      </c>
      <c r="AH3" s="166" t="s">
        <v>21</v>
      </c>
      <c r="AI3" s="166" t="s">
        <v>481</v>
      </c>
      <c r="AJ3" s="166" t="s">
        <v>21</v>
      </c>
      <c r="AK3" s="166" t="s">
        <v>481</v>
      </c>
    </row>
    <row r="4" spans="1:37" s="164" customFormat="1" ht="21.6" customHeight="1" x14ac:dyDescent="0.25">
      <c r="A4" s="195"/>
      <c r="B4" s="195"/>
      <c r="C4" s="165"/>
      <c r="D4" s="165"/>
      <c r="E4" s="165"/>
      <c r="F4" s="165"/>
      <c r="G4" s="165"/>
      <c r="H4" s="165"/>
      <c r="I4" s="165"/>
      <c r="J4" s="166"/>
      <c r="K4" s="166"/>
      <c r="L4" s="166"/>
      <c r="M4" s="166"/>
      <c r="N4" s="166"/>
      <c r="O4" s="166"/>
      <c r="P4" s="166"/>
      <c r="Q4" s="197"/>
      <c r="R4" s="197"/>
      <c r="S4" s="197"/>
      <c r="T4" s="197"/>
      <c r="U4" s="197"/>
      <c r="V4" s="197"/>
      <c r="W4" s="197"/>
      <c r="X4" s="198"/>
      <c r="Y4" s="198"/>
      <c r="Z4" s="198"/>
      <c r="AA4" s="198"/>
      <c r="AB4" s="198"/>
      <c r="AC4" s="198"/>
      <c r="AD4" s="222"/>
      <c r="AE4" s="195"/>
      <c r="AF4" s="220"/>
      <c r="AG4" s="220"/>
      <c r="AH4" s="220"/>
      <c r="AI4" s="220"/>
      <c r="AJ4" s="220"/>
      <c r="AK4" s="220"/>
    </row>
    <row r="5" spans="1:37" s="212" customFormat="1" ht="22.8" customHeight="1" x14ac:dyDescent="0.25">
      <c r="A5" s="192">
        <v>21</v>
      </c>
      <c r="B5" s="210">
        <v>46293</v>
      </c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>
        <v>108</v>
      </c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>
        <v>33</v>
      </c>
      <c r="Z5" s="211"/>
      <c r="AA5" s="211"/>
      <c r="AB5" s="211"/>
      <c r="AC5" s="211"/>
      <c r="AD5" s="211"/>
      <c r="AE5" s="211">
        <f t="shared" ref="AE5:AE6" si="0">C5+J5+Q5+X5</f>
        <v>0</v>
      </c>
      <c r="AF5" s="211">
        <f t="shared" ref="AF5:AF6" si="1">D5+K5+R5+Y5</f>
        <v>33</v>
      </c>
      <c r="AG5" s="211">
        <f t="shared" ref="AG5:AG6" si="2">E5+L5+S5+Z5</f>
        <v>0</v>
      </c>
      <c r="AH5" s="211">
        <f t="shared" ref="AH5:AH6" si="3">F5+M5+T5+AA5</f>
        <v>108</v>
      </c>
      <c r="AI5" s="211">
        <f t="shared" ref="AI5:AI6" si="4">G5+N5+U5+AB5</f>
        <v>0</v>
      </c>
      <c r="AJ5" s="211">
        <f t="shared" ref="AJ5:AJ6" si="5">H5+O5+V5+AC5</f>
        <v>0</v>
      </c>
      <c r="AK5" s="211">
        <f t="shared" ref="AK5:AK6" si="6">I5+P5+W5+AD5</f>
        <v>0</v>
      </c>
    </row>
    <row r="6" spans="1:37" s="212" customFormat="1" ht="22.8" customHeight="1" x14ac:dyDescent="0.25">
      <c r="A6" s="192">
        <v>22</v>
      </c>
      <c r="B6" s="210">
        <v>46294</v>
      </c>
      <c r="C6" s="211">
        <v>33</v>
      </c>
      <c r="D6" s="211">
        <v>40</v>
      </c>
      <c r="E6" s="211"/>
      <c r="F6" s="211">
        <f>34+11</f>
        <v>45</v>
      </c>
      <c r="G6" s="211"/>
      <c r="H6" s="211"/>
      <c r="I6" s="211"/>
      <c r="J6" s="211"/>
      <c r="K6" s="211">
        <v>20</v>
      </c>
      <c r="L6" s="211"/>
      <c r="M6" s="211">
        <v>32</v>
      </c>
      <c r="N6" s="211"/>
      <c r="O6" s="211">
        <v>30</v>
      </c>
      <c r="P6" s="211"/>
      <c r="Q6" s="211"/>
      <c r="R6" s="211"/>
      <c r="S6" s="211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>
        <f t="shared" si="0"/>
        <v>33</v>
      </c>
      <c r="AF6" s="211">
        <f t="shared" si="1"/>
        <v>60</v>
      </c>
      <c r="AG6" s="211">
        <f t="shared" si="2"/>
        <v>0</v>
      </c>
      <c r="AH6" s="211">
        <f t="shared" si="3"/>
        <v>77</v>
      </c>
      <c r="AI6" s="211">
        <f t="shared" si="4"/>
        <v>0</v>
      </c>
      <c r="AJ6" s="211">
        <f t="shared" si="5"/>
        <v>30</v>
      </c>
      <c r="AK6" s="211">
        <f t="shared" si="6"/>
        <v>0</v>
      </c>
    </row>
    <row r="7" spans="1:37" s="212" customFormat="1" ht="22.8" customHeight="1" x14ac:dyDescent="0.25">
      <c r="A7" s="263">
        <v>23</v>
      </c>
      <c r="B7" s="264">
        <v>46295</v>
      </c>
      <c r="C7" s="265">
        <v>30</v>
      </c>
      <c r="D7" s="265"/>
      <c r="E7" s="265"/>
      <c r="F7" s="265">
        <v>78</v>
      </c>
      <c r="G7" s="265"/>
      <c r="H7" s="265">
        <v>50</v>
      </c>
      <c r="I7" s="265"/>
      <c r="J7" s="265">
        <v>10</v>
      </c>
      <c r="K7" s="265"/>
      <c r="L7" s="265"/>
      <c r="M7" s="265"/>
      <c r="N7" s="265"/>
      <c r="O7" s="265"/>
      <c r="P7" s="265"/>
      <c r="Q7" s="265"/>
      <c r="R7" s="265"/>
      <c r="S7" s="265"/>
      <c r="T7" s="265"/>
      <c r="U7" s="265"/>
      <c r="V7" s="265"/>
      <c r="W7" s="265"/>
      <c r="X7" s="265"/>
      <c r="Y7" s="265"/>
      <c r="Z7" s="265"/>
      <c r="AA7" s="265"/>
      <c r="AB7" s="265"/>
      <c r="AC7" s="265"/>
      <c r="AD7" s="265"/>
      <c r="AE7" s="211">
        <f t="shared" ref="AE7:AE14" si="7">C7+J7+Q7+X7</f>
        <v>40</v>
      </c>
      <c r="AF7" s="211">
        <f t="shared" ref="AF7:AF14" si="8">D7+K7+R7+Y7</f>
        <v>0</v>
      </c>
      <c r="AG7" s="211">
        <f t="shared" ref="AG7:AG14" si="9">E7+L7+S7+Z7</f>
        <v>0</v>
      </c>
      <c r="AH7" s="211">
        <f t="shared" ref="AH7:AH14" si="10">F7+M7+T7+AA7</f>
        <v>78</v>
      </c>
      <c r="AI7" s="211">
        <f t="shared" ref="AI7:AI14" si="11">G7+N7+U7+AB7</f>
        <v>0</v>
      </c>
      <c r="AJ7" s="211">
        <f t="shared" ref="AJ7:AJ14" si="12">H7+O7+V7+AC7</f>
        <v>50</v>
      </c>
      <c r="AK7" s="211">
        <f t="shared" ref="AK7:AK14" si="13">I7+P7+W7+AD7</f>
        <v>0</v>
      </c>
    </row>
    <row r="8" spans="1:37" s="160" customFormat="1" ht="28.8" customHeight="1" x14ac:dyDescent="0.25">
      <c r="A8" s="161">
        <v>24</v>
      </c>
      <c r="B8" s="213">
        <v>46032</v>
      </c>
      <c r="C8" s="161"/>
      <c r="D8" s="161"/>
      <c r="E8" s="161"/>
      <c r="F8" s="161"/>
      <c r="G8" s="161"/>
      <c r="H8" s="161"/>
      <c r="I8" s="161"/>
      <c r="J8" s="161">
        <v>17</v>
      </c>
      <c r="K8" s="161"/>
      <c r="L8" s="161"/>
      <c r="M8" s="161">
        <f>12+25</f>
        <v>37</v>
      </c>
      <c r="N8" s="161"/>
      <c r="O8" s="161">
        <f>2+50</f>
        <v>52</v>
      </c>
      <c r="P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  <c r="AD8" s="161"/>
      <c r="AE8" s="211">
        <f t="shared" si="7"/>
        <v>17</v>
      </c>
      <c r="AF8" s="211">
        <f t="shared" si="8"/>
        <v>0</v>
      </c>
      <c r="AG8" s="211">
        <f t="shared" si="9"/>
        <v>0</v>
      </c>
      <c r="AH8" s="211">
        <f t="shared" si="10"/>
        <v>37</v>
      </c>
      <c r="AI8" s="211">
        <f t="shared" si="11"/>
        <v>0</v>
      </c>
      <c r="AJ8" s="211">
        <f t="shared" si="12"/>
        <v>52</v>
      </c>
      <c r="AK8" s="211">
        <f t="shared" si="13"/>
        <v>0</v>
      </c>
    </row>
    <row r="9" spans="1:37" ht="28.8" customHeight="1" x14ac:dyDescent="0.25">
      <c r="A9" s="263">
        <v>25</v>
      </c>
      <c r="B9" s="316">
        <v>46063</v>
      </c>
      <c r="C9" s="159"/>
      <c r="D9" s="159"/>
      <c r="E9" s="159"/>
      <c r="F9" s="159"/>
      <c r="G9" s="159"/>
      <c r="H9" s="159"/>
      <c r="I9" s="159"/>
      <c r="J9" s="159">
        <f>11+10</f>
        <v>21</v>
      </c>
      <c r="K9" s="159"/>
      <c r="L9" s="159"/>
      <c r="M9" s="159">
        <v>17</v>
      </c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211">
        <f t="shared" si="7"/>
        <v>21</v>
      </c>
      <c r="AF9" s="211">
        <f t="shared" si="8"/>
        <v>0</v>
      </c>
      <c r="AG9" s="211">
        <f t="shared" si="9"/>
        <v>0</v>
      </c>
      <c r="AH9" s="211">
        <f t="shared" si="10"/>
        <v>17</v>
      </c>
      <c r="AI9" s="211">
        <f t="shared" si="11"/>
        <v>0</v>
      </c>
      <c r="AJ9" s="211">
        <f t="shared" si="12"/>
        <v>0</v>
      </c>
      <c r="AK9" s="211">
        <f t="shared" si="13"/>
        <v>0</v>
      </c>
    </row>
    <row r="10" spans="1:37" ht="28.8" customHeight="1" x14ac:dyDescent="0.25">
      <c r="A10" s="161">
        <v>26</v>
      </c>
      <c r="B10" s="316">
        <v>46091</v>
      </c>
      <c r="C10" s="159"/>
      <c r="D10" s="159"/>
      <c r="E10" s="159"/>
      <c r="F10" s="159"/>
      <c r="G10" s="159"/>
      <c r="H10" s="159">
        <v>26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211">
        <f t="shared" si="7"/>
        <v>0</v>
      </c>
      <c r="AF10" s="211">
        <f t="shared" si="8"/>
        <v>0</v>
      </c>
      <c r="AG10" s="211">
        <f t="shared" si="9"/>
        <v>0</v>
      </c>
      <c r="AH10" s="211">
        <f t="shared" si="10"/>
        <v>0</v>
      </c>
      <c r="AI10" s="211">
        <f t="shared" si="11"/>
        <v>0</v>
      </c>
      <c r="AJ10" s="211">
        <f t="shared" si="12"/>
        <v>26</v>
      </c>
      <c r="AK10" s="211">
        <f t="shared" si="13"/>
        <v>0</v>
      </c>
    </row>
    <row r="11" spans="1:37" ht="28.8" customHeight="1" x14ac:dyDescent="0.25">
      <c r="A11" s="162"/>
      <c r="B11" s="316">
        <v>46122</v>
      </c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211">
        <f t="shared" si="7"/>
        <v>0</v>
      </c>
      <c r="AF11" s="211">
        <f t="shared" si="8"/>
        <v>0</v>
      </c>
      <c r="AG11" s="211">
        <f t="shared" si="9"/>
        <v>0</v>
      </c>
      <c r="AH11" s="211">
        <f t="shared" si="10"/>
        <v>0</v>
      </c>
      <c r="AI11" s="211">
        <f t="shared" si="11"/>
        <v>0</v>
      </c>
      <c r="AJ11" s="211">
        <f t="shared" si="12"/>
        <v>0</v>
      </c>
      <c r="AK11" s="211">
        <f t="shared" si="13"/>
        <v>0</v>
      </c>
    </row>
    <row r="12" spans="1:37" s="212" customFormat="1" ht="28.8" customHeight="1" x14ac:dyDescent="0.25">
      <c r="A12" s="192"/>
      <c r="B12" s="322">
        <v>46152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>
        <v>64</v>
      </c>
      <c r="N12" s="211"/>
      <c r="O12" s="211">
        <v>55</v>
      </c>
      <c r="P12" s="211"/>
      <c r="Q12" s="211"/>
      <c r="R12" s="211"/>
      <c r="S12" s="211">
        <v>15</v>
      </c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>
        <f t="shared" si="7"/>
        <v>0</v>
      </c>
      <c r="AF12" s="211">
        <f t="shared" si="8"/>
        <v>0</v>
      </c>
      <c r="AG12" s="211">
        <f t="shared" si="9"/>
        <v>15</v>
      </c>
      <c r="AH12" s="211">
        <f t="shared" si="10"/>
        <v>64</v>
      </c>
      <c r="AI12" s="211">
        <f t="shared" si="11"/>
        <v>0</v>
      </c>
      <c r="AJ12" s="211">
        <f t="shared" si="12"/>
        <v>55</v>
      </c>
      <c r="AK12" s="211">
        <f t="shared" si="13"/>
        <v>0</v>
      </c>
    </row>
    <row r="13" spans="1:37" ht="28.8" customHeight="1" x14ac:dyDescent="0.25">
      <c r="A13" s="162"/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211">
        <f t="shared" si="7"/>
        <v>0</v>
      </c>
      <c r="AF13" s="211">
        <f t="shared" si="8"/>
        <v>0</v>
      </c>
      <c r="AG13" s="211">
        <f t="shared" si="9"/>
        <v>0</v>
      </c>
      <c r="AH13" s="211">
        <f t="shared" si="10"/>
        <v>0</v>
      </c>
      <c r="AI13" s="211">
        <f t="shared" si="11"/>
        <v>0</v>
      </c>
      <c r="AJ13" s="211">
        <f t="shared" si="12"/>
        <v>0</v>
      </c>
      <c r="AK13" s="211">
        <f t="shared" si="13"/>
        <v>0</v>
      </c>
    </row>
    <row r="14" spans="1:37" ht="28.8" customHeight="1" x14ac:dyDescent="0.25">
      <c r="A14" s="162"/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211">
        <f t="shared" si="7"/>
        <v>0</v>
      </c>
      <c r="AF14" s="211">
        <f t="shared" si="8"/>
        <v>0</v>
      </c>
      <c r="AG14" s="211">
        <f t="shared" si="9"/>
        <v>0</v>
      </c>
      <c r="AH14" s="211">
        <f t="shared" si="10"/>
        <v>0</v>
      </c>
      <c r="AI14" s="211">
        <f t="shared" si="11"/>
        <v>0</v>
      </c>
      <c r="AJ14" s="211">
        <f t="shared" si="12"/>
        <v>0</v>
      </c>
      <c r="AK14" s="211">
        <f t="shared" si="13"/>
        <v>0</v>
      </c>
    </row>
    <row r="15" spans="1:37" ht="28.8" customHeight="1" x14ac:dyDescent="0.25">
      <c r="A15" s="162"/>
      <c r="B15" s="159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  <c r="AK15" s="159"/>
    </row>
    <row r="16" spans="1:37" ht="28.8" customHeight="1" x14ac:dyDescent="0.25">
      <c r="A16" s="162"/>
      <c r="B16" s="159"/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</row>
    <row r="17" spans="1:37" ht="28.8" customHeight="1" x14ac:dyDescent="0.25">
      <c r="A17" s="162"/>
      <c r="B17" s="159"/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  <c r="AK17" s="159"/>
    </row>
    <row r="18" spans="1:37" ht="28.8" customHeight="1" x14ac:dyDescent="0.25">
      <c r="A18" s="162"/>
      <c r="B18" s="159"/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</row>
    <row r="19" spans="1:37" ht="28.8" customHeight="1" x14ac:dyDescent="0.25">
      <c r="A19" s="162"/>
      <c r="B19" s="159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59"/>
    </row>
    <row r="20" spans="1:37" ht="28.8" customHeight="1" x14ac:dyDescent="0.25">
      <c r="A20" s="162"/>
      <c r="B20" s="159"/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  <c r="AK20" s="159"/>
    </row>
  </sheetData>
  <mergeCells count="21">
    <mergeCell ref="Q1:V1"/>
    <mergeCell ref="X1:AC1"/>
    <mergeCell ref="R2:S2"/>
    <mergeCell ref="V2:W2"/>
    <mergeCell ref="AE1:AK1"/>
    <mergeCell ref="AF2:AG2"/>
    <mergeCell ref="AH2:AI2"/>
    <mergeCell ref="AJ2:AK2"/>
    <mergeCell ref="A1:A2"/>
    <mergeCell ref="B1:B2"/>
    <mergeCell ref="C1:H1"/>
    <mergeCell ref="J1:O1"/>
    <mergeCell ref="D2:E2"/>
    <mergeCell ref="K2:L2"/>
    <mergeCell ref="AC2:AD2"/>
    <mergeCell ref="M2:N2"/>
    <mergeCell ref="O2:P2"/>
    <mergeCell ref="F2:G2"/>
    <mergeCell ref="H2:I2"/>
    <mergeCell ref="T2:U2"/>
    <mergeCell ref="AA2:A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XUẤT</vt:lpstr>
      <vt:lpstr>CBCNV</vt:lpstr>
      <vt:lpstr>TỒN</vt:lpstr>
      <vt:lpstr>ĐIÈU PHỐI</vt:lpstr>
      <vt:lpstr>Vận chuyển</vt:lpstr>
      <vt:lpstr>Đơn giá</vt:lpstr>
      <vt:lpstr>TỒN TỔNG</vt:lpstr>
      <vt:lpstr>TỒN KHO HUẾ</vt:lpstr>
      <vt:lpstr>TỒN KHO TĂNG ÁP</vt:lpstr>
      <vt:lpstr>tồn xe</vt:lpstr>
      <vt:lpstr>Tồn kho VP</vt:lpstr>
      <vt:lpstr>TỒN KHO HÀ LẦM</vt:lpstr>
      <vt:lpstr>nhập từ 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long pham</cp:lastModifiedBy>
  <cp:revision>49</cp:revision>
  <cp:lastPrinted>2026-09-11T07:21:12Z</cp:lastPrinted>
  <dcterms:created xsi:type="dcterms:W3CDTF">2015-06-05T18:17:20Z</dcterms:created>
  <dcterms:modified xsi:type="dcterms:W3CDTF">2026-10-06T02:19:52Z</dcterms:modified>
  <dc:language>vi-VN</dc:language>
</cp:coreProperties>
</file>
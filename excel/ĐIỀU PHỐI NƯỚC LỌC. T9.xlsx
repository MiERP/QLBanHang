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NHUNG\NƯỚC LỌC\NĂM 2026\THÁNG 9\"/>
    </mc:Choice>
  </mc:AlternateContent>
  <xr:revisionPtr revIDLastSave="0" documentId="13_ncr:1_{2E8BE66B-482E-46D5-A08D-E1168B6E03D8}" xr6:coauthVersionLast="47" xr6:coauthVersionMax="47" xr10:uidLastSave="{00000000-0000-0000-0000-000000000000}"/>
  <bookViews>
    <workbookView xWindow="-108" yWindow="-108" windowWidth="23256" windowHeight="12456" tabRatio="657" activeTab="5" xr2:uid="{00000000-000D-0000-FFFF-FFFF00000000}"/>
  </bookViews>
  <sheets>
    <sheet name="XUẤT" sheetId="1" r:id="rId1"/>
    <sheet name="XUẤT (2)" sheetId="16" r:id="rId2"/>
    <sheet name="CBCNV" sheetId="2" r:id="rId3"/>
    <sheet name="TỒN" sheetId="3" r:id="rId4"/>
    <sheet name="ĐIÈU PHỐI" sheetId="4" r:id="rId5"/>
    <sheet name="Vận chuyển" sheetId="5" r:id="rId6"/>
    <sheet name="Đơn giá" sheetId="6" r:id="rId7"/>
    <sheet name="TỒN TỔNG" sheetId="13" r:id="rId8"/>
    <sheet name="TỒN KHO HUẾ" sheetId="8" r:id="rId9"/>
    <sheet name="TỒN KHO TĂNG ÁP" sheetId="9" r:id="rId10"/>
    <sheet name="tồn xe" sheetId="10" r:id="rId11"/>
    <sheet name="Tồn kho VP" sheetId="12" r:id="rId12"/>
    <sheet name="TỒN KHO HÀ LẦM" sheetId="14" r:id="rId13"/>
    <sheet name="nhập từ CP" sheetId="11" r:id="rId14"/>
    <sheet name="Tổng nhập từ cẩm phả " sheetId="15" r:id="rId15"/>
  </sheets>
  <definedNames>
    <definedName name="_xlnm._FilterDatabase" localSheetId="2" hidden="1">CBCNV!$A$6:$T$200</definedName>
    <definedName name="_xlnm._FilterDatabase" localSheetId="8" hidden="1">'TỒN KHO HUẾ'!$A$2:$AL$2</definedName>
    <definedName name="_xlnm._FilterDatabase" localSheetId="0" hidden="1">XUẤT!$A$5:$AE$259</definedName>
    <definedName name="_xlnm._FilterDatabase" localSheetId="1" hidden="1">'XUẤT (2)'!$A$5:$AE$247</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F54" i="5" l="1"/>
  <c r="X282" i="1" l="1"/>
  <c r="Y282" i="1" s="1"/>
  <c r="W282" i="1"/>
  <c r="AB282" i="1" s="1"/>
  <c r="AC282" i="1" s="1"/>
  <c r="I282" i="1"/>
  <c r="X281" i="1"/>
  <c r="Y281" i="1" s="1"/>
  <c r="W281" i="1"/>
  <c r="AB281" i="1" s="1"/>
  <c r="AC281" i="1" s="1"/>
  <c r="I281" i="1"/>
  <c r="X280" i="1"/>
  <c r="Y280" i="1" s="1"/>
  <c r="W280" i="1"/>
  <c r="AB280" i="1" s="1"/>
  <c r="AC280" i="1" s="1"/>
  <c r="I280" i="1"/>
  <c r="X279" i="1"/>
  <c r="Y279" i="1" s="1"/>
  <c r="W279" i="1"/>
  <c r="AB279" i="1" s="1"/>
  <c r="AC279" i="1" s="1"/>
  <c r="I279" i="1"/>
  <c r="X278" i="1"/>
  <c r="Y278" i="1" s="1"/>
  <c r="W278" i="1"/>
  <c r="AB278" i="1" s="1"/>
  <c r="AC278" i="1" s="1"/>
  <c r="I278" i="1"/>
  <c r="Y258" i="16" l="1"/>
  <c r="Y259" i="16"/>
  <c r="AB260" i="16"/>
  <c r="AC260" i="16"/>
  <c r="Y260" i="16"/>
  <c r="W258" i="16"/>
  <c r="AB258" i="16" s="1"/>
  <c r="AC258" i="16" s="1"/>
  <c r="X258" i="16"/>
  <c r="W259" i="16"/>
  <c r="AB259" i="16" s="1"/>
  <c r="AC259" i="16" s="1"/>
  <c r="X259" i="16"/>
  <c r="W260" i="16"/>
  <c r="X260" i="16"/>
  <c r="E92" i="13" l="1"/>
  <c r="F92" i="13"/>
  <c r="G92" i="13"/>
  <c r="H92" i="13"/>
  <c r="D92" i="13"/>
  <c r="R21" i="14"/>
  <c r="S21" i="14"/>
  <c r="T21" i="14"/>
  <c r="U21" i="14"/>
  <c r="V21" i="14"/>
  <c r="C21" i="14"/>
  <c r="D21" i="14"/>
  <c r="E21" i="14"/>
  <c r="F21" i="14"/>
  <c r="G21" i="14"/>
  <c r="E91" i="13"/>
  <c r="F91" i="13"/>
  <c r="G91" i="13"/>
  <c r="H91" i="13"/>
  <c r="D91" i="13"/>
  <c r="O15" i="10"/>
  <c r="P15" i="10"/>
  <c r="Q15" i="10"/>
  <c r="R15" i="10"/>
  <c r="C15" i="10"/>
  <c r="D15" i="10"/>
  <c r="E15" i="10"/>
  <c r="F15" i="10"/>
  <c r="E89" i="13"/>
  <c r="F89" i="13"/>
  <c r="G89" i="13"/>
  <c r="H89" i="13"/>
  <c r="D89" i="13"/>
  <c r="E88" i="13"/>
  <c r="F88" i="13"/>
  <c r="G88" i="13"/>
  <c r="H88" i="13"/>
  <c r="D88" i="13"/>
  <c r="R26" i="8"/>
  <c r="S26" i="8"/>
  <c r="T26" i="8"/>
  <c r="U26" i="8"/>
  <c r="V26" i="8"/>
  <c r="I258" i="1"/>
  <c r="C26" i="8"/>
  <c r="D26" i="8"/>
  <c r="F26" i="8"/>
  <c r="G26" i="8"/>
  <c r="R25" i="8"/>
  <c r="S25" i="8"/>
  <c r="T25" i="8"/>
  <c r="U25" i="8"/>
  <c r="V25" i="8"/>
  <c r="C25" i="8"/>
  <c r="D25" i="8"/>
  <c r="F25" i="8"/>
  <c r="G25" i="8"/>
  <c r="K25" i="9"/>
  <c r="U25" i="9" s="1"/>
  <c r="X258" i="1"/>
  <c r="Y258" i="1" s="1"/>
  <c r="W258" i="1"/>
  <c r="AB258" i="1" s="1"/>
  <c r="AC258" i="1" s="1"/>
  <c r="R25" i="9"/>
  <c r="S25" i="9"/>
  <c r="T25" i="9"/>
  <c r="V25" i="9"/>
  <c r="C25" i="9"/>
  <c r="D25" i="9"/>
  <c r="F25" i="9"/>
  <c r="G25" i="9"/>
  <c r="Q5" i="16"/>
  <c r="R5" i="16"/>
  <c r="S5" i="16"/>
  <c r="T5" i="16"/>
  <c r="U5" i="16"/>
  <c r="P5" i="16"/>
  <c r="X247" i="16"/>
  <c r="Y247" i="16" s="1"/>
  <c r="W247" i="16"/>
  <c r="X256" i="16" l="1"/>
  <c r="Y256" i="16" s="1"/>
  <c r="W256" i="16"/>
  <c r="AB256" i="16" s="1"/>
  <c r="AC256" i="16" s="1"/>
  <c r="I256" i="16"/>
  <c r="X257" i="16"/>
  <c r="Y257" i="16" s="1"/>
  <c r="W257" i="16"/>
  <c r="AB257" i="16" s="1"/>
  <c r="AC257" i="16" s="1"/>
  <c r="I257" i="16"/>
  <c r="X246" i="16" l="1"/>
  <c r="Y246" i="16" s="1"/>
  <c r="W246" i="16"/>
  <c r="AB246" i="16" s="1"/>
  <c r="AC246" i="16" s="1"/>
  <c r="I246" i="16"/>
  <c r="X245" i="16"/>
  <c r="Y245" i="16" s="1"/>
  <c r="W245" i="16"/>
  <c r="AB245" i="16" s="1"/>
  <c r="AC245" i="16" s="1"/>
  <c r="I245" i="16"/>
  <c r="X244" i="16"/>
  <c r="Y244" i="16" s="1"/>
  <c r="W244" i="16"/>
  <c r="AB244" i="16" s="1"/>
  <c r="AC244" i="16" s="1"/>
  <c r="I244" i="16"/>
  <c r="X243" i="16"/>
  <c r="Y243" i="16" s="1"/>
  <c r="W243" i="16"/>
  <c r="AB243" i="16" s="1"/>
  <c r="AC243" i="16" s="1"/>
  <c r="I243" i="16"/>
  <c r="X242" i="16"/>
  <c r="Y242" i="16" s="1"/>
  <c r="W242" i="16"/>
  <c r="AB242" i="16" s="1"/>
  <c r="AC242" i="16" s="1"/>
  <c r="I242" i="16"/>
  <c r="X241" i="16"/>
  <c r="Y241" i="16" s="1"/>
  <c r="W241" i="16"/>
  <c r="AB241" i="16" s="1"/>
  <c r="AC241" i="16" s="1"/>
  <c r="I241" i="16"/>
  <c r="X240" i="16"/>
  <c r="Y240" i="16" s="1"/>
  <c r="W240" i="16"/>
  <c r="AB240" i="16" s="1"/>
  <c r="AC240" i="16" s="1"/>
  <c r="I240" i="16"/>
  <c r="X239" i="16"/>
  <c r="Y239" i="16" s="1"/>
  <c r="W239" i="16"/>
  <c r="AB239" i="16" s="1"/>
  <c r="AC239" i="16" s="1"/>
  <c r="I239" i="16"/>
  <c r="X238" i="16"/>
  <c r="Y238" i="16" s="1"/>
  <c r="W238" i="16"/>
  <c r="AB238" i="16" s="1"/>
  <c r="AC238" i="16" s="1"/>
  <c r="I238" i="16"/>
  <c r="X237" i="16"/>
  <c r="Y237" i="16" s="1"/>
  <c r="W237" i="16"/>
  <c r="AB237" i="16" s="1"/>
  <c r="AC237" i="16" s="1"/>
  <c r="I237" i="16"/>
  <c r="X236" i="16"/>
  <c r="Y236" i="16" s="1"/>
  <c r="W236" i="16"/>
  <c r="AB236" i="16" s="1"/>
  <c r="AC236" i="16" s="1"/>
  <c r="I236" i="16"/>
  <c r="X235" i="16"/>
  <c r="Y235" i="16" s="1"/>
  <c r="W235" i="16"/>
  <c r="AB235" i="16" s="1"/>
  <c r="AC235" i="16" s="1"/>
  <c r="I235" i="16"/>
  <c r="X234" i="16"/>
  <c r="Y234" i="16" s="1"/>
  <c r="W234" i="16"/>
  <c r="AB234" i="16" s="1"/>
  <c r="AC234" i="16" s="1"/>
  <c r="I234" i="16"/>
  <c r="X233" i="16"/>
  <c r="Y233" i="16" s="1"/>
  <c r="W233" i="16"/>
  <c r="AB233" i="16" s="1"/>
  <c r="AC233" i="16" s="1"/>
  <c r="I233" i="16"/>
  <c r="X232" i="16"/>
  <c r="Y232" i="16" s="1"/>
  <c r="W232" i="16"/>
  <c r="AB232" i="16" s="1"/>
  <c r="AC232" i="16" s="1"/>
  <c r="I232" i="16"/>
  <c r="X231" i="16"/>
  <c r="Y231" i="16" s="1"/>
  <c r="W231" i="16"/>
  <c r="AB231" i="16" s="1"/>
  <c r="AC231" i="16" s="1"/>
  <c r="I231" i="16"/>
  <c r="X230" i="16"/>
  <c r="Y230" i="16" s="1"/>
  <c r="W230" i="16"/>
  <c r="AB230" i="16" s="1"/>
  <c r="AC230" i="16" s="1"/>
  <c r="I230" i="16"/>
  <c r="X229" i="16"/>
  <c r="Y229" i="16" s="1"/>
  <c r="W229" i="16"/>
  <c r="AB229" i="16" s="1"/>
  <c r="AC229" i="16" s="1"/>
  <c r="I229" i="16"/>
  <c r="X228" i="16"/>
  <c r="Y228" i="16" s="1"/>
  <c r="W228" i="16"/>
  <c r="AB228" i="16" s="1"/>
  <c r="AC228" i="16" s="1"/>
  <c r="I228" i="16"/>
  <c r="X227" i="16"/>
  <c r="Y227" i="16" s="1"/>
  <c r="W227" i="16"/>
  <c r="AB227" i="16" s="1"/>
  <c r="AC227" i="16" s="1"/>
  <c r="I227" i="16"/>
  <c r="X226" i="16"/>
  <c r="Y226" i="16" s="1"/>
  <c r="W226" i="16"/>
  <c r="AB226" i="16" s="1"/>
  <c r="AC226" i="16" s="1"/>
  <c r="I226" i="16"/>
  <c r="X225" i="16"/>
  <c r="Y225" i="16" s="1"/>
  <c r="W225" i="16"/>
  <c r="AB225" i="16" s="1"/>
  <c r="AC225" i="16" s="1"/>
  <c r="I225" i="16"/>
  <c r="X224" i="16"/>
  <c r="Y224" i="16" s="1"/>
  <c r="W224" i="16"/>
  <c r="AB224" i="16" s="1"/>
  <c r="AC224" i="16" s="1"/>
  <c r="I224" i="16"/>
  <c r="X223" i="16"/>
  <c r="Y223" i="16" s="1"/>
  <c r="W223" i="16"/>
  <c r="AB223" i="16" s="1"/>
  <c r="AC223" i="16" s="1"/>
  <c r="I223" i="16"/>
  <c r="X222" i="16"/>
  <c r="Y222" i="16" s="1"/>
  <c r="W222" i="16"/>
  <c r="AB222" i="16" s="1"/>
  <c r="AC222" i="16" s="1"/>
  <c r="I222" i="16"/>
  <c r="X221" i="16"/>
  <c r="Y221" i="16" s="1"/>
  <c r="W221" i="16"/>
  <c r="AB221" i="16" s="1"/>
  <c r="AC221" i="16" s="1"/>
  <c r="I221" i="16"/>
  <c r="X220" i="16"/>
  <c r="Y220" i="16" s="1"/>
  <c r="W220" i="16"/>
  <c r="AB220" i="16" s="1"/>
  <c r="AC220" i="16" s="1"/>
  <c r="I220" i="16"/>
  <c r="X219" i="16"/>
  <c r="Y219" i="16" s="1"/>
  <c r="W219" i="16"/>
  <c r="AB219" i="16" s="1"/>
  <c r="AC219" i="16" s="1"/>
  <c r="I219" i="16"/>
  <c r="X218" i="16"/>
  <c r="Y218" i="16" s="1"/>
  <c r="W218" i="16"/>
  <c r="AB218" i="16" s="1"/>
  <c r="AC218" i="16" s="1"/>
  <c r="I218" i="16"/>
  <c r="X217" i="16"/>
  <c r="Y217" i="16" s="1"/>
  <c r="W217" i="16"/>
  <c r="AB217" i="16" s="1"/>
  <c r="AC217" i="16" s="1"/>
  <c r="I217" i="16"/>
  <c r="X216" i="16"/>
  <c r="Y216" i="16" s="1"/>
  <c r="W216" i="16"/>
  <c r="AB216" i="16" s="1"/>
  <c r="AC216" i="16" s="1"/>
  <c r="I216" i="16"/>
  <c r="X215" i="16"/>
  <c r="Y215" i="16" s="1"/>
  <c r="W215" i="16"/>
  <c r="AB215" i="16" s="1"/>
  <c r="AC215" i="16" s="1"/>
  <c r="I215" i="16"/>
  <c r="X214" i="16"/>
  <c r="Y214" i="16" s="1"/>
  <c r="W214" i="16"/>
  <c r="AB214" i="16" s="1"/>
  <c r="AC214" i="16" s="1"/>
  <c r="I214" i="16"/>
  <c r="X213" i="16"/>
  <c r="Y213" i="16" s="1"/>
  <c r="W213" i="16"/>
  <c r="AB213" i="16" s="1"/>
  <c r="AC213" i="16" s="1"/>
  <c r="I213" i="16"/>
  <c r="X212" i="16"/>
  <c r="Y212" i="16" s="1"/>
  <c r="W212" i="16"/>
  <c r="AB212" i="16" s="1"/>
  <c r="AC212" i="16" s="1"/>
  <c r="I212" i="16"/>
  <c r="X211" i="16"/>
  <c r="Y211" i="16" s="1"/>
  <c r="W211" i="16"/>
  <c r="AB211" i="16" s="1"/>
  <c r="AC211" i="16" s="1"/>
  <c r="I211" i="16"/>
  <c r="X210" i="16"/>
  <c r="Y210" i="16" s="1"/>
  <c r="W210" i="16"/>
  <c r="AB210" i="16" s="1"/>
  <c r="AC210" i="16" s="1"/>
  <c r="I210" i="16"/>
  <c r="X209" i="16"/>
  <c r="Y209" i="16" s="1"/>
  <c r="W209" i="16"/>
  <c r="AB209" i="16" s="1"/>
  <c r="AC209" i="16" s="1"/>
  <c r="I209" i="16"/>
  <c r="X208" i="16"/>
  <c r="Y208" i="16" s="1"/>
  <c r="V208" i="16"/>
  <c r="V5" i="16" s="1"/>
  <c r="I208" i="16"/>
  <c r="X207" i="16"/>
  <c r="Y207" i="16" s="1"/>
  <c r="W207" i="16"/>
  <c r="AB207" i="16" s="1"/>
  <c r="AC207" i="16" s="1"/>
  <c r="I207" i="16"/>
  <c r="X206" i="16"/>
  <c r="Y206" i="16" s="1"/>
  <c r="W206" i="16"/>
  <c r="AB206" i="16" s="1"/>
  <c r="AC206" i="16" s="1"/>
  <c r="I206" i="16"/>
  <c r="X205" i="16"/>
  <c r="Y205" i="16" s="1"/>
  <c r="W205" i="16"/>
  <c r="AB205" i="16" s="1"/>
  <c r="AC205" i="16" s="1"/>
  <c r="I205" i="16"/>
  <c r="X204" i="16"/>
  <c r="Y204" i="16" s="1"/>
  <c r="W204" i="16"/>
  <c r="AB204" i="16" s="1"/>
  <c r="AC204" i="16" s="1"/>
  <c r="I204" i="16"/>
  <c r="X203" i="16"/>
  <c r="Y203" i="16" s="1"/>
  <c r="W203" i="16"/>
  <c r="AB203" i="16" s="1"/>
  <c r="AC203" i="16" s="1"/>
  <c r="I203" i="16"/>
  <c r="X202" i="16"/>
  <c r="Y202" i="16" s="1"/>
  <c r="W202" i="16"/>
  <c r="AB202" i="16" s="1"/>
  <c r="AC202" i="16" s="1"/>
  <c r="I202" i="16"/>
  <c r="X201" i="16"/>
  <c r="Y201" i="16" s="1"/>
  <c r="W201" i="16"/>
  <c r="AB201" i="16" s="1"/>
  <c r="AC201" i="16" s="1"/>
  <c r="I201" i="16"/>
  <c r="X200" i="16"/>
  <c r="Y200" i="16" s="1"/>
  <c r="W200" i="16"/>
  <c r="AB200" i="16" s="1"/>
  <c r="AC200" i="16" s="1"/>
  <c r="I200" i="16"/>
  <c r="X199" i="16"/>
  <c r="Y199" i="16" s="1"/>
  <c r="W199" i="16"/>
  <c r="AB199" i="16" s="1"/>
  <c r="AC199" i="16" s="1"/>
  <c r="I199" i="16"/>
  <c r="X198" i="16"/>
  <c r="Y198" i="16" s="1"/>
  <c r="W198" i="16"/>
  <c r="AB198" i="16" s="1"/>
  <c r="AC198" i="16" s="1"/>
  <c r="I198" i="16"/>
  <c r="X197" i="16"/>
  <c r="Y197" i="16" s="1"/>
  <c r="W197" i="16"/>
  <c r="AB197" i="16" s="1"/>
  <c r="AC197" i="16" s="1"/>
  <c r="I197" i="16"/>
  <c r="X196" i="16"/>
  <c r="Y196" i="16" s="1"/>
  <c r="W196" i="16"/>
  <c r="AB196" i="16" s="1"/>
  <c r="AC196" i="16" s="1"/>
  <c r="I196" i="16"/>
  <c r="X195" i="16"/>
  <c r="Y195" i="16" s="1"/>
  <c r="W195" i="16"/>
  <c r="AB195" i="16" s="1"/>
  <c r="AC195" i="16" s="1"/>
  <c r="I195" i="16"/>
  <c r="X194" i="16"/>
  <c r="Y194" i="16" s="1"/>
  <c r="W194" i="16"/>
  <c r="AB194" i="16" s="1"/>
  <c r="AC194" i="16" s="1"/>
  <c r="I194" i="16"/>
  <c r="X193" i="16"/>
  <c r="Y193" i="16" s="1"/>
  <c r="W193" i="16"/>
  <c r="AB193" i="16" s="1"/>
  <c r="AC193" i="16" s="1"/>
  <c r="I193" i="16"/>
  <c r="X192" i="16"/>
  <c r="Y192" i="16" s="1"/>
  <c r="W192" i="16"/>
  <c r="AB192" i="16" s="1"/>
  <c r="AC192" i="16" s="1"/>
  <c r="I192" i="16"/>
  <c r="X191" i="16"/>
  <c r="Y191" i="16" s="1"/>
  <c r="W191" i="16"/>
  <c r="AB191" i="16" s="1"/>
  <c r="AC191" i="16" s="1"/>
  <c r="I191" i="16"/>
  <c r="X190" i="16"/>
  <c r="Y190" i="16" s="1"/>
  <c r="W190" i="16"/>
  <c r="AB190" i="16" s="1"/>
  <c r="AC190" i="16" s="1"/>
  <c r="I190" i="16"/>
  <c r="X189" i="16"/>
  <c r="Y189" i="16" s="1"/>
  <c r="W189" i="16"/>
  <c r="AB189" i="16" s="1"/>
  <c r="AC189" i="16" s="1"/>
  <c r="I189" i="16"/>
  <c r="X188" i="16"/>
  <c r="Y188" i="16" s="1"/>
  <c r="W188" i="16"/>
  <c r="AB188" i="16" s="1"/>
  <c r="AC188" i="16" s="1"/>
  <c r="I188" i="16"/>
  <c r="X187" i="16"/>
  <c r="Y187" i="16" s="1"/>
  <c r="W187" i="16"/>
  <c r="AB187" i="16" s="1"/>
  <c r="AC187" i="16" s="1"/>
  <c r="I187" i="16"/>
  <c r="X186" i="16"/>
  <c r="Y186" i="16" s="1"/>
  <c r="W186" i="16"/>
  <c r="AB186" i="16" s="1"/>
  <c r="AC186" i="16" s="1"/>
  <c r="I186" i="16"/>
  <c r="X185" i="16"/>
  <c r="Y185" i="16" s="1"/>
  <c r="W185" i="16"/>
  <c r="AB185" i="16" s="1"/>
  <c r="AC185" i="16" s="1"/>
  <c r="I185" i="16"/>
  <c r="AB184" i="16"/>
  <c r="AC184" i="16" s="1"/>
  <c r="X184" i="16"/>
  <c r="Y184" i="16" s="1"/>
  <c r="I184" i="16"/>
  <c r="X183" i="16"/>
  <c r="Y183" i="16" s="1"/>
  <c r="W183" i="16"/>
  <c r="AB183" i="16" s="1"/>
  <c r="AC183" i="16" s="1"/>
  <c r="I183" i="16"/>
  <c r="X182" i="16"/>
  <c r="Y182" i="16" s="1"/>
  <c r="W182" i="16"/>
  <c r="AB182" i="16" s="1"/>
  <c r="AC182" i="16" s="1"/>
  <c r="I182" i="16"/>
  <c r="X181" i="16"/>
  <c r="Y181" i="16" s="1"/>
  <c r="W181" i="16"/>
  <c r="AB181" i="16" s="1"/>
  <c r="AC181" i="16" s="1"/>
  <c r="I181" i="16"/>
  <c r="X180" i="16"/>
  <c r="Y180" i="16" s="1"/>
  <c r="W180" i="16"/>
  <c r="AB180" i="16" s="1"/>
  <c r="AC180" i="16" s="1"/>
  <c r="I180" i="16"/>
  <c r="X179" i="16"/>
  <c r="Y179" i="16" s="1"/>
  <c r="W179" i="16"/>
  <c r="AB179" i="16" s="1"/>
  <c r="AC179" i="16" s="1"/>
  <c r="I179" i="16"/>
  <c r="X178" i="16"/>
  <c r="Y178" i="16" s="1"/>
  <c r="W178" i="16"/>
  <c r="AB178" i="16" s="1"/>
  <c r="AC178" i="16" s="1"/>
  <c r="I178" i="16"/>
  <c r="X177" i="16"/>
  <c r="Y177" i="16" s="1"/>
  <c r="W177" i="16"/>
  <c r="AB177" i="16" s="1"/>
  <c r="AC177" i="16" s="1"/>
  <c r="I177" i="16"/>
  <c r="X176" i="16"/>
  <c r="Y176" i="16" s="1"/>
  <c r="W176" i="16"/>
  <c r="AB176" i="16" s="1"/>
  <c r="AC176" i="16" s="1"/>
  <c r="I176" i="16"/>
  <c r="X175" i="16"/>
  <c r="Y175" i="16" s="1"/>
  <c r="W175" i="16"/>
  <c r="AB175" i="16" s="1"/>
  <c r="AC175" i="16" s="1"/>
  <c r="I175" i="16"/>
  <c r="X174" i="16"/>
  <c r="Y174" i="16" s="1"/>
  <c r="W174" i="16"/>
  <c r="AB174" i="16" s="1"/>
  <c r="AC174" i="16" s="1"/>
  <c r="I174" i="16"/>
  <c r="X173" i="16"/>
  <c r="Y173" i="16" s="1"/>
  <c r="W173" i="16"/>
  <c r="AB173" i="16" s="1"/>
  <c r="AC173" i="16" s="1"/>
  <c r="I173" i="16"/>
  <c r="X172" i="16"/>
  <c r="Y172" i="16" s="1"/>
  <c r="W172" i="16"/>
  <c r="AB172" i="16" s="1"/>
  <c r="AC172" i="16" s="1"/>
  <c r="I172" i="16"/>
  <c r="X171" i="16"/>
  <c r="Y171" i="16" s="1"/>
  <c r="W171" i="16"/>
  <c r="AB171" i="16" s="1"/>
  <c r="AC171" i="16" s="1"/>
  <c r="I171" i="16"/>
  <c r="X170" i="16"/>
  <c r="Y170" i="16" s="1"/>
  <c r="W170" i="16"/>
  <c r="AB170" i="16" s="1"/>
  <c r="AC170" i="16" s="1"/>
  <c r="I170" i="16"/>
  <c r="X169" i="16"/>
  <c r="Y169" i="16" s="1"/>
  <c r="W169" i="16"/>
  <c r="AB169" i="16" s="1"/>
  <c r="AC169" i="16" s="1"/>
  <c r="I169" i="16"/>
  <c r="X168" i="16"/>
  <c r="Y168" i="16" s="1"/>
  <c r="W168" i="16"/>
  <c r="AB168" i="16" s="1"/>
  <c r="AC168" i="16" s="1"/>
  <c r="I168" i="16"/>
  <c r="X167" i="16"/>
  <c r="Y167" i="16" s="1"/>
  <c r="W167" i="16"/>
  <c r="AB167" i="16" s="1"/>
  <c r="AC167" i="16" s="1"/>
  <c r="I167" i="16"/>
  <c r="X166" i="16"/>
  <c r="Y166" i="16" s="1"/>
  <c r="W166" i="16"/>
  <c r="AB166" i="16" s="1"/>
  <c r="AC166" i="16" s="1"/>
  <c r="I166" i="16"/>
  <c r="X165" i="16"/>
  <c r="Y165" i="16" s="1"/>
  <c r="W165" i="16"/>
  <c r="AB165" i="16" s="1"/>
  <c r="AC165" i="16" s="1"/>
  <c r="I165" i="16"/>
  <c r="AC164" i="16"/>
  <c r="X164" i="16"/>
  <c r="Y164" i="16" s="1"/>
  <c r="W164" i="16"/>
  <c r="I164" i="16"/>
  <c r="AC163" i="16"/>
  <c r="X163" i="16"/>
  <c r="Y163" i="16" s="1"/>
  <c r="W163" i="16"/>
  <c r="I163" i="16"/>
  <c r="AC162" i="16"/>
  <c r="X162" i="16"/>
  <c r="Y162" i="16" s="1"/>
  <c r="W162" i="16"/>
  <c r="I162" i="16"/>
  <c r="X161" i="16"/>
  <c r="Y161" i="16" s="1"/>
  <c r="W161" i="16"/>
  <c r="AB161" i="16" s="1"/>
  <c r="AC161" i="16" s="1"/>
  <c r="I161" i="16"/>
  <c r="AC160" i="16"/>
  <c r="X160" i="16"/>
  <c r="Y160" i="16" s="1"/>
  <c r="W160" i="16"/>
  <c r="I160" i="16"/>
  <c r="X159" i="16"/>
  <c r="Y159" i="16" s="1"/>
  <c r="W159" i="16"/>
  <c r="AB159" i="16" s="1"/>
  <c r="AC159" i="16" s="1"/>
  <c r="I159" i="16"/>
  <c r="AC158" i="16"/>
  <c r="X158" i="16"/>
  <c r="Y158" i="16" s="1"/>
  <c r="W158" i="16"/>
  <c r="I158" i="16"/>
  <c r="AC157" i="16"/>
  <c r="X157" i="16"/>
  <c r="Y157" i="16" s="1"/>
  <c r="W157" i="16"/>
  <c r="I157" i="16"/>
  <c r="X156" i="16"/>
  <c r="Y156" i="16" s="1"/>
  <c r="W156" i="16"/>
  <c r="AB156" i="16" s="1"/>
  <c r="AC156" i="16" s="1"/>
  <c r="I156" i="16"/>
  <c r="X155" i="16"/>
  <c r="Y155" i="16" s="1"/>
  <c r="W155" i="16"/>
  <c r="AB155" i="16" s="1"/>
  <c r="AC155" i="16" s="1"/>
  <c r="I155" i="16"/>
  <c r="X154" i="16"/>
  <c r="Y154" i="16" s="1"/>
  <c r="W154" i="16"/>
  <c r="AB154" i="16" s="1"/>
  <c r="AC154" i="16" s="1"/>
  <c r="I154" i="16"/>
  <c r="X153" i="16"/>
  <c r="Y153" i="16" s="1"/>
  <c r="W153" i="16"/>
  <c r="AB153" i="16" s="1"/>
  <c r="AC153" i="16" s="1"/>
  <c r="I153" i="16"/>
  <c r="Y152" i="16"/>
  <c r="W152" i="16"/>
  <c r="AB152" i="16" s="1"/>
  <c r="AC152" i="16" s="1"/>
  <c r="Y151" i="16"/>
  <c r="W151" i="16"/>
  <c r="AB151" i="16" s="1"/>
  <c r="AC151" i="16" s="1"/>
  <c r="Y150" i="16"/>
  <c r="W150" i="16"/>
  <c r="AB150" i="16" s="1"/>
  <c r="AC150" i="16" s="1"/>
  <c r="Y149" i="16"/>
  <c r="W149" i="16"/>
  <c r="AB149" i="16" s="1"/>
  <c r="AC149" i="16" s="1"/>
  <c r="X148" i="16"/>
  <c r="Y148" i="16" s="1"/>
  <c r="W148" i="16"/>
  <c r="AB148" i="16" s="1"/>
  <c r="AC148" i="16" s="1"/>
  <c r="X147" i="16"/>
  <c r="Y147" i="16" s="1"/>
  <c r="W147" i="16"/>
  <c r="AB147" i="16" s="1"/>
  <c r="AC147" i="16" s="1"/>
  <c r="X146" i="16"/>
  <c r="Y146" i="16" s="1"/>
  <c r="W146" i="16"/>
  <c r="AB146" i="16" s="1"/>
  <c r="AC146" i="16" s="1"/>
  <c r="I146" i="16"/>
  <c r="X145" i="16"/>
  <c r="Y145" i="16" s="1"/>
  <c r="W145" i="16"/>
  <c r="AB145" i="16" s="1"/>
  <c r="AC145" i="16" s="1"/>
  <c r="I145" i="16"/>
  <c r="X144" i="16"/>
  <c r="Y144" i="16" s="1"/>
  <c r="W144" i="16"/>
  <c r="AB144" i="16" s="1"/>
  <c r="AC144" i="16" s="1"/>
  <c r="I144" i="16"/>
  <c r="X143" i="16"/>
  <c r="Y143" i="16" s="1"/>
  <c r="W143" i="16"/>
  <c r="AB143" i="16" s="1"/>
  <c r="AC143" i="16" s="1"/>
  <c r="I143" i="16"/>
  <c r="X142" i="16"/>
  <c r="Y142" i="16" s="1"/>
  <c r="W142" i="16"/>
  <c r="AB142" i="16" s="1"/>
  <c r="AC142" i="16" s="1"/>
  <c r="I142" i="16"/>
  <c r="X141" i="16"/>
  <c r="Y141" i="16" s="1"/>
  <c r="W141" i="16"/>
  <c r="AB141" i="16" s="1"/>
  <c r="AC141" i="16" s="1"/>
  <c r="I141" i="16"/>
  <c r="X140" i="16"/>
  <c r="Y140" i="16" s="1"/>
  <c r="W140" i="16"/>
  <c r="AB140" i="16" s="1"/>
  <c r="AC140" i="16" s="1"/>
  <c r="I140" i="16"/>
  <c r="X139" i="16"/>
  <c r="Y139" i="16" s="1"/>
  <c r="W139" i="16"/>
  <c r="AB139" i="16" s="1"/>
  <c r="AC139" i="16" s="1"/>
  <c r="I139" i="16"/>
  <c r="Y138" i="16"/>
  <c r="W138" i="16"/>
  <c r="AB138" i="16" s="1"/>
  <c r="AC138" i="16" s="1"/>
  <c r="I138" i="16"/>
  <c r="X137" i="16"/>
  <c r="Y137" i="16" s="1"/>
  <c r="W137" i="16"/>
  <c r="AB137" i="16" s="1"/>
  <c r="AC137" i="16" s="1"/>
  <c r="I137" i="16"/>
  <c r="X136" i="16"/>
  <c r="Y136" i="16" s="1"/>
  <c r="W136" i="16"/>
  <c r="AB136" i="16" s="1"/>
  <c r="AC136" i="16" s="1"/>
  <c r="I136" i="16"/>
  <c r="X135" i="16"/>
  <c r="Y135" i="16" s="1"/>
  <c r="W135" i="16"/>
  <c r="AB135" i="16" s="1"/>
  <c r="AC135" i="16" s="1"/>
  <c r="I135" i="16"/>
  <c r="Y134" i="16"/>
  <c r="W134" i="16"/>
  <c r="AB134" i="16" s="1"/>
  <c r="AC134" i="16" s="1"/>
  <c r="I134" i="16"/>
  <c r="X133" i="16"/>
  <c r="Y133" i="16" s="1"/>
  <c r="W133" i="16"/>
  <c r="AB133" i="16" s="1"/>
  <c r="AC133" i="16" s="1"/>
  <c r="I133" i="16"/>
  <c r="Y132" i="16"/>
  <c r="W132" i="16"/>
  <c r="AB132" i="16" s="1"/>
  <c r="AC132" i="16" s="1"/>
  <c r="I132" i="16"/>
  <c r="Y131" i="16"/>
  <c r="W131" i="16"/>
  <c r="AB131" i="16" s="1"/>
  <c r="AC131" i="16" s="1"/>
  <c r="I131" i="16"/>
  <c r="X130" i="16"/>
  <c r="Y130" i="16" s="1"/>
  <c r="W130" i="16"/>
  <c r="AB130" i="16" s="1"/>
  <c r="AC130" i="16" s="1"/>
  <c r="I130" i="16"/>
  <c r="X129" i="16"/>
  <c r="Y129" i="16" s="1"/>
  <c r="W129" i="16"/>
  <c r="AB129" i="16" s="1"/>
  <c r="AC129" i="16" s="1"/>
  <c r="I129" i="16"/>
  <c r="Y128" i="16"/>
  <c r="W128" i="16"/>
  <c r="AB128" i="16" s="1"/>
  <c r="AC128" i="16" s="1"/>
  <c r="I128" i="16"/>
  <c r="Y127" i="16"/>
  <c r="W127" i="16"/>
  <c r="AB127" i="16" s="1"/>
  <c r="AC127" i="16" s="1"/>
  <c r="I127" i="16"/>
  <c r="Y126" i="16"/>
  <c r="W126" i="16"/>
  <c r="AB126" i="16" s="1"/>
  <c r="AC126" i="16" s="1"/>
  <c r="I126" i="16"/>
  <c r="W125" i="16"/>
  <c r="I125" i="16"/>
  <c r="Y124" i="16"/>
  <c r="W124" i="16"/>
  <c r="AB124" i="16" s="1"/>
  <c r="I124" i="16"/>
  <c r="Y123" i="16"/>
  <c r="W123" i="16"/>
  <c r="AB123" i="16" s="1"/>
  <c r="AC123" i="16" s="1"/>
  <c r="I123" i="16"/>
  <c r="Y122" i="16"/>
  <c r="W122" i="16"/>
  <c r="AB122" i="16" s="1"/>
  <c r="AC122" i="16" s="1"/>
  <c r="I122" i="16"/>
  <c r="Y121" i="16"/>
  <c r="W121" i="16"/>
  <c r="AB121" i="16" s="1"/>
  <c r="AC121" i="16" s="1"/>
  <c r="I121" i="16"/>
  <c r="Y120" i="16"/>
  <c r="W120" i="16"/>
  <c r="AB120" i="16" s="1"/>
  <c r="AC120" i="16" s="1"/>
  <c r="I120" i="16"/>
  <c r="W119" i="16"/>
  <c r="I119" i="16"/>
  <c r="Y118" i="16"/>
  <c r="W118" i="16"/>
  <c r="AB118" i="16" s="1"/>
  <c r="AC118" i="16" s="1"/>
  <c r="I118" i="16"/>
  <c r="Y117" i="16"/>
  <c r="W117" i="16"/>
  <c r="AB117" i="16" s="1"/>
  <c r="AC117" i="16" s="1"/>
  <c r="I117" i="16"/>
  <c r="X116" i="16"/>
  <c r="Y116" i="16" s="1"/>
  <c r="W116" i="16"/>
  <c r="AB116" i="16" s="1"/>
  <c r="AC116" i="16" s="1"/>
  <c r="I116" i="16"/>
  <c r="Y115" i="16"/>
  <c r="W115" i="16"/>
  <c r="AB115" i="16" s="1"/>
  <c r="AC115" i="16" s="1"/>
  <c r="I115" i="16"/>
  <c r="Y114" i="16"/>
  <c r="W114" i="16"/>
  <c r="AB114" i="16" s="1"/>
  <c r="AC114" i="16" s="1"/>
  <c r="I114" i="16"/>
  <c r="Y113" i="16"/>
  <c r="W113" i="16"/>
  <c r="AB113" i="16" s="1"/>
  <c r="AC113" i="16" s="1"/>
  <c r="I113" i="16"/>
  <c r="Y112" i="16"/>
  <c r="W112" i="16"/>
  <c r="AB112" i="16" s="1"/>
  <c r="AC112" i="16" s="1"/>
  <c r="I112" i="16"/>
  <c r="X111" i="16"/>
  <c r="Y111" i="16" s="1"/>
  <c r="W111" i="16"/>
  <c r="AB111" i="16" s="1"/>
  <c r="AC111" i="16" s="1"/>
  <c r="I111" i="16"/>
  <c r="Y110" i="16"/>
  <c r="W110" i="16"/>
  <c r="AB110" i="16" s="1"/>
  <c r="AC110" i="16" s="1"/>
  <c r="I110" i="16"/>
  <c r="Y109" i="16"/>
  <c r="W109" i="16"/>
  <c r="AB109" i="16" s="1"/>
  <c r="AC109" i="16" s="1"/>
  <c r="I109" i="16"/>
  <c r="Y108" i="16"/>
  <c r="W108" i="16"/>
  <c r="AB108" i="16" s="1"/>
  <c r="AC108" i="16" s="1"/>
  <c r="I108" i="16"/>
  <c r="Y107" i="16"/>
  <c r="W107" i="16"/>
  <c r="AB107" i="16" s="1"/>
  <c r="AC107" i="16" s="1"/>
  <c r="I107" i="16"/>
  <c r="X106" i="16"/>
  <c r="Y106" i="16" s="1"/>
  <c r="W106" i="16"/>
  <c r="AB106" i="16" s="1"/>
  <c r="AC106" i="16" s="1"/>
  <c r="I106" i="16"/>
  <c r="X105" i="16"/>
  <c r="Y105" i="16" s="1"/>
  <c r="W105" i="16"/>
  <c r="AB105" i="16" s="1"/>
  <c r="AC105" i="16" s="1"/>
  <c r="I105" i="16"/>
  <c r="X104" i="16"/>
  <c r="Y104" i="16" s="1"/>
  <c r="W104" i="16"/>
  <c r="AB104" i="16" s="1"/>
  <c r="AC104" i="16" s="1"/>
  <c r="I104" i="16"/>
  <c r="Y103" i="16"/>
  <c r="W103" i="16"/>
  <c r="AB103" i="16" s="1"/>
  <c r="AC103" i="16" s="1"/>
  <c r="I103" i="16"/>
  <c r="Y102" i="16"/>
  <c r="W102" i="16"/>
  <c r="AB102" i="16" s="1"/>
  <c r="AC102" i="16" s="1"/>
  <c r="I102" i="16"/>
  <c r="Y101" i="16"/>
  <c r="W101" i="16"/>
  <c r="AB101" i="16" s="1"/>
  <c r="AC101" i="16" s="1"/>
  <c r="I101" i="16"/>
  <c r="X100" i="16"/>
  <c r="Y100" i="16" s="1"/>
  <c r="W100" i="16"/>
  <c r="AB100" i="16" s="1"/>
  <c r="AC100" i="16" s="1"/>
  <c r="I100" i="16"/>
  <c r="Y99" i="16"/>
  <c r="W99" i="16"/>
  <c r="AB99" i="16" s="1"/>
  <c r="AC99" i="16" s="1"/>
  <c r="I99" i="16"/>
  <c r="X98" i="16"/>
  <c r="Y98" i="16" s="1"/>
  <c r="W98" i="16"/>
  <c r="AB98" i="16" s="1"/>
  <c r="AC98" i="16" s="1"/>
  <c r="I98" i="16"/>
  <c r="X97" i="16"/>
  <c r="Y97" i="16" s="1"/>
  <c r="W97" i="16"/>
  <c r="AB97" i="16" s="1"/>
  <c r="AC97" i="16" s="1"/>
  <c r="I97" i="16"/>
  <c r="X96" i="16"/>
  <c r="Y96" i="16" s="1"/>
  <c r="W96" i="16"/>
  <c r="AB96" i="16" s="1"/>
  <c r="AC96" i="16" s="1"/>
  <c r="I96" i="16"/>
  <c r="X95" i="16"/>
  <c r="Y95" i="16" s="1"/>
  <c r="W95" i="16"/>
  <c r="AB95" i="16" s="1"/>
  <c r="AC95" i="16" s="1"/>
  <c r="I95" i="16"/>
  <c r="X94" i="16"/>
  <c r="Y94" i="16" s="1"/>
  <c r="W94" i="16"/>
  <c r="AB94" i="16" s="1"/>
  <c r="AC94" i="16" s="1"/>
  <c r="I94" i="16"/>
  <c r="X93" i="16"/>
  <c r="Y93" i="16" s="1"/>
  <c r="W93" i="16"/>
  <c r="AB93" i="16" s="1"/>
  <c r="AC93" i="16" s="1"/>
  <c r="I93" i="16"/>
  <c r="X92" i="16"/>
  <c r="Y92" i="16" s="1"/>
  <c r="W92" i="16"/>
  <c r="AB92" i="16" s="1"/>
  <c r="AC92" i="16" s="1"/>
  <c r="I92" i="16"/>
  <c r="X91" i="16"/>
  <c r="Y91" i="16" s="1"/>
  <c r="W91" i="16"/>
  <c r="AB91" i="16" s="1"/>
  <c r="AC91" i="16" s="1"/>
  <c r="I91" i="16"/>
  <c r="X90" i="16"/>
  <c r="Y90" i="16" s="1"/>
  <c r="W90" i="16"/>
  <c r="AB90" i="16" s="1"/>
  <c r="AC90" i="16" s="1"/>
  <c r="I90" i="16"/>
  <c r="X89" i="16"/>
  <c r="Y89" i="16" s="1"/>
  <c r="W89" i="16"/>
  <c r="AB89" i="16" s="1"/>
  <c r="AC89" i="16" s="1"/>
  <c r="I89" i="16"/>
  <c r="X88" i="16"/>
  <c r="Y88" i="16" s="1"/>
  <c r="W88" i="16"/>
  <c r="AB88" i="16" s="1"/>
  <c r="AC88" i="16" s="1"/>
  <c r="I88" i="16"/>
  <c r="X87" i="16"/>
  <c r="Y87" i="16" s="1"/>
  <c r="W87" i="16"/>
  <c r="AB87" i="16" s="1"/>
  <c r="AC87" i="16" s="1"/>
  <c r="I87" i="16"/>
  <c r="X86" i="16"/>
  <c r="Y86" i="16" s="1"/>
  <c r="W86" i="16"/>
  <c r="AB86" i="16" s="1"/>
  <c r="AC86" i="16" s="1"/>
  <c r="I86" i="16"/>
  <c r="X85" i="16"/>
  <c r="Y85" i="16" s="1"/>
  <c r="W85" i="16"/>
  <c r="AB85" i="16" s="1"/>
  <c r="AC85" i="16" s="1"/>
  <c r="I85" i="16"/>
  <c r="X84" i="16"/>
  <c r="Y84" i="16" s="1"/>
  <c r="W84" i="16"/>
  <c r="AB84" i="16" s="1"/>
  <c r="AC84" i="16" s="1"/>
  <c r="I84" i="16"/>
  <c r="X83" i="16"/>
  <c r="Y83" i="16" s="1"/>
  <c r="W83" i="16"/>
  <c r="AB83" i="16" s="1"/>
  <c r="AC83" i="16" s="1"/>
  <c r="I83" i="16"/>
  <c r="X82" i="16"/>
  <c r="Y82" i="16" s="1"/>
  <c r="W82" i="16"/>
  <c r="AB82" i="16" s="1"/>
  <c r="AC82" i="16" s="1"/>
  <c r="I82" i="16"/>
  <c r="X81" i="16"/>
  <c r="Y81" i="16" s="1"/>
  <c r="W81" i="16"/>
  <c r="AB81" i="16" s="1"/>
  <c r="AC81" i="16" s="1"/>
  <c r="I81" i="16"/>
  <c r="Y80" i="16"/>
  <c r="W80" i="16"/>
  <c r="AB80" i="16" s="1"/>
  <c r="AC80" i="16" s="1"/>
  <c r="I80" i="16"/>
  <c r="X79" i="16"/>
  <c r="Y79" i="16" s="1"/>
  <c r="W79" i="16"/>
  <c r="AB79" i="16" s="1"/>
  <c r="AC79" i="16" s="1"/>
  <c r="I79" i="16"/>
  <c r="X78" i="16"/>
  <c r="Y78" i="16" s="1"/>
  <c r="W78" i="16"/>
  <c r="AB78" i="16" s="1"/>
  <c r="AC78" i="16" s="1"/>
  <c r="I78" i="16"/>
  <c r="X77" i="16"/>
  <c r="Y77" i="16" s="1"/>
  <c r="W77" i="16"/>
  <c r="AB77" i="16" s="1"/>
  <c r="AC77" i="16" s="1"/>
  <c r="I77" i="16"/>
  <c r="X76" i="16"/>
  <c r="Y76" i="16" s="1"/>
  <c r="W76" i="16"/>
  <c r="AB76" i="16" s="1"/>
  <c r="AC76" i="16" s="1"/>
  <c r="I76" i="16"/>
  <c r="X75" i="16"/>
  <c r="Y75" i="16" s="1"/>
  <c r="W75" i="16"/>
  <c r="AB75" i="16" s="1"/>
  <c r="AC75" i="16" s="1"/>
  <c r="I75" i="16"/>
  <c r="X74" i="16"/>
  <c r="Y74" i="16" s="1"/>
  <c r="W74" i="16"/>
  <c r="AB74" i="16" s="1"/>
  <c r="AC74" i="16" s="1"/>
  <c r="I74" i="16"/>
  <c r="Y73" i="16"/>
  <c r="W73" i="16"/>
  <c r="AB73" i="16" s="1"/>
  <c r="AC73" i="16" s="1"/>
  <c r="I73" i="16"/>
  <c r="X72" i="16"/>
  <c r="Y72" i="16" s="1"/>
  <c r="W72" i="16"/>
  <c r="AB72" i="16" s="1"/>
  <c r="AC72" i="16" s="1"/>
  <c r="I72" i="16"/>
  <c r="Y71" i="16"/>
  <c r="W71" i="16"/>
  <c r="AB71" i="16" s="1"/>
  <c r="AC71" i="16" s="1"/>
  <c r="I71" i="16"/>
  <c r="X70" i="16"/>
  <c r="Y70" i="16" s="1"/>
  <c r="W70" i="16"/>
  <c r="AB70" i="16" s="1"/>
  <c r="AC70" i="16" s="1"/>
  <c r="I70" i="16"/>
  <c r="X69" i="16"/>
  <c r="Y69" i="16" s="1"/>
  <c r="W69" i="16"/>
  <c r="AB69" i="16" s="1"/>
  <c r="AC69" i="16" s="1"/>
  <c r="I69" i="16"/>
  <c r="X68" i="16"/>
  <c r="Y68" i="16" s="1"/>
  <c r="W68" i="16"/>
  <c r="AB68" i="16" s="1"/>
  <c r="AC68" i="16" s="1"/>
  <c r="I68" i="16"/>
  <c r="X67" i="16"/>
  <c r="Y67" i="16" s="1"/>
  <c r="W67" i="16"/>
  <c r="AB67" i="16" s="1"/>
  <c r="AC67" i="16" s="1"/>
  <c r="I67" i="16"/>
  <c r="X66" i="16"/>
  <c r="Y66" i="16" s="1"/>
  <c r="W66" i="16"/>
  <c r="AB66" i="16" s="1"/>
  <c r="AC66" i="16" s="1"/>
  <c r="I66" i="16"/>
  <c r="X65" i="16"/>
  <c r="Y65" i="16" s="1"/>
  <c r="W65" i="16"/>
  <c r="AB65" i="16" s="1"/>
  <c r="AC65" i="16" s="1"/>
  <c r="I65" i="16"/>
  <c r="X64" i="16"/>
  <c r="Y64" i="16" s="1"/>
  <c r="W64" i="16"/>
  <c r="AB64" i="16" s="1"/>
  <c r="AC64" i="16" s="1"/>
  <c r="I64" i="16"/>
  <c r="X63" i="16"/>
  <c r="Y63" i="16" s="1"/>
  <c r="W63" i="16"/>
  <c r="I63" i="16"/>
  <c r="X62" i="16"/>
  <c r="Y62" i="16" s="1"/>
  <c r="W62" i="16"/>
  <c r="AB62" i="16" s="1"/>
  <c r="AC62" i="16" s="1"/>
  <c r="I62" i="16"/>
  <c r="X61" i="16"/>
  <c r="Y61" i="16" s="1"/>
  <c r="W61" i="16"/>
  <c r="AB61" i="16" s="1"/>
  <c r="AC61" i="16" s="1"/>
  <c r="I61" i="16"/>
  <c r="X60" i="16"/>
  <c r="Y60" i="16" s="1"/>
  <c r="W60" i="16"/>
  <c r="AB60" i="16" s="1"/>
  <c r="AC60" i="16" s="1"/>
  <c r="I60" i="16"/>
  <c r="X59" i="16"/>
  <c r="Y59" i="16" s="1"/>
  <c r="W59" i="16"/>
  <c r="AB59" i="16" s="1"/>
  <c r="AC59" i="16" s="1"/>
  <c r="I59" i="16"/>
  <c r="X58" i="16"/>
  <c r="Y58" i="16" s="1"/>
  <c r="W58" i="16"/>
  <c r="AB58" i="16" s="1"/>
  <c r="AC58" i="16" s="1"/>
  <c r="I58" i="16"/>
  <c r="X57" i="16"/>
  <c r="Y57" i="16" s="1"/>
  <c r="W57" i="16"/>
  <c r="AB57" i="16" s="1"/>
  <c r="AC57" i="16" s="1"/>
  <c r="I57" i="16"/>
  <c r="Y56" i="16"/>
  <c r="W56" i="16"/>
  <c r="AB56" i="16" s="1"/>
  <c r="AC56" i="16" s="1"/>
  <c r="I56" i="16"/>
  <c r="X55" i="16"/>
  <c r="Y55" i="16" s="1"/>
  <c r="W55" i="16"/>
  <c r="AB55" i="16" s="1"/>
  <c r="AC55" i="16" s="1"/>
  <c r="I55" i="16"/>
  <c r="X54" i="16"/>
  <c r="Y54" i="16" s="1"/>
  <c r="W54" i="16"/>
  <c r="AB54" i="16" s="1"/>
  <c r="AC54" i="16" s="1"/>
  <c r="I54" i="16"/>
  <c r="X53" i="16"/>
  <c r="Y53" i="16" s="1"/>
  <c r="W53" i="16"/>
  <c r="AB53" i="16" s="1"/>
  <c r="AC53" i="16" s="1"/>
  <c r="X52" i="16"/>
  <c r="Y52" i="16" s="1"/>
  <c r="W52" i="16"/>
  <c r="AB52" i="16" s="1"/>
  <c r="AC52" i="16" s="1"/>
  <c r="I52" i="16"/>
  <c r="X51" i="16"/>
  <c r="Y51" i="16" s="1"/>
  <c r="W51" i="16"/>
  <c r="AB51" i="16" s="1"/>
  <c r="AC51" i="16" s="1"/>
  <c r="I51" i="16"/>
  <c r="X50" i="16"/>
  <c r="Y50" i="16" s="1"/>
  <c r="W50" i="16"/>
  <c r="AB50" i="16" s="1"/>
  <c r="AC50" i="16" s="1"/>
  <c r="I50" i="16"/>
  <c r="X49" i="16"/>
  <c r="Y49" i="16" s="1"/>
  <c r="W49" i="16"/>
  <c r="AB49" i="16" s="1"/>
  <c r="AC49" i="16" s="1"/>
  <c r="X48" i="16"/>
  <c r="Y48" i="16" s="1"/>
  <c r="W48" i="16"/>
  <c r="AB48" i="16" s="1"/>
  <c r="AC48" i="16" s="1"/>
  <c r="I48" i="16"/>
  <c r="X47" i="16"/>
  <c r="Y47" i="16" s="1"/>
  <c r="W47" i="16"/>
  <c r="AB47" i="16" s="1"/>
  <c r="AC47" i="16" s="1"/>
  <c r="I47" i="16"/>
  <c r="X46" i="16"/>
  <c r="Y46" i="16" s="1"/>
  <c r="W46" i="16"/>
  <c r="AB46" i="16" s="1"/>
  <c r="AC46" i="16" s="1"/>
  <c r="I46" i="16"/>
  <c r="X45" i="16"/>
  <c r="Y45" i="16" s="1"/>
  <c r="W45" i="16"/>
  <c r="AB45" i="16" s="1"/>
  <c r="AC45" i="16" s="1"/>
  <c r="I45" i="16"/>
  <c r="X44" i="16"/>
  <c r="Y44" i="16" s="1"/>
  <c r="W44" i="16"/>
  <c r="AB44" i="16" s="1"/>
  <c r="AC44" i="16" s="1"/>
  <c r="I44" i="16"/>
  <c r="X43" i="16"/>
  <c r="Y43" i="16" s="1"/>
  <c r="W43" i="16"/>
  <c r="AB43" i="16" s="1"/>
  <c r="AC43" i="16" s="1"/>
  <c r="I43" i="16"/>
  <c r="X42" i="16"/>
  <c r="Y42" i="16" s="1"/>
  <c r="W42" i="16"/>
  <c r="AB42" i="16" s="1"/>
  <c r="AC42" i="16" s="1"/>
  <c r="I42" i="16"/>
  <c r="X41" i="16"/>
  <c r="Y41" i="16" s="1"/>
  <c r="W41" i="16"/>
  <c r="AB41" i="16" s="1"/>
  <c r="AC41" i="16" s="1"/>
  <c r="I41" i="16"/>
  <c r="Y40" i="16"/>
  <c r="W40" i="16"/>
  <c r="AB40" i="16" s="1"/>
  <c r="AC40" i="16" s="1"/>
  <c r="Y39" i="16"/>
  <c r="W39" i="16"/>
  <c r="AB39" i="16" s="1"/>
  <c r="AC39" i="16" s="1"/>
  <c r="I39" i="16"/>
  <c r="X38" i="16"/>
  <c r="Y38" i="16" s="1"/>
  <c r="W38" i="16"/>
  <c r="AB38" i="16" s="1"/>
  <c r="AC38" i="16" s="1"/>
  <c r="I38" i="16"/>
  <c r="X37" i="16"/>
  <c r="Y37" i="16" s="1"/>
  <c r="W37" i="16"/>
  <c r="AB37" i="16" s="1"/>
  <c r="AC37" i="16" s="1"/>
  <c r="I37" i="16"/>
  <c r="Y36" i="16"/>
  <c r="W36" i="16"/>
  <c r="AB36" i="16" s="1"/>
  <c r="AC36" i="16" s="1"/>
  <c r="X35" i="16"/>
  <c r="Y35" i="16" s="1"/>
  <c r="W35" i="16"/>
  <c r="AB35" i="16" s="1"/>
  <c r="AC35" i="16" s="1"/>
  <c r="I35" i="16"/>
  <c r="X34" i="16"/>
  <c r="Y34" i="16" s="1"/>
  <c r="W34" i="16"/>
  <c r="AB34" i="16" s="1"/>
  <c r="AC34" i="16" s="1"/>
  <c r="I34" i="16"/>
  <c r="X33" i="16"/>
  <c r="Y33" i="16" s="1"/>
  <c r="W33" i="16"/>
  <c r="AB33" i="16" s="1"/>
  <c r="AC33" i="16" s="1"/>
  <c r="I33" i="16"/>
  <c r="X32" i="16"/>
  <c r="Y32" i="16" s="1"/>
  <c r="W32" i="16"/>
  <c r="AB32" i="16" s="1"/>
  <c r="AC32" i="16" s="1"/>
  <c r="I32" i="16"/>
  <c r="X31" i="16"/>
  <c r="Y31" i="16" s="1"/>
  <c r="W31" i="16"/>
  <c r="AB31" i="16" s="1"/>
  <c r="AC31" i="16" s="1"/>
  <c r="I31" i="16"/>
  <c r="X30" i="16"/>
  <c r="Y30" i="16" s="1"/>
  <c r="W30" i="16"/>
  <c r="AB30" i="16" s="1"/>
  <c r="AC30" i="16" s="1"/>
  <c r="I30" i="16"/>
  <c r="X29" i="16"/>
  <c r="Y29" i="16" s="1"/>
  <c r="W29" i="16"/>
  <c r="AB29" i="16" s="1"/>
  <c r="AC29" i="16" s="1"/>
  <c r="I29" i="16"/>
  <c r="X28" i="16"/>
  <c r="Y28" i="16" s="1"/>
  <c r="W28" i="16"/>
  <c r="AB28" i="16" s="1"/>
  <c r="AC28" i="16" s="1"/>
  <c r="I28" i="16"/>
  <c r="X27" i="16"/>
  <c r="Y27" i="16" s="1"/>
  <c r="W27" i="16"/>
  <c r="AB27" i="16" s="1"/>
  <c r="AC27" i="16" s="1"/>
  <c r="I27" i="16"/>
  <c r="X26" i="16"/>
  <c r="Y26" i="16" s="1"/>
  <c r="W26" i="16"/>
  <c r="AB26" i="16" s="1"/>
  <c r="AC26" i="16" s="1"/>
  <c r="I26" i="16"/>
  <c r="X25" i="16"/>
  <c r="Y25" i="16" s="1"/>
  <c r="W25" i="16"/>
  <c r="AB25" i="16" s="1"/>
  <c r="AC25" i="16" s="1"/>
  <c r="I25" i="16"/>
  <c r="X24" i="16"/>
  <c r="Y24" i="16" s="1"/>
  <c r="W24" i="16"/>
  <c r="AB24" i="16" s="1"/>
  <c r="AC24" i="16" s="1"/>
  <c r="X23" i="16"/>
  <c r="Y23" i="16" s="1"/>
  <c r="W23" i="16"/>
  <c r="AB23" i="16" s="1"/>
  <c r="AC23" i="16" s="1"/>
  <c r="X22" i="16"/>
  <c r="Y22" i="16" s="1"/>
  <c r="W22" i="16"/>
  <c r="AB22" i="16" s="1"/>
  <c r="AC22" i="16" s="1"/>
  <c r="X21" i="16"/>
  <c r="Y21" i="16" s="1"/>
  <c r="W21" i="16"/>
  <c r="AB21" i="16" s="1"/>
  <c r="AC21" i="16" s="1"/>
  <c r="X20" i="16"/>
  <c r="Y20" i="16" s="1"/>
  <c r="W20" i="16"/>
  <c r="AB20" i="16" s="1"/>
  <c r="AC20" i="16" s="1"/>
  <c r="X19" i="16"/>
  <c r="Y19" i="16" s="1"/>
  <c r="W19" i="16"/>
  <c r="AB19" i="16" s="1"/>
  <c r="AC19" i="16" s="1"/>
  <c r="X18" i="16"/>
  <c r="Y18" i="16" s="1"/>
  <c r="W18" i="16"/>
  <c r="AB18" i="16" s="1"/>
  <c r="AC18" i="16" s="1"/>
  <c r="X17" i="16"/>
  <c r="Y17" i="16" s="1"/>
  <c r="W17" i="16"/>
  <c r="AB17" i="16" s="1"/>
  <c r="AC17" i="16" s="1"/>
  <c r="X16" i="16"/>
  <c r="Y16" i="16" s="1"/>
  <c r="W16" i="16"/>
  <c r="AB16" i="16" s="1"/>
  <c r="AC16" i="16" s="1"/>
  <c r="X15" i="16"/>
  <c r="Y15" i="16" s="1"/>
  <c r="W15" i="16"/>
  <c r="AB15" i="16" s="1"/>
  <c r="AC15" i="16" s="1"/>
  <c r="Y14" i="16"/>
  <c r="W14" i="16"/>
  <c r="AB14" i="16" s="1"/>
  <c r="AC14" i="16" s="1"/>
  <c r="Y13" i="16"/>
  <c r="W13" i="16"/>
  <c r="AB13" i="16" s="1"/>
  <c r="AC13" i="16" s="1"/>
  <c r="X12" i="16"/>
  <c r="Y12" i="16" s="1"/>
  <c r="W12" i="16"/>
  <c r="AB12" i="16" s="1"/>
  <c r="AC12" i="16" s="1"/>
  <c r="X11" i="16"/>
  <c r="Y11" i="16" s="1"/>
  <c r="W11" i="16"/>
  <c r="AB11" i="16" s="1"/>
  <c r="AC11" i="16" s="1"/>
  <c r="X10" i="16"/>
  <c r="Y10" i="16" s="1"/>
  <c r="W10" i="16"/>
  <c r="AB10" i="16" s="1"/>
  <c r="AC10" i="16" s="1"/>
  <c r="X9" i="16"/>
  <c r="Y9" i="16" s="1"/>
  <c r="W9" i="16"/>
  <c r="AB9" i="16" s="1"/>
  <c r="AC9" i="16" s="1"/>
  <c r="X8" i="16"/>
  <c r="Y8" i="16" s="1"/>
  <c r="W8" i="16"/>
  <c r="AB8" i="16" s="1"/>
  <c r="AC8" i="16" s="1"/>
  <c r="X7" i="16"/>
  <c r="Y7" i="16" s="1"/>
  <c r="W7" i="16"/>
  <c r="AB7" i="16" s="1"/>
  <c r="AC7" i="16" s="1"/>
  <c r="X6" i="16"/>
  <c r="Y6" i="16" s="1"/>
  <c r="W6" i="16"/>
  <c r="AB6" i="16" s="1"/>
  <c r="AC6" i="16" s="1"/>
  <c r="Q5" i="1"/>
  <c r="R5" i="1"/>
  <c r="S5" i="1"/>
  <c r="T5" i="1"/>
  <c r="U5" i="1"/>
  <c r="P5" i="1"/>
  <c r="AB63" i="16" l="1"/>
  <c r="AC63" i="16" s="1"/>
  <c r="W208" i="16"/>
  <c r="AB208" i="16" s="1"/>
  <c r="AC208" i="16" s="1"/>
  <c r="AD99" i="16"/>
  <c r="AB119" i="16"/>
  <c r="AC119" i="16" s="1"/>
  <c r="X119" i="16"/>
  <c r="Y119" i="16" s="1"/>
  <c r="W5" i="16" l="1"/>
  <c r="AC5" i="16"/>
  <c r="AB5" i="16"/>
  <c r="E87" i="13" l="1"/>
  <c r="F87" i="13"/>
  <c r="G87" i="13"/>
  <c r="H87" i="13"/>
  <c r="D87" i="13"/>
  <c r="R20" i="14"/>
  <c r="S20" i="14"/>
  <c r="T20" i="14"/>
  <c r="U20" i="14"/>
  <c r="V20" i="14"/>
  <c r="C20" i="14"/>
  <c r="D20" i="14"/>
  <c r="E20" i="14"/>
  <c r="F20" i="14"/>
  <c r="G20" i="14"/>
  <c r="E85" i="13"/>
  <c r="F85" i="13"/>
  <c r="G85" i="13"/>
  <c r="H85" i="13"/>
  <c r="D85" i="13"/>
  <c r="E84" i="13"/>
  <c r="F84" i="13"/>
  <c r="G84" i="13"/>
  <c r="H84" i="13"/>
  <c r="D84" i="13"/>
  <c r="E83" i="13"/>
  <c r="F83" i="13"/>
  <c r="G83" i="13"/>
  <c r="H83" i="13"/>
  <c r="D83" i="13"/>
  <c r="F27" i="11" l="1"/>
  <c r="R24" i="8"/>
  <c r="S24" i="8"/>
  <c r="T24" i="8"/>
  <c r="U24" i="8"/>
  <c r="V24" i="8"/>
  <c r="C24" i="8"/>
  <c r="D24" i="8"/>
  <c r="F24" i="8"/>
  <c r="G24" i="8"/>
  <c r="P24" i="9"/>
  <c r="K24" i="9"/>
  <c r="U24" i="9" s="1"/>
  <c r="R24" i="9"/>
  <c r="S24" i="9"/>
  <c r="T24" i="9"/>
  <c r="V24" i="9"/>
  <c r="C24" i="9"/>
  <c r="D24" i="9"/>
  <c r="F24" i="9"/>
  <c r="G24" i="9"/>
  <c r="X12" i="1"/>
  <c r="Y12" i="1" s="1"/>
  <c r="W12" i="1"/>
  <c r="AB12" i="1" s="1"/>
  <c r="AC12" i="1" s="1"/>
  <c r="I12" i="1"/>
  <c r="AG5" i="11" l="1"/>
  <c r="AF5" i="11"/>
  <c r="AI7" i="11"/>
  <c r="AI8" i="11"/>
  <c r="AI9" i="11"/>
  <c r="AI10" i="11"/>
  <c r="AI11" i="11"/>
  <c r="AI12" i="11"/>
  <c r="AI13" i="11"/>
  <c r="AI14" i="11"/>
  <c r="AI15" i="11"/>
  <c r="AI16" i="11"/>
  <c r="AI17" i="11"/>
  <c r="AI18" i="11"/>
  <c r="AI19" i="11"/>
  <c r="AI20" i="11"/>
  <c r="AI21" i="11"/>
  <c r="AI6" i="11"/>
  <c r="AI5" i="11"/>
  <c r="AK6" i="11"/>
  <c r="AK7" i="11"/>
  <c r="AK8" i="11"/>
  <c r="AK9" i="11"/>
  <c r="AK10" i="11"/>
  <c r="AK11" i="11"/>
  <c r="AK12" i="11"/>
  <c r="AK13" i="11"/>
  <c r="AK14" i="11"/>
  <c r="AK15" i="11"/>
  <c r="AK16" i="11"/>
  <c r="AK17" i="11"/>
  <c r="AK18" i="11"/>
  <c r="AK19" i="11"/>
  <c r="AK20" i="11"/>
  <c r="AK21" i="11"/>
  <c r="AK5" i="11"/>
  <c r="AK22" i="11" s="1"/>
  <c r="AE6" i="11"/>
  <c r="AF6" i="11"/>
  <c r="AG6" i="11"/>
  <c r="AH6" i="11"/>
  <c r="AJ6" i="11"/>
  <c r="AE7" i="11"/>
  <c r="AF7" i="11"/>
  <c r="AG7" i="11"/>
  <c r="AH7" i="11"/>
  <c r="AJ7" i="11"/>
  <c r="AE8" i="11"/>
  <c r="AF8" i="11"/>
  <c r="AG8" i="11"/>
  <c r="AH8" i="11"/>
  <c r="AJ8" i="11"/>
  <c r="AE9" i="11"/>
  <c r="AF9" i="11"/>
  <c r="AG9" i="11"/>
  <c r="AH9" i="11"/>
  <c r="AJ9" i="11"/>
  <c r="AE10" i="11"/>
  <c r="AF10" i="11"/>
  <c r="AG10" i="11"/>
  <c r="AH10" i="11"/>
  <c r="AJ10" i="11"/>
  <c r="AE11" i="11"/>
  <c r="AF11" i="11"/>
  <c r="AG11" i="11"/>
  <c r="AH11" i="11"/>
  <c r="AJ11" i="11"/>
  <c r="AE12" i="11"/>
  <c r="AH12" i="11"/>
  <c r="AJ12" i="11"/>
  <c r="AF13" i="11"/>
  <c r="AG13" i="11"/>
  <c r="AH13" i="11"/>
  <c r="AJ13" i="11"/>
  <c r="AE14" i="11"/>
  <c r="AF14" i="11"/>
  <c r="AG14" i="11"/>
  <c r="AH14" i="11"/>
  <c r="AJ14" i="11"/>
  <c r="AE15" i="11"/>
  <c r="AG15" i="11"/>
  <c r="AH15" i="11"/>
  <c r="AJ15" i="11"/>
  <c r="AE16" i="11"/>
  <c r="AF16" i="11"/>
  <c r="AG16" i="11"/>
  <c r="AH16" i="11"/>
  <c r="AJ16" i="11"/>
  <c r="AE17" i="11"/>
  <c r="AF17" i="11"/>
  <c r="AG17" i="11"/>
  <c r="AH17" i="11"/>
  <c r="AJ17" i="11"/>
  <c r="AE18" i="11"/>
  <c r="AF18" i="11"/>
  <c r="AG18" i="11"/>
  <c r="AH18" i="11"/>
  <c r="AJ18" i="11"/>
  <c r="AF19" i="11"/>
  <c r="AG19" i="11"/>
  <c r="AJ19" i="11"/>
  <c r="AE20" i="11"/>
  <c r="AG20" i="11"/>
  <c r="AJ20" i="11"/>
  <c r="AE21" i="11"/>
  <c r="AF21" i="11"/>
  <c r="AG21" i="11"/>
  <c r="AH21" i="11"/>
  <c r="AJ21" i="11"/>
  <c r="AH5" i="11"/>
  <c r="AJ5" i="11"/>
  <c r="AE5" i="11"/>
  <c r="S22" i="11"/>
  <c r="W22" i="11"/>
  <c r="G5" i="15"/>
  <c r="D22" i="11"/>
  <c r="E22" i="11"/>
  <c r="G22" i="11"/>
  <c r="E3" i="15" s="1"/>
  <c r="H22" i="11"/>
  <c r="K22" i="11"/>
  <c r="O22" i="11"/>
  <c r="Q22" i="11"/>
  <c r="R22" i="11"/>
  <c r="T22" i="11"/>
  <c r="V22" i="11"/>
  <c r="X22" i="11"/>
  <c r="Y22" i="11"/>
  <c r="AA22" i="11"/>
  <c r="AC22" i="11"/>
  <c r="C22" i="11"/>
  <c r="Q19" i="11"/>
  <c r="AE19" i="11" s="1"/>
  <c r="M19" i="11"/>
  <c r="AH19" i="11" s="1"/>
  <c r="F5" i="11"/>
  <c r="E82" i="13"/>
  <c r="F82" i="13"/>
  <c r="G82" i="13"/>
  <c r="H82" i="13"/>
  <c r="D82" i="13"/>
  <c r="E80" i="13"/>
  <c r="F80" i="13"/>
  <c r="G80" i="13"/>
  <c r="H80" i="13"/>
  <c r="D80" i="13"/>
  <c r="E79" i="13"/>
  <c r="F79" i="13"/>
  <c r="G79" i="13"/>
  <c r="H79" i="13"/>
  <c r="D79" i="13"/>
  <c r="E78" i="13"/>
  <c r="F78" i="13"/>
  <c r="G78" i="13"/>
  <c r="H78" i="13"/>
  <c r="D78" i="13"/>
  <c r="R22" i="12"/>
  <c r="S22" i="12"/>
  <c r="U22" i="12"/>
  <c r="V22" i="12"/>
  <c r="C22" i="12"/>
  <c r="D22" i="12"/>
  <c r="F22" i="12"/>
  <c r="G22" i="12"/>
  <c r="N23" i="8"/>
  <c r="S23" i="8"/>
  <c r="U23" i="8"/>
  <c r="R23" i="8"/>
  <c r="T23" i="8"/>
  <c r="V23" i="8"/>
  <c r="C23" i="8"/>
  <c r="D23" i="8"/>
  <c r="F23" i="8"/>
  <c r="G23" i="8"/>
  <c r="S23" i="9"/>
  <c r="T23" i="9"/>
  <c r="U23" i="9"/>
  <c r="V23" i="9"/>
  <c r="D23" i="9"/>
  <c r="F23" i="9"/>
  <c r="G23" i="9"/>
  <c r="W251" i="1"/>
  <c r="X251" i="1"/>
  <c r="Y251" i="1" s="1"/>
  <c r="W252" i="1"/>
  <c r="X252" i="1"/>
  <c r="Y252" i="1" s="1"/>
  <c r="W253" i="1"/>
  <c r="X253" i="1"/>
  <c r="Y253" i="1" s="1"/>
  <c r="W254" i="1"/>
  <c r="X254" i="1"/>
  <c r="Y254" i="1" s="1"/>
  <c r="W255" i="1"/>
  <c r="X255" i="1"/>
  <c r="Y255" i="1" s="1"/>
  <c r="W256" i="1"/>
  <c r="X256" i="1"/>
  <c r="Y256" i="1" s="1"/>
  <c r="W257" i="1"/>
  <c r="X257" i="1"/>
  <c r="Y257" i="1" s="1"/>
  <c r="C3" i="15" l="1"/>
  <c r="C5" i="15" s="1"/>
  <c r="AJ22" i="11"/>
  <c r="AI22" i="11"/>
  <c r="AH22" i="11"/>
  <c r="AF22" i="11"/>
  <c r="AG22" i="11"/>
  <c r="F3" i="15"/>
  <c r="F5" i="15" s="1"/>
  <c r="B3" i="15"/>
  <c r="B5" i="15" s="1"/>
  <c r="F22" i="11"/>
  <c r="M22" i="11"/>
  <c r="E5" i="15"/>
  <c r="W249" i="1"/>
  <c r="X249" i="1"/>
  <c r="Y249" i="1" s="1"/>
  <c r="W250" i="1"/>
  <c r="X250" i="1"/>
  <c r="Y250" i="1" s="1"/>
  <c r="X248" i="1"/>
  <c r="Y248" i="1" s="1"/>
  <c r="X247" i="1"/>
  <c r="Y247" i="1" s="1"/>
  <c r="D3" i="15" l="1"/>
  <c r="D5" i="15" s="1"/>
  <c r="AB249" i="1"/>
  <c r="AC249" i="1" s="1"/>
  <c r="AB250" i="1"/>
  <c r="AC250" i="1" s="1"/>
  <c r="AB251" i="1"/>
  <c r="AC251" i="1" s="1"/>
  <c r="AB252" i="1"/>
  <c r="AC252" i="1" s="1"/>
  <c r="AB253" i="1"/>
  <c r="AC253" i="1" s="1"/>
  <c r="AB254" i="1"/>
  <c r="AC254" i="1" s="1"/>
  <c r="AB255" i="1"/>
  <c r="AC255" i="1" s="1"/>
  <c r="AB256" i="1"/>
  <c r="AC256" i="1" s="1"/>
  <c r="AB257" i="1"/>
  <c r="AC257" i="1" s="1"/>
  <c r="W245" i="1"/>
  <c r="AB245" i="1" s="1"/>
  <c r="AC245" i="1" s="1"/>
  <c r="W246" i="1"/>
  <c r="AB246" i="1" s="1"/>
  <c r="AC246" i="1" s="1"/>
  <c r="W247" i="1"/>
  <c r="AB247" i="1" s="1"/>
  <c r="AC247" i="1" s="1"/>
  <c r="W248" i="1"/>
  <c r="AB248" i="1" s="1"/>
  <c r="AC248" i="1" s="1"/>
  <c r="X244" i="1"/>
  <c r="Y244" i="1" s="1"/>
  <c r="X245" i="1"/>
  <c r="Y245" i="1" s="1"/>
  <c r="X246" i="1"/>
  <c r="Y246" i="1" s="1"/>
  <c r="I245" i="1"/>
  <c r="W242" i="1"/>
  <c r="AB242" i="1" s="1"/>
  <c r="AC242" i="1" s="1"/>
  <c r="W243" i="1"/>
  <c r="W244" i="1"/>
  <c r="Y122" i="1"/>
  <c r="E76" i="13" l="1"/>
  <c r="F76" i="13"/>
  <c r="G76" i="13"/>
  <c r="H76" i="13"/>
  <c r="D76" i="13"/>
  <c r="E75" i="13"/>
  <c r="F75" i="13"/>
  <c r="G75" i="13"/>
  <c r="H75" i="13"/>
  <c r="D75" i="13"/>
  <c r="E77" i="13"/>
  <c r="F77" i="13"/>
  <c r="G77" i="13"/>
  <c r="H77" i="13"/>
  <c r="D77" i="13"/>
  <c r="E74" i="13"/>
  <c r="F74" i="13"/>
  <c r="H74" i="13"/>
  <c r="E73" i="13"/>
  <c r="F73" i="13"/>
  <c r="G73" i="13"/>
  <c r="H73" i="13"/>
  <c r="D73" i="13"/>
  <c r="X239" i="1"/>
  <c r="Y239" i="1" s="1"/>
  <c r="I239" i="1"/>
  <c r="X237" i="1"/>
  <c r="Y237" i="1" s="1"/>
  <c r="W237" i="1"/>
  <c r="AB237" i="1" s="1"/>
  <c r="AC237" i="1" s="1"/>
  <c r="M14" i="10"/>
  <c r="I237" i="1"/>
  <c r="W236" i="1"/>
  <c r="AB236" i="1" s="1"/>
  <c r="AC236" i="1" s="1"/>
  <c r="W240" i="1"/>
  <c r="AB240" i="1" s="1"/>
  <c r="AC240" i="1" s="1"/>
  <c r="W241" i="1"/>
  <c r="AB241" i="1" s="1"/>
  <c r="AC241" i="1" s="1"/>
  <c r="AB243" i="1"/>
  <c r="AC243" i="1" s="1"/>
  <c r="AB244" i="1"/>
  <c r="AC244" i="1" s="1"/>
  <c r="X235" i="1"/>
  <c r="Y235" i="1" s="1"/>
  <c r="X236" i="1"/>
  <c r="Y236" i="1" s="1"/>
  <c r="X238" i="1"/>
  <c r="Y238" i="1" s="1"/>
  <c r="X240" i="1"/>
  <c r="Y240" i="1" s="1"/>
  <c r="X241" i="1"/>
  <c r="Y241" i="1" s="1"/>
  <c r="X242" i="1"/>
  <c r="Y242" i="1" s="1"/>
  <c r="X243" i="1"/>
  <c r="Y243" i="1" s="1"/>
  <c r="I238" i="1"/>
  <c r="R22" i="9"/>
  <c r="C23" i="9" s="1"/>
  <c r="R23" i="9" s="1"/>
  <c r="S22" i="9"/>
  <c r="T22" i="9"/>
  <c r="U22" i="9"/>
  <c r="G74" i="13" s="1"/>
  <c r="V22" i="9"/>
  <c r="C22" i="9"/>
  <c r="D22" i="9"/>
  <c r="F22" i="9"/>
  <c r="G22" i="9"/>
  <c r="T22" i="8"/>
  <c r="I236" i="1"/>
  <c r="X233" i="1"/>
  <c r="Y233" i="1" s="1"/>
  <c r="X234" i="1"/>
  <c r="Y234" i="1" s="1"/>
  <c r="W233" i="1"/>
  <c r="AB233" i="1" s="1"/>
  <c r="AC233" i="1" s="1"/>
  <c r="W234" i="1"/>
  <c r="AB234" i="1" s="1"/>
  <c r="AC234" i="1" s="1"/>
  <c r="W235" i="1"/>
  <c r="AB235" i="1" s="1"/>
  <c r="AC235" i="1" s="1"/>
  <c r="H21" i="8"/>
  <c r="F70" i="13"/>
  <c r="E69" i="13"/>
  <c r="F69" i="13"/>
  <c r="G69" i="13"/>
  <c r="H69" i="13"/>
  <c r="D69" i="13"/>
  <c r="L21" i="8"/>
  <c r="K21" i="8"/>
  <c r="T21" i="8"/>
  <c r="F68" i="13" s="1"/>
  <c r="T21" i="9"/>
  <c r="D74" i="13" l="1"/>
  <c r="W239" i="1"/>
  <c r="AB239" i="1" s="1"/>
  <c r="AC239" i="1" s="1"/>
  <c r="W238" i="1"/>
  <c r="AB238" i="1" s="1"/>
  <c r="AC238" i="1" s="1"/>
  <c r="W226" i="1"/>
  <c r="AB226" i="1" s="1"/>
  <c r="AC226" i="1" s="1"/>
  <c r="X226" i="1"/>
  <c r="Y226" i="1" s="1"/>
  <c r="W227" i="1"/>
  <c r="AB227" i="1" s="1"/>
  <c r="AC227" i="1" s="1"/>
  <c r="X227" i="1"/>
  <c r="Y227" i="1" s="1"/>
  <c r="W228" i="1"/>
  <c r="AB228" i="1" s="1"/>
  <c r="AC228" i="1" s="1"/>
  <c r="X228" i="1"/>
  <c r="Y228" i="1" s="1"/>
  <c r="W229" i="1"/>
  <c r="AB229" i="1" s="1"/>
  <c r="AC229" i="1" s="1"/>
  <c r="X229" i="1"/>
  <c r="Y229" i="1" s="1"/>
  <c r="W230" i="1"/>
  <c r="AB230" i="1" s="1"/>
  <c r="AC230" i="1" s="1"/>
  <c r="X230" i="1"/>
  <c r="Y230" i="1" s="1"/>
  <c r="W231" i="1"/>
  <c r="AB231" i="1" s="1"/>
  <c r="AC231" i="1" s="1"/>
  <c r="X231" i="1"/>
  <c r="Y231" i="1" s="1"/>
  <c r="W232" i="1"/>
  <c r="AB232" i="1" s="1"/>
  <c r="AC232" i="1" s="1"/>
  <c r="X232" i="1"/>
  <c r="Y232" i="1" s="1"/>
  <c r="P20" i="9"/>
  <c r="F65" i="13"/>
  <c r="N20" i="9"/>
  <c r="T20" i="9"/>
  <c r="F64" i="13" s="1"/>
  <c r="T20" i="8"/>
  <c r="F63" i="13" s="1"/>
  <c r="Y115" i="1"/>
  <c r="W213" i="1"/>
  <c r="AB213" i="1" s="1"/>
  <c r="AC213" i="1" s="1"/>
  <c r="W210" i="1"/>
  <c r="AB210" i="1" s="1"/>
  <c r="AC210" i="1" s="1"/>
  <c r="W208" i="1"/>
  <c r="AB208" i="1" s="1"/>
  <c r="AC208" i="1" s="1"/>
  <c r="W207" i="1"/>
  <c r="AB207" i="1" s="1"/>
  <c r="AC207" i="1" s="1"/>
  <c r="W201" i="1"/>
  <c r="AB201" i="1" s="1"/>
  <c r="AC201" i="1" s="1"/>
  <c r="W200" i="1"/>
  <c r="AB200" i="1" s="1"/>
  <c r="AC200" i="1" s="1"/>
  <c r="W188" i="1"/>
  <c r="AB188" i="1" s="1"/>
  <c r="AC188" i="1" s="1"/>
  <c r="W186" i="1"/>
  <c r="AB186" i="1" s="1"/>
  <c r="AC186" i="1" s="1"/>
  <c r="W167" i="1"/>
  <c r="AB167" i="1" s="1"/>
  <c r="AC167" i="1" s="1"/>
  <c r="W119" i="1"/>
  <c r="AB119" i="1" s="1"/>
  <c r="AC119" i="1" s="1"/>
  <c r="W114" i="1"/>
  <c r="AB114" i="1" s="1"/>
  <c r="AC114" i="1" s="1"/>
  <c r="W113" i="1"/>
  <c r="AB113" i="1" s="1"/>
  <c r="AC113" i="1" s="1"/>
  <c r="W112" i="1"/>
  <c r="AB112" i="1" s="1"/>
  <c r="AC112" i="1" s="1"/>
  <c r="W108" i="1"/>
  <c r="AB108" i="1" s="1"/>
  <c r="AC108" i="1" s="1"/>
  <c r="W95" i="1"/>
  <c r="AB95" i="1" s="1"/>
  <c r="AC95" i="1" s="1"/>
  <c r="W39" i="1"/>
  <c r="AB39" i="1" s="1"/>
  <c r="AC39" i="1" s="1"/>
  <c r="W38" i="1"/>
  <c r="AB38" i="1" s="1"/>
  <c r="AC38" i="1" s="1"/>
  <c r="W34" i="1"/>
  <c r="AB34" i="1" s="1"/>
  <c r="AC34" i="1" s="1"/>
  <c r="W32" i="1"/>
  <c r="AB32" i="1" s="1"/>
  <c r="AC32" i="1" s="1"/>
  <c r="X213" i="1"/>
  <c r="X210" i="1"/>
  <c r="X208" i="1"/>
  <c r="X207" i="1"/>
  <c r="X201" i="1"/>
  <c r="X200" i="1"/>
  <c r="X188" i="1"/>
  <c r="X186" i="1"/>
  <c r="X167" i="1"/>
  <c r="X119" i="1"/>
  <c r="X114" i="1"/>
  <c r="X113" i="1"/>
  <c r="X112" i="1"/>
  <c r="X108" i="1"/>
  <c r="X95" i="1"/>
  <c r="X39" i="1"/>
  <c r="X38" i="1"/>
  <c r="X34" i="1"/>
  <c r="X32" i="1"/>
  <c r="X225" i="1"/>
  <c r="Y225" i="1" s="1"/>
  <c r="W225" i="1"/>
  <c r="AB225" i="1" s="1"/>
  <c r="AC225" i="1" s="1"/>
  <c r="I225" i="1"/>
  <c r="X224" i="1"/>
  <c r="Y224" i="1" s="1"/>
  <c r="W224" i="1"/>
  <c r="AB224" i="1" s="1"/>
  <c r="AC224" i="1" s="1"/>
  <c r="I224" i="1"/>
  <c r="X220" i="1"/>
  <c r="Y220" i="1" s="1"/>
  <c r="X221" i="1"/>
  <c r="Y221" i="1" s="1"/>
  <c r="X222" i="1"/>
  <c r="Y222" i="1" s="1"/>
  <c r="W220" i="1"/>
  <c r="AB220" i="1" s="1"/>
  <c r="AC220" i="1" s="1"/>
  <c r="W221" i="1"/>
  <c r="AB221" i="1" s="1"/>
  <c r="AC221" i="1" s="1"/>
  <c r="W222" i="1"/>
  <c r="AB222" i="1" s="1"/>
  <c r="AC222" i="1" s="1"/>
  <c r="W223" i="1"/>
  <c r="AB223" i="1" s="1"/>
  <c r="AC223" i="1" s="1"/>
  <c r="X223" i="1"/>
  <c r="Y223" i="1" s="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6" i="1"/>
  <c r="I227" i="1"/>
  <c r="I228" i="1"/>
  <c r="I229" i="1"/>
  <c r="I230" i="1"/>
  <c r="I231" i="1"/>
  <c r="I232" i="1"/>
  <c r="I233" i="1"/>
  <c r="I234" i="1"/>
  <c r="I235" i="1"/>
  <c r="I240" i="1"/>
  <c r="I241" i="1"/>
  <c r="I242" i="1"/>
  <c r="I243" i="1"/>
  <c r="I244" i="1"/>
  <c r="I246" i="1"/>
  <c r="I247" i="1"/>
  <c r="I248" i="1"/>
  <c r="I249" i="1"/>
  <c r="I250" i="1"/>
  <c r="I251" i="1"/>
  <c r="I252" i="1"/>
  <c r="I253" i="1"/>
  <c r="I254" i="1"/>
  <c r="I255" i="1"/>
  <c r="I256" i="1"/>
  <c r="I257" i="1"/>
  <c r="W219" i="1" l="1"/>
  <c r="X219" i="1"/>
  <c r="Y219" i="1" s="1"/>
  <c r="X217" i="1" l="1"/>
  <c r="Y217" i="1" s="1"/>
  <c r="W218" i="1"/>
  <c r="AB218" i="1" s="1"/>
  <c r="AC218" i="1" s="1"/>
  <c r="X218" i="1"/>
  <c r="Y218" i="1" s="1"/>
  <c r="AB219" i="1"/>
  <c r="AC219" i="1" s="1"/>
  <c r="W215" i="1"/>
  <c r="AB215" i="1" s="1"/>
  <c r="AC215" i="1" s="1"/>
  <c r="X215" i="1"/>
  <c r="Y215" i="1" s="1"/>
  <c r="W216" i="1"/>
  <c r="AB216" i="1" s="1"/>
  <c r="AC216" i="1" s="1"/>
  <c r="X216" i="1"/>
  <c r="Y216" i="1" s="1"/>
  <c r="V217" i="1"/>
  <c r="W212" i="1"/>
  <c r="AB212" i="1" s="1"/>
  <c r="AC212" i="1" s="1"/>
  <c r="X212" i="1"/>
  <c r="Y212" i="1" s="1"/>
  <c r="Y213" i="1"/>
  <c r="W214" i="1"/>
  <c r="AB214" i="1" s="1"/>
  <c r="AC214" i="1" s="1"/>
  <c r="X214" i="1"/>
  <c r="Y214" i="1" s="1"/>
  <c r="W202" i="1"/>
  <c r="AB202" i="1" s="1"/>
  <c r="AC202" i="1" s="1"/>
  <c r="X202" i="1"/>
  <c r="Y202" i="1" s="1"/>
  <c r="Y210" i="1"/>
  <c r="W209" i="1"/>
  <c r="AB209" i="1" s="1"/>
  <c r="AC209" i="1" s="1"/>
  <c r="X209" i="1"/>
  <c r="Y209" i="1" s="1"/>
  <c r="Y208" i="1"/>
  <c r="Y207" i="1"/>
  <c r="F60" i="13"/>
  <c r="F59" i="13"/>
  <c r="X205" i="1"/>
  <c r="Y205" i="1" s="1"/>
  <c r="X206" i="1"/>
  <c r="Y206" i="1" s="1"/>
  <c r="X211" i="1"/>
  <c r="Y211" i="1" s="1"/>
  <c r="W211" i="1"/>
  <c r="AB211" i="1" s="1"/>
  <c r="AC211" i="1" s="1"/>
  <c r="Y201" i="1"/>
  <c r="X203" i="1"/>
  <c r="Y203" i="1" s="1"/>
  <c r="X204" i="1"/>
  <c r="Y204" i="1" s="1"/>
  <c r="W205" i="1"/>
  <c r="AB205" i="1" s="1"/>
  <c r="AC205" i="1" s="1"/>
  <c r="W206" i="1"/>
  <c r="AB206" i="1" s="1"/>
  <c r="AC206" i="1" s="1"/>
  <c r="W203" i="1"/>
  <c r="AB203" i="1" s="1"/>
  <c r="AC203" i="1" s="1"/>
  <c r="W204" i="1"/>
  <c r="AB204" i="1" s="1"/>
  <c r="C19" i="9"/>
  <c r="R19" i="9" s="1"/>
  <c r="C20" i="9" s="1"/>
  <c r="R20" i="9" s="1"/>
  <c r="T16" i="9"/>
  <c r="T17" i="9"/>
  <c r="T18" i="9"/>
  <c r="T19" i="9"/>
  <c r="T19" i="8"/>
  <c r="F58" i="13" s="1"/>
  <c r="Y200" i="1"/>
  <c r="X198" i="1"/>
  <c r="Y198" i="1" s="1"/>
  <c r="X199" i="1"/>
  <c r="Y199" i="1" s="1"/>
  <c r="W197" i="1"/>
  <c r="AB197" i="1" s="1"/>
  <c r="AC197" i="1" s="1"/>
  <c r="X197" i="1"/>
  <c r="Y197" i="1" s="1"/>
  <c r="W198" i="1"/>
  <c r="AB198" i="1" s="1"/>
  <c r="AC198" i="1" s="1"/>
  <c r="W217" i="1" l="1"/>
  <c r="AB217" i="1" s="1"/>
  <c r="AC217" i="1" s="1"/>
  <c r="V5" i="1"/>
  <c r="C21" i="9"/>
  <c r="R21" i="9" s="1"/>
  <c r="D64" i="13"/>
  <c r="D59" i="13"/>
  <c r="D51" i="5"/>
  <c r="E51" i="5" s="1"/>
  <c r="AC204" i="1"/>
  <c r="D50" i="5"/>
  <c r="E50" i="5" s="1"/>
  <c r="X195" i="1" l="1"/>
  <c r="Y195" i="1" s="1"/>
  <c r="X196" i="1"/>
  <c r="Y196" i="1" s="1"/>
  <c r="W195" i="1"/>
  <c r="AB195" i="1" s="1"/>
  <c r="AC195" i="1" s="1"/>
  <c r="W196" i="1"/>
  <c r="AB196" i="1" s="1"/>
  <c r="AC196" i="1" s="1"/>
  <c r="W199" i="1"/>
  <c r="AB199" i="1" s="1"/>
  <c r="AC199" i="1" s="1"/>
  <c r="W194" i="1"/>
  <c r="AB194" i="1" s="1"/>
  <c r="AC194" i="1" s="1"/>
  <c r="K18" i="8"/>
  <c r="P18" i="8"/>
  <c r="X193" i="1"/>
  <c r="Y193" i="1" s="1"/>
  <c r="X194" i="1"/>
  <c r="Y194" i="1" s="1"/>
  <c r="W191" i="1"/>
  <c r="AB191" i="1" s="1"/>
  <c r="AC191" i="1" s="1"/>
  <c r="X191" i="1"/>
  <c r="Y191" i="1" s="1"/>
  <c r="W192" i="1"/>
  <c r="AB192" i="1" s="1"/>
  <c r="AC192" i="1" s="1"/>
  <c r="X192" i="1"/>
  <c r="Y192" i="1" s="1"/>
  <c r="AB193" i="1"/>
  <c r="AC193" i="1" s="1"/>
  <c r="F55" i="13"/>
  <c r="D54" i="13"/>
  <c r="T18" i="8"/>
  <c r="F53" i="13" s="1"/>
  <c r="P17" i="12"/>
  <c r="H17" i="12"/>
  <c r="M17" i="12"/>
  <c r="I172" i="1"/>
  <c r="I173" i="1"/>
  <c r="I174" i="1"/>
  <c r="I175" i="1"/>
  <c r="I176" i="1"/>
  <c r="I177" i="1"/>
  <c r="I178" i="1"/>
  <c r="I179" i="1"/>
  <c r="I180" i="1"/>
  <c r="I181" i="1"/>
  <c r="I182" i="1"/>
  <c r="I183" i="1"/>
  <c r="I184" i="1"/>
  <c r="I185" i="1"/>
  <c r="I186" i="1"/>
  <c r="I187" i="1"/>
  <c r="I188" i="1"/>
  <c r="I189" i="1"/>
  <c r="I190" i="1"/>
  <c r="I166" i="1"/>
  <c r="I167" i="1"/>
  <c r="I168" i="1"/>
  <c r="I169" i="1"/>
  <c r="I170" i="1"/>
  <c r="I171" i="1"/>
  <c r="F54" i="13"/>
  <c r="C18" i="9"/>
  <c r="Y188" i="1"/>
  <c r="X189" i="1"/>
  <c r="Y189" i="1" s="1"/>
  <c r="W187" i="1"/>
  <c r="AB187" i="1" s="1"/>
  <c r="AC187" i="1" s="1"/>
  <c r="X187" i="1"/>
  <c r="Y187" i="1" s="1"/>
  <c r="W185" i="1"/>
  <c r="AB185" i="1" s="1"/>
  <c r="X185" i="1"/>
  <c r="Y185" i="1" s="1"/>
  <c r="Y186" i="1"/>
  <c r="W189" i="1"/>
  <c r="AB189" i="1" s="1"/>
  <c r="AC189" i="1" s="1"/>
  <c r="W190" i="1"/>
  <c r="AB190" i="1" s="1"/>
  <c r="X190" i="1"/>
  <c r="Y190" i="1" s="1"/>
  <c r="W182" i="1"/>
  <c r="X182" i="1"/>
  <c r="Y182" i="1" s="1"/>
  <c r="W183" i="1"/>
  <c r="AB183" i="1" s="1"/>
  <c r="X183" i="1"/>
  <c r="Y183" i="1" s="1"/>
  <c r="W184" i="1"/>
  <c r="AB184" i="1" s="1"/>
  <c r="X184" i="1"/>
  <c r="Y184" i="1" s="1"/>
  <c r="AC190" i="1" l="1"/>
  <c r="D49" i="5"/>
  <c r="E49" i="5" s="1"/>
  <c r="AC184" i="1"/>
  <c r="AC185" i="1"/>
  <c r="AC183" i="1"/>
  <c r="AB182" i="1"/>
  <c r="AC182" i="1" s="1"/>
  <c r="X179" i="1" l="1"/>
  <c r="Y179" i="1" s="1"/>
  <c r="X180" i="1"/>
  <c r="Y180" i="1" s="1"/>
  <c r="W179" i="1"/>
  <c r="AB179" i="1" s="1"/>
  <c r="W180" i="1"/>
  <c r="AB180" i="1" s="1"/>
  <c r="AC180" i="1" s="1"/>
  <c r="W181" i="1"/>
  <c r="W178" i="1"/>
  <c r="AB178" i="1" s="1"/>
  <c r="X178" i="1"/>
  <c r="Y178" i="1" s="1"/>
  <c r="I17" i="8"/>
  <c r="F50" i="13"/>
  <c r="D49" i="13"/>
  <c r="W177" i="1"/>
  <c r="AB177" i="1" s="1"/>
  <c r="X177" i="1"/>
  <c r="Y177" i="1" s="1"/>
  <c r="AC178" i="1" l="1"/>
  <c r="D53" i="5"/>
  <c r="E53" i="5" s="1"/>
  <c r="AC179" i="1"/>
  <c r="D47" i="5"/>
  <c r="E47" i="5" s="1"/>
  <c r="D45" i="5"/>
  <c r="E45" i="5" s="1"/>
  <c r="AC177" i="1"/>
  <c r="X181" i="1"/>
  <c r="Y181" i="1" s="1"/>
  <c r="AB181" i="1"/>
  <c r="K16" i="12"/>
  <c r="X175" i="1"/>
  <c r="Y175" i="1" s="1"/>
  <c r="X174" i="1"/>
  <c r="Y174" i="1" s="1"/>
  <c r="W174" i="1"/>
  <c r="AB174" i="1" s="1"/>
  <c r="AC174" i="1" s="1"/>
  <c r="W175" i="1"/>
  <c r="AB175" i="1" s="1"/>
  <c r="AC175" i="1" s="1"/>
  <c r="D42" i="5"/>
  <c r="E42" i="5" s="1"/>
  <c r="W172" i="1"/>
  <c r="AC171" i="1"/>
  <c r="AC172" i="1"/>
  <c r="AC170" i="1"/>
  <c r="T17" i="8"/>
  <c r="F48" i="13" s="1"/>
  <c r="X170" i="1"/>
  <c r="Y170" i="1" s="1"/>
  <c r="X171" i="1"/>
  <c r="Y171" i="1" s="1"/>
  <c r="X172" i="1"/>
  <c r="Y172" i="1" s="1"/>
  <c r="W171" i="1"/>
  <c r="W170" i="1"/>
  <c r="F45" i="13"/>
  <c r="D44" i="13"/>
  <c r="X163" i="1"/>
  <c r="Y163" i="1" s="1"/>
  <c r="W163" i="1"/>
  <c r="AB163" i="1" s="1"/>
  <c r="AC163" i="1" s="1"/>
  <c r="I163" i="1"/>
  <c r="T16" i="8"/>
  <c r="F43" i="13" s="1"/>
  <c r="F49" i="13"/>
  <c r="C17" i="9"/>
  <c r="P16" i="9"/>
  <c r="C16" i="9"/>
  <c r="X169" i="1"/>
  <c r="Y169" i="1" s="1"/>
  <c r="W169" i="1"/>
  <c r="AB169" i="1" s="1"/>
  <c r="AC169" i="1" s="1"/>
  <c r="AC168" i="1"/>
  <c r="X168" i="1"/>
  <c r="Y168" i="1" s="1"/>
  <c r="W168" i="1"/>
  <c r="Y167" i="1"/>
  <c r="AC166" i="1"/>
  <c r="X166" i="1"/>
  <c r="Y166" i="1" s="1"/>
  <c r="W166" i="1"/>
  <c r="AC165" i="1"/>
  <c r="X165" i="1"/>
  <c r="Y165" i="1" s="1"/>
  <c r="W165" i="1"/>
  <c r="I165" i="1"/>
  <c r="I162" i="1"/>
  <c r="F44" i="13" l="1"/>
  <c r="AC181" i="1"/>
  <c r="D44" i="5"/>
  <c r="E44" i="5" s="1"/>
  <c r="D43" i="5"/>
  <c r="E43" i="5" s="1"/>
  <c r="D41" i="5"/>
  <c r="E41" i="5" s="1"/>
  <c r="I164" i="1"/>
  <c r="X29" i="1"/>
  <c r="Y29" i="1" s="1"/>
  <c r="W29" i="1"/>
  <c r="K5" i="6"/>
  <c r="K6" i="6"/>
  <c r="K7" i="6"/>
  <c r="K8" i="6"/>
  <c r="K4" i="6"/>
  <c r="X162" i="1"/>
  <c r="Y162" i="1" s="1"/>
  <c r="X164" i="1"/>
  <c r="Y164" i="1" s="1"/>
  <c r="X173" i="1"/>
  <c r="Y173" i="1" s="1"/>
  <c r="X176" i="1"/>
  <c r="Y176" i="1" s="1"/>
  <c r="W162" i="1"/>
  <c r="AB162" i="1" s="1"/>
  <c r="AC162" i="1" s="1"/>
  <c r="W164" i="1"/>
  <c r="AB164" i="1" s="1"/>
  <c r="AC164" i="1" s="1"/>
  <c r="W173" i="1"/>
  <c r="AB173" i="1" s="1"/>
  <c r="AC173" i="1" s="1"/>
  <c r="W176" i="1"/>
  <c r="AB176" i="1" s="1"/>
  <c r="AC176" i="1" s="1"/>
  <c r="P15" i="8"/>
  <c r="Y160" i="1"/>
  <c r="W160" i="1"/>
  <c r="AB160" i="1" s="1"/>
  <c r="AC160" i="1" s="1"/>
  <c r="Y159" i="1"/>
  <c r="W159" i="1"/>
  <c r="AB159" i="1" s="1"/>
  <c r="AC159" i="1" s="1"/>
  <c r="F40" i="13"/>
  <c r="Y158" i="1"/>
  <c r="W158" i="1"/>
  <c r="AB158" i="1" s="1"/>
  <c r="AC158" i="1" s="1"/>
  <c r="D39" i="13"/>
  <c r="P15" i="9"/>
  <c r="T15" i="8"/>
  <c r="F38" i="13" s="1"/>
  <c r="W156" i="1"/>
  <c r="AB156" i="1" s="1"/>
  <c r="AC156" i="1" s="1"/>
  <c r="X156" i="1"/>
  <c r="Y156" i="1" s="1"/>
  <c r="Y157" i="1"/>
  <c r="W155" i="1"/>
  <c r="AB155" i="1" s="1"/>
  <c r="AC155" i="1" s="1"/>
  <c r="W157" i="1"/>
  <c r="AB157" i="1" s="1"/>
  <c r="AC157" i="1" s="1"/>
  <c r="X155" i="1"/>
  <c r="Y155" i="1" s="1"/>
  <c r="X154" i="1"/>
  <c r="Y154" i="1" s="1"/>
  <c r="X152" i="1"/>
  <c r="X153" i="1"/>
  <c r="Y153" i="1" s="1"/>
  <c r="Y132" i="1"/>
  <c r="T15" i="9"/>
  <c r="F39" i="13" s="1"/>
  <c r="C15" i="9"/>
  <c r="K9" i="6" l="1"/>
  <c r="X26" i="1"/>
  <c r="X33" i="1"/>
  <c r="X40" i="1"/>
  <c r="X43" i="1"/>
  <c r="X46" i="1"/>
  <c r="W152" i="1"/>
  <c r="AB152" i="1" s="1"/>
  <c r="AC152" i="1" s="1"/>
  <c r="W153" i="1"/>
  <c r="AB153" i="1" s="1"/>
  <c r="AC153" i="1" s="1"/>
  <c r="W154" i="1"/>
  <c r="AB154" i="1" s="1"/>
  <c r="AC154" i="1" s="1"/>
  <c r="I152" i="1"/>
  <c r="I153" i="1"/>
  <c r="I154" i="1"/>
  <c r="Y152" i="1"/>
  <c r="H36" i="13"/>
  <c r="F35" i="13"/>
  <c r="D34" i="13"/>
  <c r="T14" i="8"/>
  <c r="F33" i="13" s="1"/>
  <c r="I133" i="1"/>
  <c r="J13" i="11"/>
  <c r="X150" i="1"/>
  <c r="Y150" i="1" s="1"/>
  <c r="W150" i="1"/>
  <c r="AB150" i="1" s="1"/>
  <c r="AC150" i="1" s="1"/>
  <c r="I150" i="1"/>
  <c r="Y146" i="1"/>
  <c r="K14" i="9"/>
  <c r="Y142" i="1"/>
  <c r="Y140" i="1"/>
  <c r="I140" i="1"/>
  <c r="I141" i="1"/>
  <c r="Y139" i="1"/>
  <c r="W139" i="1"/>
  <c r="AB139" i="1" s="1"/>
  <c r="AC139" i="1" s="1"/>
  <c r="W140" i="1"/>
  <c r="AB140" i="1" s="1"/>
  <c r="AC140" i="1" s="1"/>
  <c r="I139" i="1"/>
  <c r="Y95" i="1"/>
  <c r="I95" i="1"/>
  <c r="T14" i="9"/>
  <c r="F34" i="13" s="1"/>
  <c r="C14" i="9"/>
  <c r="X147" i="1"/>
  <c r="Y147" i="1" s="1"/>
  <c r="W147" i="1"/>
  <c r="AB147" i="1" s="1"/>
  <c r="AC147" i="1" s="1"/>
  <c r="I147" i="1"/>
  <c r="W146" i="1"/>
  <c r="I146" i="1"/>
  <c r="X145" i="1"/>
  <c r="Y145" i="1" s="1"/>
  <c r="W145" i="1"/>
  <c r="AB145" i="1" s="1"/>
  <c r="AC145" i="1" s="1"/>
  <c r="I145" i="1"/>
  <c r="E26" i="2"/>
  <c r="F26" i="2" s="1"/>
  <c r="G26" i="2"/>
  <c r="H26" i="2" s="1"/>
  <c r="I26" i="2"/>
  <c r="J26" i="2" s="1"/>
  <c r="K26" i="2"/>
  <c r="L26" i="2" s="1"/>
  <c r="M26" i="2"/>
  <c r="N26" i="2" s="1"/>
  <c r="O26" i="2"/>
  <c r="P26" i="2" s="1"/>
  <c r="Y136" i="1"/>
  <c r="I136" i="1"/>
  <c r="I137" i="1"/>
  <c r="I138" i="1"/>
  <c r="AE22" i="11" l="1"/>
  <c r="AE13" i="11"/>
  <c r="J22" i="11"/>
  <c r="AB146" i="1"/>
  <c r="A3" i="15" l="1"/>
  <c r="A5" i="15" s="1"/>
  <c r="AC146" i="1"/>
  <c r="D39" i="5"/>
  <c r="E39" i="5" s="1"/>
  <c r="Y135" i="1"/>
  <c r="W135" i="1"/>
  <c r="W137" i="1"/>
  <c r="W142" i="1"/>
  <c r="I142" i="1"/>
  <c r="AB142" i="1" l="1"/>
  <c r="AC142" i="1" s="1"/>
  <c r="Y134" i="1"/>
  <c r="W134" i="1"/>
  <c r="AB134" i="1" s="1"/>
  <c r="AC134" i="1" s="1"/>
  <c r="I134" i="1"/>
  <c r="H31" i="13"/>
  <c r="F30" i="13"/>
  <c r="D29" i="13"/>
  <c r="W132" i="1"/>
  <c r="AB132" i="1" s="1"/>
  <c r="W133" i="1"/>
  <c r="I132" i="1"/>
  <c r="Y21" i="1"/>
  <c r="T13" i="9"/>
  <c r="F29" i="13" s="1"/>
  <c r="C13" i="9"/>
  <c r="T13" i="8"/>
  <c r="F28" i="13" s="1"/>
  <c r="Y129" i="1" l="1"/>
  <c r="Y113" i="1"/>
  <c r="I113" i="1"/>
  <c r="Y114" i="1"/>
  <c r="Y128" i="1"/>
  <c r="D7" i="5"/>
  <c r="D8" i="5"/>
  <c r="D13" i="5"/>
  <c r="D17" i="5"/>
  <c r="D19" i="5"/>
  <c r="Y126" i="1"/>
  <c r="M12" i="8"/>
  <c r="Y118" i="1"/>
  <c r="W118" i="1"/>
  <c r="AB118" i="1" s="1"/>
  <c r="AC118" i="1" s="1"/>
  <c r="I118" i="1"/>
  <c r="Y117" i="1"/>
  <c r="W117" i="1"/>
  <c r="AB117" i="1" s="1"/>
  <c r="AC117" i="1" s="1"/>
  <c r="I117" i="1"/>
  <c r="H12" i="8"/>
  <c r="Y125" i="1"/>
  <c r="X124" i="1"/>
  <c r="Y124" i="1" s="1"/>
  <c r="Y123" i="1"/>
  <c r="Y116" i="1"/>
  <c r="W115" i="1"/>
  <c r="AB115" i="1" s="1"/>
  <c r="AC115" i="1" s="1"/>
  <c r="W116" i="1"/>
  <c r="AB116" i="1" s="1"/>
  <c r="I116" i="1"/>
  <c r="I115" i="1"/>
  <c r="F25" i="13"/>
  <c r="D24" i="13"/>
  <c r="T12" i="8"/>
  <c r="F23" i="13" s="1"/>
  <c r="Y112" i="1"/>
  <c r="I111" i="1"/>
  <c r="I112" i="1"/>
  <c r="I114" i="1"/>
  <c r="T12" i="9"/>
  <c r="F24" i="13" s="1"/>
  <c r="C12" i="9"/>
  <c r="D10" i="5" l="1"/>
  <c r="AC116" i="1"/>
  <c r="D30" i="5"/>
  <c r="E30" i="5" s="1"/>
  <c r="Y121" i="1" l="1"/>
  <c r="Y120" i="1"/>
  <c r="Y119" i="1"/>
  <c r="Y111" i="1"/>
  <c r="I105" i="1"/>
  <c r="I106" i="1"/>
  <c r="I107" i="1"/>
  <c r="I108" i="1"/>
  <c r="I120" i="1"/>
  <c r="I121" i="1"/>
  <c r="I122" i="1"/>
  <c r="I123" i="1"/>
  <c r="I124" i="1"/>
  <c r="I125" i="1"/>
  <c r="I126" i="1"/>
  <c r="I127" i="1"/>
  <c r="I128" i="1"/>
  <c r="I129" i="1"/>
  <c r="I130" i="1"/>
  <c r="I131" i="1"/>
  <c r="I135" i="1"/>
  <c r="I143" i="1"/>
  <c r="I144" i="1"/>
  <c r="Y110" i="1"/>
  <c r="AB137" i="1"/>
  <c r="W138" i="1"/>
  <c r="AB138" i="1" s="1"/>
  <c r="AC138" i="1" s="1"/>
  <c r="W141" i="1"/>
  <c r="AB141" i="1" s="1"/>
  <c r="AC141" i="1" s="1"/>
  <c r="W143" i="1"/>
  <c r="AB143" i="1" s="1"/>
  <c r="AC143" i="1" s="1"/>
  <c r="W144" i="1"/>
  <c r="AB144" i="1" s="1"/>
  <c r="AC144" i="1" s="1"/>
  <c r="W148" i="1"/>
  <c r="AB148" i="1" s="1"/>
  <c r="AC148" i="1" s="1"/>
  <c r="W149" i="1"/>
  <c r="AB149" i="1" s="1"/>
  <c r="AC149" i="1" s="1"/>
  <c r="W151" i="1"/>
  <c r="AB151" i="1" s="1"/>
  <c r="W110" i="1"/>
  <c r="AB110" i="1" s="1"/>
  <c r="AC110" i="1" s="1"/>
  <c r="W120" i="1"/>
  <c r="AB120" i="1" s="1"/>
  <c r="AC120" i="1" s="1"/>
  <c r="W121" i="1"/>
  <c r="AB121" i="1" s="1"/>
  <c r="AC121" i="1" s="1"/>
  <c r="AC151" i="1" l="1"/>
  <c r="AC137" i="1"/>
  <c r="D38" i="5"/>
  <c r="E38" i="5" s="1"/>
  <c r="Y107" i="1"/>
  <c r="W107" i="1"/>
  <c r="AB107" i="1" s="1"/>
  <c r="AC107" i="1" s="1"/>
  <c r="W109" i="1"/>
  <c r="AB109" i="1" s="1"/>
  <c r="AC109" i="1" s="1"/>
  <c r="Y109" i="1"/>
  <c r="Y108" i="1"/>
  <c r="X105" i="1"/>
  <c r="Y105" i="1" s="1"/>
  <c r="W105" i="1"/>
  <c r="AB105" i="1" s="1"/>
  <c r="AC105" i="1" s="1"/>
  <c r="M7" i="10"/>
  <c r="P11" i="8"/>
  <c r="H21" i="13"/>
  <c r="F20" i="13"/>
  <c r="D19" i="13"/>
  <c r="T11" i="9"/>
  <c r="F19" i="13" s="1"/>
  <c r="C11" i="9"/>
  <c r="T11" i="8"/>
  <c r="F18" i="13" s="1"/>
  <c r="I5" i="10"/>
  <c r="Y81" i="1"/>
  <c r="W81" i="1"/>
  <c r="AB81" i="1" s="1"/>
  <c r="AC81" i="1" s="1"/>
  <c r="I81" i="1"/>
  <c r="T10" i="8"/>
  <c r="F13" i="13" s="1"/>
  <c r="P9" i="9"/>
  <c r="P10" i="9"/>
  <c r="E17" i="13"/>
  <c r="H16" i="13"/>
  <c r="F15" i="13"/>
  <c r="D14" i="13"/>
  <c r="S7" i="14"/>
  <c r="D8" i="14" s="1"/>
  <c r="S8" i="14" s="1"/>
  <c r="T7" i="14"/>
  <c r="E8" i="14" s="1"/>
  <c r="T8" i="14" s="1"/>
  <c r="U7" i="14"/>
  <c r="F8" i="14" s="1"/>
  <c r="U8" i="14" s="1"/>
  <c r="V7" i="14"/>
  <c r="G8" i="14" s="1"/>
  <c r="V8" i="14" s="1"/>
  <c r="R7" i="14"/>
  <c r="C8" i="14" s="1"/>
  <c r="R8" i="14" s="1"/>
  <c r="AL67" i="14"/>
  <c r="AL68" i="14" s="1"/>
  <c r="AK67" i="14"/>
  <c r="AJ67" i="14"/>
  <c r="AI67" i="14"/>
  <c r="AH67" i="14"/>
  <c r="AG67" i="14"/>
  <c r="AG68" i="14" s="1"/>
  <c r="AF67" i="14"/>
  <c r="AF68" i="14" s="1"/>
  <c r="AE67" i="14"/>
  <c r="AE68" i="14" s="1"/>
  <c r="AD67" i="14"/>
  <c r="AD68" i="14" s="1"/>
  <c r="AC67" i="14"/>
  <c r="AC68" i="14" s="1"/>
  <c r="AB67" i="14"/>
  <c r="AB68" i="14" s="1"/>
  <c r="AA67" i="14"/>
  <c r="AA68" i="14" s="1"/>
  <c r="P5" i="14"/>
  <c r="V4" i="14"/>
  <c r="G5" i="14" s="1"/>
  <c r="V5" i="14" s="1"/>
  <c r="G6" i="14" s="1"/>
  <c r="V6" i="14" s="1"/>
  <c r="U4" i="14"/>
  <c r="F5" i="14" s="1"/>
  <c r="U5" i="14" s="1"/>
  <c r="F6" i="14" s="1"/>
  <c r="U6" i="14" s="1"/>
  <c r="S4" i="14"/>
  <c r="D5" i="14" s="1"/>
  <c r="S5" i="14" s="1"/>
  <c r="D6" i="14" s="1"/>
  <c r="S6" i="14" s="1"/>
  <c r="R4" i="14"/>
  <c r="AH68" i="14" s="1"/>
  <c r="V3" i="14"/>
  <c r="U3" i="14"/>
  <c r="S3" i="14"/>
  <c r="R3" i="14"/>
  <c r="Y88" i="1"/>
  <c r="D22" i="13" l="1"/>
  <c r="D32" i="13"/>
  <c r="C9" i="14"/>
  <c r="R9" i="14" s="1"/>
  <c r="H22" i="13"/>
  <c r="H32" i="13"/>
  <c r="G9" i="14"/>
  <c r="V9" i="14" s="1"/>
  <c r="G22" i="13"/>
  <c r="F9" i="14"/>
  <c r="U9" i="14" s="1"/>
  <c r="G32" i="13"/>
  <c r="F22" i="13"/>
  <c r="E9" i="14"/>
  <c r="T9" i="14" s="1"/>
  <c r="F32" i="13"/>
  <c r="E22" i="13"/>
  <c r="D9" i="14"/>
  <c r="S9" i="14" s="1"/>
  <c r="E32" i="13"/>
  <c r="D17" i="13"/>
  <c r="G17" i="13"/>
  <c r="F17" i="13"/>
  <c r="H17" i="13"/>
  <c r="AJ68" i="14"/>
  <c r="AI68" i="14"/>
  <c r="AK68" i="14"/>
  <c r="C5" i="14"/>
  <c r="R5" i="14" s="1"/>
  <c r="C6" i="14" s="1"/>
  <c r="R6" i="14" s="1"/>
  <c r="E10" i="14" l="1"/>
  <c r="T10" i="14" s="1"/>
  <c r="E11" i="14" s="1"/>
  <c r="T11" i="14" s="1"/>
  <c r="F27" i="13"/>
  <c r="F10" i="14"/>
  <c r="U10" i="14" s="1"/>
  <c r="F11" i="14" s="1"/>
  <c r="U11" i="14" s="1"/>
  <c r="G27" i="13"/>
  <c r="C10" i="14"/>
  <c r="R10" i="14" s="1"/>
  <c r="C11" i="14" s="1"/>
  <c r="R11" i="14" s="1"/>
  <c r="D27" i="13"/>
  <c r="G10" i="14"/>
  <c r="V10" i="14" s="1"/>
  <c r="G11" i="14" s="1"/>
  <c r="V11" i="14" s="1"/>
  <c r="H27" i="13"/>
  <c r="D10" i="14"/>
  <c r="S10" i="14" s="1"/>
  <c r="D11" i="14" s="1"/>
  <c r="S11" i="14" s="1"/>
  <c r="E27" i="13"/>
  <c r="Y20" i="1"/>
  <c r="T10" i="9"/>
  <c r="F14" i="13" s="1"/>
  <c r="C10" i="9"/>
  <c r="Y79" i="1"/>
  <c r="W79" i="1"/>
  <c r="AB79" i="1" s="1"/>
  <c r="AC79" i="1" s="1"/>
  <c r="P8" i="12"/>
  <c r="M5" i="10"/>
  <c r="Q5" i="10"/>
  <c r="I79" i="1"/>
  <c r="H12" i="13"/>
  <c r="F11" i="13"/>
  <c r="D10" i="13"/>
  <c r="T9" i="8"/>
  <c r="F9" i="13" s="1"/>
  <c r="O4" i="10"/>
  <c r="P4" i="10"/>
  <c r="Q4" i="10"/>
  <c r="R4" i="10"/>
  <c r="O5" i="10"/>
  <c r="C6" i="10" s="1"/>
  <c r="O6" i="10" s="1"/>
  <c r="P5" i="10"/>
  <c r="D6" i="10" s="1"/>
  <c r="P6" i="10" s="1"/>
  <c r="R5" i="10"/>
  <c r="F6" i="10" s="1"/>
  <c r="R6" i="10" s="1"/>
  <c r="T9" i="9"/>
  <c r="F10" i="13" s="1"/>
  <c r="C9" i="9"/>
  <c r="F8" i="13"/>
  <c r="D7" i="13"/>
  <c r="T8" i="9"/>
  <c r="F7" i="13" s="1"/>
  <c r="C8" i="9"/>
  <c r="T8" i="8"/>
  <c r="F6" i="13" s="1"/>
  <c r="Y64" i="1"/>
  <c r="I59" i="1"/>
  <c r="F5" i="13"/>
  <c r="D4" i="13"/>
  <c r="D12" i="14" l="1"/>
  <c r="S12" i="14" s="1"/>
  <c r="E37" i="13"/>
  <c r="F12" i="14"/>
  <c r="U12" i="14" s="1"/>
  <c r="G37" i="13"/>
  <c r="G12" i="14"/>
  <c r="V12" i="14" s="1"/>
  <c r="H37" i="13"/>
  <c r="C12" i="14"/>
  <c r="R12" i="14" s="1"/>
  <c r="D37" i="13"/>
  <c r="E12" i="14"/>
  <c r="T12" i="14" s="1"/>
  <c r="F37" i="13"/>
  <c r="F7" i="10"/>
  <c r="R7" i="10" s="1"/>
  <c r="G16" i="13"/>
  <c r="G12" i="13"/>
  <c r="D16" i="13"/>
  <c r="C7" i="10"/>
  <c r="O7" i="10" s="1"/>
  <c r="E16" i="13"/>
  <c r="D7" i="10"/>
  <c r="P7" i="10" s="1"/>
  <c r="E12" i="13"/>
  <c r="D12" i="13"/>
  <c r="F12" i="13"/>
  <c r="E6" i="10"/>
  <c r="Q6" i="10" s="1"/>
  <c r="I58" i="1"/>
  <c r="Y48" i="1"/>
  <c r="W48" i="1"/>
  <c r="AB48" i="1" s="1"/>
  <c r="T7" i="9"/>
  <c r="F4" i="13" s="1"/>
  <c r="T7" i="8"/>
  <c r="F3" i="13" s="1"/>
  <c r="Y44" i="1"/>
  <c r="W44" i="1"/>
  <c r="AB44" i="1" s="1"/>
  <c r="AC44" i="1" s="1"/>
  <c r="Y47" i="1"/>
  <c r="P5" i="12"/>
  <c r="E13" i="14" l="1"/>
  <c r="T13" i="14" s="1"/>
  <c r="F42" i="13"/>
  <c r="C13" i="14"/>
  <c r="R13" i="14" s="1"/>
  <c r="D42" i="13"/>
  <c r="G13" i="14"/>
  <c r="V13" i="14" s="1"/>
  <c r="H42" i="13"/>
  <c r="F13" i="14"/>
  <c r="U13" i="14" s="1"/>
  <c r="G42" i="13"/>
  <c r="D13" i="14"/>
  <c r="S13" i="14" s="1"/>
  <c r="E42" i="13"/>
  <c r="F8" i="10"/>
  <c r="R8" i="10" s="1"/>
  <c r="F9" i="10" s="1"/>
  <c r="R9" i="10" s="1"/>
  <c r="G21" i="13"/>
  <c r="D8" i="10"/>
  <c r="P8" i="10" s="1"/>
  <c r="D9" i="10" s="1"/>
  <c r="P9" i="10" s="1"/>
  <c r="E21" i="13"/>
  <c r="C8" i="10"/>
  <c r="O8" i="10" s="1"/>
  <c r="C9" i="10" s="1"/>
  <c r="O9" i="10" s="1"/>
  <c r="D21" i="13"/>
  <c r="D11" i="5"/>
  <c r="AC48" i="1"/>
  <c r="F16" i="13"/>
  <c r="E7" i="10"/>
  <c r="Q7" i="10" s="1"/>
  <c r="T6" i="8"/>
  <c r="T5" i="8"/>
  <c r="T4" i="8"/>
  <c r="R4" i="12"/>
  <c r="C5" i="12" s="1"/>
  <c r="R5" i="12" s="1"/>
  <c r="C6" i="12" s="1"/>
  <c r="R6" i="12" s="1"/>
  <c r="S4" i="12"/>
  <c r="D5" i="12" s="1"/>
  <c r="S5" i="12" s="1"/>
  <c r="D6" i="12" s="1"/>
  <c r="S6" i="12" s="1"/>
  <c r="U4" i="12"/>
  <c r="F5" i="12" s="1"/>
  <c r="V4" i="12"/>
  <c r="G5" i="12" s="1"/>
  <c r="V5" i="12" s="1"/>
  <c r="G6" i="12" s="1"/>
  <c r="V6" i="12" s="1"/>
  <c r="AB70" i="12"/>
  <c r="AL69" i="12"/>
  <c r="AL70" i="12" s="1"/>
  <c r="AK69" i="12"/>
  <c r="AJ69" i="12"/>
  <c r="AI69" i="12"/>
  <c r="AH69" i="12"/>
  <c r="AG69" i="12"/>
  <c r="AG70" i="12" s="1"/>
  <c r="AF69" i="12"/>
  <c r="AF70" i="12" s="1"/>
  <c r="AE69" i="12"/>
  <c r="AE70" i="12" s="1"/>
  <c r="AD69" i="12"/>
  <c r="AD70" i="12" s="1"/>
  <c r="AC69" i="12"/>
  <c r="AC70" i="12" s="1"/>
  <c r="AB69" i="12"/>
  <c r="AA69" i="12"/>
  <c r="AA70" i="12" s="1"/>
  <c r="V3" i="12"/>
  <c r="U3" i="12"/>
  <c r="S3" i="12"/>
  <c r="R3" i="12"/>
  <c r="T6" i="9"/>
  <c r="E19" i="5"/>
  <c r="I35" i="1"/>
  <c r="I36" i="1"/>
  <c r="I37" i="1"/>
  <c r="I38" i="1"/>
  <c r="I34" i="1"/>
  <c r="M5" i="9"/>
  <c r="AB70" i="9"/>
  <c r="AC70" i="9"/>
  <c r="AD70" i="9"/>
  <c r="AE70" i="9"/>
  <c r="AF70" i="9"/>
  <c r="AG70" i="9"/>
  <c r="AH70" i="9"/>
  <c r="AI70" i="9"/>
  <c r="AJ70" i="9"/>
  <c r="AK70" i="9"/>
  <c r="AL70" i="9"/>
  <c r="AA70" i="9"/>
  <c r="K4" i="9"/>
  <c r="E47" i="13" l="1"/>
  <c r="D14" i="14"/>
  <c r="S14" i="14" s="1"/>
  <c r="F14" i="14"/>
  <c r="U14" i="14" s="1"/>
  <c r="G47" i="13"/>
  <c r="H47" i="13"/>
  <c r="G14" i="14"/>
  <c r="V14" i="14" s="1"/>
  <c r="D47" i="13"/>
  <c r="C14" i="14"/>
  <c r="R14" i="14" s="1"/>
  <c r="E14" i="14"/>
  <c r="T14" i="14" s="1"/>
  <c r="F47" i="13"/>
  <c r="D31" i="13"/>
  <c r="C10" i="10"/>
  <c r="O10" i="10" s="1"/>
  <c r="E31" i="13"/>
  <c r="D10" i="10"/>
  <c r="P10" i="10" s="1"/>
  <c r="G31" i="13"/>
  <c r="F10" i="10"/>
  <c r="R10" i="10" s="1"/>
  <c r="F21" i="13"/>
  <c r="E8" i="10"/>
  <c r="Q8" i="10" s="1"/>
  <c r="E9" i="10" s="1"/>
  <c r="Q9" i="10" s="1"/>
  <c r="H5" i="13"/>
  <c r="G7" i="12"/>
  <c r="V7" i="12" s="1"/>
  <c r="E5" i="13"/>
  <c r="D7" i="12"/>
  <c r="S7" i="12" s="1"/>
  <c r="C7" i="12"/>
  <c r="R7" i="12" s="1"/>
  <c r="C8" i="12" s="1"/>
  <c r="R8" i="12" s="1"/>
  <c r="D5" i="13"/>
  <c r="AI70" i="12"/>
  <c r="AH70" i="12"/>
  <c r="AJ70" i="12"/>
  <c r="U5" i="12"/>
  <c r="F6" i="12" s="1"/>
  <c r="U6" i="12" s="1"/>
  <c r="AK70" i="12"/>
  <c r="T5" i="9"/>
  <c r="T4" i="9"/>
  <c r="D15" i="14" l="1"/>
  <c r="S15" i="14" s="1"/>
  <c r="D16" i="14" s="1"/>
  <c r="S16" i="14" s="1"/>
  <c r="E57" i="13"/>
  <c r="E52" i="13"/>
  <c r="E15" i="14"/>
  <c r="T15" i="14" s="1"/>
  <c r="E16" i="14" s="1"/>
  <c r="T16" i="14" s="1"/>
  <c r="F57" i="13"/>
  <c r="F52" i="13"/>
  <c r="C15" i="14"/>
  <c r="R15" i="14" s="1"/>
  <c r="C16" i="14" s="1"/>
  <c r="R16" i="14" s="1"/>
  <c r="D57" i="13"/>
  <c r="D52" i="13"/>
  <c r="G15" i="14"/>
  <c r="V15" i="14" s="1"/>
  <c r="G16" i="14" s="1"/>
  <c r="V16" i="14" s="1"/>
  <c r="H57" i="13"/>
  <c r="H52" i="13"/>
  <c r="F15" i="14"/>
  <c r="U15" i="14" s="1"/>
  <c r="F16" i="14" s="1"/>
  <c r="U16" i="14" s="1"/>
  <c r="G57" i="13"/>
  <c r="G52" i="13"/>
  <c r="F31" i="13"/>
  <c r="E10" i="10"/>
  <c r="Q10" i="10" s="1"/>
  <c r="D11" i="10"/>
  <c r="P11" i="10" s="1"/>
  <c r="D12" i="10" s="1"/>
  <c r="P12" i="10" s="1"/>
  <c r="D13" i="10" s="1"/>
  <c r="P13" i="10" s="1"/>
  <c r="D14" i="10" s="1"/>
  <c r="P14" i="10" s="1"/>
  <c r="E36" i="13"/>
  <c r="C11" i="10"/>
  <c r="O11" i="10" s="1"/>
  <c r="C12" i="10" s="1"/>
  <c r="O12" i="10" s="1"/>
  <c r="C13" i="10" s="1"/>
  <c r="O13" i="10" s="1"/>
  <c r="C14" i="10" s="1"/>
  <c r="O14" i="10" s="1"/>
  <c r="D36" i="13"/>
  <c r="F11" i="10"/>
  <c r="R11" i="10" s="1"/>
  <c r="F12" i="10" s="1"/>
  <c r="R12" i="10" s="1"/>
  <c r="F13" i="10" s="1"/>
  <c r="R13" i="10" s="1"/>
  <c r="F14" i="10" s="1"/>
  <c r="R14" i="10" s="1"/>
  <c r="G36" i="13"/>
  <c r="C9" i="12"/>
  <c r="R9" i="12" s="1"/>
  <c r="D11" i="13"/>
  <c r="H8" i="13"/>
  <c r="G8" i="12"/>
  <c r="V8" i="12" s="1"/>
  <c r="E8" i="13"/>
  <c r="D8" i="12"/>
  <c r="S8" i="12" s="1"/>
  <c r="D8" i="13"/>
  <c r="F7" i="12"/>
  <c r="U7" i="12" s="1"/>
  <c r="G5" i="13"/>
  <c r="W20" i="1"/>
  <c r="AB20" i="1" s="1"/>
  <c r="AC20" i="1" s="1"/>
  <c r="Y34" i="1"/>
  <c r="X35" i="1"/>
  <c r="Y35" i="1" s="1"/>
  <c r="X36" i="1"/>
  <c r="Y36" i="1" s="1"/>
  <c r="X37" i="1"/>
  <c r="Y37" i="1" s="1"/>
  <c r="Y38" i="1"/>
  <c r="Y39" i="1"/>
  <c r="Y40" i="1"/>
  <c r="X41" i="1"/>
  <c r="Y41" i="1" s="1"/>
  <c r="X42" i="1"/>
  <c r="Y42" i="1" s="1"/>
  <c r="Y43" i="1"/>
  <c r="X45" i="1"/>
  <c r="Y45" i="1" s="1"/>
  <c r="Y46" i="1"/>
  <c r="X49" i="1"/>
  <c r="Y49" i="1" s="1"/>
  <c r="X50" i="1"/>
  <c r="Y50" i="1" s="1"/>
  <c r="X51" i="1"/>
  <c r="Y51" i="1" s="1"/>
  <c r="X52" i="1"/>
  <c r="Y52" i="1" s="1"/>
  <c r="X53" i="1"/>
  <c r="Y53" i="1" s="1"/>
  <c r="X54" i="1"/>
  <c r="Y54" i="1" s="1"/>
  <c r="X55" i="1"/>
  <c r="Y55" i="1" s="1"/>
  <c r="X56" i="1"/>
  <c r="Y56" i="1" s="1"/>
  <c r="X57" i="1"/>
  <c r="Y57" i="1" s="1"/>
  <c r="X58" i="1"/>
  <c r="Y58" i="1" s="1"/>
  <c r="X59" i="1"/>
  <c r="Y59" i="1" s="1"/>
  <c r="X60" i="1"/>
  <c r="Y60" i="1" s="1"/>
  <c r="X61" i="1"/>
  <c r="Y61" i="1" s="1"/>
  <c r="X62" i="1"/>
  <c r="Y62" i="1" s="1"/>
  <c r="X63" i="1"/>
  <c r="Y63"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80" i="1"/>
  <c r="Y80" i="1" s="1"/>
  <c r="X82" i="1"/>
  <c r="Y82" i="1" s="1"/>
  <c r="X83" i="1"/>
  <c r="Y83" i="1" s="1"/>
  <c r="X84" i="1"/>
  <c r="Y84" i="1" s="1"/>
  <c r="X85" i="1"/>
  <c r="Y85" i="1" s="1"/>
  <c r="X86" i="1"/>
  <c r="Y86" i="1" s="1"/>
  <c r="X87" i="1"/>
  <c r="Y87" i="1" s="1"/>
  <c r="X89" i="1"/>
  <c r="Y89" i="1" s="1"/>
  <c r="X90" i="1"/>
  <c r="Y90" i="1" s="1"/>
  <c r="X91" i="1"/>
  <c r="Y91" i="1" s="1"/>
  <c r="X92" i="1"/>
  <c r="Y92" i="1" s="1"/>
  <c r="X93" i="1"/>
  <c r="Y93" i="1" s="1"/>
  <c r="X94" i="1"/>
  <c r="Y94" i="1" s="1"/>
  <c r="X96" i="1"/>
  <c r="Y96" i="1" s="1"/>
  <c r="X97" i="1"/>
  <c r="Y97" i="1" s="1"/>
  <c r="X98" i="1"/>
  <c r="Y98" i="1" s="1"/>
  <c r="X99" i="1"/>
  <c r="Y99" i="1" s="1"/>
  <c r="X100" i="1"/>
  <c r="Y100" i="1" s="1"/>
  <c r="X101" i="1"/>
  <c r="Y101" i="1" s="1"/>
  <c r="X102" i="1"/>
  <c r="Y102" i="1" s="1"/>
  <c r="X103" i="1"/>
  <c r="Y103" i="1" s="1"/>
  <c r="X104" i="1"/>
  <c r="Y104" i="1" s="1"/>
  <c r="X106" i="1"/>
  <c r="Y106" i="1" s="1"/>
  <c r="W35" i="1"/>
  <c r="AB35" i="1" s="1"/>
  <c r="AC35" i="1" s="1"/>
  <c r="W36" i="1"/>
  <c r="AB36" i="1" s="1"/>
  <c r="AC36" i="1" s="1"/>
  <c r="W37" i="1"/>
  <c r="AB37" i="1" s="1"/>
  <c r="W40" i="1"/>
  <c r="AB40" i="1" s="1"/>
  <c r="AC40" i="1" s="1"/>
  <c r="W41" i="1"/>
  <c r="AB41" i="1" s="1"/>
  <c r="AC41" i="1" s="1"/>
  <c r="W42" i="1"/>
  <c r="AB42" i="1" s="1"/>
  <c r="AC42" i="1" s="1"/>
  <c r="W43" i="1"/>
  <c r="AB43" i="1" s="1"/>
  <c r="W45" i="1"/>
  <c r="AB45" i="1" s="1"/>
  <c r="W46" i="1"/>
  <c r="AB46" i="1" s="1"/>
  <c r="AC46" i="1" s="1"/>
  <c r="W47" i="1"/>
  <c r="AB47" i="1" s="1"/>
  <c r="AC47" i="1" s="1"/>
  <c r="W49" i="1"/>
  <c r="AB49" i="1" s="1"/>
  <c r="W50" i="1"/>
  <c r="AB50" i="1" s="1"/>
  <c r="W51" i="1"/>
  <c r="AB51" i="1" s="1"/>
  <c r="AC51" i="1" s="1"/>
  <c r="W52" i="1"/>
  <c r="AB52" i="1" s="1"/>
  <c r="W53" i="1"/>
  <c r="AB53" i="1" s="1"/>
  <c r="AC53" i="1" s="1"/>
  <c r="W54" i="1"/>
  <c r="AB54" i="1" s="1"/>
  <c r="W55" i="1"/>
  <c r="AB55" i="1" s="1"/>
  <c r="AC55" i="1" s="1"/>
  <c r="W56" i="1"/>
  <c r="AB56" i="1" s="1"/>
  <c r="W57" i="1"/>
  <c r="AB57" i="1" s="1"/>
  <c r="W58" i="1"/>
  <c r="AB58" i="1" s="1"/>
  <c r="AC58" i="1" s="1"/>
  <c r="W59" i="1"/>
  <c r="AB59" i="1" s="1"/>
  <c r="W60" i="1"/>
  <c r="AB60" i="1" s="1"/>
  <c r="AC60" i="1" s="1"/>
  <c r="W61" i="1"/>
  <c r="AB61" i="1" s="1"/>
  <c r="AC61" i="1" s="1"/>
  <c r="W62" i="1"/>
  <c r="AB62" i="1" s="1"/>
  <c r="AC62" i="1" s="1"/>
  <c r="W63" i="1"/>
  <c r="AB63" i="1" s="1"/>
  <c r="AC63" i="1" s="1"/>
  <c r="W64" i="1"/>
  <c r="AB64" i="1" s="1"/>
  <c r="AC64" i="1" s="1"/>
  <c r="W65" i="1"/>
  <c r="AB65" i="1" s="1"/>
  <c r="W66" i="1"/>
  <c r="AB66" i="1" s="1"/>
  <c r="AC66" i="1" s="1"/>
  <c r="W67" i="1"/>
  <c r="AB67" i="1" s="1"/>
  <c r="W68" i="1"/>
  <c r="AB68" i="1" s="1"/>
  <c r="AC68" i="1" s="1"/>
  <c r="W69" i="1"/>
  <c r="AB69" i="1" s="1"/>
  <c r="AC69" i="1" s="1"/>
  <c r="W70" i="1"/>
  <c r="AB70" i="1" s="1"/>
  <c r="AC70" i="1" s="1"/>
  <c r="W71" i="1"/>
  <c r="AB71" i="1" s="1"/>
  <c r="AC71" i="1" s="1"/>
  <c r="W72" i="1"/>
  <c r="AB72" i="1" s="1"/>
  <c r="AC72" i="1" s="1"/>
  <c r="W73" i="1"/>
  <c r="AB73" i="1" s="1"/>
  <c r="AC73" i="1" s="1"/>
  <c r="W74" i="1"/>
  <c r="AB74" i="1" s="1"/>
  <c r="AC74" i="1" s="1"/>
  <c r="W75" i="1"/>
  <c r="AB75" i="1" s="1"/>
  <c r="W76" i="1"/>
  <c r="AB76" i="1" s="1"/>
  <c r="W77" i="1"/>
  <c r="AB77" i="1" s="1"/>
  <c r="AC77" i="1" s="1"/>
  <c r="W78" i="1"/>
  <c r="AB78" i="1" s="1"/>
  <c r="AC78" i="1" s="1"/>
  <c r="W80" i="1"/>
  <c r="AB80" i="1" s="1"/>
  <c r="AC80" i="1" s="1"/>
  <c r="W82" i="1"/>
  <c r="AB82" i="1" s="1"/>
  <c r="AC82" i="1" s="1"/>
  <c r="W83" i="1"/>
  <c r="AB83" i="1" s="1"/>
  <c r="AC83" i="1" s="1"/>
  <c r="W84" i="1"/>
  <c r="AB84" i="1" s="1"/>
  <c r="AC84" i="1" s="1"/>
  <c r="W85" i="1"/>
  <c r="AB85" i="1" s="1"/>
  <c r="AC85" i="1" s="1"/>
  <c r="W86" i="1"/>
  <c r="AB86" i="1" s="1"/>
  <c r="AC86" i="1" s="1"/>
  <c r="W87" i="1"/>
  <c r="AB87" i="1" s="1"/>
  <c r="AC87" i="1" s="1"/>
  <c r="W88" i="1"/>
  <c r="AB88" i="1" s="1"/>
  <c r="AC88" i="1" s="1"/>
  <c r="W89" i="1"/>
  <c r="AB89" i="1" s="1"/>
  <c r="AC89" i="1" s="1"/>
  <c r="W90" i="1"/>
  <c r="AB90" i="1" s="1"/>
  <c r="AC90" i="1" s="1"/>
  <c r="W91" i="1"/>
  <c r="AB91" i="1" s="1"/>
  <c r="AC91" i="1" s="1"/>
  <c r="W92" i="1"/>
  <c r="AB92" i="1" s="1"/>
  <c r="W93" i="1"/>
  <c r="AB93" i="1" s="1"/>
  <c r="AC93" i="1" s="1"/>
  <c r="W94" i="1"/>
  <c r="AB94" i="1" s="1"/>
  <c r="AC94" i="1" s="1"/>
  <c r="W96" i="1"/>
  <c r="W97" i="1"/>
  <c r="AB97" i="1" s="1"/>
  <c r="AC97" i="1" s="1"/>
  <c r="W98" i="1"/>
  <c r="AB98" i="1" s="1"/>
  <c r="AC98" i="1" s="1"/>
  <c r="W99" i="1"/>
  <c r="AB99" i="1" s="1"/>
  <c r="AC99" i="1" s="1"/>
  <c r="W100" i="1"/>
  <c r="AB100" i="1" s="1"/>
  <c r="AC100" i="1" s="1"/>
  <c r="W101" i="1"/>
  <c r="AB101" i="1" s="1"/>
  <c r="AC101" i="1" s="1"/>
  <c r="W102" i="1"/>
  <c r="AB102" i="1" s="1"/>
  <c r="AC102" i="1" s="1"/>
  <c r="W103" i="1"/>
  <c r="AB103" i="1" s="1"/>
  <c r="AC103" i="1" s="1"/>
  <c r="W104" i="1"/>
  <c r="AB104" i="1" s="1"/>
  <c r="W106" i="1"/>
  <c r="AB106" i="1" s="1"/>
  <c r="AC106" i="1" s="1"/>
  <c r="W111" i="1"/>
  <c r="AB111" i="1" s="1"/>
  <c r="AC111" i="1" s="1"/>
  <c r="W122" i="1"/>
  <c r="W123" i="1"/>
  <c r="W124" i="1"/>
  <c r="W125" i="1"/>
  <c r="W126" i="1"/>
  <c r="W127" i="1"/>
  <c r="W128" i="1"/>
  <c r="W129" i="1"/>
  <c r="W130" i="1"/>
  <c r="AB130" i="1" s="1"/>
  <c r="W131" i="1"/>
  <c r="I39" i="1"/>
  <c r="I40" i="1"/>
  <c r="I41" i="1"/>
  <c r="I42" i="1"/>
  <c r="I43" i="1"/>
  <c r="I45" i="1"/>
  <c r="I46" i="1"/>
  <c r="I47" i="1"/>
  <c r="I49" i="1"/>
  <c r="I50" i="1"/>
  <c r="I51" i="1"/>
  <c r="I52" i="1"/>
  <c r="I53" i="1"/>
  <c r="I54" i="1"/>
  <c r="I55" i="1"/>
  <c r="I56" i="1"/>
  <c r="I60" i="1"/>
  <c r="I62" i="1"/>
  <c r="I63" i="1"/>
  <c r="I64" i="1"/>
  <c r="I65" i="1"/>
  <c r="I66" i="1"/>
  <c r="I67" i="1"/>
  <c r="I68" i="1"/>
  <c r="I69" i="1"/>
  <c r="I70" i="1"/>
  <c r="I71" i="1"/>
  <c r="I72" i="1"/>
  <c r="I73" i="1"/>
  <c r="I74" i="1"/>
  <c r="I75" i="1"/>
  <c r="I76" i="1"/>
  <c r="I77" i="1"/>
  <c r="I78" i="1"/>
  <c r="I80" i="1"/>
  <c r="I82" i="1"/>
  <c r="I83" i="1"/>
  <c r="I84" i="1"/>
  <c r="I85" i="1"/>
  <c r="I86" i="1"/>
  <c r="I87" i="1"/>
  <c r="I88" i="1"/>
  <c r="I89" i="1"/>
  <c r="I90" i="1"/>
  <c r="I91" i="1"/>
  <c r="I92" i="1"/>
  <c r="I93" i="1"/>
  <c r="I94" i="1"/>
  <c r="I96" i="1"/>
  <c r="I97" i="1"/>
  <c r="I98" i="1"/>
  <c r="I99" i="1"/>
  <c r="I100" i="1"/>
  <c r="I101" i="1"/>
  <c r="I102" i="1"/>
  <c r="I103" i="1"/>
  <c r="I104" i="1"/>
  <c r="I109" i="1"/>
  <c r="I110" i="1"/>
  <c r="I119" i="1"/>
  <c r="I148" i="1"/>
  <c r="I149" i="1"/>
  <c r="I151" i="1"/>
  <c r="I161" i="1"/>
  <c r="I33" i="1"/>
  <c r="O8" i="2"/>
  <c r="O9" i="2"/>
  <c r="O10" i="2"/>
  <c r="O11" i="2"/>
  <c r="O12" i="2"/>
  <c r="O13" i="2"/>
  <c r="O14" i="2"/>
  <c r="O15" i="2"/>
  <c r="O16" i="2"/>
  <c r="O17" i="2"/>
  <c r="O18" i="2"/>
  <c r="P18" i="2" s="1"/>
  <c r="O19" i="2"/>
  <c r="O20" i="2"/>
  <c r="O21" i="2"/>
  <c r="O22" i="2"/>
  <c r="O23" i="2"/>
  <c r="O24" i="2"/>
  <c r="O25"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7" i="2"/>
  <c r="M8" i="2"/>
  <c r="M9" i="2"/>
  <c r="M10" i="2"/>
  <c r="M11" i="2"/>
  <c r="M12" i="2"/>
  <c r="M13" i="2"/>
  <c r="M14" i="2"/>
  <c r="M15" i="2"/>
  <c r="M16" i="2"/>
  <c r="M17" i="2"/>
  <c r="M18" i="2"/>
  <c r="M19" i="2"/>
  <c r="M20" i="2"/>
  <c r="M21" i="2"/>
  <c r="M22" i="2"/>
  <c r="M23" i="2"/>
  <c r="M24" i="2"/>
  <c r="M25"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7" i="2"/>
  <c r="K8" i="2"/>
  <c r="K9" i="2"/>
  <c r="K10" i="2"/>
  <c r="K11" i="2"/>
  <c r="K12" i="2"/>
  <c r="K13" i="2"/>
  <c r="K14" i="2"/>
  <c r="K15" i="2"/>
  <c r="K16" i="2"/>
  <c r="K17" i="2"/>
  <c r="K18" i="2"/>
  <c r="K19" i="2"/>
  <c r="K20" i="2"/>
  <c r="K21" i="2"/>
  <c r="K22" i="2"/>
  <c r="K23" i="2"/>
  <c r="K24" i="2"/>
  <c r="K25"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7" i="2"/>
  <c r="I8" i="2"/>
  <c r="I9" i="2"/>
  <c r="I10" i="2"/>
  <c r="I11" i="2"/>
  <c r="I12" i="2"/>
  <c r="I13" i="2"/>
  <c r="I14" i="2"/>
  <c r="I15" i="2"/>
  <c r="I16" i="2"/>
  <c r="I17" i="2"/>
  <c r="I18" i="2"/>
  <c r="I19" i="2"/>
  <c r="I20" i="2"/>
  <c r="I21" i="2"/>
  <c r="I22" i="2"/>
  <c r="I23" i="2"/>
  <c r="I24" i="2"/>
  <c r="I25"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7" i="2"/>
  <c r="X137" i="1"/>
  <c r="Y137" i="1" s="1"/>
  <c r="X138" i="1"/>
  <c r="Y138" i="1" s="1"/>
  <c r="X141" i="1"/>
  <c r="Y141" i="1" s="1"/>
  <c r="X143" i="1"/>
  <c r="Y143" i="1" s="1"/>
  <c r="X144" i="1"/>
  <c r="Y144" i="1" s="1"/>
  <c r="W161" i="1"/>
  <c r="AB161" i="1" s="1"/>
  <c r="X31" i="1"/>
  <c r="Y31" i="1" s="1"/>
  <c r="X17" i="1"/>
  <c r="Y17" i="1" s="1"/>
  <c r="W17" i="1"/>
  <c r="AB17" i="1" s="1"/>
  <c r="AC17" i="1" s="1"/>
  <c r="Y33" i="1"/>
  <c r="X148" i="1"/>
  <c r="Y148" i="1" s="1"/>
  <c r="X149" i="1"/>
  <c r="Y149" i="1" s="1"/>
  <c r="X151" i="1"/>
  <c r="Y151" i="1" s="1"/>
  <c r="X161" i="1"/>
  <c r="Y161" i="1" s="1"/>
  <c r="X6" i="1"/>
  <c r="Y6" i="1" s="1"/>
  <c r="X7" i="1"/>
  <c r="Y7" i="1" s="1"/>
  <c r="X8" i="1"/>
  <c r="Y8" i="1" s="1"/>
  <c r="X9" i="1"/>
  <c r="Y9" i="1" s="1"/>
  <c r="X10" i="1"/>
  <c r="Y10" i="1" s="1"/>
  <c r="X11" i="1"/>
  <c r="Y11" i="1" s="1"/>
  <c r="X13" i="1"/>
  <c r="Y13" i="1" s="1"/>
  <c r="X14" i="1"/>
  <c r="Y14" i="1" s="1"/>
  <c r="X15" i="1"/>
  <c r="Y15" i="1" s="1"/>
  <c r="X16" i="1"/>
  <c r="Y16" i="1" s="1"/>
  <c r="X18" i="1"/>
  <c r="Y18" i="1" s="1"/>
  <c r="X19" i="1"/>
  <c r="Y19" i="1" s="1"/>
  <c r="X22" i="1"/>
  <c r="Y22" i="1" s="1"/>
  <c r="X23" i="1"/>
  <c r="Y23" i="1" s="1"/>
  <c r="X24" i="1"/>
  <c r="Y24" i="1" s="1"/>
  <c r="X25" i="1"/>
  <c r="Y25" i="1" s="1"/>
  <c r="Y26" i="1"/>
  <c r="X27" i="1"/>
  <c r="Y27" i="1" s="1"/>
  <c r="X28" i="1"/>
  <c r="Y28" i="1" s="1"/>
  <c r="X30" i="1"/>
  <c r="Y30" i="1" s="1"/>
  <c r="Y32" i="1"/>
  <c r="W6" i="1"/>
  <c r="AB6" i="1" s="1"/>
  <c r="AC6" i="1" s="1"/>
  <c r="W7" i="1"/>
  <c r="AB7" i="1" s="1"/>
  <c r="W8" i="1"/>
  <c r="AB8" i="1" s="1"/>
  <c r="W9" i="1"/>
  <c r="AB9" i="1" s="1"/>
  <c r="AC9" i="1" s="1"/>
  <c r="W10" i="1"/>
  <c r="AB10" i="1" s="1"/>
  <c r="W11" i="1"/>
  <c r="AB11" i="1" s="1"/>
  <c r="AC11" i="1" s="1"/>
  <c r="W13" i="1"/>
  <c r="AB13" i="1" s="1"/>
  <c r="AC13" i="1" s="1"/>
  <c r="W14" i="1"/>
  <c r="AB14" i="1" s="1"/>
  <c r="AC14" i="1" s="1"/>
  <c r="W15" i="1"/>
  <c r="AB15" i="1" s="1"/>
  <c r="AC15" i="1" s="1"/>
  <c r="W16" i="1"/>
  <c r="AB16" i="1" s="1"/>
  <c r="AC16" i="1" s="1"/>
  <c r="W18" i="1"/>
  <c r="AB18" i="1" s="1"/>
  <c r="AC18" i="1" s="1"/>
  <c r="W19" i="1"/>
  <c r="AB19" i="1" s="1"/>
  <c r="AC19" i="1" s="1"/>
  <c r="W21" i="1"/>
  <c r="AB21" i="1" s="1"/>
  <c r="W22" i="1"/>
  <c r="AB22" i="1" s="1"/>
  <c r="AC22" i="1" s="1"/>
  <c r="W23" i="1"/>
  <c r="AB23" i="1" s="1"/>
  <c r="AC23" i="1" s="1"/>
  <c r="W24" i="1"/>
  <c r="AB24" i="1" s="1"/>
  <c r="W25" i="1"/>
  <c r="AB25" i="1" s="1"/>
  <c r="AC25" i="1" s="1"/>
  <c r="W26" i="1"/>
  <c r="AB26" i="1" s="1"/>
  <c r="W27" i="1"/>
  <c r="AB27" i="1" s="1"/>
  <c r="W28" i="1"/>
  <c r="AB28" i="1" s="1"/>
  <c r="W30" i="1"/>
  <c r="AB30" i="1" s="1"/>
  <c r="AC30" i="1" s="1"/>
  <c r="W31" i="1"/>
  <c r="AB31" i="1" s="1"/>
  <c r="W33" i="1"/>
  <c r="AB33" i="1" s="1"/>
  <c r="AB135" i="1"/>
  <c r="AC135" i="1" s="1"/>
  <c r="G7" i="2"/>
  <c r="G8" i="2"/>
  <c r="G9" i="2"/>
  <c r="G10" i="2"/>
  <c r="G11" i="2"/>
  <c r="G12" i="2"/>
  <c r="G13" i="2"/>
  <c r="G14" i="2"/>
  <c r="G15" i="2"/>
  <c r="G16" i="2"/>
  <c r="G17" i="2"/>
  <c r="G18" i="2"/>
  <c r="G19" i="2"/>
  <c r="G20" i="2"/>
  <c r="G21" i="2"/>
  <c r="G22" i="2"/>
  <c r="G23" i="2"/>
  <c r="G24" i="2"/>
  <c r="G25" i="2"/>
  <c r="G27" i="2"/>
  <c r="G28" i="2"/>
  <c r="G29" i="2"/>
  <c r="G30" i="2"/>
  <c r="G31" i="2"/>
  <c r="G32" i="2"/>
  <c r="G33"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34" i="2"/>
  <c r="E85" i="2"/>
  <c r="E57" i="2"/>
  <c r="AH69" i="10"/>
  <c r="AH70" i="10" s="1"/>
  <c r="AG69" i="10"/>
  <c r="AG70" i="10" s="1"/>
  <c r="AF69" i="10"/>
  <c r="AF70" i="10" s="1"/>
  <c r="AE69" i="10"/>
  <c r="AE70" i="10" s="1"/>
  <c r="AD69" i="10"/>
  <c r="AD70" i="10" s="1"/>
  <c r="AC69" i="10"/>
  <c r="AC70" i="10" s="1"/>
  <c r="AB69" i="10"/>
  <c r="AB70" i="10" s="1"/>
  <c r="AA69" i="10"/>
  <c r="AA70" i="10" s="1"/>
  <c r="Z69" i="10"/>
  <c r="Z70" i="10" s="1"/>
  <c r="Y69" i="10"/>
  <c r="Y70" i="10" s="1"/>
  <c r="X69" i="10"/>
  <c r="X70" i="10" s="1"/>
  <c r="W69" i="10"/>
  <c r="W70" i="10" s="1"/>
  <c r="AA71" i="9"/>
  <c r="AL71" i="9"/>
  <c r="AG71" i="9"/>
  <c r="AF71" i="9"/>
  <c r="AE71" i="9"/>
  <c r="AD71" i="9"/>
  <c r="AC71" i="9"/>
  <c r="AB71" i="9"/>
  <c r="D52" i="5" l="1"/>
  <c r="E52" i="5" s="1"/>
  <c r="D9" i="5"/>
  <c r="AD107" i="1"/>
  <c r="C17" i="14"/>
  <c r="R17" i="14" s="1"/>
  <c r="D62" i="13"/>
  <c r="E17" i="14"/>
  <c r="T17" i="14" s="1"/>
  <c r="F62" i="13"/>
  <c r="G17" i="14"/>
  <c r="V17" i="14" s="1"/>
  <c r="H62" i="13"/>
  <c r="F17" i="14"/>
  <c r="U17" i="14" s="1"/>
  <c r="G62" i="13"/>
  <c r="D17" i="14"/>
  <c r="S17" i="14" s="1"/>
  <c r="E62" i="13"/>
  <c r="AC92" i="1"/>
  <c r="D48" i="5"/>
  <c r="E48" i="5" s="1"/>
  <c r="D46" i="5"/>
  <c r="E46" i="5" s="1"/>
  <c r="AC161" i="1"/>
  <c r="D40" i="5"/>
  <c r="E40" i="5" s="1"/>
  <c r="E11" i="10"/>
  <c r="Q11" i="10" s="1"/>
  <c r="E12" i="10" s="1"/>
  <c r="Q12" i="10" s="1"/>
  <c r="E13" i="10" s="1"/>
  <c r="Q13" i="10" s="1"/>
  <c r="E14" i="10" s="1"/>
  <c r="Q14" i="10" s="1"/>
  <c r="F36" i="13"/>
  <c r="AB96" i="1"/>
  <c r="AC96" i="1" s="1"/>
  <c r="W136" i="1"/>
  <c r="AB136" i="1" s="1"/>
  <c r="AC136" i="1" s="1"/>
  <c r="AB131" i="1"/>
  <c r="AC131" i="1" s="1"/>
  <c r="AB129" i="1"/>
  <c r="AC129" i="1" s="1"/>
  <c r="AB128" i="1"/>
  <c r="AC128" i="1" s="1"/>
  <c r="AB127" i="1"/>
  <c r="AC127" i="1" s="1"/>
  <c r="AB126" i="1"/>
  <c r="AB125" i="1"/>
  <c r="AC125" i="1" s="1"/>
  <c r="AB124" i="1"/>
  <c r="AC124" i="1" s="1"/>
  <c r="AB123" i="1"/>
  <c r="AC123" i="1" s="1"/>
  <c r="AB122" i="1"/>
  <c r="AC122" i="1" s="1"/>
  <c r="D37" i="5"/>
  <c r="E37" i="5" s="1"/>
  <c r="AC130" i="1"/>
  <c r="D36" i="5"/>
  <c r="E36" i="5" s="1"/>
  <c r="AC67" i="1"/>
  <c r="D35" i="5"/>
  <c r="E35" i="5" s="1"/>
  <c r="AC24" i="1"/>
  <c r="D5" i="5"/>
  <c r="AC33" i="1"/>
  <c r="AC31" i="1"/>
  <c r="AC28" i="1"/>
  <c r="D31" i="5"/>
  <c r="E31" i="5" s="1"/>
  <c r="AC27" i="1"/>
  <c r="AC26" i="1"/>
  <c r="AC21" i="1"/>
  <c r="AC10" i="1"/>
  <c r="D18" i="5"/>
  <c r="D15" i="5"/>
  <c r="AC8" i="1"/>
  <c r="D16" i="5"/>
  <c r="D14" i="5"/>
  <c r="D6" i="5"/>
  <c r="E29" i="5"/>
  <c r="AC104" i="1"/>
  <c r="AC76" i="1"/>
  <c r="D33" i="5"/>
  <c r="E33" i="5" s="1"/>
  <c r="AC75" i="1"/>
  <c r="AC65" i="1"/>
  <c r="D28" i="5"/>
  <c r="E28" i="5" s="1"/>
  <c r="AC59" i="1"/>
  <c r="D27" i="5"/>
  <c r="E27" i="5" s="1"/>
  <c r="AC57" i="1"/>
  <c r="D12" i="5"/>
  <c r="AC56" i="1"/>
  <c r="AC54" i="1"/>
  <c r="D26" i="5"/>
  <c r="E26" i="5" s="1"/>
  <c r="D25" i="5"/>
  <c r="E25" i="5" s="1"/>
  <c r="AC52" i="1"/>
  <c r="D24" i="5"/>
  <c r="E24" i="5" s="1"/>
  <c r="AC50" i="1"/>
  <c r="AC49" i="1"/>
  <c r="D22" i="5"/>
  <c r="E22" i="5" s="1"/>
  <c r="AC45" i="1"/>
  <c r="D21" i="5"/>
  <c r="E21" i="5" s="1"/>
  <c r="AC43" i="1"/>
  <c r="AC37" i="1"/>
  <c r="D20" i="5"/>
  <c r="E20" i="5" s="1"/>
  <c r="X127" i="1"/>
  <c r="Y127" i="1" s="1"/>
  <c r="Y131" i="1"/>
  <c r="Y130" i="1"/>
  <c r="D15" i="13"/>
  <c r="C10" i="12"/>
  <c r="R10" i="12" s="1"/>
  <c r="G8" i="13"/>
  <c r="F8" i="12"/>
  <c r="U8" i="12" s="1"/>
  <c r="D9" i="12"/>
  <c r="S9" i="12" s="1"/>
  <c r="E11" i="13"/>
  <c r="G9" i="12"/>
  <c r="V9" i="12" s="1"/>
  <c r="H11" i="13"/>
  <c r="K4" i="2"/>
  <c r="K5" i="2" s="1"/>
  <c r="K4" i="8"/>
  <c r="P4" i="8"/>
  <c r="R4" i="8"/>
  <c r="S4" i="8"/>
  <c r="V4" i="8"/>
  <c r="AL103" i="8"/>
  <c r="AL104" i="8" s="1"/>
  <c r="AK103" i="8"/>
  <c r="AJ103" i="8"/>
  <c r="AI103" i="8"/>
  <c r="AH103" i="8"/>
  <c r="AG103" i="8"/>
  <c r="AG104" i="8" s="1"/>
  <c r="AF103" i="8"/>
  <c r="AF104" i="8" s="1"/>
  <c r="AE103" i="8"/>
  <c r="AE104" i="8" s="1"/>
  <c r="AD103" i="8"/>
  <c r="AD104" i="8" s="1"/>
  <c r="AC103" i="8"/>
  <c r="AC104" i="8" s="1"/>
  <c r="AB103" i="8"/>
  <c r="AB104" i="8" s="1"/>
  <c r="AA103" i="8"/>
  <c r="AA104" i="8" s="1"/>
  <c r="D34" i="5" l="1"/>
  <c r="E34" i="5" s="1"/>
  <c r="H67" i="13"/>
  <c r="G18" i="14"/>
  <c r="V18" i="14" s="1"/>
  <c r="D18" i="14"/>
  <c r="S18" i="14" s="1"/>
  <c r="E67" i="13"/>
  <c r="G67" i="13"/>
  <c r="F18" i="14"/>
  <c r="U18" i="14" s="1"/>
  <c r="E18" i="14"/>
  <c r="T18" i="14" s="1"/>
  <c r="F67" i="13"/>
  <c r="C18" i="14"/>
  <c r="R18" i="14" s="1"/>
  <c r="D67" i="13"/>
  <c r="W5" i="1"/>
  <c r="D32" i="5"/>
  <c r="E32" i="5" s="1"/>
  <c r="D23" i="5"/>
  <c r="E23" i="5" s="1"/>
  <c r="AB5" i="1"/>
  <c r="AC126" i="1"/>
  <c r="AC5" i="1" s="1"/>
  <c r="C11" i="12"/>
  <c r="R11" i="12" s="1"/>
  <c r="D20" i="13"/>
  <c r="G10" i="12"/>
  <c r="V10" i="12" s="1"/>
  <c r="H15" i="13"/>
  <c r="E15" i="13"/>
  <c r="D10" i="12"/>
  <c r="S10" i="12" s="1"/>
  <c r="G11" i="13"/>
  <c r="F9" i="12"/>
  <c r="U9" i="12" s="1"/>
  <c r="U4" i="8"/>
  <c r="F5" i="8" s="1"/>
  <c r="U5" i="8" s="1"/>
  <c r="J22" i="2"/>
  <c r="D5" i="8"/>
  <c r="O3" i="10"/>
  <c r="R3" i="10"/>
  <c r="P3" i="10"/>
  <c r="Q3" i="10"/>
  <c r="I11" i="1"/>
  <c r="G5" i="8"/>
  <c r="C5" i="8"/>
  <c r="R5" i="8" s="1"/>
  <c r="N4" i="9"/>
  <c r="R4" i="9"/>
  <c r="C5" i="9" s="1"/>
  <c r="Q4" i="9"/>
  <c r="V4" i="9" s="1"/>
  <c r="G5" i="9" s="1"/>
  <c r="V5" i="9" s="1"/>
  <c r="P4" i="9"/>
  <c r="E18" i="5"/>
  <c r="E17" i="5"/>
  <c r="E16" i="5"/>
  <c r="E15" i="5"/>
  <c r="E14" i="5"/>
  <c r="E13" i="5"/>
  <c r="E12" i="5"/>
  <c r="E11" i="5"/>
  <c r="E10" i="5"/>
  <c r="E9" i="5"/>
  <c r="E8" i="5"/>
  <c r="E7" i="5"/>
  <c r="E6" i="5"/>
  <c r="M10" i="4"/>
  <c r="M9" i="4"/>
  <c r="M8" i="4"/>
  <c r="M7" i="4"/>
  <c r="M6" i="4"/>
  <c r="M5" i="4"/>
  <c r="M4" i="4"/>
  <c r="W36" i="3"/>
  <c r="V36" i="3"/>
  <c r="U36" i="3"/>
  <c r="T36" i="3"/>
  <c r="S36" i="3"/>
  <c r="R36" i="3"/>
  <c r="Q36" i="3"/>
  <c r="I36" i="3"/>
  <c r="H36" i="3"/>
  <c r="G36" i="3"/>
  <c r="F36" i="3"/>
  <c r="E36" i="3"/>
  <c r="D36" i="3"/>
  <c r="C36" i="3"/>
  <c r="M12" i="3"/>
  <c r="K12" i="3"/>
  <c r="O11" i="3"/>
  <c r="N11" i="3"/>
  <c r="M11" i="3"/>
  <c r="L11" i="3"/>
  <c r="K11" i="3"/>
  <c r="J11" i="3"/>
  <c r="O10" i="3"/>
  <c r="N10" i="3"/>
  <c r="M10" i="3"/>
  <c r="L10" i="3"/>
  <c r="K10" i="3"/>
  <c r="J10" i="3"/>
  <c r="O9" i="3"/>
  <c r="N9" i="3"/>
  <c r="M9" i="3"/>
  <c r="L9" i="3"/>
  <c r="K9" i="3"/>
  <c r="J9" i="3"/>
  <c r="O8" i="3"/>
  <c r="N8" i="3"/>
  <c r="M8" i="3"/>
  <c r="L8" i="3"/>
  <c r="K8" i="3"/>
  <c r="J8" i="3"/>
  <c r="O7" i="3"/>
  <c r="N7" i="3"/>
  <c r="M7" i="3"/>
  <c r="L7" i="3"/>
  <c r="K7" i="3"/>
  <c r="J7" i="3"/>
  <c r="O6" i="3"/>
  <c r="N6" i="3"/>
  <c r="M6" i="3"/>
  <c r="L6" i="3"/>
  <c r="K6" i="3"/>
  <c r="J6" i="3"/>
  <c r="P200" i="2"/>
  <c r="N200" i="2"/>
  <c r="L200" i="2"/>
  <c r="E200" i="2"/>
  <c r="F200" i="2" s="1"/>
  <c r="J200" i="2"/>
  <c r="H200" i="2"/>
  <c r="P199" i="2"/>
  <c r="N199" i="2"/>
  <c r="L199" i="2"/>
  <c r="E199" i="2"/>
  <c r="F199" i="2" s="1"/>
  <c r="J199" i="2"/>
  <c r="H199" i="2"/>
  <c r="P198" i="2"/>
  <c r="N198" i="2"/>
  <c r="L198" i="2"/>
  <c r="E198" i="2"/>
  <c r="F198" i="2" s="1"/>
  <c r="J198" i="2"/>
  <c r="H198" i="2"/>
  <c r="P197" i="2"/>
  <c r="N197" i="2"/>
  <c r="L197" i="2"/>
  <c r="E197" i="2"/>
  <c r="F197" i="2" s="1"/>
  <c r="J197" i="2"/>
  <c r="H197" i="2"/>
  <c r="P196" i="2"/>
  <c r="N196" i="2"/>
  <c r="L196" i="2"/>
  <c r="E196" i="2"/>
  <c r="F196" i="2" s="1"/>
  <c r="J196" i="2"/>
  <c r="H196" i="2"/>
  <c r="P195" i="2"/>
  <c r="N195" i="2"/>
  <c r="L195" i="2"/>
  <c r="E195" i="2"/>
  <c r="F195" i="2" s="1"/>
  <c r="J195" i="2"/>
  <c r="H195" i="2"/>
  <c r="P194" i="2"/>
  <c r="N194" i="2"/>
  <c r="L194" i="2"/>
  <c r="E194" i="2"/>
  <c r="F194" i="2" s="1"/>
  <c r="J194" i="2"/>
  <c r="H194" i="2"/>
  <c r="P193" i="2"/>
  <c r="N193" i="2"/>
  <c r="L193" i="2"/>
  <c r="E193" i="2"/>
  <c r="F193" i="2" s="1"/>
  <c r="J193" i="2"/>
  <c r="H193" i="2"/>
  <c r="P192" i="2"/>
  <c r="N192" i="2"/>
  <c r="L192" i="2"/>
  <c r="E192" i="2"/>
  <c r="F192" i="2" s="1"/>
  <c r="J192" i="2"/>
  <c r="H192" i="2"/>
  <c r="P191" i="2"/>
  <c r="N191" i="2"/>
  <c r="L191" i="2"/>
  <c r="E191" i="2"/>
  <c r="F191" i="2" s="1"/>
  <c r="J191" i="2"/>
  <c r="H191" i="2"/>
  <c r="P190" i="2"/>
  <c r="N190" i="2"/>
  <c r="L190" i="2"/>
  <c r="E190" i="2"/>
  <c r="F190" i="2" s="1"/>
  <c r="J190" i="2"/>
  <c r="H190" i="2"/>
  <c r="P189" i="2"/>
  <c r="N189" i="2"/>
  <c r="L189" i="2"/>
  <c r="E189" i="2"/>
  <c r="F189" i="2" s="1"/>
  <c r="J189" i="2"/>
  <c r="H189" i="2"/>
  <c r="P188" i="2"/>
  <c r="N188" i="2"/>
  <c r="L188" i="2"/>
  <c r="E188" i="2"/>
  <c r="F188" i="2" s="1"/>
  <c r="J188" i="2"/>
  <c r="H188" i="2"/>
  <c r="P187" i="2"/>
  <c r="N187" i="2"/>
  <c r="L187" i="2"/>
  <c r="E187" i="2"/>
  <c r="F187" i="2" s="1"/>
  <c r="J187" i="2"/>
  <c r="H187" i="2"/>
  <c r="P186" i="2"/>
  <c r="N186" i="2"/>
  <c r="L186" i="2"/>
  <c r="E186" i="2"/>
  <c r="F186" i="2" s="1"/>
  <c r="J186" i="2"/>
  <c r="H186" i="2"/>
  <c r="P185" i="2"/>
  <c r="N185" i="2"/>
  <c r="L185" i="2"/>
  <c r="E185" i="2"/>
  <c r="F185" i="2" s="1"/>
  <c r="J185" i="2"/>
  <c r="H185" i="2"/>
  <c r="P184" i="2"/>
  <c r="N184" i="2"/>
  <c r="L184" i="2"/>
  <c r="E184" i="2"/>
  <c r="F184" i="2" s="1"/>
  <c r="J184" i="2"/>
  <c r="H184" i="2"/>
  <c r="P183" i="2"/>
  <c r="N183" i="2"/>
  <c r="L183" i="2"/>
  <c r="E183" i="2"/>
  <c r="F183" i="2" s="1"/>
  <c r="J183" i="2"/>
  <c r="H183" i="2"/>
  <c r="P182" i="2"/>
  <c r="N182" i="2"/>
  <c r="L182" i="2"/>
  <c r="E182" i="2"/>
  <c r="F182" i="2" s="1"/>
  <c r="J182" i="2"/>
  <c r="H182" i="2"/>
  <c r="P181" i="2"/>
  <c r="N181" i="2"/>
  <c r="L181" i="2"/>
  <c r="E181" i="2"/>
  <c r="F181" i="2" s="1"/>
  <c r="J181" i="2"/>
  <c r="H181" i="2"/>
  <c r="P180" i="2"/>
  <c r="N180" i="2"/>
  <c r="L180" i="2"/>
  <c r="E180" i="2"/>
  <c r="F180" i="2" s="1"/>
  <c r="J180" i="2"/>
  <c r="H180" i="2"/>
  <c r="P179" i="2"/>
  <c r="N179" i="2"/>
  <c r="L179" i="2"/>
  <c r="E179" i="2"/>
  <c r="F179" i="2" s="1"/>
  <c r="J179" i="2"/>
  <c r="H179" i="2"/>
  <c r="P178" i="2"/>
  <c r="N178" i="2"/>
  <c r="L178" i="2"/>
  <c r="E178" i="2"/>
  <c r="F178" i="2" s="1"/>
  <c r="J178" i="2"/>
  <c r="H178" i="2"/>
  <c r="P177" i="2"/>
  <c r="N177" i="2"/>
  <c r="L177" i="2"/>
  <c r="E177" i="2"/>
  <c r="F177" i="2" s="1"/>
  <c r="J177" i="2"/>
  <c r="H177" i="2"/>
  <c r="P176" i="2"/>
  <c r="N176" i="2"/>
  <c r="L176" i="2"/>
  <c r="E176" i="2"/>
  <c r="F176" i="2" s="1"/>
  <c r="J176" i="2"/>
  <c r="H176" i="2"/>
  <c r="P175" i="2"/>
  <c r="N175" i="2"/>
  <c r="L175" i="2"/>
  <c r="E175" i="2"/>
  <c r="F175" i="2" s="1"/>
  <c r="J175" i="2"/>
  <c r="H175" i="2"/>
  <c r="P174" i="2"/>
  <c r="N174" i="2"/>
  <c r="L174" i="2"/>
  <c r="E174" i="2"/>
  <c r="F174" i="2" s="1"/>
  <c r="J174" i="2"/>
  <c r="H174" i="2"/>
  <c r="P173" i="2"/>
  <c r="N173" i="2"/>
  <c r="L173" i="2"/>
  <c r="E173" i="2"/>
  <c r="F173" i="2" s="1"/>
  <c r="J173" i="2"/>
  <c r="H173" i="2"/>
  <c r="P172" i="2"/>
  <c r="N172" i="2"/>
  <c r="L172" i="2"/>
  <c r="E172" i="2"/>
  <c r="F172" i="2" s="1"/>
  <c r="J172" i="2"/>
  <c r="H172" i="2"/>
  <c r="P171" i="2"/>
  <c r="N171" i="2"/>
  <c r="L171" i="2"/>
  <c r="E171" i="2"/>
  <c r="F171" i="2" s="1"/>
  <c r="J171" i="2"/>
  <c r="H171" i="2"/>
  <c r="P170" i="2"/>
  <c r="N170" i="2"/>
  <c r="L170" i="2"/>
  <c r="E170" i="2"/>
  <c r="F170" i="2" s="1"/>
  <c r="J170" i="2"/>
  <c r="H170" i="2"/>
  <c r="P169" i="2"/>
  <c r="N169" i="2"/>
  <c r="L169" i="2"/>
  <c r="E169" i="2"/>
  <c r="F169" i="2" s="1"/>
  <c r="J169" i="2"/>
  <c r="H169" i="2"/>
  <c r="P168" i="2"/>
  <c r="N168" i="2"/>
  <c r="L168" i="2"/>
  <c r="E168" i="2"/>
  <c r="F168" i="2" s="1"/>
  <c r="J168" i="2"/>
  <c r="H168" i="2"/>
  <c r="P167" i="2"/>
  <c r="N167" i="2"/>
  <c r="L167" i="2"/>
  <c r="E167" i="2"/>
  <c r="F167" i="2" s="1"/>
  <c r="J167" i="2"/>
  <c r="H167" i="2"/>
  <c r="P166" i="2"/>
  <c r="N166" i="2"/>
  <c r="L166" i="2"/>
  <c r="E166" i="2"/>
  <c r="F166" i="2" s="1"/>
  <c r="J166" i="2"/>
  <c r="H166" i="2"/>
  <c r="P165" i="2"/>
  <c r="N165" i="2"/>
  <c r="L165" i="2"/>
  <c r="E165" i="2"/>
  <c r="F165" i="2" s="1"/>
  <c r="J165" i="2"/>
  <c r="H165" i="2"/>
  <c r="P164" i="2"/>
  <c r="N164" i="2"/>
  <c r="L164" i="2"/>
  <c r="E164" i="2"/>
  <c r="F164" i="2" s="1"/>
  <c r="J164" i="2"/>
  <c r="H164" i="2"/>
  <c r="P163" i="2"/>
  <c r="N163" i="2"/>
  <c r="L163" i="2"/>
  <c r="E163" i="2"/>
  <c r="F163" i="2" s="1"/>
  <c r="J163" i="2"/>
  <c r="H163" i="2"/>
  <c r="P162" i="2"/>
  <c r="N162" i="2"/>
  <c r="L162" i="2"/>
  <c r="E162" i="2"/>
  <c r="F162" i="2" s="1"/>
  <c r="J162" i="2"/>
  <c r="H162" i="2"/>
  <c r="P161" i="2"/>
  <c r="N161" i="2"/>
  <c r="L161" i="2"/>
  <c r="E161" i="2"/>
  <c r="F161" i="2" s="1"/>
  <c r="J161" i="2"/>
  <c r="H161" i="2"/>
  <c r="P160" i="2"/>
  <c r="N160" i="2"/>
  <c r="L160" i="2"/>
  <c r="E160" i="2"/>
  <c r="F160" i="2" s="1"/>
  <c r="J160" i="2"/>
  <c r="H160" i="2"/>
  <c r="P159" i="2"/>
  <c r="N159" i="2"/>
  <c r="L159" i="2"/>
  <c r="E159" i="2"/>
  <c r="F159" i="2" s="1"/>
  <c r="J159" i="2"/>
  <c r="H159" i="2"/>
  <c r="P158" i="2"/>
  <c r="N158" i="2"/>
  <c r="L158" i="2"/>
  <c r="E158" i="2"/>
  <c r="F158" i="2" s="1"/>
  <c r="J158" i="2"/>
  <c r="H158" i="2"/>
  <c r="P157" i="2"/>
  <c r="N157" i="2"/>
  <c r="L157" i="2"/>
  <c r="E157" i="2"/>
  <c r="F157" i="2" s="1"/>
  <c r="J157" i="2"/>
  <c r="H157" i="2"/>
  <c r="P156" i="2"/>
  <c r="N156" i="2"/>
  <c r="L156" i="2"/>
  <c r="E156" i="2"/>
  <c r="F156" i="2" s="1"/>
  <c r="J156" i="2"/>
  <c r="H156" i="2"/>
  <c r="P155" i="2"/>
  <c r="N155" i="2"/>
  <c r="L155" i="2"/>
  <c r="E155" i="2"/>
  <c r="F155" i="2" s="1"/>
  <c r="J155" i="2"/>
  <c r="H155" i="2"/>
  <c r="P154" i="2"/>
  <c r="N154" i="2"/>
  <c r="L154" i="2"/>
  <c r="E154" i="2"/>
  <c r="F154" i="2" s="1"/>
  <c r="J154" i="2"/>
  <c r="H154" i="2"/>
  <c r="P153" i="2"/>
  <c r="N153" i="2"/>
  <c r="L153" i="2"/>
  <c r="E153" i="2"/>
  <c r="F153" i="2" s="1"/>
  <c r="J153" i="2"/>
  <c r="H153" i="2"/>
  <c r="P152" i="2"/>
  <c r="N152" i="2"/>
  <c r="L152" i="2"/>
  <c r="E152" i="2"/>
  <c r="F152" i="2" s="1"/>
  <c r="J152" i="2"/>
  <c r="H152" i="2"/>
  <c r="P151" i="2"/>
  <c r="N151" i="2"/>
  <c r="L151" i="2"/>
  <c r="E151" i="2"/>
  <c r="F151" i="2" s="1"/>
  <c r="J151" i="2"/>
  <c r="H151" i="2"/>
  <c r="P150" i="2"/>
  <c r="N150" i="2"/>
  <c r="L150" i="2"/>
  <c r="E150" i="2"/>
  <c r="F150" i="2" s="1"/>
  <c r="J150" i="2"/>
  <c r="H150" i="2"/>
  <c r="P149" i="2"/>
  <c r="N149" i="2"/>
  <c r="L149" i="2"/>
  <c r="E149" i="2"/>
  <c r="F149" i="2" s="1"/>
  <c r="J149" i="2"/>
  <c r="H149" i="2"/>
  <c r="P148" i="2"/>
  <c r="N148" i="2"/>
  <c r="L148" i="2"/>
  <c r="E148" i="2"/>
  <c r="F148" i="2" s="1"/>
  <c r="J148" i="2"/>
  <c r="H148" i="2"/>
  <c r="P147" i="2"/>
  <c r="N147" i="2"/>
  <c r="L147" i="2"/>
  <c r="E147" i="2"/>
  <c r="F147" i="2" s="1"/>
  <c r="J147" i="2"/>
  <c r="H147" i="2"/>
  <c r="P146" i="2"/>
  <c r="N146" i="2"/>
  <c r="L146" i="2"/>
  <c r="E146" i="2"/>
  <c r="F146" i="2" s="1"/>
  <c r="J146" i="2"/>
  <c r="H146" i="2"/>
  <c r="P145" i="2"/>
  <c r="N145" i="2"/>
  <c r="L145" i="2"/>
  <c r="E145" i="2"/>
  <c r="F145" i="2" s="1"/>
  <c r="J145" i="2"/>
  <c r="H145" i="2"/>
  <c r="P144" i="2"/>
  <c r="N144" i="2"/>
  <c r="L144" i="2"/>
  <c r="E144" i="2"/>
  <c r="F144" i="2" s="1"/>
  <c r="J144" i="2"/>
  <c r="H144" i="2"/>
  <c r="P143" i="2"/>
  <c r="N143" i="2"/>
  <c r="L143" i="2"/>
  <c r="E143" i="2"/>
  <c r="F143" i="2" s="1"/>
  <c r="J143" i="2"/>
  <c r="H143" i="2"/>
  <c r="P142" i="2"/>
  <c r="N142" i="2"/>
  <c r="L142" i="2"/>
  <c r="E142" i="2"/>
  <c r="F142" i="2" s="1"/>
  <c r="J142" i="2"/>
  <c r="H142" i="2"/>
  <c r="P141" i="2"/>
  <c r="N141" i="2"/>
  <c r="L141" i="2"/>
  <c r="E141" i="2"/>
  <c r="F141" i="2" s="1"/>
  <c r="J141" i="2"/>
  <c r="H141" i="2"/>
  <c r="P140" i="2"/>
  <c r="N140" i="2"/>
  <c r="L140" i="2"/>
  <c r="E140" i="2"/>
  <c r="F140" i="2" s="1"/>
  <c r="J140" i="2"/>
  <c r="H140" i="2"/>
  <c r="P139" i="2"/>
  <c r="N139" i="2"/>
  <c r="L139" i="2"/>
  <c r="E139" i="2"/>
  <c r="F139" i="2" s="1"/>
  <c r="J139" i="2"/>
  <c r="H139" i="2"/>
  <c r="P138" i="2"/>
  <c r="N138" i="2"/>
  <c r="L138" i="2"/>
  <c r="E138" i="2"/>
  <c r="F138" i="2" s="1"/>
  <c r="J138" i="2"/>
  <c r="H138" i="2"/>
  <c r="P137" i="2"/>
  <c r="N137" i="2"/>
  <c r="L137" i="2"/>
  <c r="E137" i="2"/>
  <c r="F137" i="2" s="1"/>
  <c r="J137" i="2"/>
  <c r="H137" i="2"/>
  <c r="P136" i="2"/>
  <c r="N136" i="2"/>
  <c r="L136" i="2"/>
  <c r="E136" i="2"/>
  <c r="F136" i="2" s="1"/>
  <c r="J136" i="2"/>
  <c r="H136" i="2"/>
  <c r="P135" i="2"/>
  <c r="N135" i="2"/>
  <c r="L135" i="2"/>
  <c r="E135" i="2"/>
  <c r="F135" i="2" s="1"/>
  <c r="J135" i="2"/>
  <c r="H135" i="2"/>
  <c r="P134" i="2"/>
  <c r="N134" i="2"/>
  <c r="L134" i="2"/>
  <c r="E134" i="2"/>
  <c r="F134" i="2" s="1"/>
  <c r="J134" i="2"/>
  <c r="H134" i="2"/>
  <c r="P133" i="2"/>
  <c r="N133" i="2"/>
  <c r="L133" i="2"/>
  <c r="E133" i="2"/>
  <c r="F133" i="2" s="1"/>
  <c r="J133" i="2"/>
  <c r="H133" i="2"/>
  <c r="P132" i="2"/>
  <c r="N132" i="2"/>
  <c r="L132" i="2"/>
  <c r="E132" i="2"/>
  <c r="F132" i="2" s="1"/>
  <c r="J132" i="2"/>
  <c r="H132" i="2"/>
  <c r="P131" i="2"/>
  <c r="N131" i="2"/>
  <c r="L131" i="2"/>
  <c r="E131" i="2"/>
  <c r="F131" i="2" s="1"/>
  <c r="J131" i="2"/>
  <c r="H131" i="2"/>
  <c r="P130" i="2"/>
  <c r="N130" i="2"/>
  <c r="L130" i="2"/>
  <c r="E130" i="2"/>
  <c r="F130" i="2" s="1"/>
  <c r="J130" i="2"/>
  <c r="H130" i="2"/>
  <c r="P129" i="2"/>
  <c r="N129" i="2"/>
  <c r="L129" i="2"/>
  <c r="E129" i="2"/>
  <c r="F129" i="2" s="1"/>
  <c r="J129" i="2"/>
  <c r="H129" i="2"/>
  <c r="P128" i="2"/>
  <c r="N128" i="2"/>
  <c r="L128" i="2"/>
  <c r="E128" i="2"/>
  <c r="F128" i="2" s="1"/>
  <c r="J128" i="2"/>
  <c r="H128" i="2"/>
  <c r="P127" i="2"/>
  <c r="N127" i="2"/>
  <c r="L127" i="2"/>
  <c r="E127" i="2"/>
  <c r="F127" i="2" s="1"/>
  <c r="J127" i="2"/>
  <c r="H127" i="2"/>
  <c r="P126" i="2"/>
  <c r="N126" i="2"/>
  <c r="L126" i="2"/>
  <c r="E126" i="2"/>
  <c r="F126" i="2" s="1"/>
  <c r="J126" i="2"/>
  <c r="H126" i="2"/>
  <c r="P125" i="2"/>
  <c r="N125" i="2"/>
  <c r="L125" i="2"/>
  <c r="E125" i="2"/>
  <c r="F125" i="2" s="1"/>
  <c r="J125" i="2"/>
  <c r="H125" i="2"/>
  <c r="P124" i="2"/>
  <c r="N124" i="2"/>
  <c r="L124" i="2"/>
  <c r="E124" i="2"/>
  <c r="F124" i="2" s="1"/>
  <c r="J124" i="2"/>
  <c r="H124" i="2"/>
  <c r="P123" i="2"/>
  <c r="N123" i="2"/>
  <c r="L123" i="2"/>
  <c r="E123" i="2"/>
  <c r="F123" i="2" s="1"/>
  <c r="J123" i="2"/>
  <c r="H123" i="2"/>
  <c r="P122" i="2"/>
  <c r="N122" i="2"/>
  <c r="L122" i="2"/>
  <c r="E122" i="2"/>
  <c r="F122" i="2" s="1"/>
  <c r="J122" i="2"/>
  <c r="H122" i="2"/>
  <c r="P121" i="2"/>
  <c r="N121" i="2"/>
  <c r="L121" i="2"/>
  <c r="E121" i="2"/>
  <c r="F121" i="2" s="1"/>
  <c r="J121" i="2"/>
  <c r="H121" i="2"/>
  <c r="P120" i="2"/>
  <c r="N120" i="2"/>
  <c r="L120" i="2"/>
  <c r="E120" i="2"/>
  <c r="F120" i="2" s="1"/>
  <c r="J120" i="2"/>
  <c r="H120" i="2"/>
  <c r="P119" i="2"/>
  <c r="N119" i="2"/>
  <c r="L119" i="2"/>
  <c r="E119" i="2"/>
  <c r="F119" i="2" s="1"/>
  <c r="J119" i="2"/>
  <c r="H119" i="2"/>
  <c r="P118" i="2"/>
  <c r="N118" i="2"/>
  <c r="L118" i="2"/>
  <c r="E118" i="2"/>
  <c r="F118" i="2" s="1"/>
  <c r="J118" i="2"/>
  <c r="H118" i="2"/>
  <c r="P117" i="2"/>
  <c r="N117" i="2"/>
  <c r="L117" i="2"/>
  <c r="E117" i="2"/>
  <c r="F117" i="2" s="1"/>
  <c r="J117" i="2"/>
  <c r="H117" i="2"/>
  <c r="P116" i="2"/>
  <c r="N116" i="2"/>
  <c r="L116" i="2"/>
  <c r="E116" i="2"/>
  <c r="F116" i="2" s="1"/>
  <c r="J116" i="2"/>
  <c r="H116" i="2"/>
  <c r="P115" i="2"/>
  <c r="N115" i="2"/>
  <c r="L115" i="2"/>
  <c r="E115" i="2"/>
  <c r="F115" i="2" s="1"/>
  <c r="J115" i="2"/>
  <c r="H115" i="2"/>
  <c r="P114" i="2"/>
  <c r="N114" i="2"/>
  <c r="L114" i="2"/>
  <c r="E114" i="2"/>
  <c r="F114" i="2" s="1"/>
  <c r="J114" i="2"/>
  <c r="H114" i="2"/>
  <c r="P113" i="2"/>
  <c r="N113" i="2"/>
  <c r="L113" i="2"/>
  <c r="E113" i="2"/>
  <c r="F113" i="2" s="1"/>
  <c r="J113" i="2"/>
  <c r="H113" i="2"/>
  <c r="P112" i="2"/>
  <c r="N112" i="2"/>
  <c r="L112" i="2"/>
  <c r="E112" i="2"/>
  <c r="F112" i="2" s="1"/>
  <c r="J112" i="2"/>
  <c r="H112" i="2"/>
  <c r="P111" i="2"/>
  <c r="N111" i="2"/>
  <c r="L111" i="2"/>
  <c r="E111" i="2"/>
  <c r="F111" i="2" s="1"/>
  <c r="J111" i="2"/>
  <c r="H111" i="2"/>
  <c r="P110" i="2"/>
  <c r="N110" i="2"/>
  <c r="L110" i="2"/>
  <c r="E110" i="2"/>
  <c r="F110" i="2" s="1"/>
  <c r="J110" i="2"/>
  <c r="H110" i="2"/>
  <c r="P109" i="2"/>
  <c r="N109" i="2"/>
  <c r="L109" i="2"/>
  <c r="E109" i="2"/>
  <c r="F109" i="2" s="1"/>
  <c r="J109" i="2"/>
  <c r="H109" i="2"/>
  <c r="P108" i="2"/>
  <c r="N108" i="2"/>
  <c r="L108" i="2"/>
  <c r="E108" i="2"/>
  <c r="F108" i="2" s="1"/>
  <c r="J108" i="2"/>
  <c r="H108" i="2"/>
  <c r="P107" i="2"/>
  <c r="N107" i="2"/>
  <c r="L107" i="2"/>
  <c r="E107" i="2"/>
  <c r="F107" i="2" s="1"/>
  <c r="J107" i="2"/>
  <c r="H107" i="2"/>
  <c r="P106" i="2"/>
  <c r="N106" i="2"/>
  <c r="L106" i="2"/>
  <c r="E106" i="2"/>
  <c r="F106" i="2" s="1"/>
  <c r="J106" i="2"/>
  <c r="H106" i="2"/>
  <c r="P105" i="2"/>
  <c r="N105" i="2"/>
  <c r="L105" i="2"/>
  <c r="E105" i="2"/>
  <c r="F105" i="2" s="1"/>
  <c r="J105" i="2"/>
  <c r="H105" i="2"/>
  <c r="P104" i="2"/>
  <c r="N104" i="2"/>
  <c r="L104" i="2"/>
  <c r="E104" i="2"/>
  <c r="F104" i="2" s="1"/>
  <c r="J104" i="2"/>
  <c r="H104" i="2"/>
  <c r="P103" i="2"/>
  <c r="N103" i="2"/>
  <c r="L103" i="2"/>
  <c r="E103" i="2"/>
  <c r="F103" i="2" s="1"/>
  <c r="J103" i="2"/>
  <c r="H103" i="2"/>
  <c r="P102" i="2"/>
  <c r="N102" i="2"/>
  <c r="L102" i="2"/>
  <c r="E102" i="2"/>
  <c r="F102" i="2" s="1"/>
  <c r="J102" i="2"/>
  <c r="H102" i="2"/>
  <c r="P101" i="2"/>
  <c r="N101" i="2"/>
  <c r="L101" i="2"/>
  <c r="E101" i="2"/>
  <c r="F101" i="2" s="1"/>
  <c r="J101" i="2"/>
  <c r="H101" i="2"/>
  <c r="P100" i="2"/>
  <c r="N100" i="2"/>
  <c r="L100" i="2"/>
  <c r="E100" i="2"/>
  <c r="F100" i="2" s="1"/>
  <c r="J100" i="2"/>
  <c r="H100" i="2"/>
  <c r="P99" i="2"/>
  <c r="N99" i="2"/>
  <c r="L99" i="2"/>
  <c r="E99" i="2"/>
  <c r="F99" i="2" s="1"/>
  <c r="J99" i="2"/>
  <c r="H99" i="2"/>
  <c r="P98" i="2"/>
  <c r="N98" i="2"/>
  <c r="L98" i="2"/>
  <c r="E98" i="2"/>
  <c r="F98" i="2" s="1"/>
  <c r="J98" i="2"/>
  <c r="H98" i="2"/>
  <c r="P97" i="2"/>
  <c r="N97" i="2"/>
  <c r="L97" i="2"/>
  <c r="E97" i="2"/>
  <c r="F97" i="2" s="1"/>
  <c r="J97" i="2"/>
  <c r="H97" i="2"/>
  <c r="P96" i="2"/>
  <c r="N96" i="2"/>
  <c r="L96" i="2"/>
  <c r="E96" i="2"/>
  <c r="F96" i="2" s="1"/>
  <c r="J96" i="2"/>
  <c r="H96" i="2"/>
  <c r="P95" i="2"/>
  <c r="N95" i="2"/>
  <c r="L95" i="2"/>
  <c r="E95" i="2"/>
  <c r="F95" i="2" s="1"/>
  <c r="J95" i="2"/>
  <c r="H95" i="2"/>
  <c r="P94" i="2"/>
  <c r="N94" i="2"/>
  <c r="L94" i="2"/>
  <c r="E94" i="2"/>
  <c r="F94" i="2" s="1"/>
  <c r="J94" i="2"/>
  <c r="H94" i="2"/>
  <c r="P93" i="2"/>
  <c r="N93" i="2"/>
  <c r="L93" i="2"/>
  <c r="E93" i="2"/>
  <c r="F93" i="2" s="1"/>
  <c r="J93" i="2"/>
  <c r="H93" i="2"/>
  <c r="P92" i="2"/>
  <c r="N92" i="2"/>
  <c r="L92" i="2"/>
  <c r="E92" i="2"/>
  <c r="F92" i="2" s="1"/>
  <c r="J92" i="2"/>
  <c r="H92" i="2"/>
  <c r="P91" i="2"/>
  <c r="N91" i="2"/>
  <c r="L91" i="2"/>
  <c r="E91" i="2"/>
  <c r="F91" i="2" s="1"/>
  <c r="J91" i="2"/>
  <c r="H91" i="2"/>
  <c r="P90" i="2"/>
  <c r="N90" i="2"/>
  <c r="L90" i="2"/>
  <c r="E90" i="2"/>
  <c r="F90" i="2" s="1"/>
  <c r="J90" i="2"/>
  <c r="H90" i="2"/>
  <c r="P89" i="2"/>
  <c r="N89" i="2"/>
  <c r="L89" i="2"/>
  <c r="E89" i="2"/>
  <c r="F89" i="2" s="1"/>
  <c r="J89" i="2"/>
  <c r="H89" i="2"/>
  <c r="P88" i="2"/>
  <c r="N88" i="2"/>
  <c r="L88" i="2"/>
  <c r="E88" i="2"/>
  <c r="F88" i="2" s="1"/>
  <c r="J88" i="2"/>
  <c r="H88" i="2"/>
  <c r="P87" i="2"/>
  <c r="N87" i="2"/>
  <c r="L87" i="2"/>
  <c r="E87" i="2"/>
  <c r="F87" i="2" s="1"/>
  <c r="J87" i="2"/>
  <c r="H87" i="2"/>
  <c r="P86" i="2"/>
  <c r="N86" i="2"/>
  <c r="L86" i="2"/>
  <c r="E86" i="2"/>
  <c r="F86" i="2" s="1"/>
  <c r="J86" i="2"/>
  <c r="H86" i="2"/>
  <c r="P85" i="2"/>
  <c r="N85" i="2"/>
  <c r="L85" i="2"/>
  <c r="F85" i="2"/>
  <c r="J85" i="2"/>
  <c r="H85" i="2"/>
  <c r="P84" i="2"/>
  <c r="N84" i="2"/>
  <c r="L84" i="2"/>
  <c r="E84" i="2"/>
  <c r="F84" i="2" s="1"/>
  <c r="J84" i="2"/>
  <c r="H84" i="2"/>
  <c r="P83" i="2"/>
  <c r="N83" i="2"/>
  <c r="L83" i="2"/>
  <c r="E83" i="2"/>
  <c r="F83" i="2" s="1"/>
  <c r="J83" i="2"/>
  <c r="H83" i="2"/>
  <c r="P82" i="2"/>
  <c r="N82" i="2"/>
  <c r="L82" i="2"/>
  <c r="E82" i="2"/>
  <c r="F82" i="2" s="1"/>
  <c r="J82" i="2"/>
  <c r="H82" i="2"/>
  <c r="P81" i="2"/>
  <c r="N81" i="2"/>
  <c r="L81" i="2"/>
  <c r="E81" i="2"/>
  <c r="F81" i="2" s="1"/>
  <c r="J81" i="2"/>
  <c r="H81" i="2"/>
  <c r="P80" i="2"/>
  <c r="N80" i="2"/>
  <c r="L80" i="2"/>
  <c r="E80" i="2"/>
  <c r="F80" i="2" s="1"/>
  <c r="J80" i="2"/>
  <c r="H80" i="2"/>
  <c r="P79" i="2"/>
  <c r="N79" i="2"/>
  <c r="L79" i="2"/>
  <c r="E79" i="2"/>
  <c r="F79" i="2" s="1"/>
  <c r="J79" i="2"/>
  <c r="H79" i="2"/>
  <c r="P78" i="2"/>
  <c r="N78" i="2"/>
  <c r="L78" i="2"/>
  <c r="E78" i="2"/>
  <c r="F78" i="2" s="1"/>
  <c r="J78" i="2"/>
  <c r="H78" i="2"/>
  <c r="P77" i="2"/>
  <c r="N77" i="2"/>
  <c r="L77" i="2"/>
  <c r="E77" i="2"/>
  <c r="F77" i="2" s="1"/>
  <c r="J77" i="2"/>
  <c r="H77" i="2"/>
  <c r="P76" i="2"/>
  <c r="N76" i="2"/>
  <c r="L76" i="2"/>
  <c r="E76" i="2"/>
  <c r="F76" i="2" s="1"/>
  <c r="J76" i="2"/>
  <c r="H76" i="2"/>
  <c r="P75" i="2"/>
  <c r="N75" i="2"/>
  <c r="L75" i="2"/>
  <c r="E75" i="2"/>
  <c r="F75" i="2" s="1"/>
  <c r="J75" i="2"/>
  <c r="H75" i="2"/>
  <c r="P74" i="2"/>
  <c r="N74" i="2"/>
  <c r="L74" i="2"/>
  <c r="E74" i="2"/>
  <c r="F74" i="2" s="1"/>
  <c r="J74" i="2"/>
  <c r="H74" i="2"/>
  <c r="P73" i="2"/>
  <c r="N73" i="2"/>
  <c r="L73" i="2"/>
  <c r="E73" i="2"/>
  <c r="F73" i="2" s="1"/>
  <c r="J73" i="2"/>
  <c r="H73" i="2"/>
  <c r="P72" i="2"/>
  <c r="N72" i="2"/>
  <c r="L72" i="2"/>
  <c r="E72" i="2"/>
  <c r="F72" i="2" s="1"/>
  <c r="J72" i="2"/>
  <c r="H72" i="2"/>
  <c r="P71" i="2"/>
  <c r="N71" i="2"/>
  <c r="L71" i="2"/>
  <c r="E71" i="2"/>
  <c r="F71" i="2" s="1"/>
  <c r="J71" i="2"/>
  <c r="H71" i="2"/>
  <c r="P70" i="2"/>
  <c r="N70" i="2"/>
  <c r="L70" i="2"/>
  <c r="E70" i="2"/>
  <c r="F70" i="2" s="1"/>
  <c r="J70" i="2"/>
  <c r="H70" i="2"/>
  <c r="P69" i="2"/>
  <c r="N69" i="2"/>
  <c r="L69" i="2"/>
  <c r="E69" i="2"/>
  <c r="F69" i="2" s="1"/>
  <c r="J69" i="2"/>
  <c r="H69" i="2"/>
  <c r="P68" i="2"/>
  <c r="N68" i="2"/>
  <c r="L68" i="2"/>
  <c r="E68" i="2"/>
  <c r="F68" i="2" s="1"/>
  <c r="J68" i="2"/>
  <c r="H68" i="2"/>
  <c r="P67" i="2"/>
  <c r="N67" i="2"/>
  <c r="L67" i="2"/>
  <c r="E67" i="2"/>
  <c r="F67" i="2" s="1"/>
  <c r="J67" i="2"/>
  <c r="H67" i="2"/>
  <c r="P66" i="2"/>
  <c r="N66" i="2"/>
  <c r="L66" i="2"/>
  <c r="E66" i="2"/>
  <c r="F66" i="2" s="1"/>
  <c r="J66" i="2"/>
  <c r="H66" i="2"/>
  <c r="P65" i="2"/>
  <c r="N65" i="2"/>
  <c r="L65" i="2"/>
  <c r="E65" i="2"/>
  <c r="F65" i="2" s="1"/>
  <c r="J65" i="2"/>
  <c r="H65" i="2"/>
  <c r="P64" i="2"/>
  <c r="N64" i="2"/>
  <c r="L64" i="2"/>
  <c r="E64" i="2"/>
  <c r="F64" i="2" s="1"/>
  <c r="J64" i="2"/>
  <c r="H64" i="2"/>
  <c r="P63" i="2"/>
  <c r="N63" i="2"/>
  <c r="L63" i="2"/>
  <c r="E63" i="2"/>
  <c r="F63" i="2" s="1"/>
  <c r="J63" i="2"/>
  <c r="H63" i="2"/>
  <c r="P62" i="2"/>
  <c r="N62" i="2"/>
  <c r="L62" i="2"/>
  <c r="E62" i="2"/>
  <c r="F62" i="2" s="1"/>
  <c r="J62" i="2"/>
  <c r="H62" i="2"/>
  <c r="P61" i="2"/>
  <c r="N61" i="2"/>
  <c r="L61" i="2"/>
  <c r="E61" i="2"/>
  <c r="F61" i="2" s="1"/>
  <c r="J61" i="2"/>
  <c r="H61" i="2"/>
  <c r="P60" i="2"/>
  <c r="N60" i="2"/>
  <c r="L60" i="2"/>
  <c r="E60" i="2"/>
  <c r="F60" i="2" s="1"/>
  <c r="J60" i="2"/>
  <c r="H60" i="2"/>
  <c r="P59" i="2"/>
  <c r="N59" i="2"/>
  <c r="L59" i="2"/>
  <c r="E59" i="2"/>
  <c r="F59" i="2" s="1"/>
  <c r="J59" i="2"/>
  <c r="H59" i="2"/>
  <c r="P58" i="2"/>
  <c r="N58" i="2"/>
  <c r="L58" i="2"/>
  <c r="E58" i="2"/>
  <c r="F58" i="2" s="1"/>
  <c r="J58" i="2"/>
  <c r="H58" i="2"/>
  <c r="P57" i="2"/>
  <c r="N57" i="2"/>
  <c r="L57" i="2"/>
  <c r="F57" i="2"/>
  <c r="J57" i="2"/>
  <c r="H57" i="2"/>
  <c r="P56" i="2"/>
  <c r="N56" i="2"/>
  <c r="L56" i="2"/>
  <c r="E56" i="2"/>
  <c r="F56" i="2" s="1"/>
  <c r="J56" i="2"/>
  <c r="H56" i="2"/>
  <c r="P55" i="2"/>
  <c r="N55" i="2"/>
  <c r="L55" i="2"/>
  <c r="E55" i="2"/>
  <c r="F55" i="2" s="1"/>
  <c r="J55" i="2"/>
  <c r="H55" i="2"/>
  <c r="P54" i="2"/>
  <c r="N54" i="2"/>
  <c r="L54" i="2"/>
  <c r="E54" i="2"/>
  <c r="F54" i="2" s="1"/>
  <c r="J54" i="2"/>
  <c r="H54" i="2"/>
  <c r="P53" i="2"/>
  <c r="N53" i="2"/>
  <c r="L53" i="2"/>
  <c r="E53" i="2"/>
  <c r="F53" i="2" s="1"/>
  <c r="J53" i="2"/>
  <c r="H53" i="2"/>
  <c r="P52" i="2"/>
  <c r="N52" i="2"/>
  <c r="L52" i="2"/>
  <c r="E52" i="2"/>
  <c r="F52" i="2" s="1"/>
  <c r="J52" i="2"/>
  <c r="H52" i="2"/>
  <c r="P51" i="2"/>
  <c r="N51" i="2"/>
  <c r="L51" i="2"/>
  <c r="E51" i="2"/>
  <c r="F51" i="2" s="1"/>
  <c r="J51" i="2"/>
  <c r="H51" i="2"/>
  <c r="P50" i="2"/>
  <c r="N50" i="2"/>
  <c r="L50" i="2"/>
  <c r="E50" i="2"/>
  <c r="F50" i="2" s="1"/>
  <c r="J50" i="2"/>
  <c r="H50" i="2"/>
  <c r="P49" i="2"/>
  <c r="N49" i="2"/>
  <c r="L49" i="2"/>
  <c r="E49" i="2"/>
  <c r="F49" i="2" s="1"/>
  <c r="J49" i="2"/>
  <c r="H49" i="2"/>
  <c r="P48" i="2"/>
  <c r="N48" i="2"/>
  <c r="L48" i="2"/>
  <c r="E48" i="2"/>
  <c r="F48" i="2" s="1"/>
  <c r="J48" i="2"/>
  <c r="H48" i="2"/>
  <c r="P47" i="2"/>
  <c r="N47" i="2"/>
  <c r="L47" i="2"/>
  <c r="E47" i="2"/>
  <c r="F47" i="2" s="1"/>
  <c r="J47" i="2"/>
  <c r="H47" i="2"/>
  <c r="P46" i="2"/>
  <c r="N46" i="2"/>
  <c r="L46" i="2"/>
  <c r="E46" i="2"/>
  <c r="F46" i="2" s="1"/>
  <c r="J46" i="2"/>
  <c r="H46" i="2"/>
  <c r="P45" i="2"/>
  <c r="N45" i="2"/>
  <c r="L45" i="2"/>
  <c r="E45" i="2"/>
  <c r="F45" i="2" s="1"/>
  <c r="J45" i="2"/>
  <c r="H45" i="2"/>
  <c r="P44" i="2"/>
  <c r="N44" i="2"/>
  <c r="L44" i="2"/>
  <c r="E44" i="2"/>
  <c r="F44" i="2" s="1"/>
  <c r="J44" i="2"/>
  <c r="H44" i="2"/>
  <c r="P43" i="2"/>
  <c r="N43" i="2"/>
  <c r="L43" i="2"/>
  <c r="E43" i="2"/>
  <c r="F43" i="2" s="1"/>
  <c r="J43" i="2"/>
  <c r="H43" i="2"/>
  <c r="P42" i="2"/>
  <c r="N42" i="2"/>
  <c r="L42" i="2"/>
  <c r="E42" i="2"/>
  <c r="F42" i="2" s="1"/>
  <c r="J42" i="2"/>
  <c r="H42" i="2"/>
  <c r="P41" i="2"/>
  <c r="N41" i="2"/>
  <c r="L41" i="2"/>
  <c r="E41" i="2"/>
  <c r="F41" i="2" s="1"/>
  <c r="J41" i="2"/>
  <c r="H41" i="2"/>
  <c r="P40" i="2"/>
  <c r="N40" i="2"/>
  <c r="L40" i="2"/>
  <c r="E40" i="2"/>
  <c r="F40" i="2" s="1"/>
  <c r="J40" i="2"/>
  <c r="H40" i="2"/>
  <c r="P39" i="2"/>
  <c r="N39" i="2"/>
  <c r="L39" i="2"/>
  <c r="E39" i="2"/>
  <c r="F39" i="2" s="1"/>
  <c r="J39" i="2"/>
  <c r="H39" i="2"/>
  <c r="P38" i="2"/>
  <c r="N38" i="2"/>
  <c r="L38" i="2"/>
  <c r="E38" i="2"/>
  <c r="F38" i="2" s="1"/>
  <c r="J38" i="2"/>
  <c r="H38" i="2"/>
  <c r="P37" i="2"/>
  <c r="N37" i="2"/>
  <c r="L37" i="2"/>
  <c r="E37" i="2"/>
  <c r="F37" i="2" s="1"/>
  <c r="J37" i="2"/>
  <c r="H37" i="2"/>
  <c r="P36" i="2"/>
  <c r="N36" i="2"/>
  <c r="L36" i="2"/>
  <c r="E36" i="2"/>
  <c r="F36" i="2" s="1"/>
  <c r="J36" i="2"/>
  <c r="H36" i="2"/>
  <c r="P35" i="2"/>
  <c r="N35" i="2"/>
  <c r="L35" i="2"/>
  <c r="E35" i="2"/>
  <c r="F35" i="2" s="1"/>
  <c r="J35" i="2"/>
  <c r="H35" i="2"/>
  <c r="P34" i="2"/>
  <c r="N34" i="2"/>
  <c r="L34" i="2"/>
  <c r="E34" i="2"/>
  <c r="F34" i="2" s="1"/>
  <c r="J34" i="2"/>
  <c r="H34" i="2"/>
  <c r="P33" i="2"/>
  <c r="N33" i="2"/>
  <c r="L33" i="2"/>
  <c r="E33" i="2"/>
  <c r="F33" i="2" s="1"/>
  <c r="J33" i="2"/>
  <c r="H33" i="2"/>
  <c r="P32" i="2"/>
  <c r="N32" i="2"/>
  <c r="L32" i="2"/>
  <c r="E32" i="2"/>
  <c r="F32" i="2" s="1"/>
  <c r="J32" i="2"/>
  <c r="H32" i="2"/>
  <c r="P31" i="2"/>
  <c r="N31" i="2"/>
  <c r="L31" i="2"/>
  <c r="E31" i="2"/>
  <c r="F31" i="2" s="1"/>
  <c r="J31" i="2"/>
  <c r="H31" i="2"/>
  <c r="P30" i="2"/>
  <c r="N30" i="2"/>
  <c r="L30" i="2"/>
  <c r="E30" i="2"/>
  <c r="F30" i="2" s="1"/>
  <c r="J30" i="2"/>
  <c r="H30" i="2"/>
  <c r="P29" i="2"/>
  <c r="N29" i="2"/>
  <c r="L29" i="2"/>
  <c r="E29" i="2"/>
  <c r="F29" i="2" s="1"/>
  <c r="J29" i="2"/>
  <c r="H29" i="2"/>
  <c r="P28" i="2"/>
  <c r="N28" i="2"/>
  <c r="L28" i="2"/>
  <c r="E28" i="2"/>
  <c r="F28" i="2" s="1"/>
  <c r="J28" i="2"/>
  <c r="H28" i="2"/>
  <c r="P27" i="2"/>
  <c r="N27" i="2"/>
  <c r="L27" i="2"/>
  <c r="E27" i="2"/>
  <c r="F27" i="2" s="1"/>
  <c r="J27" i="2"/>
  <c r="H27" i="2"/>
  <c r="P25" i="2"/>
  <c r="N25" i="2"/>
  <c r="L25" i="2"/>
  <c r="E25" i="2"/>
  <c r="F25" i="2" s="1"/>
  <c r="J25" i="2"/>
  <c r="H25" i="2"/>
  <c r="P24" i="2"/>
  <c r="N24" i="2"/>
  <c r="L24" i="2"/>
  <c r="E24" i="2"/>
  <c r="F24" i="2" s="1"/>
  <c r="J24" i="2"/>
  <c r="H24" i="2"/>
  <c r="P23" i="2"/>
  <c r="N23" i="2"/>
  <c r="L23" i="2"/>
  <c r="E23" i="2"/>
  <c r="F23" i="2" s="1"/>
  <c r="J23" i="2"/>
  <c r="H23" i="2"/>
  <c r="P22" i="2"/>
  <c r="N22" i="2"/>
  <c r="L22" i="2"/>
  <c r="E22" i="2"/>
  <c r="F22" i="2" s="1"/>
  <c r="H22" i="2"/>
  <c r="P21" i="2"/>
  <c r="N21" i="2"/>
  <c r="L21" i="2"/>
  <c r="E21" i="2"/>
  <c r="F21" i="2" s="1"/>
  <c r="J21" i="2"/>
  <c r="H21" i="2"/>
  <c r="P20" i="2"/>
  <c r="N20" i="2"/>
  <c r="L20" i="2"/>
  <c r="E20" i="2"/>
  <c r="F20" i="2" s="1"/>
  <c r="J20" i="2"/>
  <c r="H20" i="2"/>
  <c r="P19" i="2"/>
  <c r="N19" i="2"/>
  <c r="L19" i="2"/>
  <c r="E19" i="2"/>
  <c r="F19" i="2" s="1"/>
  <c r="J19" i="2"/>
  <c r="H19" i="2"/>
  <c r="N18" i="2"/>
  <c r="L18" i="2"/>
  <c r="E18" i="2"/>
  <c r="F18" i="2" s="1"/>
  <c r="J18" i="2"/>
  <c r="H18" i="2"/>
  <c r="P17" i="2"/>
  <c r="N17" i="2"/>
  <c r="L17" i="2"/>
  <c r="E17" i="2"/>
  <c r="F17" i="2" s="1"/>
  <c r="J17" i="2"/>
  <c r="H17" i="2"/>
  <c r="P16" i="2"/>
  <c r="N16" i="2"/>
  <c r="L16" i="2"/>
  <c r="E16" i="2"/>
  <c r="F16" i="2" s="1"/>
  <c r="J16" i="2"/>
  <c r="H16" i="2"/>
  <c r="P15" i="2"/>
  <c r="N15" i="2"/>
  <c r="L15" i="2"/>
  <c r="E15" i="2"/>
  <c r="F15" i="2" s="1"/>
  <c r="J15" i="2"/>
  <c r="H15" i="2"/>
  <c r="P14" i="2"/>
  <c r="N14" i="2"/>
  <c r="L14" i="2"/>
  <c r="E14" i="2"/>
  <c r="F14" i="2" s="1"/>
  <c r="J14" i="2"/>
  <c r="H14" i="2"/>
  <c r="P13" i="2"/>
  <c r="N13" i="2"/>
  <c r="L13" i="2"/>
  <c r="E13" i="2"/>
  <c r="F13" i="2" s="1"/>
  <c r="J13" i="2"/>
  <c r="H13" i="2"/>
  <c r="P12" i="2"/>
  <c r="N12" i="2"/>
  <c r="L12" i="2"/>
  <c r="E12" i="2"/>
  <c r="F12" i="2" s="1"/>
  <c r="J12" i="2"/>
  <c r="H12" i="2"/>
  <c r="P11" i="2"/>
  <c r="N11" i="2"/>
  <c r="L11" i="2"/>
  <c r="E11" i="2"/>
  <c r="F11" i="2" s="1"/>
  <c r="J11" i="2"/>
  <c r="H11" i="2"/>
  <c r="P10" i="2"/>
  <c r="N10" i="2"/>
  <c r="L10" i="2"/>
  <c r="E10" i="2"/>
  <c r="F10" i="2" s="1"/>
  <c r="J10" i="2"/>
  <c r="H10" i="2"/>
  <c r="P9" i="2"/>
  <c r="N9" i="2"/>
  <c r="L9" i="2"/>
  <c r="E9" i="2"/>
  <c r="F9" i="2" s="1"/>
  <c r="J9" i="2"/>
  <c r="H9" i="2"/>
  <c r="P8" i="2"/>
  <c r="N8" i="2"/>
  <c r="L8" i="2"/>
  <c r="E8" i="2"/>
  <c r="F8" i="2" s="1"/>
  <c r="J8" i="2"/>
  <c r="H8" i="2"/>
  <c r="L7" i="2"/>
  <c r="E7" i="2"/>
  <c r="J7" i="2"/>
  <c r="H7" i="2"/>
  <c r="I10" i="1"/>
  <c r="I9" i="1"/>
  <c r="I8" i="1"/>
  <c r="I7" i="1"/>
  <c r="I6" i="1"/>
  <c r="J12" i="3"/>
  <c r="E4" i="2" l="1"/>
  <c r="G72" i="13"/>
  <c r="F19" i="14"/>
  <c r="U19" i="14" s="1"/>
  <c r="C19" i="14"/>
  <c r="R19" i="14" s="1"/>
  <c r="D72" i="13"/>
  <c r="E19" i="14"/>
  <c r="T19" i="14" s="1"/>
  <c r="F72" i="13"/>
  <c r="D19" i="14"/>
  <c r="S19" i="14" s="1"/>
  <c r="E72" i="13"/>
  <c r="G19" i="14"/>
  <c r="V19" i="14" s="1"/>
  <c r="H72" i="13"/>
  <c r="D54" i="5"/>
  <c r="D11" i="12"/>
  <c r="S11" i="12" s="1"/>
  <c r="E20" i="13"/>
  <c r="G11" i="12"/>
  <c r="V11" i="12" s="1"/>
  <c r="H20" i="13"/>
  <c r="D25" i="13"/>
  <c r="C12" i="12"/>
  <c r="R12" i="12" s="1"/>
  <c r="G15" i="13"/>
  <c r="F10" i="12"/>
  <c r="U10" i="12" s="1"/>
  <c r="V5" i="8"/>
  <c r="G6" i="8" s="1"/>
  <c r="V6" i="8" s="1"/>
  <c r="G7" i="8" s="1"/>
  <c r="V7" i="8" s="1"/>
  <c r="S5" i="8"/>
  <c r="D6" i="8" s="1"/>
  <c r="S6" i="8" s="1"/>
  <c r="D7" i="8" s="1"/>
  <c r="S7" i="8" s="1"/>
  <c r="F6" i="8"/>
  <c r="U6" i="8" s="1"/>
  <c r="F7" i="8" s="1"/>
  <c r="U7" i="8" s="1"/>
  <c r="AJ104" i="8"/>
  <c r="C6" i="8"/>
  <c r="R6" i="8" s="1"/>
  <c r="C7" i="8" s="1"/>
  <c r="R7" i="8" s="1"/>
  <c r="AH104" i="8"/>
  <c r="AK71" i="9"/>
  <c r="G6" i="9"/>
  <c r="V6" i="9" s="1"/>
  <c r="G7" i="9" s="1"/>
  <c r="V7" i="9" s="1"/>
  <c r="R5" i="9"/>
  <c r="C6" i="9" s="1"/>
  <c r="R6" i="9" s="1"/>
  <c r="C7" i="9" s="1"/>
  <c r="U4" i="9"/>
  <c r="F5" i="9" s="1"/>
  <c r="U5" i="9" s="1"/>
  <c r="F7" i="2"/>
  <c r="F4" i="2" s="1"/>
  <c r="L4" i="2"/>
  <c r="N7" i="2"/>
  <c r="N4" i="2" s="1"/>
  <c r="M4" i="2"/>
  <c r="M5" i="2" s="1"/>
  <c r="O4" i="2"/>
  <c r="O5" i="2" s="1"/>
  <c r="S4" i="9"/>
  <c r="D5" i="9" s="1"/>
  <c r="L12" i="3"/>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P7" i="3"/>
  <c r="P9" i="3"/>
  <c r="P11" i="3"/>
  <c r="P6" i="3"/>
  <c r="H4" i="2"/>
  <c r="J4" i="2"/>
  <c r="N12" i="3"/>
  <c r="G4" i="2"/>
  <c r="G5" i="2" s="1"/>
  <c r="P7" i="2"/>
  <c r="P4" i="2" s="1"/>
  <c r="I4" i="2"/>
  <c r="I5" i="2" s="1"/>
  <c r="J13" i="3"/>
  <c r="O12" i="3"/>
  <c r="P8" i="3"/>
  <c r="P10" i="3"/>
  <c r="E5" i="5"/>
  <c r="E54" i="5" s="1"/>
  <c r="K13" i="3"/>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M13" i="3"/>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E5" i="2" l="1"/>
  <c r="R89" i="2"/>
  <c r="AI104" i="8"/>
  <c r="AK104" i="8"/>
  <c r="C13" i="12"/>
  <c r="R13" i="12" s="1"/>
  <c r="D30" i="13"/>
  <c r="F11" i="12"/>
  <c r="U11" i="12" s="1"/>
  <c r="G20" i="13"/>
  <c r="H25" i="13"/>
  <c r="G12" i="12"/>
  <c r="V12" i="12" s="1"/>
  <c r="E25" i="13"/>
  <c r="D12" i="12"/>
  <c r="S12" i="12" s="1"/>
  <c r="C8" i="8"/>
  <c r="R8" i="8" s="1"/>
  <c r="C9" i="8" s="1"/>
  <c r="R9" i="8" s="1"/>
  <c r="D3" i="13"/>
  <c r="D8" i="8"/>
  <c r="S8" i="8" s="1"/>
  <c r="E3" i="13"/>
  <c r="G3" i="13"/>
  <c r="F8" i="8"/>
  <c r="U8" i="8" s="1"/>
  <c r="H3" i="13"/>
  <c r="G8" i="8"/>
  <c r="V8" i="8" s="1"/>
  <c r="H4" i="13"/>
  <c r="G8" i="9"/>
  <c r="V8" i="9" s="1"/>
  <c r="AJ71" i="9"/>
  <c r="F6" i="9"/>
  <c r="U6" i="9" s="1"/>
  <c r="F7" i="9" s="1"/>
  <c r="U7" i="9" s="1"/>
  <c r="AH71" i="9"/>
  <c r="S5" i="9"/>
  <c r="D6" i="9" s="1"/>
  <c r="S6" i="9" s="1"/>
  <c r="D7" i="9" s="1"/>
  <c r="S7" i="9" s="1"/>
  <c r="K36" i="3"/>
  <c r="O13" i="3"/>
  <c r="O14" i="3" s="1"/>
  <c r="O15" i="3" s="1"/>
  <c r="O16" i="3" s="1"/>
  <c r="O17" i="3" s="1"/>
  <c r="O18" i="3" s="1"/>
  <c r="O19" i="3" s="1"/>
  <c r="O20" i="3" s="1"/>
  <c r="O21" i="3" s="1"/>
  <c r="O22" i="3" s="1"/>
  <c r="O23" i="3" s="1"/>
  <c r="O24" i="3" s="1"/>
  <c r="O25" i="3" s="1"/>
  <c r="O26" i="3" s="1"/>
  <c r="O27" i="3" s="1"/>
  <c r="O28" i="3" s="1"/>
  <c r="O29" i="3" s="1"/>
  <c r="O30" i="3" s="1"/>
  <c r="O31" i="3" s="1"/>
  <c r="O32" i="3" s="1"/>
  <c r="O33" i="3" s="1"/>
  <c r="O34" i="3" s="1"/>
  <c r="O35" i="3" s="1"/>
  <c r="J14" i="3"/>
  <c r="N13" i="3"/>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L36" i="3"/>
  <c r="M36" i="3"/>
  <c r="P12" i="3"/>
  <c r="D13" i="12" l="1"/>
  <c r="S13" i="12" s="1"/>
  <c r="E30" i="13"/>
  <c r="G13" i="12"/>
  <c r="V13" i="12" s="1"/>
  <c r="H30" i="13"/>
  <c r="C14" i="12"/>
  <c r="R14" i="12" s="1"/>
  <c r="D35" i="13"/>
  <c r="G25" i="13"/>
  <c r="F12" i="12"/>
  <c r="U12" i="12" s="1"/>
  <c r="C10" i="8"/>
  <c r="R10" i="8" s="1"/>
  <c r="D9" i="13"/>
  <c r="H7" i="13"/>
  <c r="G9" i="9"/>
  <c r="V9" i="9" s="1"/>
  <c r="H6" i="13"/>
  <c r="G9" i="8"/>
  <c r="V9" i="8" s="1"/>
  <c r="G6" i="13"/>
  <c r="F9" i="8"/>
  <c r="U9" i="8" s="1"/>
  <c r="E6" i="13"/>
  <c r="D9" i="8"/>
  <c r="S9" i="8" s="1"/>
  <c r="D6" i="13"/>
  <c r="G4" i="13"/>
  <c r="F8" i="9"/>
  <c r="U8" i="9" s="1"/>
  <c r="E4" i="13"/>
  <c r="D8" i="9"/>
  <c r="S8" i="9" s="1"/>
  <c r="AI71" i="9"/>
  <c r="P13" i="3"/>
  <c r="J15" i="3"/>
  <c r="P14" i="3"/>
  <c r="O36" i="3"/>
  <c r="N36" i="3"/>
  <c r="D40" i="13" l="1"/>
  <c r="C15" i="12"/>
  <c r="R15" i="12" s="1"/>
  <c r="F13" i="12"/>
  <c r="U13" i="12" s="1"/>
  <c r="G30" i="13"/>
  <c r="G14" i="12"/>
  <c r="V14" i="12" s="1"/>
  <c r="H35" i="13"/>
  <c r="D14" i="12"/>
  <c r="S14" i="12" s="1"/>
  <c r="E35" i="13"/>
  <c r="D10" i="8"/>
  <c r="S10" i="8" s="1"/>
  <c r="E9" i="13"/>
  <c r="G10" i="8"/>
  <c r="V10" i="8" s="1"/>
  <c r="H9" i="13"/>
  <c r="C11" i="8"/>
  <c r="R11" i="8" s="1"/>
  <c r="D13" i="13"/>
  <c r="F10" i="8"/>
  <c r="U10" i="8" s="1"/>
  <c r="G9" i="13"/>
  <c r="G10" i="9"/>
  <c r="V10" i="9" s="1"/>
  <c r="H10" i="13"/>
  <c r="G7" i="13"/>
  <c r="F9" i="9"/>
  <c r="U9" i="9" s="1"/>
  <c r="D9" i="9"/>
  <c r="S9" i="9" s="1"/>
  <c r="E7" i="13"/>
  <c r="J16" i="3"/>
  <c r="P15" i="3"/>
  <c r="D45" i="13" l="1"/>
  <c r="C16" i="12"/>
  <c r="R16" i="12" s="1"/>
  <c r="E40" i="13"/>
  <c r="D15" i="12"/>
  <c r="S15" i="12" s="1"/>
  <c r="H40" i="13"/>
  <c r="G15" i="12"/>
  <c r="V15" i="12" s="1"/>
  <c r="F14" i="12"/>
  <c r="U14" i="12" s="1"/>
  <c r="G35" i="13"/>
  <c r="D18" i="13"/>
  <c r="C12" i="8"/>
  <c r="R12" i="8" s="1"/>
  <c r="H14" i="13"/>
  <c r="G11" i="9"/>
  <c r="V11" i="9" s="1"/>
  <c r="G13" i="13"/>
  <c r="F11" i="8"/>
  <c r="U11" i="8" s="1"/>
  <c r="H13" i="13"/>
  <c r="G11" i="8"/>
  <c r="V11" i="8" s="1"/>
  <c r="E13" i="13"/>
  <c r="D11" i="8"/>
  <c r="S11" i="8" s="1"/>
  <c r="D10" i="9"/>
  <c r="S10" i="9" s="1"/>
  <c r="E10" i="13"/>
  <c r="G10" i="13"/>
  <c r="F10" i="9"/>
  <c r="U10" i="9" s="1"/>
  <c r="J17" i="3"/>
  <c r="P16" i="3"/>
  <c r="G40" i="13" l="1"/>
  <c r="F15" i="12"/>
  <c r="U15" i="12" s="1"/>
  <c r="G16" i="12"/>
  <c r="V16" i="12" s="1"/>
  <c r="H45" i="13"/>
  <c r="D16" i="12"/>
  <c r="S16" i="12" s="1"/>
  <c r="E45" i="13"/>
  <c r="D50" i="13"/>
  <c r="C17" i="12"/>
  <c r="R17" i="12" s="1"/>
  <c r="H19" i="13"/>
  <c r="G12" i="9"/>
  <c r="V12" i="9" s="1"/>
  <c r="E18" i="13"/>
  <c r="D12" i="8"/>
  <c r="S12" i="8" s="1"/>
  <c r="H18" i="13"/>
  <c r="G12" i="8"/>
  <c r="V12" i="8" s="1"/>
  <c r="D23" i="13"/>
  <c r="C13" i="8"/>
  <c r="R13" i="8" s="1"/>
  <c r="G18" i="13"/>
  <c r="F12" i="8"/>
  <c r="U12" i="8" s="1"/>
  <c r="G14" i="13"/>
  <c r="F11" i="9"/>
  <c r="U11" i="9" s="1"/>
  <c r="E14" i="13"/>
  <c r="D11" i="9"/>
  <c r="S11" i="9" s="1"/>
  <c r="P17" i="3"/>
  <c r="J18" i="3"/>
  <c r="C18" i="12" l="1"/>
  <c r="R18" i="12" s="1"/>
  <c r="D55" i="13"/>
  <c r="E50" i="13"/>
  <c r="D17" i="12"/>
  <c r="S17" i="12" s="1"/>
  <c r="G17" i="12"/>
  <c r="V17" i="12" s="1"/>
  <c r="H50" i="13"/>
  <c r="F16" i="12"/>
  <c r="U16" i="12" s="1"/>
  <c r="G45" i="13"/>
  <c r="D28" i="13"/>
  <c r="C14" i="8"/>
  <c r="R14" i="8" s="1"/>
  <c r="E19" i="13"/>
  <c r="D12" i="9"/>
  <c r="S12" i="9" s="1"/>
  <c r="G13" i="9"/>
  <c r="V13" i="9" s="1"/>
  <c r="H24" i="13"/>
  <c r="G19" i="13"/>
  <c r="F12" i="9"/>
  <c r="U12" i="9" s="1"/>
  <c r="F13" i="8"/>
  <c r="U13" i="8" s="1"/>
  <c r="G23" i="13"/>
  <c r="G13" i="8"/>
  <c r="V13" i="8" s="1"/>
  <c r="H23" i="13"/>
  <c r="D13" i="8"/>
  <c r="S13" i="8" s="1"/>
  <c r="E23" i="13"/>
  <c r="J19" i="3"/>
  <c r="P18" i="3"/>
  <c r="G18" i="12" l="1"/>
  <c r="V18" i="12" s="1"/>
  <c r="H55" i="13"/>
  <c r="D18" i="12"/>
  <c r="S18" i="12" s="1"/>
  <c r="E55" i="13"/>
  <c r="C19" i="12"/>
  <c r="R19" i="12" s="1"/>
  <c r="D60" i="13"/>
  <c r="G50" i="13"/>
  <c r="F17" i="12"/>
  <c r="U17" i="12" s="1"/>
  <c r="C15" i="8"/>
  <c r="R15" i="8" s="1"/>
  <c r="D33" i="13"/>
  <c r="G14" i="9"/>
  <c r="V14" i="9" s="1"/>
  <c r="H29" i="13"/>
  <c r="D14" i="8"/>
  <c r="S14" i="8" s="1"/>
  <c r="E28" i="13"/>
  <c r="H28" i="13"/>
  <c r="G14" i="8"/>
  <c r="V14" i="8" s="1"/>
  <c r="G28" i="13"/>
  <c r="F14" i="8"/>
  <c r="U14" i="8" s="1"/>
  <c r="F13" i="9"/>
  <c r="U13" i="9" s="1"/>
  <c r="G24" i="13"/>
  <c r="D13" i="9"/>
  <c r="S13" i="9" s="1"/>
  <c r="E24" i="13"/>
  <c r="J20" i="3"/>
  <c r="P19" i="3"/>
  <c r="C20" i="12" l="1"/>
  <c r="R20" i="12" s="1"/>
  <c r="D65" i="13"/>
  <c r="D19" i="12"/>
  <c r="S19" i="12" s="1"/>
  <c r="E60" i="13"/>
  <c r="F18" i="12"/>
  <c r="U18" i="12" s="1"/>
  <c r="G55" i="13"/>
  <c r="G19" i="12"/>
  <c r="V19" i="12" s="1"/>
  <c r="H60" i="13"/>
  <c r="D38" i="13"/>
  <c r="C16" i="8"/>
  <c r="R16" i="8" s="1"/>
  <c r="D15" i="8"/>
  <c r="S15" i="8" s="1"/>
  <c r="E33" i="13"/>
  <c r="G33" i="13"/>
  <c r="F15" i="8"/>
  <c r="U15" i="8" s="1"/>
  <c r="G15" i="8"/>
  <c r="V15" i="8" s="1"/>
  <c r="H33" i="13"/>
  <c r="F14" i="9"/>
  <c r="U14" i="9" s="1"/>
  <c r="G29" i="13"/>
  <c r="D14" i="9"/>
  <c r="S14" i="9" s="1"/>
  <c r="E29" i="13"/>
  <c r="G15" i="9"/>
  <c r="V15" i="9" s="1"/>
  <c r="H34" i="13"/>
  <c r="J21" i="3"/>
  <c r="P20" i="3"/>
  <c r="D70" i="13" l="1"/>
  <c r="C21" i="12"/>
  <c r="R21" i="12" s="1"/>
  <c r="D20" i="12"/>
  <c r="S20" i="12" s="1"/>
  <c r="E65" i="13"/>
  <c r="G20" i="12"/>
  <c r="V20" i="12" s="1"/>
  <c r="H65" i="13"/>
  <c r="F19" i="12"/>
  <c r="U19" i="12" s="1"/>
  <c r="G60" i="13"/>
  <c r="H38" i="13"/>
  <c r="G16" i="8"/>
  <c r="V16" i="8" s="1"/>
  <c r="E38" i="13"/>
  <c r="D16" i="8"/>
  <c r="S16" i="8" s="1"/>
  <c r="D43" i="13"/>
  <c r="C17" i="8"/>
  <c r="R17" i="8" s="1"/>
  <c r="G38" i="13"/>
  <c r="F16" i="8"/>
  <c r="U16" i="8" s="1"/>
  <c r="H39" i="13"/>
  <c r="G16" i="9"/>
  <c r="D15" i="9"/>
  <c r="S15" i="9" s="1"/>
  <c r="E34" i="13"/>
  <c r="F15" i="9"/>
  <c r="U15" i="9" s="1"/>
  <c r="G34" i="13"/>
  <c r="J22" i="3"/>
  <c r="P21" i="3"/>
  <c r="E70" i="13" l="1"/>
  <c r="D21" i="12"/>
  <c r="S21" i="12" s="1"/>
  <c r="G21" i="12"/>
  <c r="V21" i="12" s="1"/>
  <c r="H70" i="13"/>
  <c r="F20" i="12"/>
  <c r="U20" i="12" s="1"/>
  <c r="G65" i="13"/>
  <c r="V16" i="9"/>
  <c r="G17" i="9" s="1"/>
  <c r="V17" i="9" s="1"/>
  <c r="D48" i="13"/>
  <c r="C18" i="8"/>
  <c r="R18" i="8" s="1"/>
  <c r="F17" i="8"/>
  <c r="U17" i="8" s="1"/>
  <c r="G43" i="13"/>
  <c r="D17" i="8"/>
  <c r="S17" i="8" s="1"/>
  <c r="E43" i="13"/>
  <c r="G17" i="8"/>
  <c r="V17" i="8" s="1"/>
  <c r="H43" i="13"/>
  <c r="G39" i="13"/>
  <c r="F16" i="9"/>
  <c r="E39" i="13"/>
  <c r="D16" i="9"/>
  <c r="P22" i="3"/>
  <c r="J23" i="3"/>
  <c r="G70" i="13" l="1"/>
  <c r="F21" i="12"/>
  <c r="U21" i="12" s="1"/>
  <c r="C19" i="8"/>
  <c r="R19" i="8" s="1"/>
  <c r="D53" i="13"/>
  <c r="H49" i="13"/>
  <c r="H44" i="13"/>
  <c r="G18" i="9"/>
  <c r="V18" i="9" s="1"/>
  <c r="G19" i="9" s="1"/>
  <c r="S16" i="9"/>
  <c r="D17" i="9" s="1"/>
  <c r="S17" i="9" s="1"/>
  <c r="U16" i="9"/>
  <c r="F17" i="9" s="1"/>
  <c r="U17" i="9" s="1"/>
  <c r="V19" i="9"/>
  <c r="H54" i="13"/>
  <c r="E48" i="13"/>
  <c r="D18" i="8"/>
  <c r="S18" i="8" s="1"/>
  <c r="G18" i="8"/>
  <c r="V18" i="8" s="1"/>
  <c r="H48" i="13"/>
  <c r="F18" i="8"/>
  <c r="U18" i="8" s="1"/>
  <c r="G48" i="13"/>
  <c r="J24" i="3"/>
  <c r="P23" i="3"/>
  <c r="H59" i="13" l="1"/>
  <c r="G20" i="9"/>
  <c r="V20" i="9" s="1"/>
  <c r="D19" i="8"/>
  <c r="S19" i="8" s="1"/>
  <c r="E53" i="13"/>
  <c r="G19" i="8"/>
  <c r="V19" i="8" s="1"/>
  <c r="H53" i="13"/>
  <c r="G53" i="13"/>
  <c r="F19" i="8"/>
  <c r="U19" i="8" s="1"/>
  <c r="C20" i="8"/>
  <c r="R20" i="8" s="1"/>
  <c r="D58" i="13"/>
  <c r="G44" i="13"/>
  <c r="F18" i="9"/>
  <c r="U18" i="9" s="1"/>
  <c r="F19" i="9" s="1"/>
  <c r="G49" i="13"/>
  <c r="D18" i="9"/>
  <c r="S18" i="9" s="1"/>
  <c r="D19" i="9" s="1"/>
  <c r="E49" i="13"/>
  <c r="E44" i="13"/>
  <c r="U19" i="9"/>
  <c r="G54" i="13"/>
  <c r="S19" i="9"/>
  <c r="E54" i="13"/>
  <c r="J25" i="3"/>
  <c r="P24" i="3"/>
  <c r="C21" i="8" l="1"/>
  <c r="R21" i="8" s="1"/>
  <c r="D63" i="13"/>
  <c r="G59" i="13"/>
  <c r="F20" i="9"/>
  <c r="U20" i="9" s="1"/>
  <c r="G21" i="9"/>
  <c r="V21" i="9" s="1"/>
  <c r="H64" i="13"/>
  <c r="E59" i="13"/>
  <c r="D20" i="9"/>
  <c r="S20" i="9" s="1"/>
  <c r="D20" i="8"/>
  <c r="S20" i="8" s="1"/>
  <c r="E58" i="13"/>
  <c r="F20" i="8"/>
  <c r="U20" i="8" s="1"/>
  <c r="G58" i="13"/>
  <c r="G20" i="8"/>
  <c r="V20" i="8" s="1"/>
  <c r="H58" i="13"/>
  <c r="J26" i="3"/>
  <c r="P25" i="3"/>
  <c r="D21" i="8" l="1"/>
  <c r="S21" i="8" s="1"/>
  <c r="E63" i="13"/>
  <c r="F21" i="8"/>
  <c r="U21" i="8" s="1"/>
  <c r="G63" i="13"/>
  <c r="G21" i="8"/>
  <c r="V21" i="8" s="1"/>
  <c r="H63" i="13"/>
  <c r="D68" i="13"/>
  <c r="C22" i="8"/>
  <c r="R22" i="8" s="1"/>
  <c r="D21" i="9"/>
  <c r="S21" i="9" s="1"/>
  <c r="E64" i="13"/>
  <c r="G64" i="13"/>
  <c r="F21" i="9"/>
  <c r="U21" i="9" s="1"/>
  <c r="J27" i="3"/>
  <c r="P26" i="3"/>
  <c r="H68" i="13" l="1"/>
  <c r="G22" i="8"/>
  <c r="V22" i="8" s="1"/>
  <c r="G68" i="13"/>
  <c r="F22" i="8"/>
  <c r="U22" i="8" s="1"/>
  <c r="D22" i="8"/>
  <c r="S22" i="8" s="1"/>
  <c r="E68" i="13"/>
  <c r="J28" i="3"/>
  <c r="P27" i="3"/>
  <c r="J29" i="3" l="1"/>
  <c r="P28" i="3"/>
  <c r="P29" i="3" l="1"/>
  <c r="J30" i="3"/>
  <c r="J31" i="3" l="1"/>
  <c r="P30" i="3"/>
  <c r="J32" i="3" l="1"/>
  <c r="P31" i="3"/>
  <c r="J33" i="3" l="1"/>
  <c r="P32" i="3"/>
  <c r="J34" i="3" l="1"/>
  <c r="P33" i="3"/>
  <c r="P34" i="3" l="1"/>
  <c r="J35" i="3"/>
  <c r="P35" i="3" l="1"/>
  <c r="P36" i="3" s="1"/>
  <c r="J36" i="3"/>
</calcChain>
</file>

<file path=xl/sharedStrings.xml><?xml version="1.0" encoding="utf-8"?>
<sst xmlns="http://schemas.openxmlformats.org/spreadsheetml/2006/main" count="6659" uniqueCount="994">
  <si>
    <t>ĐIỀU PHỐI QUAROMI</t>
  </si>
  <si>
    <t>CHỈ TIÊU</t>
  </si>
  <si>
    <t>VẬN CHUYỂN</t>
  </si>
  <si>
    <t>STT</t>
  </si>
  <si>
    <t>Ngày</t>
  </si>
  <si>
    <t>Đơn hàng</t>
  </si>
  <si>
    <t>Công việc</t>
  </si>
  <si>
    <t>Số lượng</t>
  </si>
  <si>
    <t>Người thực hiện</t>
  </si>
  <si>
    <t xml:space="preserve">Hỗ Trợ (trạm QL) </t>
  </si>
  <si>
    <t>Kết quả</t>
  </si>
  <si>
    <t>Chỉ tiêu</t>
  </si>
  <si>
    <t>Sản phẩm</t>
  </si>
  <si>
    <t>Đơn giá</t>
  </si>
  <si>
    <t>Doanh thu</t>
  </si>
  <si>
    <t>Thu tiền</t>
  </si>
  <si>
    <t>Người vận chuyển</t>
  </si>
  <si>
    <t>Số tiền</t>
  </si>
  <si>
    <t>GHI CHÚ</t>
  </si>
  <si>
    <t>Hàng hóa</t>
  </si>
  <si>
    <t>Giá bán</t>
  </si>
  <si>
    <t>Vỉ</t>
  </si>
  <si>
    <t>Bình</t>
  </si>
  <si>
    <t>Cộng</t>
  </si>
  <si>
    <t>XN/CTY</t>
  </si>
  <si>
    <t>CBCNV</t>
  </si>
  <si>
    <t>Vỉ 500ml</t>
  </si>
  <si>
    <t>Vỉ 350 ml</t>
  </si>
  <si>
    <t>KM</t>
  </si>
  <si>
    <t>Vỉ 350ml</t>
  </si>
  <si>
    <t>Vận chuyển</t>
  </si>
  <si>
    <t>Phương + Huế</t>
  </si>
  <si>
    <t>Đã hoàn thành</t>
  </si>
  <si>
    <t>Xí nghiệp</t>
  </si>
  <si>
    <t>Phạm Thị Huyền</t>
  </si>
  <si>
    <t>Hộp 500ml</t>
  </si>
  <si>
    <t>Bùi Hà Thu</t>
  </si>
  <si>
    <t>Đinh Thu Huế</t>
  </si>
  <si>
    <t>Hộp 350ml</t>
  </si>
  <si>
    <t>Bình kiềm</t>
  </si>
  <si>
    <t>Bốc xếp</t>
  </si>
  <si>
    <t>Lê Thanh Xuân</t>
  </si>
  <si>
    <t>Bình RO</t>
  </si>
  <si>
    <t>Nguyễn Văn Sơn</t>
  </si>
  <si>
    <t>Vũ Thị Thúy Phương</t>
  </si>
  <si>
    <t>Nguyễn Giang Qtri: công ty luật minh hà: 275 hà trung, 5+1 vỉ 500ml</t>
  </si>
  <si>
    <t>Công ty</t>
  </si>
  <si>
    <t>Hồng Hạnh PCN: 0367338092 Mộc baby store cao xanh đường Vạn Hạnh có nhu cầu 1 bình kiềm ship từ 08h đến 10h sáng nay, khách hàng thanh toán!</t>
  </si>
  <si>
    <t>A Khoa - 
Trạm Hồng Gai</t>
  </si>
  <si>
    <t>Trần Trọng Khoa</t>
  </si>
  <si>
    <t>Miền Đông</t>
  </si>
  <si>
    <t xml:space="preserve">Đơn bốc miền đông: 10+1 bình úp đến khách hàng anh Lân: 0363831668 - 10 bình úp tới công trường lideco bãi muối. </t>
  </si>
  <si>
    <t>Chú Hưng - 
Trạm Hà Lầm</t>
  </si>
  <si>
    <t>Nguyễn Văn Hưng</t>
  </si>
  <si>
    <t>Hồng Hạnh PCN: 0913060333 A Cường gần KS Trang Yến cenco 5 Yết Kiêu cạnh nhà Hạnh Phạm có nhu cầu 10 vỉ 500ml ship trong sáng nay, THU TIỀN LUÔN</t>
  </si>
  <si>
    <t>Minh Hạnh PCN: Ship 2 vỉ  500ml đến chợ cột 2 mặt sau khách sạn Cốc Mốc. 0984016322</t>
  </si>
  <si>
    <t>Đan Thanh</t>
  </si>
  <si>
    <t>Phạm Thị Đan Thanh</t>
  </si>
  <si>
    <t>Chế Thùy Dung</t>
  </si>
  <si>
    <t>Nguyễn Thị Ngà</t>
  </si>
  <si>
    <t>Nhà Nghỉ Hà Duy, phố Trần Cao Vân, đường sông 3, 10 vỉ 500ml, ĐT 0977 367679</t>
  </si>
  <si>
    <t>Tiểu thủ công nghiệp</t>
  </si>
  <si>
    <t>Bùi Thị Thu</t>
  </si>
  <si>
    <t>Sân pick cột 8</t>
  </si>
  <si>
    <t>Nguyễn Văn Hiếu phòng KT: đki 4 bình kiềm ship qua cửa hàng Monbay A2-01 ạ, ng nhận: Châm nhận +84964566350 - Thu tiền luôn (Quán rượu Mao Đài đối diện thư viện tỉnh)</t>
  </si>
  <si>
    <t>Nguyễn văn hiếu (kỹ thuật)</t>
  </si>
  <si>
    <t>Minh Hải PKD: Mai Trang +84335190193 - ngõ 14 Bãi muối - 10+1 vỉ 500ml - THU TIÊN LUÔN</t>
  </si>
  <si>
    <t>Trạm hà Lầm</t>
  </si>
  <si>
    <t xml:space="preserve">Đã hoàn thành </t>
  </si>
  <si>
    <t>CÔNG TY VAY</t>
  </si>
  <si>
    <t>3 vỉ to + 3 vỉ nhỏ Địa chỉ : số nhà 45, Lê Chân mới , tổ 7 khu Hồng Hà 2, ĐT: 0934639858</t>
  </si>
  <si>
    <t xml:space="preserve">Xuân </t>
  </si>
  <si>
    <t>Bãi Cháy</t>
  </si>
  <si>
    <t>Xuân</t>
  </si>
  <si>
    <t>BÃI CHÁY VAY</t>
  </si>
  <si>
    <t>Hồng Hạnh PCN: 0982835366 Phương Hiền gần chợ Loong Tổng 20+2 vỉ 350ml</t>
  </si>
  <si>
    <t>Phương + Huyền + Ly tổ DV</t>
  </si>
  <si>
    <t>Hồng Hạnh PCN</t>
  </si>
  <si>
    <t>Em Hà ở sảnh 2 chung cư sapphire. 2 vỉ 500ml, 0911898336</t>
  </si>
  <si>
    <t xml:space="preserve"> Huyền + Ly tổ DV</t>
  </si>
  <si>
    <t>Em Quỳnh ở 94 Văn Lang ( sau trường Văn Lang) 2 vỉ 500ml, ĐT 0973367844</t>
  </si>
  <si>
    <t>10+1 Vỉ bia Bà Hợi Cao Xanh</t>
  </si>
  <si>
    <t>10+1 vỉ chế biến than qn</t>
  </si>
  <si>
    <t>TT</t>
  </si>
  <si>
    <t>Họ và Tên</t>
  </si>
  <si>
    <t>Chức vụ</t>
  </si>
  <si>
    <t>Tổ/Trạm</t>
  </si>
  <si>
    <t>Thành tiền</t>
  </si>
  <si>
    <t>Trần Nam Trung</t>
  </si>
  <si>
    <t>Giám đốc</t>
  </si>
  <si>
    <t>Văn phòng</t>
  </si>
  <si>
    <t>Đỗ Văn Cảnh</t>
  </si>
  <si>
    <t>P. Giám đốc</t>
  </si>
  <si>
    <t>Phạm Quang Tâm</t>
  </si>
  <si>
    <t>P. Giám Đốc</t>
  </si>
  <si>
    <t>Vũ Thị Mai Huệ</t>
  </si>
  <si>
    <t>Phạm Phương Dung</t>
  </si>
  <si>
    <t>TBP. Kinh doanh</t>
  </si>
  <si>
    <t>Lại Thị Lan</t>
  </si>
  <si>
    <t>NV kinh doanh</t>
  </si>
  <si>
    <t>Nguyễn Huyền Thư</t>
  </si>
  <si>
    <t>Đoàn Thị Nhung</t>
  </si>
  <si>
    <t>Phạm Thị Thu (A)</t>
  </si>
  <si>
    <t>Trương Thị Hải Yến</t>
  </si>
  <si>
    <t>Lương Minh Hương</t>
  </si>
  <si>
    <t>Hoàng Hồng Nhung</t>
  </si>
  <si>
    <t>Nguyễn Phương Thảo</t>
  </si>
  <si>
    <t>Phan Hồng Hạnh</t>
  </si>
  <si>
    <t>Đỗ Thị Liễu</t>
  </si>
  <si>
    <t>CN kẹp chì</t>
  </si>
  <si>
    <t>Vũ Hữu Hoàng</t>
  </si>
  <si>
    <t>CN quản lý</t>
  </si>
  <si>
    <t>Lê Như Hùng</t>
  </si>
  <si>
    <t>NV kiểm tra</t>
  </si>
  <si>
    <t>Vũ Văn Thảo</t>
  </si>
  <si>
    <t>Trần Thị Thắm</t>
  </si>
  <si>
    <t>Kế toán chính</t>
  </si>
  <si>
    <t>NV thủ kho</t>
  </si>
  <si>
    <t>Lê Hoàng Anh</t>
  </si>
  <si>
    <t>NV kế toán</t>
  </si>
  <si>
    <t>Phạm Thị Bích Hằng</t>
  </si>
  <si>
    <t>Đỗ Thị Thu Hoàn</t>
  </si>
  <si>
    <t>Nguyễn Thị Thu Quyên</t>
  </si>
  <si>
    <t>Ngô Thị Vân Anh</t>
  </si>
  <si>
    <t>PT. Quản trị</t>
  </si>
  <si>
    <t>Nguyễn Thị Lan</t>
  </si>
  <si>
    <t>NV Đảng  - Đoàn</t>
  </si>
  <si>
    <t>Nguyễn Thị Ngọc Chung</t>
  </si>
  <si>
    <t>Thủ quỹ - HC</t>
  </si>
  <si>
    <t>Bùi Thị Diệu Linh</t>
  </si>
  <si>
    <t>NV LĐTL</t>
  </si>
  <si>
    <t>Đỗ Thị Hiền</t>
  </si>
  <si>
    <t>Phạm Thu Quỳnh</t>
  </si>
  <si>
    <t>CN tạp vụ</t>
  </si>
  <si>
    <t>Bùi Đức Hoàng</t>
  </si>
  <si>
    <t>CN Bảo vệ</t>
  </si>
  <si>
    <t>Nguyễn Thị Hằng</t>
  </si>
  <si>
    <t>Nguyễn Thị Thùy</t>
  </si>
  <si>
    <t>Đỗ Thị Vượng</t>
  </si>
  <si>
    <t>Tăng Thị Thơm</t>
  </si>
  <si>
    <t>Nguyễn Thị Huy</t>
  </si>
  <si>
    <t xml:space="preserve">CN bảo vệ </t>
  </si>
  <si>
    <t>Đặng Thanh Tùng</t>
  </si>
  <si>
    <t>CN lái xe</t>
  </si>
  <si>
    <t>Mai Anh Dũng</t>
  </si>
  <si>
    <t>TBP .Kỹ thuật</t>
  </si>
  <si>
    <t>Trịnh Thị Nhung</t>
  </si>
  <si>
    <t>NV kỹ thuật</t>
  </si>
  <si>
    <t>Bùi Văn Tình</t>
  </si>
  <si>
    <t>Khổng Thị Thu Trang</t>
  </si>
  <si>
    <t>Mạc Anh Tuấn</t>
  </si>
  <si>
    <t>NV kỹ thuật điện</t>
  </si>
  <si>
    <t>Phạm Vũ Quyền</t>
  </si>
  <si>
    <t>Bùi  Ngọc Nguyên</t>
  </si>
  <si>
    <t>NV kỹ thuật CTT</t>
  </si>
  <si>
    <t>Phạm Lan Hương</t>
  </si>
  <si>
    <t>NV kỹ thuật Vật tư</t>
  </si>
  <si>
    <t>Phạm Tuyết Dung</t>
  </si>
  <si>
    <t>Vi Đức Độ</t>
  </si>
  <si>
    <t>NV KT điện</t>
  </si>
  <si>
    <t>CN nước lọc</t>
  </si>
  <si>
    <t>Trần Ánh Nguyệt</t>
  </si>
  <si>
    <t>Nguyễn Quốc Hưng</t>
  </si>
  <si>
    <t>Trạm trưởng</t>
  </si>
  <si>
    <t>Hà Tu</t>
  </si>
  <si>
    <t>Vương Xuân Hùng</t>
  </si>
  <si>
    <t>Trạm phó</t>
  </si>
  <si>
    <t>Đào Duy Tùng</t>
  </si>
  <si>
    <t>Chu Hoài Nam</t>
  </si>
  <si>
    <t>Lê Hạnh Phúc</t>
  </si>
  <si>
    <t>Nghiêm Xuân Hải</t>
  </si>
  <si>
    <t>Nguyễn Văn Nhâm</t>
  </si>
  <si>
    <t>Nguyễn Mạnh Linh</t>
  </si>
  <si>
    <t>Hoàng Thị Mười</t>
  </si>
  <si>
    <t>CN Ghi số</t>
  </si>
  <si>
    <t>Lê Thị Thúy</t>
  </si>
  <si>
    <t>Bùi Ngọc Mai</t>
  </si>
  <si>
    <t>Nguyễn Thị Mi</t>
  </si>
  <si>
    <t>Tăng Thị Cúc</t>
  </si>
  <si>
    <t>Phạm Thị Thanh Hương</t>
  </si>
  <si>
    <t>CN VHMB</t>
  </si>
  <si>
    <t>Vũ Quốc Hiếu</t>
  </si>
  <si>
    <t>Trạm phó PT</t>
  </si>
  <si>
    <t>Cao Xanh</t>
  </si>
  <si>
    <t>Đỗ Anh Ngọc</t>
  </si>
  <si>
    <t>Trạm Phó</t>
  </si>
  <si>
    <t>Lý Ngọc Hồng</t>
  </si>
  <si>
    <t>Nguyễn Huy Toàn</t>
  </si>
  <si>
    <t>Nguyễn Huy Hoàng</t>
  </si>
  <si>
    <t>Trần Quốc Toản</t>
  </si>
  <si>
    <t>Lê Việt Anh</t>
  </si>
  <si>
    <t>Nguyễn Thế Mạnh</t>
  </si>
  <si>
    <t>Phạm Thanh Tuấn</t>
  </si>
  <si>
    <t>Lương Thị Vân Mai</t>
  </si>
  <si>
    <t>Ngô Thị Phương Thảo</t>
  </si>
  <si>
    <t xml:space="preserve">CN ghi số </t>
  </si>
  <si>
    <t>Nguyễn Thị Thu Hiền</t>
  </si>
  <si>
    <t>Trần Thị Nga</t>
  </si>
  <si>
    <t>Nguyễn Thị Thúy Hằng</t>
  </si>
  <si>
    <t>CN ghi số</t>
  </si>
  <si>
    <t>Vũ Thị Tươi</t>
  </si>
  <si>
    <t>Nguyễn Xuân Hùng</t>
  </si>
  <si>
    <t>Hạ Long</t>
  </si>
  <si>
    <t>Nguyễn Văn Tuyên</t>
  </si>
  <si>
    <t>Bùi Ngọc Đàm</t>
  </si>
  <si>
    <t>Vũ Quang Tạo</t>
  </si>
  <si>
    <t>Phạm Duy Linh</t>
  </si>
  <si>
    <t>Phạm Tiến Dũng</t>
  </si>
  <si>
    <t>Lê Anh Đức</t>
  </si>
  <si>
    <t>Bùi Minh Thái</t>
  </si>
  <si>
    <t>Nguyễn Văn Tùng</t>
  </si>
  <si>
    <t>Nguyễn Thị Chi</t>
  </si>
  <si>
    <t>Đào Thị Ngọc Anh</t>
  </si>
  <si>
    <t>Nguyễn Thị Sinh</t>
  </si>
  <si>
    <t>Đỗ Thị Thanh Hà</t>
  </si>
  <si>
    <t>Nguyễn Thị Tấm</t>
  </si>
  <si>
    <t>Bùi Phương Nhung</t>
  </si>
  <si>
    <t>Trần Lệ Hoa</t>
  </si>
  <si>
    <t>Nguyễn Thị Mai Dung</t>
  </si>
  <si>
    <t>Nguyễn Thị Hiếu</t>
  </si>
  <si>
    <t>Trần Thị Thu Huyền</t>
  </si>
  <si>
    <t>Vũ Thị Thanh Thảo</t>
  </si>
  <si>
    <t>Nguyễn Thị Ngọc Hà</t>
  </si>
  <si>
    <t xml:space="preserve">Trạm trưởng </t>
  </si>
  <si>
    <t>Hồng Gai</t>
  </si>
  <si>
    <t>Bùi Minh Quang</t>
  </si>
  <si>
    <t>Phạm Văn Dũng</t>
  </si>
  <si>
    <t>Phạm Trung Thông</t>
  </si>
  <si>
    <t>Phạm Thanh Trung</t>
  </si>
  <si>
    <t>Dư Văn Cẩm</t>
  </si>
  <si>
    <t>Nguyễn Quang Hùng</t>
  </si>
  <si>
    <t>Dương Tuấn Anh</t>
  </si>
  <si>
    <t>Hà Thị Hằng</t>
  </si>
  <si>
    <t>Bùi Thùy Dương</t>
  </si>
  <si>
    <t>Trần Thị Kim Dung</t>
  </si>
  <si>
    <t>Nguyễn Thị Hồng Phương</t>
  </si>
  <si>
    <t>Dương Thị Thu</t>
  </si>
  <si>
    <t>Bùi Thị Tuyết Vân</t>
  </si>
  <si>
    <t>Mai Thị Lụa</t>
  </si>
  <si>
    <t>Lưu Hải Yến</t>
  </si>
  <si>
    <t>Phan Thị Quý</t>
  </si>
  <si>
    <t>Nguyễn Thị Thủy (B)</t>
  </si>
  <si>
    <t>Nông Thị Hạnh</t>
  </si>
  <si>
    <t>Lê Thị Như Quỳnh</t>
  </si>
  <si>
    <t>Tô Thị Phương</t>
  </si>
  <si>
    <t>Nguyễn Thị Hiền</t>
  </si>
  <si>
    <t>Nguyễn Thị Mai Anh</t>
  </si>
  <si>
    <t>Bùi Thị Thu Minh</t>
  </si>
  <si>
    <t>Hà Lầm</t>
  </si>
  <si>
    <t>Nguyễn Quang Trung</t>
  </si>
  <si>
    <t>Nguyễn Tùng Cương</t>
  </si>
  <si>
    <t>Phạm Ngọc Thắng</t>
  </si>
  <si>
    <t>Vũ Mạnh Hùng</t>
  </si>
  <si>
    <t>Phạm Thanh Phong</t>
  </si>
  <si>
    <t>Lê Quang Dũng</t>
  </si>
  <si>
    <t>Vũ Đức Duy</t>
  </si>
  <si>
    <t>Phạm Thái Sơn</t>
  </si>
  <si>
    <t>Đinh Thị Cẩm Anh</t>
  </si>
  <si>
    <t>Mạc Thị Huyền</t>
  </si>
  <si>
    <t>Nguyễn Thị Thuỳ Liên</t>
  </si>
  <si>
    <t>Trần Thị Đan My</t>
  </si>
  <si>
    <t>Trần Thị Xuyến</t>
  </si>
  <si>
    <t>Hoàng Thị Phương</t>
  </si>
  <si>
    <t>Nguyễn Ánh Nguyệt</t>
  </si>
  <si>
    <t>Mạc Thị Thanh Tú</t>
  </si>
  <si>
    <t>Nguyễn Kim Dung</t>
  </si>
  <si>
    <t>Nguyễn Viết Tạo</t>
  </si>
  <si>
    <t>Tổ trưởng</t>
  </si>
  <si>
    <t>DV-CTT</t>
  </si>
  <si>
    <t>Lương Chí Hiếu</t>
  </si>
  <si>
    <t>Tổ phó</t>
  </si>
  <si>
    <t>Vũ Thị Đào</t>
  </si>
  <si>
    <t>CN dịch vụ</t>
  </si>
  <si>
    <t>Đặng Thu Huyền</t>
  </si>
  <si>
    <t>Mạc Văn Chung</t>
  </si>
  <si>
    <t>Dương Công Tưởng</t>
  </si>
  <si>
    <t>CN sửa chữa</t>
  </si>
  <si>
    <t>Nguyễn Thế Trọng</t>
  </si>
  <si>
    <t>Lê Xuân Thảo</t>
  </si>
  <si>
    <t>Phạm Tiến Quỳnh</t>
  </si>
  <si>
    <t>CN CTT</t>
  </si>
  <si>
    <t>Hoàng Quang Huy</t>
  </si>
  <si>
    <t>Nguyễn Thị Dung</t>
  </si>
  <si>
    <t>Nguyễn Thị Thu Hiên</t>
  </si>
  <si>
    <t>Phạm Thanh Quang</t>
  </si>
  <si>
    <t>Nguyễn Ngọc Thắng</t>
  </si>
  <si>
    <t>Đỗ Thị Huyền</t>
  </si>
  <si>
    <t>Trần Bích Ly</t>
  </si>
  <si>
    <t>Nguyễn Thanh Xuyền</t>
  </si>
  <si>
    <t>Đá Trắng</t>
  </si>
  <si>
    <t>Trần Thanh Hải</t>
  </si>
  <si>
    <t>Trương Quốc Khánh</t>
  </si>
  <si>
    <t>Phạm Đức Long</t>
  </si>
  <si>
    <t>Đỗ Thị Lan</t>
  </si>
  <si>
    <t>CN hoá nghiệm</t>
  </si>
  <si>
    <t>Nguyễn Quỳnh Nga</t>
  </si>
  <si>
    <t>CNhoá nghiệm</t>
  </si>
  <si>
    <t>Nguyễn Văn Thức</t>
  </si>
  <si>
    <t xml:space="preserve"> Trạm phó - CN hoá nghiệm</t>
  </si>
  <si>
    <t>Nguyễn Thị Ngọc Anh</t>
  </si>
  <si>
    <t>Nguyễn Thị Lan Anh</t>
  </si>
  <si>
    <t>Nguyễn T.Phương Thanh</t>
  </si>
  <si>
    <t>CN VHMB bơm 1</t>
  </si>
  <si>
    <t xml:space="preserve">Nguyễn Thị Hương </t>
  </si>
  <si>
    <t>Lê Thị Tâm</t>
  </si>
  <si>
    <t>Tô Thị Huệ</t>
  </si>
  <si>
    <t>Nguyễn Thiện Hải</t>
  </si>
  <si>
    <t>Lê Thị Lan Anh</t>
  </si>
  <si>
    <t>Hoàng Thị Dung</t>
  </si>
  <si>
    <t>Nguyễn Thị Quỳnh</t>
  </si>
  <si>
    <t>Đặng Thị Hường</t>
  </si>
  <si>
    <t>Lưu Khánh Chi</t>
  </si>
  <si>
    <t>Phạm Thị Thu (B)</t>
  </si>
  <si>
    <t>Trần Thị Gấm</t>
  </si>
  <si>
    <t>Vũ Thị Thu Vân</t>
  </si>
  <si>
    <t>Trần Thị Tuyết Lan</t>
  </si>
  <si>
    <t>Tô Thị Lan</t>
  </si>
  <si>
    <t>Phạm Thị Liên</t>
  </si>
  <si>
    <t>CN bảo vệ</t>
  </si>
  <si>
    <t>Nguyễn Đại Quân</t>
  </si>
  <si>
    <t>Nguyễn Thị Hiền Nương</t>
  </si>
  <si>
    <t>Trần Thị Trinh</t>
  </si>
  <si>
    <t>THEO DÕI NHẬP, XUẤT NƯỚC QAROMI</t>
  </si>
  <si>
    <t>Tháng 9/2026</t>
  </si>
  <si>
    <t>Nhập</t>
  </si>
  <si>
    <t>Xuất</t>
  </si>
  <si>
    <t>Tồn</t>
  </si>
  <si>
    <t>ĐIỀU PHỐI QAROMI</t>
  </si>
  <si>
    <t>Họ tên</t>
  </si>
  <si>
    <t>Địa chỉ nhà</t>
  </si>
  <si>
    <t>SĐT</t>
  </si>
  <si>
    <t>Khu vực thực hiện</t>
  </si>
  <si>
    <t>TỔ BẢO VỆ THÁNG 9</t>
  </si>
  <si>
    <t>I</t>
  </si>
  <si>
    <t>Bốc xếp, vận chuyển</t>
  </si>
  <si>
    <t>Thứ</t>
  </si>
  <si>
    <t>Tổ thị trường</t>
  </si>
  <si>
    <t>0963913555</t>
  </si>
  <si>
    <t>Cao Xanh, Hồng Gai</t>
  </si>
  <si>
    <t>Đặng Thị Huyền</t>
  </si>
  <si>
    <t>Tổ DVCTT</t>
  </si>
  <si>
    <t>Cứu Hỏa</t>
  </si>
  <si>
    <t>0966785220</t>
  </si>
  <si>
    <t>Bãi Muối</t>
  </si>
  <si>
    <t>0988168666</t>
  </si>
  <si>
    <t>Bảo vệ</t>
  </si>
  <si>
    <t>Cột 3</t>
  </si>
  <si>
    <t>0982916899</t>
  </si>
  <si>
    <t>Trăng Thị Thơm</t>
  </si>
  <si>
    <t>Hà Trung</t>
  </si>
  <si>
    <t>0365577629</t>
  </si>
  <si>
    <t>0787224668</t>
  </si>
  <si>
    <t>Hà Phong</t>
  </si>
  <si>
    <t>0379221778</t>
  </si>
  <si>
    <t>CN</t>
  </si>
  <si>
    <t>Cột 5</t>
  </si>
  <si>
    <t>0914988892</t>
  </si>
  <si>
    <t>0388573628</t>
  </si>
  <si>
    <t>Yết Kiêu</t>
  </si>
  <si>
    <t>0838980944</t>
  </si>
  <si>
    <t>0855198226</t>
  </si>
  <si>
    <t>Cột 3, cột 5</t>
  </si>
  <si>
    <t>0962672181</t>
  </si>
  <si>
    <t>Tăng áp -&gt; Hà Tu</t>
  </si>
  <si>
    <t>0915196225</t>
  </si>
  <si>
    <t>0904099383</t>
  </si>
  <si>
    <t>0982757198</t>
  </si>
  <si>
    <t>II</t>
  </si>
  <si>
    <t>Lái xe tải điện</t>
  </si>
  <si>
    <t>0934399569</t>
  </si>
  <si>
    <t>0968333882</t>
  </si>
  <si>
    <t>Thứ tự điều phối</t>
  </si>
  <si>
    <t>Tổ Tiếp thị</t>
  </si>
  <si>
    <t>Tổ Dịch vụ</t>
  </si>
  <si>
    <t>Tổ Bảo vệ</t>
  </si>
  <si>
    <t>Trạm QL</t>
  </si>
  <si>
    <t>TỔNG HỢP CHI PHÍ VẬN CHUYỂN, BỐC XẾP</t>
  </si>
  <si>
    <t>NGÀY</t>
  </si>
  <si>
    <t>TỒN ĐẦU KỲ</t>
  </si>
  <si>
    <t>NHẬP</t>
  </si>
  <si>
    <t>XUẤT</t>
  </si>
  <si>
    <t>TỒN CUỐI</t>
  </si>
  <si>
    <t>BÌNH RO</t>
  </si>
  <si>
    <t>BÌNH KIỀM</t>
  </si>
  <si>
    <t>VỈ 500ML</t>
  </si>
  <si>
    <t>VỈ 350ML</t>
  </si>
  <si>
    <t>8/9 VAY KHO CÔNG TY 22 VỈ 500ML – ĐƠN PHƯƠNG LÁI XE</t>
  </si>
  <si>
    <t>Hằng bảo vệ</t>
  </si>
  <si>
    <t>chị hằng đã thu tiền + 3 vỏ</t>
  </si>
  <si>
    <t>hồng hạnh pcn: 0936812781 Số 1 ngõ 5 phố hải long cạnh phòng khám đa khoa Hoàng Anh KH có nhu cầu 3 bình kiem 19l ship ngay, thu tiền + đổi vỏ</t>
  </si>
  <si>
    <t>Chị Huế đã thu tiền</t>
  </si>
  <si>
    <t>chị Huyền thu tiền</t>
  </si>
  <si>
    <t>Chị Nguyệt thu ngân cũ thu tiền</t>
  </si>
  <si>
    <t xml:space="preserve">vay công ty </t>
  </si>
  <si>
    <t>chị Hằng đen ghi số</t>
  </si>
  <si>
    <t>Lại Lan</t>
  </si>
  <si>
    <t>VNPT (Chị Yến): 0915 299 036, vỉ 350 ml</t>
  </si>
  <si>
    <t>Chị Hằng bảo vệ</t>
  </si>
  <si>
    <t>9/9/2026</t>
  </si>
  <si>
    <t xml:space="preserve">Ngày </t>
  </si>
  <si>
    <t>8/9/2026</t>
  </si>
  <si>
    <t>Bình ro</t>
  </si>
  <si>
    <t>Bình ion</t>
  </si>
  <si>
    <t>vỉ 500ml</t>
  </si>
  <si>
    <t>vỉ 350 ml</t>
  </si>
  <si>
    <t>Kho tăng áp</t>
  </si>
  <si>
    <t>Kho chị Huế</t>
  </si>
  <si>
    <t>KH lấy 10 + 1 thùng 500ml, cạnh tòa nhà Đa Năng Hà Tu, ĐT: 0902 009 566</t>
  </si>
  <si>
    <t>Liễu thu tiền</t>
  </si>
  <si>
    <t>Lại Lan, 1 bình kiềm</t>
  </si>
  <si>
    <t>Lại Lan thu tiền</t>
  </si>
  <si>
    <t>CK9/9</t>
  </si>
  <si>
    <t>Bộ phận</t>
  </si>
  <si>
    <t xml:space="preserve"> TẶNG Vỉ 500ml</t>
  </si>
  <si>
    <t xml:space="preserve"> Thùng 500 ml</t>
  </si>
  <si>
    <t xml:space="preserve"> TẶNG Thùng 500 ml</t>
  </si>
  <si>
    <t xml:space="preserve"> TẶNG Vỉ 350ml</t>
  </si>
  <si>
    <t>Thùng 350 ml</t>
  </si>
  <si>
    <t xml:space="preserve"> TẶNG Thùng 350 ml</t>
  </si>
  <si>
    <t>Bình Ion</t>
  </si>
  <si>
    <t xml:space="preserve"> TẶNG Bình Ion</t>
  </si>
  <si>
    <t xml:space="preserve"> TẶNG Bình RO</t>
  </si>
  <si>
    <t>Huế bán</t>
  </si>
  <si>
    <t>XN</t>
  </si>
  <si>
    <t>xe điện</t>
  </si>
  <si>
    <t>sếp Tâm- vỉ km</t>
  </si>
  <si>
    <t>mạnh-cao xanh</t>
  </si>
  <si>
    <t>anh ngọc</t>
  </si>
  <si>
    <t>Quỳnh búp bê</t>
  </si>
  <si>
    <t>Dung tổ DV</t>
  </si>
  <si>
    <t>cây xăng hà trung</t>
  </si>
  <si>
    <t>BC</t>
  </si>
  <si>
    <t>Huế bán- Cưới hỏi</t>
  </si>
  <si>
    <t>sơn hà tu- the bay</t>
  </si>
  <si>
    <t>café lính</t>
  </si>
  <si>
    <t>cty</t>
  </si>
  <si>
    <t>đôi cây hk - thị thu</t>
  </si>
  <si>
    <t>vịt biển</t>
  </si>
  <si>
    <t>CP</t>
  </si>
  <si>
    <t>thuhà lầm</t>
  </si>
  <si>
    <t>cẩm- HG</t>
  </si>
  <si>
    <t>a ngọc - CX</t>
  </si>
  <si>
    <t>FLC</t>
  </si>
  <si>
    <t>huế bán- Thái Nguyên 1</t>
  </si>
  <si>
    <t>mai anh- HG</t>
  </si>
  <si>
    <t>tuyết lan</t>
  </si>
  <si>
    <t>Phương- béo</t>
  </si>
  <si>
    <t>Hồng gai ship</t>
  </si>
  <si>
    <t>TỔNG XUẤT</t>
  </si>
  <si>
    <t>Tồn Cuối Kỳ</t>
  </si>
  <si>
    <t>Ghi chú</t>
  </si>
  <si>
    <t>C Huyền lấy 4 vỉ 500 ship 2 đơn</t>
  </si>
  <si>
    <t>Chị hằng cx lấy 3 vỉ 500</t>
  </si>
  <si>
    <t xml:space="preserve">E tú ghi số lấy 11 vỉ 500 ship đơn ngõ 14 bãi muối </t>
  </si>
  <si>
    <t>sân Pick star</t>
  </si>
  <si>
    <t>trường LHP</t>
  </si>
  <si>
    <t>Huyền GS Hạ Long</t>
  </si>
  <si>
    <t>Mai ghi số</t>
  </si>
  <si>
    <t xml:space="preserve">a Thảo </t>
  </si>
  <si>
    <t>hương biển</t>
  </si>
  <si>
    <t>Thùy</t>
  </si>
  <si>
    <t>Huế đi ship</t>
  </si>
  <si>
    <t>Tuấn lấy nội bộ</t>
  </si>
  <si>
    <t>chi ship đơn CP</t>
  </si>
  <si>
    <t>ngõ 1 Lê Thanh Nghị</t>
  </si>
  <si>
    <t>Quỳnh lấy nội bộ</t>
  </si>
  <si>
    <t>sơn Hà tu</t>
  </si>
  <si>
    <t>Nhung</t>
  </si>
  <si>
    <t>c nhã nhà trẻ hoa hồng</t>
  </si>
  <si>
    <t>Thị Thu</t>
  </si>
  <si>
    <t>ngà</t>
  </si>
  <si>
    <t>liễu</t>
  </si>
  <si>
    <t>ngọc anh ship</t>
  </si>
  <si>
    <t>đỗ hà ship</t>
  </si>
  <si>
    <t>chi ship</t>
  </si>
  <si>
    <t>Hằng Bảo vệ</t>
  </si>
  <si>
    <t>phương thủ kho</t>
  </si>
  <si>
    <t>nam ( vâu)</t>
  </si>
  <si>
    <t xml:space="preserve">thùy bảo vệ </t>
  </si>
  <si>
    <t>Thanh ship</t>
  </si>
  <si>
    <t>Sinh</t>
  </si>
  <si>
    <t>ub</t>
  </si>
  <si>
    <t>Phương+Huế</t>
  </si>
  <si>
    <t>lại Lan</t>
  </si>
  <si>
    <t>Hằng Bảo vệ ship đơn Đa khoa hoàng anh</t>
  </si>
  <si>
    <t>Vũ Anh BKS: Sau nhà văn hóa khu 3, tỉnh ủy cột 5, dốc nhà máy in đi lên, đến nơi gọi chị để chị lên đường vì nhà chị ko có số em ạ, 0948910518, lấy 3 vỉ 500 và 1 vỉ 350, chị tên Thảo.</t>
  </si>
  <si>
    <t>3 vỉ 500 + 1 vỉ 350</t>
  </si>
  <si>
    <t>Kho</t>
  </si>
  <si>
    <t>tăng áp</t>
  </si>
  <si>
    <t>Vũ Anh BKS</t>
  </si>
  <si>
    <t>Thùng</t>
  </si>
  <si>
    <t>hoàn thành</t>
  </si>
  <si>
    <t>Chỉ tiêu CBCNV</t>
  </si>
  <si>
    <t>Kiểm tra</t>
  </si>
  <si>
    <t>HỘP 500</t>
  </si>
  <si>
    <t>hộp 500</t>
  </si>
  <si>
    <t>Chi</t>
  </si>
  <si>
    <t>xuân</t>
  </si>
  <si>
    <t>10/9/2026</t>
  </si>
  <si>
    <t>Em chi</t>
  </si>
  <si>
    <t>Chị Xuân</t>
  </si>
  <si>
    <t>4 vỉ 500ml vào 315 Cao Xanh. Cửa hàng đt Dũng Tí, 098 4312638</t>
  </si>
  <si>
    <t>Tươi Đá Trắng số 19 Ba Đèo, 8 bình ion+ 11 vỉ 500 ml, 0915158863, chở đến điêm gọi chị tươi đến bốc</t>
  </si>
  <si>
    <t>15 bình nước  cho hội trường cơ sở 2 cạnh trụ sở liên cơ quan số 4, 0988167724</t>
  </si>
  <si>
    <t>Tùng + Huế</t>
  </si>
  <si>
    <t xml:space="preserve">Tùng + Huế </t>
  </si>
  <si>
    <r>
      <t xml:space="preserve">Thư Tuyền PXD: E ơi ship giúp c 10 vỉ 500ml (980k) + 1 vỉ khuyến mãi đến nhà chú Thắng ở tổ 13 khu phố Hà Trung 2 </t>
    </r>
    <r>
      <rPr>
        <sz val="14"/>
        <color theme="1"/>
        <rFont val="Calibri"/>
        <family val="2"/>
      </rPr>
      <t xml:space="preserve">(ship 10h30) </t>
    </r>
    <r>
      <rPr>
        <sz val="14"/>
        <color theme="1"/>
        <rFont val="Calibri"/>
        <family val="2"/>
      </rPr>
      <t>+84972133886.</t>
    </r>
  </si>
  <si>
    <t>Thư Tuyền</t>
  </si>
  <si>
    <t>Lại Lan + Chi</t>
  </si>
  <si>
    <t>7/9/2026</t>
  </si>
  <si>
    <t>chiều 1 đơn karaoke Luxury yết kiêu 30+3 vỉ 500</t>
  </si>
  <si>
    <t>9/9</t>
  </si>
  <si>
    <t>Long KD lấy ra đội múa</t>
  </si>
  <si>
    <t>10/9</t>
  </si>
  <si>
    <t>Nhung trả nợ nước hội thao</t>
  </si>
  <si>
    <t>Hộp 500 ml</t>
  </si>
  <si>
    <t>hộp 500 ml</t>
  </si>
  <si>
    <t>hộp 500ml</t>
  </si>
  <si>
    <t>10 vỉ 500ml +1 nc, nhận ở trường dân tộc nội trú, phường Hạ long -0985515202  Phạm việt Hà</t>
  </si>
  <si>
    <t>VPXN</t>
  </si>
  <si>
    <t>Diễn Vọng</t>
  </si>
  <si>
    <t>trạm Hồng Gai</t>
  </si>
  <si>
    <t>Hồng Hạnh P.CN Sân pick Star cạnh nhà hàng Lan Hương có nhu cầu 10+1 vỉ 500ml - 0979748188. SHip luôn</t>
  </si>
  <si>
    <t>Lại Lan + Xuân</t>
  </si>
  <si>
    <t>Trạm Hạ Long</t>
  </si>
  <si>
    <t>Chị Vượng + Chi</t>
  </si>
  <si>
    <t>Lương Vân Mai</t>
  </si>
  <si>
    <t>Trường Dân tộc nội trú</t>
  </si>
  <si>
    <t>Lương Vân Mai bán lẻ</t>
  </si>
  <si>
    <t>Đơn bốc nước của Công ty 22 bình đến Đảng ủy phường Hạ Long</t>
  </si>
  <si>
    <t>5 ghi số trạm Hạ Long và Liễu, Xuân</t>
  </si>
  <si>
    <t>Hồng Hạnh PCN: 0852091985 khách hàng có nhu cầu ngay 20+2 vỉ 350 ml (cần ngay) đến 32 Phan Đăng Lưu, thu tiền luôn</t>
  </si>
  <si>
    <t>Chiị Bùi Thu lấy 8 vỉ ship ngã 3 thành công</t>
  </si>
  <si>
    <t>11//9</t>
  </si>
  <si>
    <t>11/9/2026</t>
  </si>
  <si>
    <t xml:space="preserve">Chj yến trạm Hồng Gai 2 vỉ </t>
  </si>
  <si>
    <t>VP</t>
  </si>
  <si>
    <t>anh Nguyên bán 4 vỉ</t>
  </si>
  <si>
    <t>Bùi Ngọc Nguyên</t>
  </si>
  <si>
    <t>DIỄN VỌNG VAY</t>
  </si>
  <si>
    <t>Minh Hạnh PCN: 4 vỉ nước 500ml đến khu gara ô tô 123 gần chợ Sa Tô 090 3414898 (MInh Hạnh thanh toán)</t>
  </si>
  <si>
    <t>Minh Hạnh</t>
  </si>
  <si>
    <t>Đơn bốc nước của Công ty 11 bình đến Ames Lán Bè</t>
  </si>
  <si>
    <t>Tăng áp</t>
  </si>
  <si>
    <t>Chị lấy ở số nhà 42 mặt đường. Gần dốc đèo bụt hà phong, Hương thu ngân cũ</t>
  </si>
  <si>
    <t xml:space="preserve"> Đinh Thu Huế</t>
  </si>
  <si>
    <t>11/9</t>
  </si>
  <si>
    <t>TM11/9</t>
  </si>
  <si>
    <t>Hùng + Huế + Huy</t>
  </si>
  <si>
    <t>CK11/9</t>
  </si>
  <si>
    <t>Số nhà 512, đường Nguyễn Văn Cừ - Hồng Hà (Đàm Hồng Hà)</t>
  </si>
  <si>
    <t>ck11/9</t>
  </si>
  <si>
    <t>Đoàn Sơn Tùng : 3 vỉ 500ml ion Kiềm đến chỗ trường tiểu học Cao Thắng, 0982953270</t>
  </si>
  <si>
    <t>công ty thu tiền</t>
  </si>
  <si>
    <t>Vay Hà Lầm</t>
  </si>
  <si>
    <t>Kho Huế</t>
  </si>
  <si>
    <t>Kho văn phòng</t>
  </si>
  <si>
    <t>Hộp 500 ML</t>
  </si>
  <si>
    <t xml:space="preserve">Chị dki 1 đơn sân pick gần chợ cột 5 cũ 10+1 vỉ 500 </t>
  </si>
  <si>
    <t>Cúc ghi số</t>
  </si>
  <si>
    <t>6 vì đến bún cá Thu Hiên, gầm cầu ở hồ điều hòa Yết Kiêu,  thu tiền luôn, 0326851888</t>
  </si>
  <si>
    <t>nghỉ phép</t>
  </si>
  <si>
    <t>5 vỉ 350 và 2 vỉ 500 đám cưới ngay gần trường Hồng Hải 0915367686</t>
  </si>
  <si>
    <t xml:space="preserve">Bùi Hà Thu ghi số </t>
  </si>
  <si>
    <t>12/9</t>
  </si>
  <si>
    <t>17 ngõ 16 c xanh, 3 vỉ , ĐT 0983768788</t>
  </si>
  <si>
    <t>10 vi  +1 cho c Lan  số 298 đường Trần nhân tông  Quang Yeen 0913628066 ( cứ mở cổng be vào cua nhà cho c ấy nhớ )chỉ tiêu Đan Thanh.</t>
  </si>
  <si>
    <t>vay Quảng Yên</t>
  </si>
  <si>
    <t>Quảng Yên</t>
  </si>
  <si>
    <t>CK12/9</t>
  </si>
  <si>
    <t>E gửi đơn ship Vịnh hoàng hôn ( đồi mặt trời ) 3 vỉ to chị nhé, ghi biên bản đưa cho chị thị trường giao nước ai nhận thì kí xong gửi ảnh chụp biên bản cho e chị nhé</t>
  </si>
  <si>
    <t>Trạm Hồng Gai</t>
  </si>
  <si>
    <t>Chiị Huế lấy bán 11 vỉ 350 ml</t>
  </si>
  <si>
    <t>nội bộ công ty</t>
  </si>
  <si>
    <t>12/9/2026</t>
  </si>
  <si>
    <r>
      <t xml:space="preserve"> Trần Thảo PQT: chiều chị cho e 5 vỉ nước 500ml đến 75 đặng Thùy Trâm - quán bún cá cay Vân Quyết - 0983406128 </t>
    </r>
    <r>
      <rPr>
        <b/>
        <sz val="14"/>
        <color theme="1"/>
        <rFont val="Times New Roman"/>
        <family val="1"/>
      </rPr>
      <t>- Thu tiền luôn</t>
    </r>
  </si>
  <si>
    <t>chị Hằng bảo vệ 2 vỉ to</t>
  </si>
  <si>
    <t>vp</t>
  </si>
  <si>
    <t>Hiệu thuốc ông An -  moonbay Thu tiền luôn</t>
  </si>
  <si>
    <t>Bãi Cháy tự thu</t>
  </si>
  <si>
    <t>Công ty vay đám ma bố anh Hùng tuyến  mạng</t>
  </si>
  <si>
    <t>công ty trả nợ luôn rồi</t>
  </si>
  <si>
    <t>13/9/2026</t>
  </si>
  <si>
    <t>ck 12/9</t>
  </si>
  <si>
    <t>Thủy béo ghi số</t>
  </si>
  <si>
    <t>Chị Hiếu ghi số lấy ship đơn chị Chế Dung 11 vỉ 500</t>
  </si>
  <si>
    <t>Quán bia Quang Đông (Cúc ghi số)</t>
  </si>
  <si>
    <t>Quán bia Cây Dừa (Cúc ghi số)</t>
  </si>
  <si>
    <t>Chị Cúc thu tiền</t>
  </si>
  <si>
    <t>Tồn xe điện</t>
  </si>
  <si>
    <t>Phương lái xe</t>
  </si>
  <si>
    <t>Mai ghi số cho chỉ tiêu Phạm Thị Thu Đá Trắng</t>
  </si>
  <si>
    <t>Phương lái xe thu tiền</t>
  </si>
  <si>
    <t>14/9/2026</t>
  </si>
  <si>
    <t>Thư tuyền PXD: Ship c 10+1 vỉ 500 đến số 134 ngõ 3 cao thắng. Tạp hoá kim loan. Đối diện trường tiểu học cao thắng cơ sở 2.  +84989376850 THU TIỀN LUÔN</t>
  </si>
  <si>
    <t>Huế + Phương</t>
  </si>
  <si>
    <t>Anh Nghĩa 090 2735666 - số 2 Nguyễn Thái Học, Yết Kiêu - lấy 10+1 vỉ 500. (Mai Hương BQL)</t>
  </si>
  <si>
    <t>chuyển 10+1 vỉ nước 500ml đến trường Lê Thánh Tông - A Hân GĐ XNN Miền Đông gửi thầy Phương - Hiệu trưởng</t>
  </si>
  <si>
    <t>Hằng bảo vệ (lấy ngày CN7 vỉ )</t>
  </si>
  <si>
    <t>Bãi Cháy thu tiền</t>
  </si>
  <si>
    <t>Chị Thu trạm Đá trắng (Số 41, tổ 2 khu 1 phường Hạ Long, đối diện đường sông 3), ĐT 0383810322</t>
  </si>
  <si>
    <t>e gửi đơn khách lấy 10 vỉ to + 1km chai 500ml chị nhé (176 Nguyễn Bá Ngọc, Hà Lầm) 0363259488</t>
  </si>
  <si>
    <t>TM14/9</t>
  </si>
  <si>
    <t>CK 14/9</t>
  </si>
  <si>
    <t>Lê Việt Dũng PCN</t>
  </si>
  <si>
    <r>
      <t xml:space="preserve">Lê Việt Dũng PCN: khách lấy 10 bình (không lấy khuyến mại)  kiềm 25B PHỐ HẢI HÀ ( ĐỐI DIỆN CỔNG CHỢ HẠ LONG 3- TÒA NHÀ CÓ NHÀ  VĂN HÓA KHU 8) GỌI SỐ 0918.300.385 nhé shiop sáng nay - THU TIỀN LUÔN + </t>
    </r>
    <r>
      <rPr>
        <b/>
        <sz val="14"/>
        <color theme="1"/>
        <rFont val="Times New Roman"/>
        <family val="1"/>
      </rPr>
      <t>Đặt cọc 500.000</t>
    </r>
  </si>
  <si>
    <t>Chị Tâm trưởng BKS</t>
  </si>
  <si>
    <t>Phạm ĐỨc Thương SCC:  Anh Mạnh 0888382988, ĐC 81 Phạm Ngọc Thạch, Cao Xanh, 5 vỉ 500 ml</t>
  </si>
  <si>
    <t>Thương SCC</t>
  </si>
  <si>
    <t>xuất hóa đơn 15/9</t>
  </si>
  <si>
    <t>Kho vp</t>
  </si>
  <si>
    <t>Kho Hà Lầm</t>
  </si>
  <si>
    <t>Tồn kho Hà Lầm</t>
  </si>
  <si>
    <t>xuất 40 vỉ 500 cho trạm Hồng Gai</t>
  </si>
  <si>
    <t>Dung vịt Cao Xanh</t>
  </si>
  <si>
    <t>Phương</t>
  </si>
  <si>
    <t>Hương Biển (chị Hiếu ghi só)</t>
  </si>
  <si>
    <t>15/9/2026</t>
  </si>
  <si>
    <r>
      <t xml:space="preserve">Cty Hannet C3-02 khu biệt thự Monbay luôn- Quỳnh: 0915355986 ( đơn này lấy hoá đơn như mọi lần)  2 bình vòi và 2 vỉ 350ml </t>
    </r>
    <r>
      <rPr>
        <b/>
        <sz val="14"/>
        <color theme="1"/>
        <rFont val="Times New Roman"/>
        <family val="1"/>
      </rPr>
      <t>ĐẶT CỌC VỎ BÌNH 120.000)</t>
    </r>
  </si>
  <si>
    <t>Lưu ý hóa đơn như mọi lần</t>
  </si>
  <si>
    <r>
      <t xml:space="preserve">Minh Hằng PXD: 0387111662, thương 2 bình kiềm - </t>
    </r>
    <r>
      <rPr>
        <b/>
        <sz val="14"/>
        <color theme="1"/>
        <rFont val="Times New Roman"/>
        <family val="1"/>
      </rPr>
      <t>Thu tiền</t>
    </r>
    <r>
      <rPr>
        <sz val="14"/>
        <color theme="1"/>
        <rFont val="Times New Roman"/>
        <family val="1"/>
        <charset val="163"/>
      </rPr>
      <t xml:space="preserve"> + vỏ, Shland cà phê, B38, khu đô thị MKL, Moonbay, cạnh trường UK cổng trước,</t>
    </r>
    <r>
      <rPr>
        <b/>
        <sz val="14"/>
        <color theme="1"/>
        <rFont val="Times New Roman"/>
        <family val="1"/>
      </rPr>
      <t xml:space="preserve"> THU ĐỦ 2 VỎ + THU TIỀN</t>
    </r>
  </si>
  <si>
    <t>Minh Hằng</t>
  </si>
  <si>
    <t>vay Cẩm Phả</t>
  </si>
  <si>
    <t>Cẩm phả</t>
  </si>
  <si>
    <t>Nhung bé</t>
  </si>
  <si>
    <r>
      <t xml:space="preserve">Thùy Vân PQT: 6 bình nước ion kiềm đến trà sữa noosan tầng 3 monbay nhé 0782181190 - </t>
    </r>
    <r>
      <rPr>
        <b/>
        <sz val="14"/>
        <color theme="1"/>
        <rFont val="Times New Roman"/>
        <family val="1"/>
      </rPr>
      <t>Đổi  6 vỏ thu tiền luôn</t>
    </r>
  </si>
  <si>
    <r>
      <t>Hóa chất mỏ Quảng Ninh, 20 vỉ 500 + 4 bình RO (Lưu ý: THU ĐỦ 4 VỎ MỚI (</t>
    </r>
    <r>
      <rPr>
        <b/>
        <sz val="14"/>
        <color theme="1"/>
        <rFont val="Times New Roman"/>
        <family val="1"/>
      </rPr>
      <t>GIAO 4 BÌNH, CÓ BAO NHIÊU VỎ GIAO BẤY NHIÊU BÌNH)</t>
    </r>
  </si>
  <si>
    <t xml:space="preserve">Chị Huế đk 1 đơn nhà hàng Minhtuấn 3 cao xanh 10+1 </t>
  </si>
  <si>
    <t>Thùy Vân</t>
  </si>
  <si>
    <t>Khoa trạm trưởng Hồng Gai lấy 10+1 vỉ bán</t>
  </si>
  <si>
    <t>Khoa thu tiền</t>
  </si>
  <si>
    <t>Quỳnh hành chính</t>
  </si>
  <si>
    <t>Quỳnh</t>
  </si>
  <si>
    <t>ck 15/9</t>
  </si>
  <si>
    <t>16/9/2026</t>
  </si>
  <si>
    <t>XE CẨM PHẢ CHỞ</t>
  </si>
  <si>
    <t>Điểm Vựng Đâng: Trạm Hồng Gai + chị Huế
Điểm xử lý nước thải licogi mở rộng 2 điểm: CHị Lan + Chị Thùy</t>
  </si>
  <si>
    <t>Hồng Gai, Hà Tu</t>
  </si>
  <si>
    <r>
      <t xml:space="preserve">Đỗ Linh PCN: 5 vỉ 500ml sân Bóng thành Công </t>
    </r>
    <r>
      <rPr>
        <sz val="18"/>
        <color theme="1"/>
        <rFont val="Times New Roman"/>
        <family val="1"/>
        <charset val="163"/>
      </rPr>
      <t xml:space="preserve">- </t>
    </r>
    <r>
      <rPr>
        <u/>
        <sz val="18"/>
        <color theme="1"/>
        <rFont val="Calibri"/>
        <family val="2"/>
        <charset val="1"/>
      </rPr>
      <t>+84903488996</t>
    </r>
    <r>
      <rPr>
        <sz val="18"/>
        <color theme="1"/>
        <rFont val="Calibri"/>
        <family val="2"/>
        <charset val="1"/>
      </rPr>
      <t xml:space="preserve"> (Anh Hùng Quế thanh toán)</t>
    </r>
  </si>
  <si>
    <t>2 bình kiềm + 3 vỉ 500ml ( thu tiền + cọc vỏ) cửa hàng kim khí Hưng Phượng</t>
  </si>
  <si>
    <t>Huế + phương</t>
  </si>
  <si>
    <t>Đỗ Linh CN</t>
  </si>
  <si>
    <t>Thư tuyền PXD</t>
  </si>
  <si>
    <t>Thanh Tùng</t>
  </si>
  <si>
    <r>
      <t>Thư Tuyền PXD: 10+1 vỉ 500ml tổ 2 khu 4 hồng hà ngõ 48 hoặc 46 nhe - Hường 0704618186</t>
    </r>
    <r>
      <rPr>
        <b/>
        <sz val="14"/>
        <color theme="1"/>
        <rFont val="Times New Roman"/>
        <family val="1"/>
      </rPr>
      <t xml:space="preserve"> (Thu tiền luôn)</t>
    </r>
  </si>
  <si>
    <t>FLC Hà Khánh giao nốt 14 bình (tặng 1 bình) rồi xuất hóa đơn để e làm DNTT nhé</t>
  </si>
  <si>
    <t>17/9/2026</t>
  </si>
  <si>
    <t>Kinh doanh than Miền Bắc: 6 bình 20L nước kiềm
9 bình 20L nước thường 
3 thùng 350ml nước kiềm</t>
  </si>
  <si>
    <t>Xe Cẩm Phả chuyển</t>
  </si>
  <si>
    <t>Hà Thanh Tùng PTM: 30+3 bình kiềm đến UBND phường Hà Lầm 0869096806, giao trước 25 bình, còn lại giao sau</t>
  </si>
  <si>
    <t>Thảo ghi số (2 bình) kiềm</t>
  </si>
  <si>
    <t>Thảo ghi số</t>
  </si>
  <si>
    <t>Phương + huế</t>
  </si>
  <si>
    <t>Lại Lan bán lẻ 1 bình</t>
  </si>
  <si>
    <t>hằng bảo vệ 3 vỉ</t>
  </si>
  <si>
    <t>Thơm bảo vệ</t>
  </si>
  <si>
    <t>Ship 20vỉ 500 + 2 cho Hảo Thảnh monbay nhé (Thảo Pý - Cẩm Phả)</t>
  </si>
  <si>
    <t>Cẩm Phả</t>
  </si>
  <si>
    <t>NN Miền Đông: văn phòng ledeco tầng 1 tháp B chung cư lideco lấy 10+1 vỉ 350ml và 5 bình úp ( đến lễ tân gặp chị Phương lễ tân). 16h00 mới giao cho khách hàng chị ạ! - 5 bình úp giao sau</t>
  </si>
  <si>
    <r>
      <t xml:space="preserve">sáng mai </t>
    </r>
    <r>
      <rPr>
        <b/>
        <sz val="14"/>
        <color theme="1"/>
        <rFont val="Times New Roman"/>
        <family val="1"/>
      </rPr>
      <t>9h</t>
    </r>
    <r>
      <rPr>
        <sz val="14"/>
        <color theme="1"/>
        <rFont val="Times New Roman"/>
        <family val="1"/>
        <charset val="163"/>
      </rPr>
      <t xml:space="preserve"> ship Hồ Cô Tiên 20 vỉ 500ml đúng h chị nhé (cô Nga Hải)</t>
    </r>
  </si>
  <si>
    <r>
      <t xml:space="preserve">Hồng Hạnh PCN: KH Thu Trang Cổng 5, công trường chung cư Monbay SĐT 0981098448 có nhu cầu 10 vỉ nước Ion Kiềm 500ml. sáng mai ship e nhé!  ( Chị Hạnh Hà đã chuyển tiền vào TK đuôi 669) - </t>
    </r>
    <r>
      <rPr>
        <b/>
        <sz val="14"/>
        <color theme="1"/>
        <rFont val="Times New Roman"/>
        <family val="1"/>
      </rPr>
      <t>không thu tiền</t>
    </r>
  </si>
  <si>
    <t>Chị báo dk đơn chiều mai 50 +5 vỉ 500 yết kieu</t>
  </si>
  <si>
    <t>FLC Hà Khánh  10+1 bình Ro</t>
  </si>
  <si>
    <t>Khoa trạm trưởng Hồng Gai lấy cho người yêu cũ sếp Mạnh</t>
  </si>
  <si>
    <t>Chị Huế bán lẻ</t>
  </si>
  <si>
    <t>Chị Hiền Diễn Vọng</t>
  </si>
  <si>
    <t xml:space="preserve"> </t>
  </si>
  <si>
    <t>1 chuyến đến karaoke AMG hòn gai 65 điện biên phủ, phường hạ long 0348808615 - 50v 350ml tặng 5 c nhé</t>
  </si>
  <si>
    <t>bốc thuê</t>
  </si>
  <si>
    <t>chị Nga. 2 vỉ 350ml em nhé ̣Mầm non Hạnh Phúc ̣̣ ̣Đông Bắc, 0986323798</t>
  </si>
  <si>
    <t>Yến Quảng Yên</t>
  </si>
  <si>
    <t>18/9//2026</t>
  </si>
  <si>
    <t>Vũ Anh BKS: 0358602199 2 bình nước tinh khiết đến cc sharie - thu vỏ bình về nhé</t>
  </si>
  <si>
    <t>ck15/9</t>
  </si>
  <si>
    <t>TM15/9</t>
  </si>
  <si>
    <r>
      <t xml:space="preserve">Công ty Môi Trường CT Cenvi, </t>
    </r>
    <r>
      <rPr>
        <sz val="16"/>
        <color theme="1"/>
        <rFont val="Times New Roman"/>
        <family val="1"/>
      </rPr>
      <t>0387436105</t>
    </r>
    <r>
      <rPr>
        <sz val="14"/>
        <color theme="1"/>
        <rFont val="Times New Roman"/>
        <family val="1"/>
        <charset val="163"/>
      </rPr>
      <t xml:space="preserve">, chi tiết điểm ship theo bảng kê Nhung zô gửi, 17 bình  RO, </t>
    </r>
    <r>
      <rPr>
        <b/>
        <sz val="14"/>
        <color theme="1"/>
        <rFont val="Times New Roman"/>
        <family val="1"/>
      </rPr>
      <t>có HĐ nên ko cọc vỏ</t>
    </r>
    <r>
      <rPr>
        <sz val="14"/>
        <color theme="1"/>
        <rFont val="Times New Roman"/>
        <family val="1"/>
        <charset val="163"/>
      </rPr>
      <t>, thu vỏ trả xe luôn</t>
    </r>
  </si>
  <si>
    <t>Mai ghi số vỉ 500</t>
  </si>
  <si>
    <t>Hiếu ghi số (4 vỉ khuyến mại của Hương Biển)</t>
  </si>
  <si>
    <t>18/9/2026</t>
  </si>
  <si>
    <t>Thảo Cẩm Phả</t>
  </si>
  <si>
    <t>CK 18/9</t>
  </si>
  <si>
    <t>CK17/9</t>
  </si>
  <si>
    <t>10+1 vỉ 500 đến chung cư thể thao cao Xanh, ĐT 0359136632</t>
  </si>
  <si>
    <t>vận chuyển</t>
  </si>
  <si>
    <t xml:space="preserve">Long bán lẻ </t>
  </si>
  <si>
    <t>Vũ Thành Long</t>
  </si>
  <si>
    <t>Vp</t>
  </si>
  <si>
    <t>CK18/9</t>
  </si>
  <si>
    <t>NVKD</t>
  </si>
  <si>
    <t>Tùng chạy xe</t>
  </si>
  <si>
    <t>Ck18/9</t>
  </si>
  <si>
    <t>Đông Triều- 20+2 vỉ 350ml A3 lô 10 đường 25/4 ,Sdt 0972673282</t>
  </si>
  <si>
    <t>Đông Triều</t>
  </si>
  <si>
    <r>
      <t xml:space="preserve">Hồng Hạnh PCN: 0329980424 Cổng 5 toà nhà MonBay đang thi công có nhu cầu 1 bình kiem 19l vào sáng mai, KH thanh toán! </t>
    </r>
    <r>
      <rPr>
        <b/>
        <sz val="14"/>
        <color rgb="FF081B3A"/>
        <rFont val="Times New Roman"/>
        <family val="1"/>
      </rPr>
      <t>Thu cọc vỏ bình 60.000đ + thu tiền nước luôn</t>
    </r>
  </si>
  <si>
    <t>Hà Thanh Tùng PTM</t>
  </si>
  <si>
    <t>Trạm Hà Lầm</t>
  </si>
  <si>
    <t>UBND phường Hà Lầm, hôm trước đặt 30+3, đã ship 25 bình, nay giao nốt 8 bình, 0869096806</t>
  </si>
  <si>
    <r>
      <t>Hồng Hạnh PCN: KH 0779299828 có nhu cầu ship ngay 2 bình 19l IOn kiềm đến Áo Dài Tramdan A4/03 Monbay, KH thanh toán,</t>
    </r>
    <r>
      <rPr>
        <b/>
        <sz val="16"/>
        <color rgb="FF081B3A"/>
        <rFont val="Times New Roman"/>
        <family val="1"/>
      </rPr>
      <t xml:space="preserve"> thu tiền + đổi đủ 2 vỏ</t>
    </r>
  </si>
  <si>
    <r>
      <t>Trần Thảo PQT:</t>
    </r>
    <r>
      <rPr>
        <sz val="18"/>
        <color rgb="FF081B3A"/>
        <rFont val="Times New Roman"/>
        <family val="1"/>
        <charset val="163"/>
      </rPr>
      <t xml:space="preserve"> </t>
    </r>
    <r>
      <rPr>
        <u/>
        <sz val="18"/>
        <color theme="1"/>
        <rFont val="Calibri"/>
        <family val="2"/>
        <charset val="1"/>
      </rPr>
      <t>0393088183</t>
    </r>
    <r>
      <rPr>
        <sz val="18"/>
        <color theme="1"/>
        <rFont val="Calibri"/>
        <family val="2"/>
        <charset val="1"/>
      </rPr>
      <t xml:space="preserve"> cho e 10+1 vỉ 500ml đến chỗ winmart hà phong chị ạ</t>
    </r>
  </si>
  <si>
    <t>Thảo QT</t>
  </si>
  <si>
    <t>Nhã PQT</t>
  </si>
  <si>
    <t>Vay KD Công ty</t>
  </si>
  <si>
    <r>
      <t>C Nhã PQT: 3 bình kiềm đến số nhà 157 nguyễn văn trỗi, cột 8  - Mai Phuong 0982716586 -</t>
    </r>
    <r>
      <rPr>
        <b/>
        <sz val="16"/>
        <color rgb="FF081B3A"/>
        <rFont val="Times New Roman"/>
        <family val="1"/>
      </rPr>
      <t xml:space="preserve"> Thu tiền luôn + cọc vỏ + cần ngay</t>
    </r>
  </si>
  <si>
    <t>1 đơn chị Nga ubnd Phường cao xanh 10+1 vỉ 350 lấy tăng áp chị lan</t>
  </si>
  <si>
    <t>19//2026</t>
  </si>
  <si>
    <r>
      <t>3 thùng 350 ml địa chỉ: 11 Lê Thánh Tông ( đối diện quán bia Làng Chài chân cầu Bãi Cháy ), Công ty kinh doanh than Miền Bắc 0906091669,</t>
    </r>
    <r>
      <rPr>
        <b/>
        <sz val="16"/>
        <color rgb="FF081B3A"/>
        <rFont val="Times New Roman"/>
        <family val="1"/>
      </rPr>
      <t xml:space="preserve"> chị Huế lấy 3 thùng từ chị Lệ Công ty </t>
    </r>
  </si>
  <si>
    <t>Chị Liễu KD 1 vỉ to</t>
  </si>
  <si>
    <t>Liễu</t>
  </si>
  <si>
    <t>thùng 500</t>
  </si>
  <si>
    <t>gửi đơn Sở xây dựng sáng mai hỗ trợ bốc 44 bình như mọi tháng chị nhé, 039 739 9666 (mới giao được 33 bình)</t>
  </si>
  <si>
    <t>Hạ Long+Hà Tu</t>
  </si>
  <si>
    <t xml:space="preserve">Lại Lan, Xuân, Thơm, </t>
  </si>
  <si>
    <t>Phương lái xe lấy khuyến mại của Dung Vịt</t>
  </si>
  <si>
    <t>Hà. 0377558997 20 vỉ 350ml8h30-9h sáng thứ 7 gần trạm tăng áp yết kiêu khu gần KTV ấy</t>
  </si>
  <si>
    <t>Chị Thương. Toà A , chung cư Newlife. Bãi Cháy, 098 316 8169, 5 vỉ 500 ml, đặt tại sảnh tầng 1 chung cư, gửi bảo vệ và chụp ảnh gửi KH, không thu tiền.</t>
  </si>
  <si>
    <t>Kim anh Bãi Cháy</t>
  </si>
  <si>
    <t>Ghi số</t>
  </si>
  <si>
    <t>10 +1 vỉ 500ml ship karaoke diamond nhé</t>
  </si>
  <si>
    <t>Chị Lệ thu tiền</t>
  </si>
  <si>
    <t>Chị Thơm bảo vệ</t>
  </si>
  <si>
    <t>19/9/2026</t>
  </si>
  <si>
    <t>CK 19/9</t>
  </si>
  <si>
    <r>
      <t xml:space="preserve">Hồng Hạnh PCN: 0367338092 Mộc baby store cao xanh đường Vạn Hạnh có nhu cầu 1 bình  KIỀM 19l ship luôn, </t>
    </r>
    <r>
      <rPr>
        <b/>
        <sz val="16"/>
        <color rgb="FF081B3A"/>
        <rFont val="Times New Roman"/>
        <family val="1"/>
      </rPr>
      <t>Thu tiền + Thu vỏ luôn</t>
    </r>
  </si>
  <si>
    <r>
      <t xml:space="preserve">Hồng Hanh PCN: KH có nhu cầu luôn 3 bình 19l RO KH thanh toán ,ship đến 63 Giếng Đồn </t>
    </r>
    <r>
      <rPr>
        <u/>
        <sz val="18"/>
        <color theme="1"/>
        <rFont val="Segoe UI"/>
        <family val="2"/>
      </rPr>
      <t xml:space="preserve">0975752013 </t>
    </r>
    <r>
      <rPr>
        <b/>
        <u/>
        <sz val="18"/>
        <color theme="1"/>
        <rFont val="Segoe UI"/>
        <family val="2"/>
      </rPr>
      <t>THU CỌC VỎ BÌNH + TIỀN NƯỚC</t>
    </r>
  </si>
  <si>
    <t>Chị Huy thu tiền</t>
  </si>
  <si>
    <t>CK19/9</t>
  </si>
  <si>
    <t>sân Star 10+1 vỉ 500, ĐT 09748188</t>
  </si>
  <si>
    <t>20/9</t>
  </si>
  <si>
    <t>Tùng, Huế</t>
  </si>
  <si>
    <t>CK19/9 (324000 cả cọc)</t>
  </si>
  <si>
    <t>CK19/9 (112.000) cả cọc</t>
  </si>
  <si>
    <t>19/9</t>
  </si>
  <si>
    <t>Hoàng Bảo vệ</t>
  </si>
  <si>
    <t>10+1 vỉ 500  lên 2308 chung cư time garden nhé</t>
  </si>
  <si>
    <t>Lưu Hải yến ghi số</t>
  </si>
  <si>
    <t>Hồng Hạnh PCN: sân Pick Star 10 +1 vỉ 500ml ship luôn 0979748188</t>
  </si>
  <si>
    <t>Ship giúp Hồng gai 5 vỉ nước 500ml về ban chỉ huy quân sự phường Tuần Châu trong ngày hôm nay em nhé, @Kim Anh 0383160888</t>
  </si>
  <si>
    <t>21/9/2026</t>
  </si>
  <si>
    <t>Huế+Tùng</t>
  </si>
  <si>
    <t>SL</t>
  </si>
  <si>
    <t>ĐG</t>
  </si>
  <si>
    <t>tiền</t>
  </si>
  <si>
    <t>Tổng</t>
  </si>
  <si>
    <t>Xe điện</t>
  </si>
  <si>
    <t>Trạm Hà Tu</t>
  </si>
  <si>
    <t>Huế + Tùng</t>
  </si>
  <si>
    <t>Đt 0787224668. SN 18, ngõ 2 phố Hải Thịnh , Quán Mây.  Mai giao giúp a 10 vỉ+ 1 vỉ loại 500ml đến địa chỉ  này e nhé.</t>
  </si>
  <si>
    <t>Yến Vũ</t>
  </si>
  <si>
    <t>Giao sở xây dựng : 15 bình RO + 1 km ( Trong đó 5 bình giao liên cơ 2 ) . E báo xe Cẩm Phả chở nước rồi ạ.  Hòn gai hỗ trợ bốc hàng giúp e nhé chị . sdt người nhận : 0397399666</t>
  </si>
  <si>
    <t>Huế+Tùng + Nguyễn Văn Hưng</t>
  </si>
  <si>
    <t>Chị Sinh trạm Hạ Long 2 bình kiềm</t>
  </si>
  <si>
    <t>CK 21/9</t>
  </si>
  <si>
    <t>Khách lấy 10 vỉ to + 1km. Địa chỉ : Lô 3 , số nhà 8, phố đồi văn nghệ . sdt : 0368618234</t>
  </si>
  <si>
    <t>Đan Thanh + chị Huy</t>
  </si>
  <si>
    <t>Bái Cháy</t>
  </si>
  <si>
    <t>ship Hồ Cô Tiên 20 + 2 vỉ 500ml đúng h chị nhé (cô Nga Hải) - ship luôn nhà hàng cần sắp cỗ</t>
  </si>
  <si>
    <t>CK21/9</t>
  </si>
  <si>
    <t>Ck21/9</t>
  </si>
  <si>
    <t>20/9/2026</t>
  </si>
  <si>
    <t>Bác Thẩm sdt  090 4610333, cạnh Báo Quảng Ninh cũ, 3 bình kiềm</t>
  </si>
  <si>
    <t>TM21/9</t>
  </si>
  <si>
    <t>Đan Thanh + Huy</t>
  </si>
  <si>
    <r>
      <t>Huyền Trang PQT: ship cho khách 2 bình nước kiềm, sáng nay sớm đến: Sn45 Ngõ2 Hồng Vân (cạnh chợ c3) Thuý anh:  0382850692 -</t>
    </r>
    <r>
      <rPr>
        <b/>
        <sz val="18"/>
        <color rgb="FF081B3A"/>
        <rFont val="Times New Roman"/>
        <family val="1"/>
      </rPr>
      <t xml:space="preserve"> THU tiền đổi vỏ luôn</t>
    </r>
  </si>
  <si>
    <t>Huyền Trang PQT</t>
  </si>
  <si>
    <t>SCC</t>
  </si>
  <si>
    <r>
      <t xml:space="preserve">Nguyễn Xuân Hải, số 4, ngõ 16, tổ 8 khu 5 Hà Tu, ĐT 0858677062, </t>
    </r>
    <r>
      <rPr>
        <b/>
        <sz val="18"/>
        <color rgb="FF081B3A"/>
        <rFont val="Times New Roman"/>
        <family val="1"/>
      </rPr>
      <t>thu tiền  + thu vỏ luôn</t>
    </r>
  </si>
  <si>
    <t>10 vỉ 500ml+1km Số 74 phố phan đăng lưu. Đối diện cung cá heo</t>
  </si>
  <si>
    <t>Xe cẩm phả chở luôn</t>
  </si>
  <si>
    <t>21/9</t>
  </si>
  <si>
    <t>Sếp Mạnh</t>
  </si>
  <si>
    <t>Tô Phương trạm Hồng Gai</t>
  </si>
  <si>
    <t>Sếp Mạnh: Thủy 0904218278 - 10 +1 bình kiềm kiềm đơn của sếp Mạnh đến VP Vietravel đường 25/4.</t>
  </si>
  <si>
    <t>4 vỉ anh Nguyên trả nợ, nhập 11 bình có 7 úp+4 vòi</t>
  </si>
  <si>
    <r>
      <t>Hồng Hạnh PCN: KH có nhu cầu 2 bình RO 19l ship sáng mai 0339164684 Cửa hàng cardina toà nhà Đông Thành Cao Thắng, KH thanh toán và cần hóa đơn VAT! +</t>
    </r>
    <r>
      <rPr>
        <b/>
        <sz val="18"/>
        <color rgb="FF081B3A"/>
        <rFont val="Times New Roman"/>
        <family val="1"/>
      </rPr>
      <t xml:space="preserve"> THU VỎ LUÔN</t>
    </r>
  </si>
  <si>
    <r>
      <t>Ngân Giang PQT: 3 vỉ 500ml - cô Loan -</t>
    </r>
    <r>
      <rPr>
        <sz val="20"/>
        <color rgb="FF081B3A"/>
        <rFont val="Times New Roman"/>
        <family val="1"/>
        <charset val="163"/>
      </rPr>
      <t xml:space="preserve"> </t>
    </r>
    <r>
      <rPr>
        <u/>
        <sz val="20"/>
        <color theme="1"/>
        <rFont val="Calibri"/>
        <family val="2"/>
        <charset val="1"/>
      </rPr>
      <t>0904636001</t>
    </r>
    <r>
      <rPr>
        <sz val="20"/>
        <color theme="1"/>
        <rFont val="Calibri"/>
        <family val="2"/>
        <charset val="1"/>
      </rPr>
      <t xml:space="preserve"> - ship đến trường chuyên HL (tầm 4h30-5h)</t>
    </r>
  </si>
  <si>
    <t>Huy bảo vệ</t>
  </si>
  <si>
    <t>Ngân Giang</t>
  </si>
  <si>
    <r>
      <t>Chị ơi, hôm nay Quảng Yên có đơn 30 vỉ 500ml+ 3 KM ở karaoke Trường Vũ Bãi Muối, chị đi đơn này giúp Quảng Yên nhé, ship buổi chiều ạ. Chiều ship đến</t>
    </r>
    <r>
      <rPr>
        <b/>
        <sz val="18"/>
        <color rgb="FF081B3A"/>
        <rFont val="Times New Roman"/>
        <family val="1"/>
      </rPr>
      <t xml:space="preserve"> chụp ảnh + THU TIỀN LUÔN</t>
    </r>
    <r>
      <rPr>
        <sz val="18"/>
        <color rgb="FF081B3A"/>
        <rFont val="Times New Roman"/>
        <family val="1"/>
        <charset val="163"/>
      </rPr>
      <t xml:space="preserve"> lại giúp em là được, không cần phải gọi điện trước đâu ạ.</t>
    </r>
  </si>
  <si>
    <t>C Mỵ PKT: Bảo hiểm Bảo Việt ( cạnh BV mắt Việt Nga) - lấy 40+4 bình RO -Địa chỉ: Số nhà A6 02&amp;03, Trần Quốc Nghiễn, Khu Monbay, Hạ Long, Quảng Ninh. 091 1891975 (khách lấy lần đầu).</t>
  </si>
  <si>
    <t>Chị Lại Lan bán 1 vỉ 350</t>
  </si>
  <si>
    <r>
      <t xml:space="preserve">Sn 56A , đường nguyễn du, cẩm tây, Cẩm Phả, 11 vỉ 500 + 2 bình RO,0367 989 555, </t>
    </r>
    <r>
      <rPr>
        <b/>
        <sz val="14"/>
        <color theme="1"/>
        <rFont val="Times New Roman"/>
        <family val="1"/>
      </rPr>
      <t>THU VỎ LUÔN</t>
    </r>
    <r>
      <rPr>
        <sz val="14"/>
        <color theme="1"/>
        <rFont val="Times New Roman"/>
        <family val="1"/>
        <charset val="163"/>
      </rPr>
      <t xml:space="preserve">  (vỏ bị méo - trả lại vỏ)</t>
    </r>
    <r>
      <rPr>
        <b/>
        <sz val="14"/>
        <color theme="1"/>
        <rFont val="Times New Roman"/>
        <family val="1"/>
      </rPr>
      <t xml:space="preserve"> coi như nợ vỏ</t>
    </r>
  </si>
  <si>
    <t>Nguyễn Văn Khoa (Cẩm Phả)</t>
  </si>
  <si>
    <t>Huế +Hùng</t>
  </si>
  <si>
    <t>Lụa ghi số lấy 5 vỉ 350</t>
  </si>
  <si>
    <t>5 úp + 42 vòi</t>
  </si>
  <si>
    <t>Kho Huế (5 úp + 42 vòi)</t>
  </si>
  <si>
    <t>KH nộp cho yến Quảng Yên</t>
  </si>
  <si>
    <t>22/9/2026</t>
  </si>
  <si>
    <t xml:space="preserve"> Kim Anh gửi đơn chị nhé :   cửa hàng phụ tùng ô tô ngọc tính SN 417 Nguyễn văn cừ P. hạ long qn sđt 0912088733. Khách lấy 5 bình ion</t>
  </si>
  <si>
    <t>Tô Thị Phương, Phương lái xe</t>
  </si>
  <si>
    <t>Phương Thảo KD</t>
  </si>
  <si>
    <t>Đoàn Sơn Tùng</t>
  </si>
  <si>
    <t>Tô Phương, Phương lái xe</t>
  </si>
  <si>
    <t>Chị Huế 1 đơn Nhà hàng thái nguyên 1 Cao xanh 50+5 vỉ 500 mL.</t>
  </si>
  <si>
    <t>Trạm Cao Xanh</t>
  </si>
  <si>
    <r>
      <t xml:space="preserve">C gửi đơn C Dịu - p.Quản Trị: ship đến Trạm Y tế phường Hạ Long 10+1 bình kiềm - 0856541987 (ship trong hôm nay), </t>
    </r>
    <r>
      <rPr>
        <b/>
        <sz val="18"/>
        <color rgb="FF081B3A"/>
        <rFont val="Times New Roman"/>
        <family val="1"/>
      </rPr>
      <t>THU CỌC VỎ BÌNH 660.000/11 VỎ</t>
    </r>
  </si>
  <si>
    <t>Tố như BKS: 5 vỉ 500ml đến 15 Hải Thanh 0981889895</t>
  </si>
  <si>
    <t>Tố Như</t>
  </si>
  <si>
    <t>TM22/9</t>
  </si>
  <si>
    <t>Sếp Hân</t>
  </si>
  <si>
    <t>CK 22/9</t>
  </si>
  <si>
    <t>Chị Chi</t>
  </si>
  <si>
    <t>Trần Văn Hân XNN Miền Đông: văn phòng ledeco tầng 1 tháp B chung cư lideco lấy 7 bình kiềm vòi  ( đến lễ tân gặp chị Phương lễ tân). 16h00 mới giao ạ. giúp em lấy bình về ạ.</t>
  </si>
  <si>
    <r>
      <t>Mai c ship trc e 2 bình kiềm có vòi đến số 6 phố hải thắng nha ạ (gần chung cư đông bắc),</t>
    </r>
    <r>
      <rPr>
        <b/>
        <sz val="18"/>
        <color rgb="FF081B3A"/>
        <rFont val="Times New Roman"/>
        <family val="1"/>
      </rPr>
      <t xml:space="preserve"> THU TIỀN + THU CỌC VỎ BÌNH 120.000</t>
    </r>
    <r>
      <rPr>
        <sz val="18"/>
        <color rgb="FF081B3A"/>
        <rFont val="Times New Roman"/>
        <family val="1"/>
      </rPr>
      <t xml:space="preserve">, </t>
    </r>
    <r>
      <rPr>
        <b/>
        <sz val="18"/>
        <color rgb="FF081B3A"/>
        <rFont val="Times New Roman"/>
        <family val="1"/>
      </rPr>
      <t>gửi biên lai về kế toán nộp tiền</t>
    </r>
  </si>
  <si>
    <t>hoànhành</t>
  </si>
  <si>
    <t>ủy ban phường Hạ Long bốc 20 bình Ro</t>
  </si>
  <si>
    <t>CK22/9</t>
  </si>
  <si>
    <r>
      <t>Kim Anh Bãi Cháy E gửi đơn khách lấy 5 vỉ bé</t>
    </r>
    <r>
      <rPr>
        <b/>
        <sz val="18"/>
        <color rgb="FF081B3A"/>
        <rFont val="Times New Roman"/>
        <family val="1"/>
      </rPr>
      <t xml:space="preserve"> ( Thu tiền luôn ) </t>
    </r>
    <r>
      <rPr>
        <sz val="18"/>
        <color rgb="FF081B3A"/>
        <rFont val="Times New Roman"/>
        <family val="1"/>
      </rPr>
      <t>. Sdt : 0961072525Số 74 tổ 26 khu 4 phố Hà Khánh phường Cao Xanh.</t>
    </r>
  </si>
  <si>
    <t>Xuất ban Dân tộc và tôn giáo (Lại Lan + Xuân)</t>
  </si>
  <si>
    <t>Một đơn 10+1 vỉ 500 quan bia 289 cầu k67 tầm 5h chiều</t>
  </si>
  <si>
    <t>BẠN CỦA Nhung zô lấy 2 vỉ</t>
  </si>
  <si>
    <t>23//2026</t>
  </si>
  <si>
    <t>Nhà hàng Hương Biển 30 vỉ 500</t>
  </si>
  <si>
    <t>Đoàn Sơn Tùng Kế toán: 10+1 bình kiềm đến đảng ủy phường Hạ Long, ĐT: 096 678 5829 (xuất nhầm thành Ro)</t>
  </si>
  <si>
    <t>Xe Cẩm Phả giao cho trạm Hồng gai 85 vỉ 500</t>
  </si>
  <si>
    <t>Duy Linh PXD: a Viết sân pick golden cạnh chợ cột 5 mới 10+1 vỉ 500ml. Cứ gửi tại quầy của sân (Duy Linh thanh toán)</t>
  </si>
  <si>
    <t>Duy Linh</t>
  </si>
  <si>
    <t>Ngân Giang PQT</t>
  </si>
  <si>
    <t>Ngân Giang PQT 10+1 vỉ 500ml ship về 36 phố Hàn Thuyên (cột 3, 330 Nguyễn Văn Cừ rẽ vào) sđt: 0377595237 (ship 11h45)</t>
  </si>
  <si>
    <t>Tớ báo đơn 20+2  vỉ 500ml  đến VKS tỉnh bên bãi cháy nhé (Quỳnh Hành chính), ĐT nhận hàng: 038 7635 386</t>
  </si>
  <si>
    <t>CK 23/9</t>
  </si>
  <si>
    <t>Bảo tàng đi lối cửa sau lấy 10+1 vỉ bé, ĐT 0913 770 698 (của Móng Cái)</t>
  </si>
  <si>
    <t>Móng Cái</t>
  </si>
  <si>
    <t>Huyền PGĐ</t>
  </si>
  <si>
    <t>đã thu cọc 660k</t>
  </si>
  <si>
    <t>CK23/9</t>
  </si>
  <si>
    <t>CK14/9</t>
  </si>
  <si>
    <t>23/9/2026</t>
  </si>
  <si>
    <r>
      <t xml:space="preserve">Nguyễn Thanh Tùng PQT: 
(1) Nhà Số 575 đường Nguyễn Văn Cừ, khu Hồng Hải 6, phường Hạ Long: 10+1 vỉ 500ml 
2) CQuan: Phòng 12B01, TTTM Hạ Long, 162 Lê Thánh Tông, phường Hồng Gai, tỉnh Quảng Ninh: 5 bình i-on, 10+1 vỉ 500ml, LIên hệ khách 0336074452 (có Xuất HĐ), </t>
    </r>
    <r>
      <rPr>
        <b/>
        <sz val="18"/>
        <color rgb="FF081B3A"/>
        <rFont val="Times New Roman"/>
        <family val="1"/>
      </rPr>
      <t>THU CỌC VỎ BÌNH  300.000Đ + THU TIỀN LUÔN</t>
    </r>
  </si>
  <si>
    <t>Nguyễn Thanh Tùng</t>
  </si>
  <si>
    <t>Tô Phương, Phương lái xe, Huế</t>
  </si>
  <si>
    <t>Cho chị 10 vỉ 500 cơ sở 2 của nhà khách nhé (Hiếu ghi sô) Hương Biển</t>
  </si>
  <si>
    <t>ck 23/9</t>
  </si>
  <si>
    <r>
      <t>Công ty cổ phần TKB Việt Nam, địa chỉ Tổ 4, Khu 6A, Phố Hải Thịnh, Phường Hạ Long, Thành phố Quảng Ninh đặt 5 bình nước ion kiềm,địa chỉ giao hàng ở phố Lương Định Của, mặt sau của UBND phường Hạ Long, bên cạnh Công ty cổ phần xe khách Quảng Ninh, 0386523689,</t>
    </r>
    <r>
      <rPr>
        <b/>
        <sz val="18"/>
        <color rgb="FF081B3A"/>
        <rFont val="Times New Roman"/>
        <family val="1"/>
      </rPr>
      <t xml:space="preserve"> THU CỌC VỎ BÌNH + THU TIỀN</t>
    </r>
  </si>
  <si>
    <t>Đan Thanh + 1 ghi số trạm Hạ Long</t>
  </si>
  <si>
    <t>Đan Thanh + ghi số trạm Hạ Long</t>
  </si>
  <si>
    <t>24/9/2026</t>
  </si>
  <si>
    <t>23/9//2026</t>
  </si>
  <si>
    <t>Chị Huy bán lẻ</t>
  </si>
  <si>
    <t>Hoàng anh bán lẻ</t>
  </si>
  <si>
    <t>Quỳnh hành chính bán lẻ</t>
  </si>
  <si>
    <t>Chị Phạm Huyền ghi số</t>
  </si>
  <si>
    <t>Chi Cục an toàn vệ sinh thực phầm</t>
  </si>
  <si>
    <t>Lại Lan, Xuân</t>
  </si>
  <si>
    <t>Hiếu ghi số 3 vỉ 500 khuyến mại của Hương Biển</t>
  </si>
  <si>
    <t>Chi trạm Hạ Long lấy 1 bình</t>
  </si>
  <si>
    <t>Chị Huế bán lẻ 4 kiềm vòi</t>
  </si>
  <si>
    <t>ck23/9</t>
  </si>
  <si>
    <t>CK Tài khoản xí nghiệp</t>
  </si>
  <si>
    <t>chị bùi Thu 2 vỉ 500 lấy khuyến mại</t>
  </si>
  <si>
    <t>CK 23/9 cùng 12 vỉ của Hương</t>
  </si>
  <si>
    <t>Mai Hạnh PXD</t>
  </si>
  <si>
    <t>UBND phường Hạ Long 10 bình RO</t>
  </si>
  <si>
    <t>Đan Thanh, chị Hoa trạm Hạ Long</t>
  </si>
  <si>
    <t>Chị dki một đơn 20+2 vỉ 500 cty nhựa tiền phong hk 10h sáng nay</t>
  </si>
  <si>
    <t>Nguyễn Bính PCN: KH 0943334643 Số 436 Nguyễn Văn Cừ có nhu cầu 3 úp + 2 vòi , THU TIỀN LUÔN ship trong sáng nay cần hóa đơn VAT</t>
  </si>
  <si>
    <t>24/9/2027</t>
  </si>
  <si>
    <r>
      <t xml:space="preserve"> </t>
    </r>
    <r>
      <rPr>
        <b/>
        <sz val="18"/>
        <color rgb="FF081B3A"/>
        <rFont val="Times New Roman"/>
        <family val="1"/>
      </rPr>
      <t>2 vỉ nước to</t>
    </r>
    <r>
      <rPr>
        <sz val="18"/>
        <color rgb="FF081B3A"/>
        <rFont val="Times New Roman"/>
        <family val="1"/>
      </rPr>
      <t xml:space="preserve"> cho khách hàng này nhé. Tổ 3 khu 1 phường hà khánh.    Sdt 0918962926 và</t>
    </r>
    <r>
      <rPr>
        <b/>
        <sz val="18"/>
        <color rgb="FF081B3A"/>
        <rFont val="Times New Roman"/>
        <family val="1"/>
      </rPr>
      <t xml:space="preserve"> 5 bình kiềm</t>
    </r>
    <r>
      <rPr>
        <sz val="18"/>
        <color rgb="FF081B3A"/>
        <rFont val="Times New Roman"/>
        <family val="1"/>
      </rPr>
      <t xml:space="preserve"> cũng chỗ này, nhà Tuấn Nha</t>
    </r>
  </si>
  <si>
    <t>Anh Bính PCN</t>
  </si>
  <si>
    <r>
      <t xml:space="preserve">e gửi đơn ạ : 575 hà lầm - cạnh quán bia đoàn kết - gần khu nhà hàng ngọc hoa. sdt : 0898899985. Khách hàng lấy </t>
    </r>
    <r>
      <rPr>
        <b/>
        <sz val="18"/>
        <color rgb="FF081B3A"/>
        <rFont val="Times New Roman"/>
        <family val="1"/>
      </rPr>
      <t>2 bình ion + 3 vỉ to</t>
    </r>
    <r>
      <rPr>
        <sz val="18"/>
        <color rgb="FF081B3A"/>
        <rFont val="Times New Roman"/>
        <family val="1"/>
      </rPr>
      <t>, trc khi ship chị gọi cho khách xem tầm nào giao qua dc nhé để ng ta dặn ng ở nhà nhận nước</t>
    </r>
  </si>
  <si>
    <t>Bảo hiểm Bưu Điện (15 bình trong đó 11 úp + 4 vòi) 0988764046</t>
  </si>
  <si>
    <t>CK 24/9</t>
  </si>
  <si>
    <t>Chế Thùy Dung 10+1 vỉ 500 đến karaoke Diamend cột 8</t>
  </si>
  <si>
    <t>Thúy QT</t>
  </si>
  <si>
    <t>Bùi Huy HÙng BQL: E báo hộ a (lấy 10+1) vỉ 500  chở đến SN 68 Huỳnh Thúc Kháng; Quán lẩu nướng Hồng Kông (đằng sau trường Lê Thánh Tông); A. Hiệp. Sdt. 0948113800.</t>
  </si>
  <si>
    <t>HÙng BQL</t>
  </si>
  <si>
    <t>Ghi số, vận hành</t>
  </si>
  <si>
    <r>
      <t xml:space="preserve">Mai Hạnh PXD: </t>
    </r>
    <r>
      <rPr>
        <sz val="18"/>
        <color rgb="FF081B3A"/>
        <rFont val="Segoe UI"/>
        <family val="2"/>
      </rPr>
      <t>ĐƠN SÁNG SHIP Sân Pickleball Eagle cột 8 - Tổng ship 24 vỉ 500ml ( Thu tiền và ghi nhận trong biên bản giao nhận 20+2 vỉ 500ml) (2 vỉ còn lại Mai Hạnh thanh toán riêng)Mang trực tiếp vào quầy quản lý sân</t>
    </r>
  </si>
  <si>
    <t>25/9/2026</t>
  </si>
  <si>
    <t>24c3 khu đô thị Cao Xanh A, đường Nguyễn Hành(Ngô Quyền), sau uỷ ban Phường Cao Xanh, 10+1 vỉ to, ĐT: 098 288 5999</t>
  </si>
  <si>
    <t>ship hộ em trong chiều nay cho KH Hậu, địa chỉ BT 9-18 khu biệt thực FLC Hạ Long, SĐT 0904397700, 10+1 vỉ 500ml, không thu tiền nhé ạ</t>
  </si>
  <si>
    <t>24/9/2026 (2 vòi + 2 úp)</t>
  </si>
  <si>
    <t>24/9/2024</t>
  </si>
  <si>
    <t>Phạm Thị Đan Thanh, chị Sinh teo</t>
  </si>
  <si>
    <t>Xuất cho trạm Hà Tu</t>
  </si>
  <si>
    <r>
      <t>Cẩm Thúy PQT: Công ty Vật tư TKV (đối diện Vinmec):</t>
    </r>
    <r>
      <rPr>
        <b/>
        <sz val="18"/>
        <color rgb="FF081B3A"/>
        <rFont val="Times New Roman"/>
        <family val="1"/>
      </rPr>
      <t xml:space="preserve"> 15+1 bình RO</t>
    </r>
    <r>
      <rPr>
        <sz val="18"/>
        <color rgb="FF081B3A"/>
        <rFont val="Times New Roman"/>
        <family val="1"/>
      </rPr>
      <t xml:space="preserve"> có vòi +</t>
    </r>
    <r>
      <rPr>
        <b/>
        <sz val="18"/>
        <color rgb="FF081B3A"/>
        <rFont val="Times New Roman"/>
        <family val="1"/>
      </rPr>
      <t>8 vỉ 350m</t>
    </r>
    <r>
      <rPr>
        <sz val="18"/>
        <color rgb="FF081B3A"/>
        <rFont val="Times New Roman"/>
        <family val="1"/>
      </rPr>
      <t>l chị nhé, ĐT 096 232 3188</t>
    </r>
  </si>
  <si>
    <t>Chị Tấm số nhà 23, ngõ 1 Hải Phong, ĐT0357087461, 2 vỉ to, ship luôn</t>
  </si>
  <si>
    <t>TM25/9</t>
  </si>
  <si>
    <t>Đoàn Sơn Tùng: Báo ship hộ anh 2 vỉ ion 500ml với 1 vỉ 350mk đến chỗ đảng ủy Hạ Long hộ a vs nhé</t>
  </si>
  <si>
    <t>Sơn Tùng</t>
  </si>
  <si>
    <t>Em ơi nhà khách cơ sở 2 chỗ hộ trưởng 10 bình RO nhé</t>
  </si>
  <si>
    <t>Tô Phương, Phương lái xe, chị Lại Lan</t>
  </si>
  <si>
    <t>Ship cho e 2 vỉ nước 500ml đến chung cư Lideco nhé! Bạn c Huệ Sức, ĐT 0903472876</t>
  </si>
  <si>
    <t>Nhung Nguyễn PKD: 033 2286818 ngân hàng Nam Á - ship 2 vỉ 350ml</t>
  </si>
  <si>
    <t>Huệ Sức</t>
  </si>
  <si>
    <t>CK 25/9</t>
  </si>
  <si>
    <t>Xuất 40 vỉ 500 ml cho trạm Hạ Long</t>
  </si>
  <si>
    <t>Trạm hạ Long</t>
  </si>
  <si>
    <t>Trạm Hạ Long thu tiền</t>
  </si>
  <si>
    <t>Chị THơm bán lẻ 2 vỉ</t>
  </si>
  <si>
    <t>CK25-9</t>
  </si>
  <si>
    <t>Cho chị hai vỉ 350 đến trường Lê Hồng Phong (Trần Quốc Toản cũ) gửi bảo vệ cho chị.</t>
  </si>
  <si>
    <t>26/9/2026</t>
  </si>
  <si>
    <t>lấy 12 vỉ lẩu bí ngô cao xanh</t>
  </si>
  <si>
    <t>28/9/2026</t>
  </si>
  <si>
    <t>Đám ma nhà Dung Khánh</t>
  </si>
  <si>
    <t>Chợ hạ long 2 phương lấy 11+1 vỉ 500 đã giao xong</t>
  </si>
  <si>
    <t>Ck27/9</t>
  </si>
  <si>
    <t>Chị Chi Trạm Hạ Long</t>
  </si>
  <si>
    <t>Chị Hạnh hà đã ck về Tk  đuôi 669 (Ecoba Việt Nam</t>
  </si>
  <si>
    <t>CK 26/9</t>
  </si>
  <si>
    <t>hà Thanh Tùng PTM: sáng thứ 2 ship 30+3 bình kiềm đến UBND Hà Lầm</t>
  </si>
  <si>
    <t>Trần Huyền ghi số lấy 2 bình thường</t>
  </si>
  <si>
    <t>Thụ trang</t>
  </si>
  <si>
    <t>Chị lại Lan bán lẻ 1 bình Ro, trả vỏ luôn</t>
  </si>
  <si>
    <t>CK 28/9</t>
  </si>
  <si>
    <t xml:space="preserve"> Mai Viết Hoàng PKT: đki 15+1 vỉ 500ml đến địa chỉ số 29, Lê Thanh Nghị , P, Hạ long, TP. Quảng Ninh, sđt ng nhận: 0788263688 - ship sáng nay (Hoàng thanh toán)</t>
  </si>
  <si>
    <r>
      <t xml:space="preserve">Mai Hạnh PXD: Số 5, phố Hải Lộc nhé Thanh - 0982958994 - khách lấy </t>
    </r>
    <r>
      <rPr>
        <b/>
        <sz val="14"/>
        <color theme="1"/>
        <rFont val="Times New Roman"/>
        <family val="1"/>
      </rPr>
      <t>6 bình kiềm</t>
    </r>
    <r>
      <rPr>
        <sz val="14"/>
        <color theme="1"/>
        <rFont val="Times New Roman"/>
        <family val="1"/>
        <charset val="163"/>
      </rPr>
      <t xml:space="preserve"> (đã ok cọc vỏ), c liên hệ khách ship luôn nhé,</t>
    </r>
    <r>
      <rPr>
        <b/>
        <sz val="14"/>
        <color theme="1"/>
        <rFont val="Times New Roman"/>
        <family val="1"/>
      </rPr>
      <t xml:space="preserve"> THU CỌC VỎ 360.000Đ + THU TIỀN NƯỚC</t>
    </r>
  </si>
  <si>
    <t>Mai Viết Hoàng</t>
  </si>
  <si>
    <t>10 +1 vỉ nước 350 ra VNPT '091 529 90 36</t>
  </si>
  <si>
    <t>Chị Lại Lan bán lẻ 2 bình kiềm, cọc 2 vỏ = 224k</t>
  </si>
  <si>
    <t>CK28/9</t>
  </si>
  <si>
    <t>CK28/9 cả cọc</t>
  </si>
  <si>
    <r>
      <t>Thu Trang PMT: Căn số 6, lô D7, khu đo thị Monbay,  20+2 vỉ 350 nhé - 0913021889</t>
    </r>
    <r>
      <rPr>
        <b/>
        <sz val="14"/>
        <color theme="1"/>
        <rFont val="Times New Roman"/>
        <family val="1"/>
      </rPr>
      <t xml:space="preserve"> (thu tiền luôn</t>
    </r>
    <r>
      <rPr>
        <sz val="14"/>
        <color theme="1"/>
        <rFont val="Times New Roman"/>
        <family val="1"/>
        <charset val="163"/>
      </rPr>
      <t>, khách lấy hóa đơn), hóa đơn tên cty CP Đầu tư và Phát Triển Monbay TV</t>
    </r>
  </si>
  <si>
    <t>Dung PTC</t>
  </si>
  <si>
    <t>Úp</t>
  </si>
  <si>
    <t>Vòi</t>
  </si>
  <si>
    <r>
      <t xml:space="preserve">Hồng Hạnh PCN: khách lấy bình thường ở Saphire S2 0338751971, </t>
    </r>
    <r>
      <rPr>
        <b/>
        <sz val="14"/>
        <color theme="1"/>
        <rFont val="Times New Roman"/>
        <family val="1"/>
      </rPr>
      <t>THU TIỀN CỌC 60.000 + TIỀN NƯỚC 48.000đ, chỉ giao đến sảnh, ko bê lên tầng</t>
    </r>
  </si>
  <si>
    <t>chị Huế NV thị trường</t>
  </si>
  <si>
    <t>Cẩm Thúy</t>
  </si>
  <si>
    <r>
      <t>Cẩm Thúy PQT: Công ty Vật tư TKV (đối diện Vinmec):</t>
    </r>
    <r>
      <rPr>
        <b/>
        <sz val="14"/>
        <color theme="1"/>
        <rFont val="Times New Roman"/>
        <family val="1"/>
      </rPr>
      <t xml:space="preserve"> 10 bình RO</t>
    </r>
    <r>
      <rPr>
        <sz val="14"/>
        <color theme="1"/>
        <rFont val="Times New Roman"/>
        <family val="1"/>
        <charset val="163"/>
      </rPr>
      <t xml:space="preserve"> vòi 096 2323188</t>
    </r>
  </si>
  <si>
    <t>Lụa ghi số 6 vỉ 350</t>
  </si>
  <si>
    <r>
      <t xml:space="preserve">E có khách lấy 5 bình nc Ro địa chỉ 432 Hà Lầm 0349826976 đt người nhận, </t>
    </r>
    <r>
      <rPr>
        <b/>
        <sz val="14"/>
        <color theme="1"/>
        <rFont val="Times New Roman"/>
        <family val="1"/>
      </rPr>
      <t>cọc vỏ bình , thủ tiền cọc</t>
    </r>
  </si>
  <si>
    <t>15+1 vỉ 500ml 5 vỉ 350ml đến nhà chị Hà Thị Hằng, chị Hằng tự bốc</t>
  </si>
  <si>
    <t>Chị Thơm bán lẻ 1 vỉ</t>
  </si>
  <si>
    <t>29/9/2026</t>
  </si>
  <si>
    <t>Kho Huế (2 úp + 6 vòi)</t>
  </si>
  <si>
    <t>bãi cháy</t>
  </si>
  <si>
    <t>10 vỉ to +25 vỉ nhỏ + 7 bình ion</t>
  </si>
  <si>
    <t>Tổng nhận</t>
  </si>
  <si>
    <t>Thùng nhỏ</t>
  </si>
  <si>
    <t>ơi mai cho chị đăng kí 30 +3 RO  vòi và 10 vỉ 500 em nhé .(VPUB Tỉnh QN).Chiều mai em nhé . 0977446067</t>
  </si>
  <si>
    <t>500ml</t>
  </si>
  <si>
    <t xml:space="preserve"> 350 ml</t>
  </si>
  <si>
    <t>hộp</t>
  </si>
  <si>
    <t xml:space="preserve"> 500ml</t>
  </si>
  <si>
    <t>úp</t>
  </si>
  <si>
    <t xml:space="preserve">vỉ </t>
  </si>
  <si>
    <t>10 vỉ 350ml + 1 km đến lideco hộ em với nhé! Giao càng sớm càng tốt chị ạ!!</t>
  </si>
  <si>
    <t>Hiển</t>
  </si>
  <si>
    <r>
      <t>Thư Tuyền PXD: E ơi ship giúp c 10 +1 vỉ 500ml (980k) đến nhà chú Thắng ở tổ 13 khu phố Hà Trung 2 (tầm 11h-11r chú ấy đi làm về)</t>
    </r>
    <r>
      <rPr>
        <sz val="16"/>
        <color theme="1"/>
        <rFont val="Times New Roman"/>
        <family val="1"/>
        <charset val="163"/>
      </rPr>
      <t xml:space="preserve"> </t>
    </r>
    <r>
      <rPr>
        <u/>
        <sz val="16"/>
        <color theme="1"/>
        <rFont val="Calibri"/>
        <family val="2"/>
        <charset val="1"/>
      </rPr>
      <t>+84972133886</t>
    </r>
    <r>
      <rPr>
        <sz val="16"/>
        <color theme="1"/>
        <rFont val="Calibri"/>
        <family val="2"/>
        <charset val="1"/>
      </rPr>
      <t>.</t>
    </r>
  </si>
  <si>
    <t>CK29/9</t>
  </si>
  <si>
    <r>
      <t xml:space="preserve">Văn phòng bán hàng SH 01-05 KĐT Greediamond Cao xanh 10+1 bình kiềm Đt 0835418243, </t>
    </r>
    <r>
      <rPr>
        <b/>
        <sz val="18"/>
        <color rgb="FF081B3A"/>
        <rFont val="Times New Roman"/>
        <family val="1"/>
      </rPr>
      <t>THU CỌC VỎ BÌNH = 660.000 + THU TIỀN NƯỚC LUÔN</t>
    </r>
  </si>
  <si>
    <t>Minh Huệ</t>
  </si>
  <si>
    <r>
      <t xml:space="preserve">Minh HUệ PQT: 10+1 vỉ 350ml đến Lan Bò Quán, 6A Lê Thánh Tông, 089 8083222 ( </t>
    </r>
    <r>
      <rPr>
        <b/>
        <sz val="14"/>
        <color theme="1"/>
        <rFont val="Times New Roman"/>
        <family val="1"/>
      </rPr>
      <t>CHiều ship,</t>
    </r>
    <r>
      <rPr>
        <sz val="14"/>
        <color theme="1"/>
        <rFont val="Times New Roman"/>
        <family val="1"/>
        <charset val="163"/>
      </rPr>
      <t xml:space="preserve"> thu tiền luôn)</t>
    </r>
  </si>
  <si>
    <t>CK cọc vỏ về Tk xí nghiệp 29/9 (Công ty Phát Triển Nhà và hạ tầng TKV)
Tiền nước ck tk XN 29/9</t>
  </si>
  <si>
    <t>:Nguyễn Hải Ninh phòng KT đki 10+1 vỉ 500ml ship đến địa chỉ: Số nhà 260 tổ 61 khu Cao Thắng 7 phường Hà Lầm - sđt: 083 3762848 THU TIỀN LUÔN</t>
  </si>
  <si>
    <t>Hải Ninh</t>
  </si>
  <si>
    <t>CK 20/9</t>
  </si>
  <si>
    <t>10+1 vỉ 500 đến karaoke dimond (hóa đơn Công ty CP Duyên Hải Đông Bắc Land)</t>
  </si>
  <si>
    <r>
      <t xml:space="preserve">Dung PTC: 10 Bình RO úp + 1 bình vòi  KM tới nha khoa Melatec A 9-02 monbay , sđt: 0963394735 (xuất hoá đơn), VIẾT BIÊN BẢN </t>
    </r>
    <r>
      <rPr>
        <b/>
        <sz val="14"/>
        <color theme="1"/>
        <rFont val="Times New Roman"/>
        <family val="1"/>
      </rPr>
      <t>CỌC VỎ BÌNH CHO KH KÝ NHẬN = 660.000Đ</t>
    </r>
    <r>
      <rPr>
        <sz val="14"/>
        <color theme="1"/>
        <rFont val="Times New Roman"/>
        <family val="1"/>
        <charset val="163"/>
      </rPr>
      <t xml:space="preserve"> Công ty CP Nụ Cười Mới Việt Nam</t>
    </r>
  </si>
  <si>
    <t>TM29/9</t>
  </si>
  <si>
    <t>Anh Hoàng Bảo vệ, trạm Hạ Lomg</t>
  </si>
  <si>
    <t>Ck29/9</t>
  </si>
  <si>
    <t>Nộp tiền cho chị Thúy</t>
  </si>
  <si>
    <t>30/9/2026</t>
  </si>
  <si>
    <t>Thái Sơn</t>
  </si>
  <si>
    <r>
      <t xml:space="preserve">Nguyễn Thái Sơn phòng KT đki 15+1 vỉ 350ml đến trường mầm non Hạ long, 0904110068, </t>
    </r>
    <r>
      <rPr>
        <b/>
        <sz val="14"/>
        <color theme="1"/>
        <rFont val="Times New Roman"/>
        <family val="1"/>
      </rPr>
      <t>THU TIỀN LUÔN</t>
    </r>
  </si>
  <si>
    <r>
      <t xml:space="preserve">Công ty cổ phần xe khách quảng ninhTổ 4 phường hạ long, 5 bình RO, </t>
    </r>
    <r>
      <rPr>
        <b/>
        <sz val="14"/>
        <color theme="1"/>
        <rFont val="Times New Roman"/>
        <family val="1"/>
      </rPr>
      <t>THU CỌC 300.000</t>
    </r>
  </si>
  <si>
    <t>Số nhà 41 tổ 6 khu 5. Đi vào ngõ 56 cạnh công an phường Hạ long (đối diện chợ Hồng Hà), lên thẳng dốc, nhà đối diện nhà văn hoá khu 5, 0913265778,  10+1 vỉ 500 m</t>
  </si>
  <si>
    <t>Dung ghi số Hạ Long</t>
  </si>
  <si>
    <t>Bảo Long PCN: SN 11 kho gạo Yết Kiêu - 0963069266 - ship luôn 5 vỉ 500ml thu tiền luôn</t>
  </si>
  <si>
    <t>Bảo Long PCN</t>
  </si>
  <si>
    <t>Tô Phương, Phương lái xe chở hàng</t>
  </si>
  <si>
    <t>UBND phường Hạ Long  10 bình Ro</t>
  </si>
  <si>
    <t>chuyển sang cho chị 5 vỉ nước 500m, 0972502235, để sảnh chung cư sapphre</t>
  </si>
  <si>
    <t>Uông Bí</t>
  </si>
  <si>
    <t>Thúy Nghĩa</t>
  </si>
  <si>
    <t>Minh Hue PQT: Số nhà 09, đường lương đình của, cạnh công ty xe khách quảng ninh. Phía sau lưng UBND phường hạ Long 0355047656 : ship khách 20 vỉ 350ml, 2 vỉ Minh Huệ qua xí nghiệp lấy ( Minh HUệ thanh toán tiền)</t>
  </si>
  <si>
    <t>1/10</t>
  </si>
  <si>
    <t>Nhận sản lượng của Chị Lệ viết hóa đơn cho TKV</t>
  </si>
  <si>
    <t>Xuân trạm 3 bình ion</t>
  </si>
  <si>
    <t>Hùng kều trạm</t>
  </si>
  <si>
    <t>2 vỉ Nam Vâu trả thời Min Hương</t>
  </si>
  <si>
    <r>
      <t xml:space="preserve">3 vỉ 350 sang trường mâm non Hạ Long, </t>
    </r>
    <r>
      <rPr>
        <b/>
        <sz val="14"/>
        <color theme="1"/>
        <rFont val="Times New Roman"/>
        <family val="1"/>
      </rPr>
      <t>thu tiền luôn</t>
    </r>
    <r>
      <rPr>
        <sz val="14"/>
        <color theme="1"/>
        <rFont val="Times New Roman"/>
        <family val="1"/>
        <charset val="163"/>
      </rPr>
      <t xml:space="preserve"> 0904110068</t>
    </r>
  </si>
  <si>
    <t>Thảo Pý Cẩm Phả thu tiền</t>
  </si>
  <si>
    <t>Áo cưới 5 vỉ 350</t>
  </si>
  <si>
    <t>CK1/10</t>
  </si>
  <si>
    <t>Kinh doanh</t>
  </si>
  <si>
    <t>Tùng TC</t>
  </si>
  <si>
    <t>CK2/10</t>
  </si>
  <si>
    <t>CK3/10</t>
  </si>
  <si>
    <t>KD</t>
  </si>
  <si>
    <t>TM</t>
  </si>
  <si>
    <t>CK30/9</t>
  </si>
  <si>
    <t>CK4/10</t>
  </si>
  <si>
    <t>Quỳnh lấy 10 bình kiềm bán lẻ</t>
  </si>
  <si>
    <t>15/9/26</t>
  </si>
  <si>
    <t>Huế, Phương lái xe</t>
  </si>
  <si>
    <t>Phạm Thu quỳnh</t>
  </si>
  <si>
    <t>Huế + Phương lái xe</t>
  </si>
  <si>
    <t>Lái xe</t>
  </si>
  <si>
    <t>Phụ xe</t>
  </si>
  <si>
    <t>NV kẹp chì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</si>
</sst>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_-;_-@_-"/>
    <numFmt numFmtId="165" formatCode="_-* #,##0.00_-;\-* #,##0.00_-;_-* \-??_-;_-@_-"/>
    <numFmt numFmtId="166" formatCode="_-* #,##0_-;\-* #,##0_-;_-* \-??_-;_-@_-"/>
    <numFmt numFmtId="167" formatCode="dd/mm/yy"/>
  </numFmts>
  <fonts count="54" x14ac:knownFonts="1">
    <font>
      <sz val="11"/>
      <color theme="1"/>
      <name val="Calibri"/>
      <family val="2"/>
      <charset val="1"/>
    </font>
    <font>
      <sz val="12"/>
      <name val="Calibri"/>
      <family val="2"/>
      <charset val="1"/>
    </font>
    <font>
      <sz val="14"/>
      <color theme="1"/>
      <name val="Times New Roman"/>
      <family val="1"/>
      <charset val="163"/>
    </font>
    <font>
      <b/>
      <sz val="18"/>
      <color rgb="FFFF0000"/>
      <name val="Times New Roman"/>
      <family val="1"/>
      <charset val="163"/>
    </font>
    <font>
      <sz val="18"/>
      <color theme="1"/>
      <name val="Times New Roman"/>
      <family val="1"/>
      <charset val="163"/>
    </font>
    <font>
      <b/>
      <sz val="18"/>
      <color theme="1"/>
      <name val="Times New Roman"/>
      <family val="1"/>
      <charset val="163"/>
    </font>
    <font>
      <b/>
      <sz val="14"/>
      <color theme="1"/>
      <name val="Times New Roman"/>
      <family val="1"/>
      <charset val="163"/>
    </font>
    <font>
      <b/>
      <sz val="14"/>
      <color theme="1"/>
      <name val="Times New Roman"/>
      <family val="1"/>
      <charset val="1"/>
    </font>
    <font>
      <sz val="14"/>
      <color theme="1"/>
      <name val="Times New Roman"/>
      <family val="1"/>
      <charset val="1"/>
    </font>
    <font>
      <sz val="14"/>
      <color rgb="FF081B3A"/>
      <name val="Times New Roman"/>
      <family val="1"/>
      <charset val="163"/>
    </font>
    <font>
      <b/>
      <sz val="14"/>
      <color rgb="FFFF0000"/>
      <name val="Times New Roman"/>
      <family val="1"/>
      <charset val="163"/>
    </font>
    <font>
      <sz val="14"/>
      <color rgb="FF000000"/>
      <name val="Times New Roman"/>
      <family val="1"/>
      <charset val="163"/>
    </font>
    <font>
      <sz val="14"/>
      <color rgb="FF081B3A"/>
      <name val="Times New Roman"/>
      <family val="1"/>
      <charset val="1"/>
    </font>
    <font>
      <b/>
      <sz val="14"/>
      <color rgb="FFFF0000"/>
      <name val="Times New Roman"/>
      <family val="1"/>
      <charset val="1"/>
    </font>
    <font>
      <b/>
      <sz val="16"/>
      <color theme="1"/>
      <name val="Times New Roman"/>
      <family val="1"/>
      <charset val="1"/>
    </font>
    <font>
      <b/>
      <sz val="16"/>
      <color rgb="FFFF0000"/>
      <name val="Times New Roman"/>
      <family val="1"/>
      <charset val="1"/>
    </font>
    <font>
      <b/>
      <i/>
      <sz val="14"/>
      <color theme="1"/>
      <name val="Times New Roman"/>
      <family val="1"/>
      <charset val="1"/>
    </font>
    <font>
      <b/>
      <sz val="20"/>
      <color theme="1"/>
      <name val="Times New Roman"/>
      <family val="1"/>
      <charset val="163"/>
    </font>
    <font>
      <b/>
      <sz val="16"/>
      <color theme="1"/>
      <name val="Times New Roman"/>
      <family val="1"/>
      <charset val="163"/>
    </font>
    <font>
      <b/>
      <i/>
      <sz val="14"/>
      <color theme="1"/>
      <name val="Times New Roman"/>
      <family val="1"/>
      <charset val="163"/>
    </font>
    <font>
      <b/>
      <sz val="11"/>
      <color theme="1"/>
      <name val="Calibri"/>
      <family val="2"/>
      <charset val="1"/>
    </font>
    <font>
      <sz val="11"/>
      <color theme="1"/>
      <name val="Calibri"/>
      <family val="2"/>
      <charset val="1"/>
    </font>
    <font>
      <sz val="12"/>
      <color theme="1"/>
      <name val="Times New Roman"/>
      <family val="1"/>
    </font>
    <font>
      <b/>
      <sz val="12"/>
      <color theme="1"/>
      <name val="Times New Roman"/>
      <family val="1"/>
      <charset val="163"/>
    </font>
    <font>
      <b/>
      <sz val="13"/>
      <color theme="1"/>
      <name val="Times New Roman"/>
      <family val="1"/>
      <charset val="163"/>
    </font>
    <font>
      <b/>
      <sz val="11"/>
      <color theme="1"/>
      <name val="Times New Roman"/>
      <family val="1"/>
      <charset val="163"/>
    </font>
    <font>
      <sz val="11"/>
      <color theme="1"/>
      <name val="Times New Roman"/>
      <family val="1"/>
      <charset val="163"/>
    </font>
    <font>
      <sz val="14"/>
      <color theme="1"/>
      <name val="Calibri"/>
      <family val="2"/>
    </font>
    <font>
      <b/>
      <sz val="14"/>
      <color theme="1"/>
      <name val="Times New Roman"/>
      <family val="1"/>
    </font>
    <font>
      <sz val="14"/>
      <color theme="1"/>
      <name val="Times New Roman"/>
      <family val="1"/>
    </font>
    <font>
      <b/>
      <sz val="11"/>
      <color theme="1"/>
      <name val="Calibri"/>
      <family val="2"/>
    </font>
    <font>
      <b/>
      <sz val="11"/>
      <color theme="1"/>
      <name val="Times New Roman"/>
      <family val="1"/>
    </font>
    <font>
      <sz val="16"/>
      <color theme="1"/>
      <name val="Times New Roman"/>
      <family val="1"/>
      <charset val="163"/>
    </font>
    <font>
      <u/>
      <sz val="18"/>
      <color theme="1"/>
      <name val="Calibri"/>
      <family val="2"/>
      <charset val="1"/>
    </font>
    <font>
      <sz val="18"/>
      <color theme="1"/>
      <name val="Calibri"/>
      <family val="2"/>
      <charset val="1"/>
    </font>
    <font>
      <sz val="16"/>
      <color theme="1"/>
      <name val="Times New Roman"/>
      <family val="1"/>
    </font>
    <font>
      <b/>
      <sz val="16"/>
      <color theme="1"/>
      <name val="Times New Roman"/>
      <family val="1"/>
    </font>
    <font>
      <sz val="16"/>
      <color rgb="FF081B3A"/>
      <name val="Times New Roman"/>
      <family val="1"/>
      <charset val="163"/>
    </font>
    <font>
      <b/>
      <sz val="16"/>
      <color rgb="FF081B3A"/>
      <name val="Times New Roman"/>
      <family val="1"/>
    </font>
    <font>
      <b/>
      <sz val="14"/>
      <color rgb="FF081B3A"/>
      <name val="Times New Roman"/>
      <family val="1"/>
    </font>
    <font>
      <sz val="18"/>
      <color rgb="FF081B3A"/>
      <name val="Times New Roman"/>
      <family val="1"/>
      <charset val="163"/>
    </font>
    <font>
      <u/>
      <sz val="18"/>
      <color theme="1"/>
      <name val="Segoe UI"/>
      <family val="2"/>
    </font>
    <font>
      <b/>
      <u/>
      <sz val="18"/>
      <color theme="1"/>
      <name val="Segoe UI"/>
      <family val="2"/>
    </font>
    <font>
      <b/>
      <sz val="18"/>
      <color rgb="FF081B3A"/>
      <name val="Times New Roman"/>
      <family val="1"/>
    </font>
    <font>
      <sz val="20"/>
      <color rgb="FF081B3A"/>
      <name val="Times New Roman"/>
      <family val="1"/>
      <charset val="163"/>
    </font>
    <font>
      <u/>
      <sz val="20"/>
      <color theme="1"/>
      <name val="Calibri"/>
      <family val="2"/>
      <charset val="1"/>
    </font>
    <font>
      <sz val="20"/>
      <color theme="1"/>
      <name val="Calibri"/>
      <family val="2"/>
      <charset val="1"/>
    </font>
    <font>
      <sz val="18"/>
      <color rgb="FF081B3A"/>
      <name val="Times New Roman"/>
      <family val="1"/>
    </font>
    <font>
      <sz val="18"/>
      <color rgb="FF081B3A"/>
      <name val="Segoe UI"/>
      <family val="2"/>
    </font>
    <font>
      <sz val="14"/>
      <color theme="1"/>
      <name val="Calibri"/>
      <family val="2"/>
      <charset val="1"/>
    </font>
    <font>
      <sz val="8"/>
      <name val="Calibri"/>
      <family val="2"/>
      <charset val="1"/>
    </font>
    <font>
      <sz val="11"/>
      <color rgb="FFFF0000"/>
      <name val="Calibri"/>
      <family val="2"/>
      <charset val="1"/>
    </font>
    <font>
      <u/>
      <sz val="16"/>
      <color theme="1"/>
      <name val="Calibri"/>
      <family val="2"/>
      <charset val="1"/>
    </font>
    <font>
      <sz val="16"/>
      <color theme="1"/>
      <name val="Calibri"/>
      <family val="2"/>
      <charset val="1"/>
    </font>
  </fonts>
  <fills count="44">
    <fill>
      <patternFill patternType="none"/>
    </fill>
    <fill>
      <patternFill patternType="gray125"/>
    </fill>
    <fill>
      <patternFill patternType="solid">
        <fgColor theme="7" tint="0.59987182226020086"/>
        <bgColor rgb="FFFFF2CC"/>
      </patternFill>
    </fill>
    <fill>
      <patternFill patternType="solid">
        <fgColor theme="5" tint="0.59987182226020086"/>
        <bgColor rgb="FFFFC7CE"/>
      </patternFill>
    </fill>
    <fill>
      <patternFill patternType="solid">
        <fgColor rgb="FFFFFF00"/>
        <bgColor rgb="FFFFFF00"/>
      </patternFill>
    </fill>
    <fill>
      <patternFill patternType="solid">
        <fgColor theme="9" tint="0.59987182226020086"/>
        <bgColor rgb="FFFBE5D6"/>
      </patternFill>
    </fill>
    <fill>
      <patternFill patternType="solid">
        <fgColor theme="0"/>
        <bgColor rgb="FFFFF5CE"/>
      </patternFill>
    </fill>
    <fill>
      <patternFill patternType="solid">
        <fgColor theme="7" tint="0.79989013336588644"/>
        <bgColor rgb="FFFFF5CE"/>
      </patternFill>
    </fill>
    <fill>
      <patternFill patternType="solid">
        <fgColor theme="5" tint="0.79989013336588644"/>
        <bgColor rgb="FFFFD8CE"/>
      </patternFill>
    </fill>
    <fill>
      <patternFill patternType="solid">
        <fgColor rgb="FF069A2E"/>
        <bgColor rgb="FF00A933"/>
      </patternFill>
    </fill>
    <fill>
      <patternFill patternType="solid">
        <fgColor rgb="FFFF5429"/>
        <bgColor rgb="FFFF3838"/>
      </patternFill>
    </fill>
    <fill>
      <patternFill patternType="solid">
        <fgColor rgb="FFFFD8CE"/>
        <bgColor rgb="FFFBE5D6"/>
      </patternFill>
    </fill>
    <fill>
      <patternFill patternType="solid">
        <fgColor rgb="FFFFF5CE"/>
        <bgColor rgb="FFFFF2CC"/>
      </patternFill>
    </fill>
    <fill>
      <patternFill patternType="solid">
        <fgColor rgb="FF3FAF46"/>
        <bgColor rgb="FF00A933"/>
      </patternFill>
    </fill>
    <fill>
      <patternFill patternType="solid">
        <fgColor rgb="FFFFFF00"/>
        <bgColor indexed="64"/>
      </patternFill>
    </fill>
    <fill>
      <patternFill patternType="solid">
        <fgColor rgb="FF92D050"/>
        <bgColor indexed="64"/>
      </patternFill>
    </fill>
    <fill>
      <patternFill patternType="solid">
        <fgColor rgb="FFEC4D4D"/>
        <bgColor indexed="64"/>
      </patternFill>
    </fill>
    <fill>
      <patternFill patternType="solid">
        <fgColor rgb="FFFFE3E3"/>
        <bgColor indexed="64"/>
      </patternFill>
    </fill>
    <fill>
      <patternFill patternType="solid">
        <fgColor rgb="FF92D050"/>
        <bgColor rgb="FF969696"/>
      </patternFill>
    </fill>
    <fill>
      <patternFill patternType="solid">
        <fgColor theme="0" tint="-4.9989318521683403E-2"/>
        <bgColor rgb="FFF7F7F7"/>
      </patternFill>
    </fill>
    <fill>
      <patternFill patternType="solid">
        <fgColor rgb="FFFF0000"/>
        <bgColor rgb="FF9C0006"/>
      </patternFill>
    </fill>
    <fill>
      <patternFill patternType="solid">
        <fgColor theme="0"/>
        <bgColor rgb="FFF7F7F7"/>
      </patternFill>
    </fill>
    <fill>
      <patternFill patternType="solid">
        <fgColor rgb="FFFFFF00"/>
        <bgColor rgb="FFFFD966"/>
      </patternFill>
    </fill>
    <fill>
      <patternFill patternType="solid">
        <fgColor theme="0"/>
        <bgColor rgb="FFFF9900"/>
      </patternFill>
    </fill>
    <fill>
      <patternFill patternType="solid">
        <fgColor theme="0"/>
        <bgColor rgb="FF9C0006"/>
      </patternFill>
    </fill>
    <fill>
      <patternFill patternType="solid">
        <fgColor theme="0"/>
        <bgColor indexed="64"/>
      </patternFill>
    </fill>
    <fill>
      <patternFill patternType="solid">
        <fgColor rgb="FFFFFF00"/>
        <bgColor rgb="FFFFF5CE"/>
      </patternFill>
    </fill>
    <fill>
      <patternFill patternType="solid">
        <fgColor theme="7" tint="0.59999389629810485"/>
        <bgColor indexed="64"/>
      </patternFill>
    </fill>
    <fill>
      <patternFill patternType="solid">
        <fgColor theme="0"/>
        <bgColor rgb="FFFFF2CC"/>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59999389629810485"/>
        <bgColor rgb="FFFFF5CE"/>
      </patternFill>
    </fill>
    <fill>
      <patternFill patternType="solid">
        <fgColor rgb="FFF6C3FF"/>
        <bgColor rgb="FF00A933"/>
      </patternFill>
    </fill>
    <fill>
      <patternFill patternType="solid">
        <fgColor rgb="FFDC3939"/>
        <bgColor rgb="FF00A933"/>
      </patternFill>
    </fill>
    <fill>
      <patternFill patternType="solid">
        <fgColor rgb="FF00B050"/>
        <bgColor rgb="FFFFF2CC"/>
      </patternFill>
    </fill>
    <fill>
      <patternFill patternType="solid">
        <fgColor rgb="FFFF000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FF0000"/>
        <bgColor rgb="FFFFF5CE"/>
      </patternFill>
    </fill>
    <fill>
      <patternFill patternType="solid">
        <fgColor rgb="FFAAE571"/>
        <bgColor indexed="64"/>
      </patternFill>
    </fill>
    <fill>
      <patternFill patternType="solid">
        <fgColor theme="4"/>
        <bgColor indexed="64"/>
      </patternFill>
    </fill>
    <fill>
      <patternFill patternType="solid">
        <fgColor theme="4"/>
        <bgColor rgb="FFFFF5CE"/>
      </patternFill>
    </fill>
    <fill>
      <patternFill patternType="solid">
        <fgColor rgb="FFFF7474"/>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hair">
        <color auto="1"/>
      </top>
      <bottom/>
      <diagonal/>
    </border>
    <border>
      <left style="thin">
        <color auto="1"/>
      </left>
      <right/>
      <top/>
      <bottom/>
      <diagonal/>
    </border>
  </borders>
  <cellStyleXfs count="4">
    <xf numFmtId="0" fontId="0" fillId="0" borderId="0"/>
    <xf numFmtId="165" fontId="21" fillId="0" borderId="0" applyBorder="0" applyProtection="0"/>
    <xf numFmtId="0" fontId="1" fillId="0" borderId="0"/>
    <xf numFmtId="164" fontId="21" fillId="0" borderId="0" applyBorder="0" applyProtection="0"/>
  </cellStyleXfs>
  <cellXfs count="517">
    <xf numFmtId="0" fontId="0" fillId="0" borderId="0" xfId="0"/>
    <xf numFmtId="0" fontId="7"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164" fontId="8" fillId="6" borderId="1" xfId="3" applyFont="1" applyFill="1" applyBorder="1" applyAlignment="1" applyProtection="1">
      <alignment horizontal="center" vertical="center" wrapText="1"/>
    </xf>
    <xf numFmtId="0" fontId="8" fillId="6" borderId="1" xfId="0" applyFont="1" applyFill="1" applyBorder="1" applyAlignment="1">
      <alignment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8" fillId="6" borderId="4" xfId="0" applyFont="1" applyFill="1" applyBorder="1" applyAlignment="1">
      <alignmen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6" borderId="1" xfId="0" applyFont="1" applyFill="1" applyBorder="1" applyAlignment="1">
      <alignment vertical="center" wrapText="1"/>
    </xf>
    <xf numFmtId="0" fontId="8" fillId="0" borderId="0" xfId="0" applyFont="1" applyAlignment="1">
      <alignment vertical="center" wrapText="1"/>
    </xf>
    <xf numFmtId="0" fontId="8" fillId="6" borderId="1" xfId="0" applyFont="1" applyFill="1" applyBorder="1" applyAlignment="1">
      <alignment horizontal="center" vertical="center"/>
    </xf>
    <xf numFmtId="0" fontId="8" fillId="0" borderId="0" xfId="0" applyFont="1" applyAlignment="1">
      <alignment wrapText="1"/>
    </xf>
    <xf numFmtId="0" fontId="8" fillId="0" borderId="0" xfId="0" applyFont="1" applyAlignment="1">
      <alignment horizontal="center" vertical="center" wrapText="1"/>
    </xf>
    <xf numFmtId="0" fontId="8" fillId="6" borderId="0" xfId="0" applyFont="1" applyFill="1" applyAlignment="1">
      <alignment vertical="center" wrapText="1"/>
    </xf>
    <xf numFmtId="0" fontId="7" fillId="6" borderId="0" xfId="0" applyFont="1" applyFill="1" applyAlignment="1">
      <alignment horizontal="center" vertical="center" wrapText="1"/>
    </xf>
    <xf numFmtId="0" fontId="7" fillId="2" borderId="1" xfId="0" applyFont="1" applyFill="1" applyBorder="1" applyAlignment="1">
      <alignment vertical="center" wrapText="1"/>
    </xf>
    <xf numFmtId="0" fontId="7" fillId="6" borderId="0" xfId="0" applyFont="1" applyFill="1" applyAlignment="1">
      <alignment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164" fontId="13" fillId="0" borderId="1" xfId="0" applyNumberFormat="1" applyFont="1" applyBorder="1" applyAlignment="1">
      <alignment vertical="center" wrapText="1"/>
    </xf>
    <xf numFmtId="164" fontId="13" fillId="6" borderId="0" xfId="0" applyNumberFormat="1" applyFont="1" applyFill="1" applyAlignment="1">
      <alignment vertical="center" wrapText="1"/>
    </xf>
    <xf numFmtId="0" fontId="13" fillId="6" borderId="0" xfId="0" applyFont="1" applyFill="1" applyAlignment="1">
      <alignment vertical="center" wrapText="1"/>
    </xf>
    <xf numFmtId="0" fontId="13" fillId="0" borderId="0" xfId="0" applyFont="1" applyAlignment="1">
      <alignment vertical="center" wrapText="1"/>
    </xf>
    <xf numFmtId="0" fontId="7" fillId="6" borderId="5" xfId="0" applyFont="1" applyFill="1" applyBorder="1" applyAlignment="1">
      <alignment vertical="center" wrapText="1"/>
    </xf>
    <xf numFmtId="164" fontId="8" fillId="6" borderId="6" xfId="0" applyNumberFormat="1" applyFont="1" applyFill="1" applyBorder="1" applyAlignment="1">
      <alignment vertical="center" wrapText="1"/>
    </xf>
    <xf numFmtId="0" fontId="7" fillId="6" borderId="7" xfId="0" applyFont="1" applyFill="1" applyBorder="1" applyAlignment="1">
      <alignment horizontal="center" vertical="center" wrapText="1"/>
    </xf>
    <xf numFmtId="0" fontId="8" fillId="6" borderId="7" xfId="0" applyFont="1" applyFill="1" applyBorder="1" applyAlignment="1">
      <alignment horizontal="center" vertical="center"/>
    </xf>
    <xf numFmtId="164" fontId="8" fillId="6" borderId="0" xfId="0" applyNumberFormat="1" applyFont="1" applyFill="1" applyAlignment="1">
      <alignment vertical="center" wrapText="1"/>
    </xf>
    <xf numFmtId="0" fontId="8" fillId="6" borderId="4" xfId="0" applyFont="1" applyFill="1" applyBorder="1" applyAlignment="1">
      <alignment horizontal="left" vertical="center" wrapText="1" shrinkToFit="1"/>
    </xf>
    <xf numFmtId="0" fontId="7" fillId="6" borderId="4" xfId="0" applyFont="1" applyFill="1" applyBorder="1" applyAlignment="1">
      <alignment vertical="center" wrapText="1"/>
    </xf>
    <xf numFmtId="0" fontId="7" fillId="6"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8" xfId="0" applyFont="1" applyFill="1" applyBorder="1" applyAlignment="1">
      <alignment vertical="center" wrapText="1"/>
    </xf>
    <xf numFmtId="0" fontId="8" fillId="0" borderId="0" xfId="0" applyFont="1" applyAlignment="1">
      <alignment horizontal="center"/>
    </xf>
    <xf numFmtId="0" fontId="8" fillId="0" borderId="0" xfId="0" applyFont="1"/>
    <xf numFmtId="0" fontId="8"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wrapText="1"/>
    </xf>
    <xf numFmtId="0" fontId="8" fillId="0" borderId="0" xfId="0" applyFont="1" applyAlignment="1">
      <alignment vertical="center"/>
    </xf>
    <xf numFmtId="0" fontId="6" fillId="2" borderId="1" xfId="0" applyFont="1" applyFill="1" applyBorder="1" applyAlignment="1">
      <alignment horizontal="center" vertical="center" wrapText="1"/>
    </xf>
    <xf numFmtId="0" fontId="8" fillId="0" borderId="0" xfId="0" applyFont="1" applyAlignment="1">
      <alignment horizontal="center" vertical="center"/>
    </xf>
    <xf numFmtId="0" fontId="8" fillId="0" borderId="1" xfId="0" applyFont="1" applyBorder="1" applyAlignment="1">
      <alignment horizontal="center"/>
    </xf>
    <xf numFmtId="14" fontId="8" fillId="0" borderId="1" xfId="0" applyNumberFormat="1" applyFont="1" applyBorder="1" applyAlignment="1">
      <alignment horizontal="center"/>
    </xf>
    <xf numFmtId="0" fontId="8" fillId="0" borderId="1" xfId="0" applyFont="1" applyBorder="1" applyAlignment="1">
      <alignment horizontal="center" wrapText="1"/>
    </xf>
    <xf numFmtId="0" fontId="7" fillId="0" borderId="1" xfId="0" applyFont="1" applyBorder="1" applyAlignment="1">
      <alignment horizontal="center" wrapText="1"/>
    </xf>
    <xf numFmtId="0" fontId="8" fillId="0" borderId="1" xfId="0" applyFont="1" applyBorder="1" applyAlignment="1">
      <alignment wrapText="1"/>
    </xf>
    <xf numFmtId="0" fontId="7" fillId="0" borderId="1" xfId="0" applyFont="1" applyBorder="1" applyAlignment="1">
      <alignment wrapText="1"/>
    </xf>
    <xf numFmtId="0" fontId="8" fillId="0" borderId="1" xfId="0" applyFont="1" applyBorder="1"/>
    <xf numFmtId="0" fontId="6" fillId="0" borderId="0" xfId="0" applyFont="1"/>
    <xf numFmtId="0" fontId="6" fillId="0" borderId="1" xfId="0" applyFont="1" applyBorder="1" applyAlignment="1">
      <alignment horizontal="center"/>
    </xf>
    <xf numFmtId="0" fontId="6" fillId="0" borderId="1" xfId="0" applyFont="1" applyBorder="1"/>
    <xf numFmtId="0" fontId="6" fillId="0" borderId="1" xfId="0" applyFont="1" applyBorder="1" applyAlignment="1">
      <alignment horizontal="center" wrapText="1"/>
    </xf>
    <xf numFmtId="0" fontId="2" fillId="6" borderId="0" xfId="0" applyFont="1" applyFill="1" applyAlignment="1">
      <alignment horizontal="center" vertical="center" wrapText="1"/>
    </xf>
    <xf numFmtId="0" fontId="2" fillId="6" borderId="0" xfId="0" applyFont="1" applyFill="1" applyAlignment="1">
      <alignment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2" fillId="0" borderId="0" xfId="0" applyFont="1" applyAlignment="1">
      <alignment horizontal="center"/>
    </xf>
    <xf numFmtId="0" fontId="2" fillId="0" borderId="0" xfId="0" applyFont="1"/>
    <xf numFmtId="0" fontId="6" fillId="3" borderId="1" xfId="0" applyFont="1" applyFill="1" applyBorder="1" applyAlignment="1">
      <alignment vertical="center"/>
    </xf>
    <xf numFmtId="0" fontId="2" fillId="0" borderId="9" xfId="0" applyFont="1" applyBorder="1" applyAlignment="1">
      <alignment horizontal="center"/>
    </xf>
    <xf numFmtId="0" fontId="2" fillId="0" borderId="4" xfId="0" applyFont="1" applyBorder="1" applyAlignment="1">
      <alignment horizontal="center"/>
    </xf>
    <xf numFmtId="0" fontId="2" fillId="6" borderId="4" xfId="0" applyFont="1" applyFill="1" applyBorder="1" applyAlignment="1">
      <alignment horizontal="left" vertical="center" wrapText="1"/>
    </xf>
    <xf numFmtId="0" fontId="2" fillId="6" borderId="4" xfId="0" applyFont="1" applyFill="1" applyBorder="1" applyAlignment="1">
      <alignment horizontal="center" vertical="center" wrapText="1"/>
    </xf>
    <xf numFmtId="166" fontId="2" fillId="0" borderId="4" xfId="1" applyNumberFormat="1" applyFont="1" applyBorder="1" applyProtection="1"/>
    <xf numFmtId="0" fontId="2" fillId="6" borderId="4" xfId="0" applyFont="1" applyFill="1" applyBorder="1" applyAlignment="1">
      <alignment vertical="center" wrapText="1"/>
    </xf>
    <xf numFmtId="0" fontId="2" fillId="0" borderId="8" xfId="0" applyFont="1" applyBorder="1" applyAlignment="1">
      <alignment horizontal="center"/>
    </xf>
    <xf numFmtId="0" fontId="2" fillId="0" borderId="8" xfId="0" applyFont="1" applyBorder="1"/>
    <xf numFmtId="166" fontId="2" fillId="0" borderId="8" xfId="1" applyNumberFormat="1" applyFont="1" applyBorder="1" applyProtection="1"/>
    <xf numFmtId="0" fontId="0" fillId="0" borderId="1" xfId="0" applyBorder="1"/>
    <xf numFmtId="0" fontId="20" fillId="0" borderId="1" xfId="0" applyFont="1" applyBorder="1" applyAlignment="1">
      <alignment horizontal="center"/>
    </xf>
    <xf numFmtId="0" fontId="0" fillId="0" borderId="0" xfId="0" applyAlignment="1">
      <alignment horizontal="center"/>
    </xf>
    <xf numFmtId="167" fontId="0" fillId="0" borderId="1" xfId="0" applyNumberFormat="1" applyBorder="1" applyAlignment="1">
      <alignment horizontal="center"/>
    </xf>
    <xf numFmtId="0" fontId="20" fillId="12" borderId="1" xfId="0" applyFont="1" applyFill="1" applyBorder="1"/>
    <xf numFmtId="0" fontId="20" fillId="13" borderId="1" xfId="0" applyFont="1" applyFill="1" applyBorder="1"/>
    <xf numFmtId="0" fontId="20" fillId="10" borderId="1" xfId="0" applyFont="1" applyFill="1" applyBorder="1"/>
    <xf numFmtId="0" fontId="20" fillId="11" borderId="1" xfId="0" applyFont="1" applyFill="1" applyBorder="1"/>
    <xf numFmtId="0" fontId="0" fillId="0" borderId="1" xfId="0" applyBorder="1" applyAlignment="1">
      <alignment horizontal="center"/>
    </xf>
    <xf numFmtId="0" fontId="2" fillId="14" borderId="1" xfId="0" applyFont="1" applyFill="1" applyBorder="1" applyAlignment="1">
      <alignment horizontal="left"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2" fillId="0" borderId="1" xfId="0" applyFont="1" applyBorder="1" applyAlignment="1">
      <alignment vertical="center"/>
    </xf>
    <xf numFmtId="166" fontId="2" fillId="0" borderId="1" xfId="1" applyNumberFormat="1" applyFont="1" applyBorder="1" applyAlignment="1" applyProtection="1">
      <alignment vertical="center"/>
    </xf>
    <xf numFmtId="166" fontId="2" fillId="0" borderId="1" xfId="0" applyNumberFormat="1" applyFont="1" applyBorder="1" applyAlignment="1">
      <alignment vertical="center"/>
    </xf>
    <xf numFmtId="0" fontId="2" fillId="0" borderId="0" xfId="0" applyFont="1" applyAlignment="1">
      <alignment vertical="center"/>
    </xf>
    <xf numFmtId="0" fontId="0" fillId="14" borderId="1" xfId="0" applyFill="1" applyBorder="1"/>
    <xf numFmtId="0" fontId="0" fillId="15" borderId="1" xfId="0" applyFill="1" applyBorder="1"/>
    <xf numFmtId="0" fontId="0" fillId="16" borderId="1" xfId="0" applyFill="1" applyBorder="1"/>
    <xf numFmtId="0" fontId="0" fillId="0" borderId="1" xfId="0" quotePrefix="1" applyBorder="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xf>
    <xf numFmtId="0" fontId="23" fillId="19" borderId="1" xfId="0" applyFont="1" applyFill="1" applyBorder="1" applyAlignment="1">
      <alignment horizontal="center" vertical="top" wrapText="1"/>
    </xf>
    <xf numFmtId="0" fontId="24" fillId="19"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0" fillId="20" borderId="1" xfId="0" applyFill="1" applyBorder="1"/>
    <xf numFmtId="0" fontId="0" fillId="21" borderId="1" xfId="0" applyFill="1" applyBorder="1"/>
    <xf numFmtId="0" fontId="0" fillId="21" borderId="10" xfId="0" applyFill="1" applyBorder="1"/>
    <xf numFmtId="0" fontId="0" fillId="21" borderId="0" xfId="0" applyFill="1"/>
    <xf numFmtId="0" fontId="0" fillId="0" borderId="1" xfId="0" applyBorder="1" applyAlignment="1">
      <alignment wrapText="1"/>
    </xf>
    <xf numFmtId="0" fontId="0" fillId="22" borderId="1" xfId="0" applyFill="1" applyBorder="1"/>
    <xf numFmtId="0" fontId="6" fillId="18" borderId="1" xfId="0" applyFont="1" applyFill="1" applyBorder="1" applyAlignment="1">
      <alignment horizontal="center"/>
    </xf>
    <xf numFmtId="0" fontId="6" fillId="23" borderId="7" xfId="0" applyFont="1" applyFill="1" applyBorder="1" applyAlignment="1">
      <alignment horizontal="center"/>
    </xf>
    <xf numFmtId="0" fontId="23" fillId="21" borderId="1" xfId="0" applyFont="1" applyFill="1" applyBorder="1" applyAlignment="1">
      <alignment horizontal="center" vertical="top" wrapText="1"/>
    </xf>
    <xf numFmtId="0" fontId="8" fillId="24" borderId="1" xfId="0" applyFont="1" applyFill="1" applyBorder="1"/>
    <xf numFmtId="0" fontId="0" fillId="25" borderId="1" xfId="0" applyFill="1" applyBorder="1"/>
    <xf numFmtId="0" fontId="0" fillId="21" borderId="1" xfId="0" applyFill="1" applyBorder="1" applyAlignment="1">
      <alignment horizontal="center"/>
    </xf>
    <xf numFmtId="0" fontId="0" fillId="25" borderId="1" xfId="0" applyFill="1" applyBorder="1" applyAlignment="1">
      <alignment horizontal="center"/>
    </xf>
    <xf numFmtId="0" fontId="23" fillId="21" borderId="1" xfId="0" applyFont="1" applyFill="1" applyBorder="1" applyAlignment="1">
      <alignment horizontal="center" wrapText="1"/>
    </xf>
    <xf numFmtId="14" fontId="0" fillId="21" borderId="1" xfId="0" applyNumberFormat="1" applyFill="1" applyBorder="1" applyAlignment="1">
      <alignment horizontal="center"/>
    </xf>
    <xf numFmtId="0" fontId="0" fillId="25" borderId="0" xfId="0" applyFill="1" applyAlignment="1">
      <alignment horizontal="center"/>
    </xf>
    <xf numFmtId="0" fontId="8" fillId="24" borderId="1" xfId="0" applyFont="1" applyFill="1" applyBorder="1" applyAlignment="1">
      <alignment horizontal="center"/>
    </xf>
    <xf numFmtId="0" fontId="0" fillId="21" borderId="1" xfId="0" quotePrefix="1" applyFill="1" applyBorder="1" applyAlignment="1">
      <alignment horizontal="center"/>
    </xf>
    <xf numFmtId="167" fontId="0" fillId="0" borderId="1" xfId="0" applyNumberFormat="1" applyBorder="1"/>
    <xf numFmtId="14" fontId="0" fillId="0" borderId="1" xfId="0" applyNumberFormat="1" applyBorder="1"/>
    <xf numFmtId="14" fontId="0" fillId="25" borderId="1" xfId="0" applyNumberFormat="1" applyFill="1" applyBorder="1"/>
    <xf numFmtId="0" fontId="0" fillId="0" borderId="3" xfId="0" applyBorder="1"/>
    <xf numFmtId="0" fontId="2" fillId="26" borderId="4" xfId="0" applyFont="1" applyFill="1" applyBorder="1" applyAlignment="1">
      <alignment horizontal="left" vertical="center" wrapText="1"/>
    </xf>
    <xf numFmtId="0" fontId="8" fillId="25" borderId="5" xfId="0" applyFont="1" applyFill="1" applyBorder="1" applyAlignment="1">
      <alignment horizontal="center" vertical="center" wrapText="1"/>
    </xf>
    <xf numFmtId="0" fontId="7" fillId="25" borderId="5" xfId="0" applyFont="1" applyFill="1" applyBorder="1" applyAlignment="1">
      <alignment horizontal="center" vertical="center" wrapText="1"/>
    </xf>
    <xf numFmtId="164" fontId="8" fillId="25" borderId="5" xfId="3" applyFont="1" applyFill="1" applyBorder="1" applyAlignment="1" applyProtection="1">
      <alignment vertical="center" wrapText="1"/>
    </xf>
    <xf numFmtId="164" fontId="8" fillId="25" borderId="5" xfId="0" applyNumberFormat="1" applyFont="1" applyFill="1" applyBorder="1" applyAlignment="1">
      <alignment vertical="center" wrapText="1"/>
    </xf>
    <xf numFmtId="0" fontId="7" fillId="25" borderId="0" xfId="0" applyFont="1" applyFill="1" applyAlignment="1">
      <alignment vertical="center" wrapText="1"/>
    </xf>
    <xf numFmtId="0" fontId="8" fillId="25" borderId="4" xfId="0" applyFont="1" applyFill="1" applyBorder="1" applyAlignment="1">
      <alignment horizontal="center" vertical="center" wrapText="1"/>
    </xf>
    <xf numFmtId="164" fontId="8" fillId="25" borderId="4" xfId="3" applyFont="1" applyFill="1" applyBorder="1" applyAlignment="1" applyProtection="1">
      <alignment vertical="center" wrapText="1"/>
    </xf>
    <xf numFmtId="164" fontId="8" fillId="25" borderId="4" xfId="0" applyNumberFormat="1" applyFont="1" applyFill="1" applyBorder="1" applyAlignment="1">
      <alignment vertical="center" wrapText="1"/>
    </xf>
    <xf numFmtId="0" fontId="8" fillId="25" borderId="0" xfId="0" applyFont="1" applyFill="1" applyAlignment="1">
      <alignment vertical="center" wrapText="1"/>
    </xf>
    <xf numFmtId="0" fontId="7" fillId="25" borderId="4" xfId="0" applyFont="1" applyFill="1" applyBorder="1" applyAlignment="1">
      <alignment horizontal="center" vertical="center" wrapText="1"/>
    </xf>
    <xf numFmtId="0" fontId="8" fillId="25" borderId="4" xfId="0" applyFont="1" applyFill="1" applyBorder="1" applyAlignment="1">
      <alignment vertical="center" wrapText="1"/>
    </xf>
    <xf numFmtId="0" fontId="8" fillId="25" borderId="8" xfId="0" applyFont="1" applyFill="1" applyBorder="1" applyAlignment="1">
      <alignment horizontal="center" vertical="center" wrapText="1"/>
    </xf>
    <xf numFmtId="164" fontId="8" fillId="25" borderId="8" xfId="3" applyFont="1" applyFill="1" applyBorder="1" applyAlignment="1" applyProtection="1">
      <alignment vertical="center" wrapText="1"/>
    </xf>
    <xf numFmtId="164" fontId="8" fillId="25" borderId="8" xfId="0" applyNumberFormat="1" applyFont="1" applyFill="1" applyBorder="1" applyAlignment="1">
      <alignment vertical="center" wrapText="1"/>
    </xf>
    <xf numFmtId="0" fontId="13" fillId="2" borderId="1" xfId="0" applyFont="1" applyFill="1" applyBorder="1" applyAlignment="1">
      <alignment vertical="center" wrapText="1"/>
    </xf>
    <xf numFmtId="0" fontId="6" fillId="27" borderId="1" xfId="0" applyFont="1" applyFill="1" applyBorder="1" applyAlignment="1">
      <alignment horizontal="center" vertical="center" wrapText="1"/>
    </xf>
    <xf numFmtId="0" fontId="4" fillId="0" borderId="0" xfId="0" applyFont="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8" fillId="0" borderId="1" xfId="0" applyFont="1" applyBorder="1" applyAlignment="1">
      <alignment horizontal="left" vertical="center"/>
    </xf>
    <xf numFmtId="0" fontId="2" fillId="25" borderId="1" xfId="0" applyFont="1" applyFill="1" applyBorder="1" applyAlignment="1">
      <alignment horizontal="center" vertical="center"/>
    </xf>
    <xf numFmtId="14" fontId="2" fillId="25" borderId="1" xfId="0" applyNumberFormat="1" applyFont="1" applyFill="1" applyBorder="1" applyAlignment="1">
      <alignment horizontal="center" vertical="center"/>
    </xf>
    <xf numFmtId="0" fontId="2" fillId="25" borderId="1" xfId="0" applyFont="1" applyFill="1" applyBorder="1" applyAlignment="1">
      <alignment horizontal="left" vertical="center" wrapText="1"/>
    </xf>
    <xf numFmtId="0" fontId="9" fillId="25" borderId="1" xfId="0" applyFont="1" applyFill="1" applyBorder="1" applyAlignment="1">
      <alignment horizontal="center" vertical="center" wrapText="1"/>
    </xf>
    <xf numFmtId="0" fontId="8" fillId="25" borderId="1" xfId="0" applyFont="1" applyFill="1" applyBorder="1" applyAlignment="1">
      <alignment horizontal="left" vertical="center" wrapText="1"/>
    </xf>
    <xf numFmtId="0" fontId="2" fillId="25" borderId="1" xfId="0" applyFont="1" applyFill="1" applyBorder="1" applyAlignment="1">
      <alignment vertical="center"/>
    </xf>
    <xf numFmtId="166" fontId="2" fillId="25" borderId="1" xfId="1" applyNumberFormat="1" applyFont="1" applyFill="1" applyBorder="1" applyAlignment="1" applyProtection="1">
      <alignment vertical="center"/>
    </xf>
    <xf numFmtId="166" fontId="2" fillId="25" borderId="1" xfId="0" applyNumberFormat="1" applyFont="1" applyFill="1" applyBorder="1" applyAlignment="1">
      <alignment vertical="center"/>
    </xf>
    <xf numFmtId="0" fontId="0" fillId="25" borderId="0" xfId="0" applyFill="1"/>
    <xf numFmtId="0" fontId="8" fillId="25" borderId="1" xfId="0" applyFont="1" applyFill="1" applyBorder="1" applyAlignment="1">
      <alignment vertical="center" wrapText="1"/>
    </xf>
    <xf numFmtId="0" fontId="2" fillId="25" borderId="1" xfId="0" applyFont="1" applyFill="1" applyBorder="1" applyAlignment="1">
      <alignment horizontal="center" vertical="center" wrapText="1"/>
    </xf>
    <xf numFmtId="0" fontId="2" fillId="25" borderId="1" xfId="0" applyFont="1" applyFill="1" applyBorder="1" applyAlignment="1">
      <alignment horizontal="left" vertical="center"/>
    </xf>
    <xf numFmtId="0" fontId="2" fillId="25" borderId="1" xfId="0" applyFont="1" applyFill="1" applyBorder="1" applyAlignment="1">
      <alignment vertical="center" wrapText="1"/>
    </xf>
    <xf numFmtId="0" fontId="2" fillId="25" borderId="0" xfId="0" applyFont="1" applyFill="1" applyAlignment="1">
      <alignment vertical="center" wrapText="1"/>
    </xf>
    <xf numFmtId="14" fontId="11" fillId="25" borderId="1" xfId="0" applyNumberFormat="1" applyFont="1" applyFill="1" applyBorder="1" applyAlignment="1">
      <alignment horizontal="center" vertical="center"/>
    </xf>
    <xf numFmtId="0" fontId="2" fillId="25" borderId="1" xfId="0" applyFont="1" applyFill="1" applyBorder="1" applyAlignment="1">
      <alignment horizontal="justify" vertical="center"/>
    </xf>
    <xf numFmtId="0" fontId="12" fillId="25" borderId="1" xfId="0" applyFont="1" applyFill="1" applyBorder="1" applyAlignment="1">
      <alignment horizontal="center" vertical="center" wrapText="1"/>
    </xf>
    <xf numFmtId="0" fontId="8" fillId="25" borderId="1" xfId="0" applyFont="1" applyFill="1" applyBorder="1" applyAlignment="1">
      <alignment horizontal="center" vertical="center"/>
    </xf>
    <xf numFmtId="0" fontId="8" fillId="25" borderId="1" xfId="0" applyFont="1" applyFill="1" applyBorder="1" applyAlignment="1">
      <alignment horizontal="left" vertical="center"/>
    </xf>
    <xf numFmtId="0" fontId="2" fillId="28" borderId="1" xfId="0" applyFont="1" applyFill="1" applyBorder="1" applyAlignment="1">
      <alignment vertical="center" wrapText="1"/>
    </xf>
    <xf numFmtId="0" fontId="6" fillId="29" borderId="1" xfId="0" applyFont="1" applyFill="1" applyBorder="1" applyAlignment="1">
      <alignment horizontal="center" vertical="center"/>
    </xf>
    <xf numFmtId="0" fontId="6" fillId="29" borderId="1" xfId="0" applyFont="1" applyFill="1" applyBorder="1" applyAlignment="1">
      <alignment horizontal="center" vertical="center" wrapText="1"/>
    </xf>
    <xf numFmtId="0" fontId="6" fillId="29" borderId="11" xfId="0" applyFont="1" applyFill="1" applyBorder="1" applyAlignment="1">
      <alignment horizontal="center" vertical="center" wrapText="1"/>
    </xf>
    <xf numFmtId="0" fontId="2" fillId="29" borderId="1" xfId="0" applyFont="1" applyFill="1" applyBorder="1" applyAlignment="1">
      <alignment horizontal="center" vertical="center"/>
    </xf>
    <xf numFmtId="0" fontId="7" fillId="29" borderId="1" xfId="0" applyFont="1" applyFill="1" applyBorder="1" applyAlignment="1">
      <alignment horizontal="center" vertical="center"/>
    </xf>
    <xf numFmtId="0" fontId="6" fillId="29" borderId="0" xfId="0" applyFont="1" applyFill="1" applyAlignment="1">
      <alignment horizontal="center" vertical="center"/>
    </xf>
    <xf numFmtId="0" fontId="6" fillId="30" borderId="1" xfId="0" applyFont="1" applyFill="1" applyBorder="1" applyAlignment="1">
      <alignment horizontal="center" vertical="center"/>
    </xf>
    <xf numFmtId="0" fontId="13" fillId="31" borderId="1" xfId="0" applyFont="1" applyFill="1" applyBorder="1" applyAlignment="1">
      <alignment vertical="center" wrapText="1"/>
    </xf>
    <xf numFmtId="0" fontId="13" fillId="31" borderId="1" xfId="0" applyFont="1" applyFill="1" applyBorder="1" applyAlignment="1">
      <alignment horizontal="center" vertical="center" wrapText="1"/>
    </xf>
    <xf numFmtId="164" fontId="13" fillId="31" borderId="1" xfId="0" applyNumberFormat="1" applyFont="1" applyFill="1" applyBorder="1" applyAlignment="1">
      <alignment vertical="center" wrapText="1"/>
    </xf>
    <xf numFmtId="0" fontId="25" fillId="0" borderId="1" xfId="0" applyFont="1" applyBorder="1" applyAlignment="1">
      <alignment horizontal="center" vertical="center"/>
    </xf>
    <xf numFmtId="0" fontId="26" fillId="0" borderId="0" xfId="0" applyFont="1"/>
    <xf numFmtId="0" fontId="26" fillId="0" borderId="1" xfId="0" applyFont="1" applyBorder="1"/>
    <xf numFmtId="0" fontId="26" fillId="0" borderId="0" xfId="0" applyFont="1" applyAlignment="1">
      <alignment vertical="center"/>
    </xf>
    <xf numFmtId="0" fontId="26" fillId="0" borderId="1" xfId="0" applyFont="1" applyBorder="1" applyAlignment="1">
      <alignment vertical="center"/>
    </xf>
    <xf numFmtId="0" fontId="26" fillId="0" borderId="1" xfId="0" applyFont="1" applyBorder="1" applyAlignment="1">
      <alignment horizontal="center" vertical="center"/>
    </xf>
    <xf numFmtId="0" fontId="26" fillId="0" borderId="0" xfId="0" applyFont="1" applyAlignment="1">
      <alignment horizontal="center" vertical="center"/>
    </xf>
    <xf numFmtId="14" fontId="26" fillId="0" borderId="1" xfId="0" applyNumberFormat="1" applyFont="1" applyBorder="1" applyAlignment="1">
      <alignment horizontal="center" vertical="center"/>
    </xf>
    <xf numFmtId="0" fontId="25" fillId="0" borderId="0" xfId="0" applyFont="1" applyAlignment="1">
      <alignment horizontal="center"/>
    </xf>
    <xf numFmtId="166" fontId="25" fillId="14" borderId="1" xfId="1" applyNumberFormat="1" applyFont="1" applyFill="1" applyBorder="1" applyAlignment="1">
      <alignment horizontal="center"/>
    </xf>
    <xf numFmtId="166" fontId="25" fillId="15" borderId="1" xfId="1" applyNumberFormat="1" applyFont="1" applyFill="1" applyBorder="1" applyAlignment="1">
      <alignment horizontal="center"/>
    </xf>
    <xf numFmtId="166" fontId="26" fillId="0" borderId="1" xfId="1" applyNumberFormat="1" applyFont="1" applyBorder="1"/>
    <xf numFmtId="0" fontId="6" fillId="31" borderId="3" xfId="0" applyFont="1" applyFill="1" applyBorder="1" applyAlignment="1">
      <alignment horizontal="center" vertical="center" wrapText="1"/>
    </xf>
    <xf numFmtId="0" fontId="6" fillId="31" borderId="1" xfId="0" applyFont="1" applyFill="1" applyBorder="1" applyAlignment="1">
      <alignment horizontal="center" vertical="center"/>
    </xf>
    <xf numFmtId="0" fontId="7" fillId="31" borderId="1" xfId="0" applyFont="1" applyFill="1" applyBorder="1" applyAlignment="1">
      <alignment horizontal="center" vertical="center"/>
    </xf>
    <xf numFmtId="0" fontId="2" fillId="31" borderId="1" xfId="0" applyFont="1" applyFill="1" applyBorder="1" applyAlignment="1">
      <alignment horizontal="center" vertical="center"/>
    </xf>
    <xf numFmtId="0" fontId="6" fillId="32" borderId="1" xfId="0" applyFont="1" applyFill="1" applyBorder="1" applyAlignment="1">
      <alignment horizontal="left" vertical="center" wrapText="1"/>
    </xf>
    <xf numFmtId="0" fontId="20" fillId="33" borderId="1" xfId="0" applyFont="1" applyFill="1" applyBorder="1"/>
    <xf numFmtId="0" fontId="20" fillId="34" borderId="1" xfId="0" applyFont="1" applyFill="1" applyBorder="1"/>
    <xf numFmtId="16" fontId="0" fillId="0" borderId="1" xfId="0" quotePrefix="1" applyNumberFormat="1" applyBorder="1"/>
    <xf numFmtId="0" fontId="20" fillId="4" borderId="1" xfId="0" applyFont="1" applyFill="1" applyBorder="1" applyAlignment="1">
      <alignment horizontal="center" vertical="center"/>
    </xf>
    <xf numFmtId="0" fontId="20" fillId="9" borderId="1" xfId="0" applyFont="1" applyFill="1" applyBorder="1" applyAlignment="1">
      <alignment horizontal="center" vertical="center"/>
    </xf>
    <xf numFmtId="0" fontId="20" fillId="10" borderId="1" xfId="0" applyFont="1" applyFill="1" applyBorder="1" applyAlignment="1">
      <alignment horizontal="center" vertical="center"/>
    </xf>
    <xf numFmtId="0" fontId="20" fillId="11" borderId="1" xfId="0" applyFont="1" applyFill="1" applyBorder="1" applyAlignment="1">
      <alignment horizontal="center" vertical="center"/>
    </xf>
    <xf numFmtId="0" fontId="2" fillId="25" borderId="1" xfId="0" quotePrefix="1" applyFont="1" applyFill="1" applyBorder="1" applyAlignment="1">
      <alignment horizontal="left" vertical="center" wrapText="1"/>
    </xf>
    <xf numFmtId="0" fontId="8" fillId="6" borderId="11" xfId="0" applyFont="1" applyFill="1" applyBorder="1" applyAlignment="1">
      <alignment vertical="center" wrapText="1"/>
    </xf>
    <xf numFmtId="0" fontId="8" fillId="26" borderId="4" xfId="0" applyFont="1" applyFill="1" applyBorder="1" applyAlignment="1">
      <alignment vertical="center" wrapText="1"/>
    </xf>
    <xf numFmtId="0" fontId="2" fillId="25" borderId="2" xfId="0" applyFont="1" applyFill="1" applyBorder="1" applyAlignment="1">
      <alignment vertical="center" wrapText="1"/>
    </xf>
    <xf numFmtId="0" fontId="2" fillId="14" borderId="1" xfId="0" applyFont="1" applyFill="1" applyBorder="1" applyAlignment="1">
      <alignment horizontal="center" vertical="center" wrapText="1"/>
    </xf>
    <xf numFmtId="0" fontId="8" fillId="6" borderId="16" xfId="0" applyFont="1" applyFill="1" applyBorder="1" applyAlignment="1">
      <alignment vertical="center" wrapText="1"/>
    </xf>
    <xf numFmtId="0" fontId="8" fillId="6" borderId="5" xfId="0" applyFont="1" applyFill="1" applyBorder="1" applyAlignment="1">
      <alignment vertical="center" wrapText="1"/>
    </xf>
    <xf numFmtId="14" fontId="0" fillId="21" borderId="1" xfId="0" quotePrefix="1" applyNumberFormat="1" applyFill="1" applyBorder="1" applyAlignment="1">
      <alignment horizontal="center"/>
    </xf>
    <xf numFmtId="0" fontId="28" fillId="14" borderId="11" xfId="0" applyFont="1" applyFill="1" applyBorder="1" applyAlignment="1">
      <alignment vertical="center" wrapText="1"/>
    </xf>
    <xf numFmtId="14" fontId="0" fillId="0" borderId="1" xfId="0" applyNumberFormat="1" applyBorder="1" applyAlignment="1">
      <alignment horizontal="center"/>
    </xf>
    <xf numFmtId="0" fontId="0" fillId="0" borderId="1" xfId="0" quotePrefix="1" applyBorder="1"/>
    <xf numFmtId="0" fontId="20" fillId="35" borderId="1" xfId="0" applyFont="1" applyFill="1" applyBorder="1"/>
    <xf numFmtId="0" fontId="8" fillId="6" borderId="10" xfId="0" applyFont="1" applyFill="1" applyBorder="1" applyAlignment="1">
      <alignment vertical="center" wrapText="1"/>
    </xf>
    <xf numFmtId="0" fontId="2" fillId="25" borderId="10" xfId="0" applyFont="1" applyFill="1" applyBorder="1" applyAlignment="1">
      <alignment horizontal="left" vertical="center" wrapText="1"/>
    </xf>
    <xf numFmtId="14" fontId="26" fillId="0" borderId="1" xfId="0" quotePrefix="1" applyNumberFormat="1" applyFont="1" applyBorder="1" applyAlignment="1">
      <alignment horizontal="center" vertical="center"/>
    </xf>
    <xf numFmtId="0" fontId="3" fillId="0" borderId="0" xfId="0" applyFont="1" applyAlignment="1">
      <alignment horizontal="center" vertical="center"/>
    </xf>
    <xf numFmtId="0" fontId="29" fillId="6" borderId="4" xfId="0" applyFont="1" applyFill="1" applyBorder="1" applyAlignment="1">
      <alignment vertical="center" wrapText="1"/>
    </xf>
    <xf numFmtId="0" fontId="30" fillId="17" borderId="1" xfId="0" applyFont="1" applyFill="1" applyBorder="1"/>
    <xf numFmtId="0" fontId="2" fillId="14" borderId="1" xfId="0" applyFont="1" applyFill="1" applyBorder="1" applyAlignment="1">
      <alignment vertical="center" wrapText="1"/>
    </xf>
    <xf numFmtId="0" fontId="5" fillId="0" borderId="0" xfId="0" applyFont="1" applyAlignment="1">
      <alignment horizontal="center" vertical="center"/>
    </xf>
    <xf numFmtId="0" fontId="8" fillId="25" borderId="1" xfId="0" applyFont="1" applyFill="1" applyBorder="1" applyAlignment="1">
      <alignment horizontal="center" vertical="center" wrapText="1"/>
    </xf>
    <xf numFmtId="166" fontId="2" fillId="0" borderId="1" xfId="1" applyNumberFormat="1" applyFont="1" applyBorder="1" applyAlignment="1" applyProtection="1">
      <alignment horizontal="center" vertical="center"/>
    </xf>
    <xf numFmtId="0" fontId="8" fillId="6" borderId="5"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5" xfId="0" applyFont="1" applyFill="1" applyBorder="1" applyAlignment="1">
      <alignment horizontal="center" vertical="center" wrapText="1" shrinkToFit="1"/>
    </xf>
    <xf numFmtId="0" fontId="2" fillId="25" borderId="1" xfId="0" quotePrefix="1" applyFont="1" applyFill="1" applyBorder="1" applyAlignment="1">
      <alignment vertical="center" wrapText="1"/>
    </xf>
    <xf numFmtId="0" fontId="2" fillId="14" borderId="1" xfId="0" applyFont="1" applyFill="1" applyBorder="1" applyAlignment="1">
      <alignment horizontal="center" vertical="center"/>
    </xf>
    <xf numFmtId="14" fontId="2" fillId="14" borderId="1" xfId="0" applyNumberFormat="1" applyFont="1" applyFill="1" applyBorder="1" applyAlignment="1">
      <alignment horizontal="center" vertical="center"/>
    </xf>
    <xf numFmtId="0" fontId="8" fillId="26" borderId="1" xfId="0" applyFont="1" applyFill="1" applyBorder="1" applyAlignment="1">
      <alignment horizontal="left" vertical="center" wrapText="1"/>
    </xf>
    <xf numFmtId="0" fontId="2" fillId="14" borderId="1" xfId="0" applyFont="1" applyFill="1" applyBorder="1" applyAlignment="1">
      <alignment vertical="center"/>
    </xf>
    <xf numFmtId="166" fontId="2" fillId="14" borderId="1" xfId="1" applyNumberFormat="1" applyFont="1" applyFill="1" applyBorder="1" applyAlignment="1" applyProtection="1">
      <alignment vertical="center"/>
    </xf>
    <xf numFmtId="166" fontId="2" fillId="14" borderId="1" xfId="0" applyNumberFormat="1" applyFont="1" applyFill="1" applyBorder="1" applyAlignment="1">
      <alignment vertical="center"/>
    </xf>
    <xf numFmtId="0" fontId="2" fillId="14" borderId="0" xfId="0" applyFont="1" applyFill="1" applyAlignment="1">
      <alignment vertical="center"/>
    </xf>
    <xf numFmtId="0" fontId="6" fillId="14" borderId="1" xfId="0" applyFont="1" applyFill="1" applyBorder="1" applyAlignment="1">
      <alignment horizontal="center" vertical="center"/>
    </xf>
    <xf numFmtId="166" fontId="22" fillId="14" borderId="1" xfId="1" applyNumberFormat="1" applyFont="1" applyFill="1" applyBorder="1" applyAlignment="1">
      <alignment horizontal="center" vertical="center"/>
    </xf>
    <xf numFmtId="0" fontId="11" fillId="36" borderId="1" xfId="0" applyFont="1" applyFill="1" applyBorder="1" applyAlignment="1">
      <alignment horizontal="left" vertical="center" wrapText="1"/>
    </xf>
    <xf numFmtId="0" fontId="26" fillId="25" borderId="1" xfId="0" applyFont="1" applyFill="1" applyBorder="1" applyAlignment="1">
      <alignment horizontal="center" vertical="center"/>
    </xf>
    <xf numFmtId="14" fontId="26" fillId="25" borderId="1" xfId="0" quotePrefix="1" applyNumberFormat="1" applyFont="1" applyFill="1" applyBorder="1" applyAlignment="1">
      <alignment horizontal="center" vertical="center"/>
    </xf>
    <xf numFmtId="0" fontId="26" fillId="25" borderId="1" xfId="0" applyFont="1" applyFill="1" applyBorder="1" applyAlignment="1">
      <alignment vertical="center"/>
    </xf>
    <xf numFmtId="0" fontId="26" fillId="25" borderId="0" xfId="0" applyFont="1" applyFill="1" applyAlignment="1">
      <alignment vertical="center"/>
    </xf>
    <xf numFmtId="0" fontId="31" fillId="11" borderId="1" xfId="0" applyFont="1" applyFill="1" applyBorder="1" applyAlignment="1">
      <alignment vertical="center"/>
    </xf>
    <xf numFmtId="0" fontId="31" fillId="11" borderId="1" xfId="0" applyFont="1" applyFill="1" applyBorder="1" applyAlignment="1">
      <alignment horizontal="center" vertical="center"/>
    </xf>
    <xf numFmtId="0" fontId="2" fillId="26" borderId="1" xfId="0" applyFont="1" applyFill="1" applyBorder="1" applyAlignment="1">
      <alignment horizontal="center" vertical="center" wrapText="1"/>
    </xf>
    <xf numFmtId="0" fontId="2" fillId="26" borderId="1" xfId="0" applyFont="1" applyFill="1" applyBorder="1" applyAlignment="1">
      <alignment vertical="center" wrapText="1"/>
    </xf>
    <xf numFmtId="0" fontId="2" fillId="26" borderId="0" xfId="0" applyFont="1" applyFill="1" applyAlignment="1">
      <alignment vertical="center" wrapText="1"/>
    </xf>
    <xf numFmtId="16" fontId="0" fillId="0" borderId="1" xfId="0" quotePrefix="1" applyNumberFormat="1" applyBorder="1" applyAlignment="1">
      <alignment horizontal="center"/>
    </xf>
    <xf numFmtId="0" fontId="8" fillId="6" borderId="16" xfId="0" applyFont="1" applyFill="1" applyBorder="1" applyAlignment="1">
      <alignment horizontal="center" vertical="center" wrapText="1"/>
    </xf>
    <xf numFmtId="0" fontId="9" fillId="14" borderId="1" xfId="0" applyFont="1" applyFill="1" applyBorder="1" applyAlignment="1">
      <alignment horizontal="center" vertical="center" wrapText="1"/>
    </xf>
    <xf numFmtId="166" fontId="25" fillId="0" borderId="11" xfId="1" applyNumberFormat="1" applyFont="1" applyBorder="1" applyAlignment="1">
      <alignment horizontal="center" vertical="center"/>
    </xf>
    <xf numFmtId="0" fontId="2" fillId="25" borderId="2" xfId="0" applyFont="1" applyFill="1" applyBorder="1" applyAlignment="1">
      <alignment vertical="center"/>
    </xf>
    <xf numFmtId="0" fontId="4" fillId="14" borderId="0" xfId="0" applyFont="1" applyFill="1" applyAlignment="1">
      <alignment horizontal="center" vertical="center"/>
    </xf>
    <xf numFmtId="0" fontId="2" fillId="14" borderId="0" xfId="0" applyFont="1" applyFill="1" applyAlignment="1">
      <alignment horizontal="center" vertical="center"/>
    </xf>
    <xf numFmtId="166" fontId="25" fillId="37" borderId="1" xfId="1" applyNumberFormat="1" applyFont="1" applyFill="1" applyBorder="1" applyAlignment="1">
      <alignment horizontal="center"/>
    </xf>
    <xf numFmtId="166" fontId="25" fillId="38" borderId="1" xfId="1" applyNumberFormat="1" applyFont="1" applyFill="1" applyBorder="1" applyAlignment="1">
      <alignment horizontal="center"/>
    </xf>
    <xf numFmtId="0" fontId="26" fillId="38" borderId="1" xfId="0" applyFont="1" applyFill="1" applyBorder="1" applyAlignment="1">
      <alignment horizontal="center" vertical="center"/>
    </xf>
    <xf numFmtId="14" fontId="26" fillId="38" borderId="1" xfId="0" applyNumberFormat="1" applyFont="1" applyFill="1" applyBorder="1" applyAlignment="1">
      <alignment horizontal="center" vertical="center"/>
    </xf>
    <xf numFmtId="166" fontId="26" fillId="38" borderId="1" xfId="1" applyNumberFormat="1" applyFont="1" applyFill="1" applyBorder="1"/>
    <xf numFmtId="0" fontId="26" fillId="38" borderId="0" xfId="0" applyFont="1" applyFill="1"/>
    <xf numFmtId="0" fontId="8" fillId="26" borderId="1" xfId="0" applyFont="1" applyFill="1" applyBorder="1" applyAlignment="1">
      <alignment vertical="center" wrapText="1"/>
    </xf>
    <xf numFmtId="0" fontId="0" fillId="14" borderId="0" xfId="0" applyFill="1"/>
    <xf numFmtId="0" fontId="2" fillId="14" borderId="10" xfId="0" applyFont="1" applyFill="1" applyBorder="1" applyAlignment="1">
      <alignment vertical="center"/>
    </xf>
    <xf numFmtId="0" fontId="32" fillId="25" borderId="1" xfId="0" applyFont="1" applyFill="1" applyBorder="1" applyAlignment="1">
      <alignment vertical="center"/>
    </xf>
    <xf numFmtId="0" fontId="29" fillId="0" borderId="1" xfId="0" applyFont="1" applyBorder="1" applyAlignment="1">
      <alignment vertical="center" wrapText="1"/>
    </xf>
    <xf numFmtId="0" fontId="29" fillId="6" borderId="4" xfId="0" applyFont="1" applyFill="1" applyBorder="1" applyAlignment="1">
      <alignment horizontal="center" vertical="center" wrapText="1"/>
    </xf>
    <xf numFmtId="0" fontId="2" fillId="36" borderId="1" xfId="0" applyFont="1" applyFill="1" applyBorder="1" applyAlignment="1">
      <alignment horizontal="left" vertical="center" wrapText="1"/>
    </xf>
    <xf numFmtId="166" fontId="2" fillId="25" borderId="1" xfId="0" applyNumberFormat="1" applyFont="1" applyFill="1" applyBorder="1" applyAlignment="1">
      <alignment horizontal="center" vertical="center"/>
    </xf>
    <xf numFmtId="166" fontId="21" fillId="25" borderId="1" xfId="1" applyNumberFormat="1" applyFill="1" applyBorder="1" applyAlignment="1">
      <alignment vertical="center"/>
    </xf>
    <xf numFmtId="14" fontId="2" fillId="25" borderId="1" xfId="0" applyNumberFormat="1" applyFont="1" applyFill="1" applyBorder="1" applyAlignment="1">
      <alignment vertical="center"/>
    </xf>
    <xf numFmtId="0" fontId="2" fillId="25" borderId="2" xfId="0" applyFont="1" applyFill="1" applyBorder="1" applyAlignment="1">
      <alignment horizontal="center" vertical="center"/>
    </xf>
    <xf numFmtId="0" fontId="9" fillId="25" borderId="2" xfId="0" applyFont="1" applyFill="1" applyBorder="1" applyAlignment="1">
      <alignment horizontal="center" vertical="center" wrapText="1"/>
    </xf>
    <xf numFmtId="0" fontId="9" fillId="25" borderId="11" xfId="0" applyFont="1" applyFill="1" applyBorder="1" applyAlignment="1">
      <alignment horizontal="center" vertical="center" wrapText="1"/>
    </xf>
    <xf numFmtId="166" fontId="2" fillId="14" borderId="1" xfId="0" applyNumberFormat="1" applyFont="1" applyFill="1" applyBorder="1" applyAlignment="1">
      <alignment horizontal="center" vertical="center"/>
    </xf>
    <xf numFmtId="0" fontId="6" fillId="31" borderId="1" xfId="0" applyFont="1" applyFill="1" applyBorder="1" applyAlignment="1">
      <alignment vertical="center"/>
    </xf>
    <xf numFmtId="0" fontId="2" fillId="14" borderId="2" xfId="0" applyFont="1" applyFill="1" applyBorder="1" applyAlignment="1">
      <alignment vertical="center"/>
    </xf>
    <xf numFmtId="166" fontId="6" fillId="0" borderId="0" xfId="0" applyNumberFormat="1" applyFont="1"/>
    <xf numFmtId="166" fontId="6" fillId="0" borderId="1" xfId="0" applyNumberFormat="1" applyFont="1" applyBorder="1"/>
    <xf numFmtId="166" fontId="36" fillId="0" borderId="1" xfId="1" applyNumberFormat="1" applyFont="1" applyBorder="1" applyAlignment="1">
      <alignment vertical="center"/>
    </xf>
    <xf numFmtId="0" fontId="2" fillId="25" borderId="2" xfId="0" applyFont="1" applyFill="1" applyBorder="1" applyAlignment="1">
      <alignment horizontal="left" vertical="center" wrapText="1"/>
    </xf>
    <xf numFmtId="166" fontId="2" fillId="25" borderId="2" xfId="0" applyNumberFormat="1" applyFont="1" applyFill="1" applyBorder="1" applyAlignment="1">
      <alignment vertical="center"/>
    </xf>
    <xf numFmtId="166" fontId="2" fillId="14" borderId="2" xfId="0" applyNumberFormat="1" applyFont="1" applyFill="1" applyBorder="1" applyAlignment="1">
      <alignment horizontal="center" vertical="center"/>
    </xf>
    <xf numFmtId="166" fontId="2" fillId="0" borderId="2" xfId="1" applyNumberFormat="1" applyFont="1" applyBorder="1" applyAlignment="1" applyProtection="1">
      <alignment vertical="center"/>
    </xf>
    <xf numFmtId="0" fontId="2" fillId="0" borderId="11" xfId="0" applyFont="1" applyBorder="1" applyAlignment="1">
      <alignment horizontal="center" vertical="center"/>
    </xf>
    <xf numFmtId="0" fontId="9" fillId="0" borderId="11" xfId="0" applyFont="1" applyBorder="1" applyAlignment="1">
      <alignment horizontal="center" vertical="center" wrapText="1"/>
    </xf>
    <xf numFmtId="0" fontId="8" fillId="0" borderId="11" xfId="0" applyFont="1" applyBorder="1" applyAlignment="1">
      <alignment horizontal="center" vertical="center"/>
    </xf>
    <xf numFmtId="0" fontId="2" fillId="25" borderId="11" xfId="0" applyFont="1" applyFill="1" applyBorder="1" applyAlignment="1">
      <alignment horizontal="left" vertical="center" wrapText="1"/>
    </xf>
    <xf numFmtId="0" fontId="2" fillId="0" borderId="11" xfId="0" applyFont="1" applyBorder="1" applyAlignment="1">
      <alignment vertical="center"/>
    </xf>
    <xf numFmtId="0" fontId="2" fillId="25" borderId="11" xfId="0" applyFont="1" applyFill="1" applyBorder="1" applyAlignment="1">
      <alignment vertical="center"/>
    </xf>
    <xf numFmtId="166" fontId="2" fillId="0" borderId="11" xfId="0" applyNumberFormat="1" applyFont="1" applyBorder="1" applyAlignment="1">
      <alignment vertical="center"/>
    </xf>
    <xf numFmtId="166" fontId="2" fillId="0" borderId="11" xfId="1" applyNumberFormat="1" applyFont="1" applyBorder="1" applyAlignment="1" applyProtection="1">
      <alignment horizontal="center" vertical="center"/>
    </xf>
    <xf numFmtId="166" fontId="2" fillId="0" borderId="11" xfId="1" applyNumberFormat="1" applyFont="1" applyBorder="1" applyAlignment="1" applyProtection="1">
      <alignment vertical="center"/>
    </xf>
    <xf numFmtId="14" fontId="2" fillId="25" borderId="2" xfId="0" applyNumberFormat="1" applyFont="1" applyFill="1" applyBorder="1" applyAlignment="1">
      <alignment horizontal="center" vertical="center"/>
    </xf>
    <xf numFmtId="14" fontId="2" fillId="25" borderId="11" xfId="0" applyNumberFormat="1" applyFont="1" applyFill="1" applyBorder="1" applyAlignment="1">
      <alignment horizontal="center" vertical="center"/>
    </xf>
    <xf numFmtId="166" fontId="2" fillId="14" borderId="11" xfId="0" applyNumberFormat="1" applyFont="1" applyFill="1" applyBorder="1" applyAlignment="1">
      <alignment horizontal="center" vertical="center"/>
    </xf>
    <xf numFmtId="0" fontId="32" fillId="36" borderId="1" xfId="0" applyFont="1" applyFill="1" applyBorder="1" applyAlignment="1">
      <alignment horizontal="left" vertical="center" wrapText="1"/>
    </xf>
    <xf numFmtId="0" fontId="37" fillId="25" borderId="1" xfId="0" applyFont="1" applyFill="1" applyBorder="1" applyAlignment="1">
      <alignment horizontal="center" vertical="center" wrapText="1"/>
    </xf>
    <xf numFmtId="0" fontId="2" fillId="39" borderId="0" xfId="0" applyFont="1" applyFill="1" applyAlignment="1">
      <alignment vertical="center" wrapText="1"/>
    </xf>
    <xf numFmtId="0" fontId="2" fillId="39" borderId="1" xfId="0" applyFont="1" applyFill="1" applyBorder="1" applyAlignment="1">
      <alignment horizontal="center" vertical="center" wrapText="1"/>
    </xf>
    <xf numFmtId="0" fontId="2" fillId="36" borderId="1" xfId="0" applyFont="1" applyFill="1" applyBorder="1" applyAlignment="1">
      <alignment vertical="center" wrapText="1"/>
    </xf>
    <xf numFmtId="0" fontId="9" fillId="36" borderId="1" xfId="0" applyFont="1" applyFill="1" applyBorder="1" applyAlignment="1">
      <alignment horizontal="center" vertical="center" wrapText="1"/>
    </xf>
    <xf numFmtId="0" fontId="37" fillId="14"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8" fillId="25" borderId="2" xfId="0" applyFont="1" applyFill="1" applyBorder="1" applyAlignment="1">
      <alignment horizontal="center" vertical="center"/>
    </xf>
    <xf numFmtId="0" fontId="8" fillId="6" borderId="2" xfId="0" applyFont="1" applyFill="1" applyBorder="1" applyAlignment="1">
      <alignment vertical="center" wrapText="1"/>
    </xf>
    <xf numFmtId="166" fontId="2" fillId="25" borderId="2" xfId="1" applyNumberFormat="1" applyFont="1" applyFill="1" applyBorder="1" applyAlignment="1" applyProtection="1">
      <alignment vertical="center"/>
    </xf>
    <xf numFmtId="0" fontId="2" fillId="0" borderId="2" xfId="0" applyFont="1" applyBorder="1" applyAlignment="1">
      <alignment vertical="center"/>
    </xf>
    <xf numFmtId="0" fontId="37" fillId="36" borderId="11" xfId="0" applyFont="1" applyFill="1" applyBorder="1" applyAlignment="1">
      <alignment horizontal="center" vertical="center" wrapText="1"/>
    </xf>
    <xf numFmtId="0" fontId="2" fillId="36" borderId="2" xfId="0" applyFont="1" applyFill="1" applyBorder="1" applyAlignment="1">
      <alignment horizontal="left" vertical="center" wrapText="1"/>
    </xf>
    <xf numFmtId="0" fontId="40" fillId="0" borderId="1" xfId="0" applyFont="1" applyBorder="1" applyAlignment="1">
      <alignment horizontal="center" vertical="center" wrapText="1"/>
    </xf>
    <xf numFmtId="0" fontId="30" fillId="0" borderId="0" xfId="0" applyFont="1" applyAlignment="1">
      <alignment horizontal="center"/>
    </xf>
    <xf numFmtId="166" fontId="21" fillId="0" borderId="0" xfId="1" applyNumberFormat="1" applyAlignment="1">
      <alignment horizontal="center"/>
    </xf>
    <xf numFmtId="0" fontId="40" fillId="25" borderId="1" xfId="0" applyFont="1" applyFill="1" applyBorder="1" applyAlignment="1">
      <alignment horizontal="center" vertical="center" wrapText="1"/>
    </xf>
    <xf numFmtId="0" fontId="47" fillId="0" borderId="1" xfId="0" applyFont="1" applyBorder="1" applyAlignment="1">
      <alignment horizontal="center" vertical="center" wrapText="1"/>
    </xf>
    <xf numFmtId="0" fontId="29" fillId="6" borderId="5" xfId="0" applyFont="1" applyFill="1" applyBorder="1" applyAlignment="1">
      <alignment vertical="center" wrapText="1"/>
    </xf>
    <xf numFmtId="0" fontId="40" fillId="36" borderId="1" xfId="0" applyFont="1" applyFill="1" applyBorder="1" applyAlignment="1">
      <alignment horizontal="center" vertical="center" wrapText="1"/>
    </xf>
    <xf numFmtId="0" fontId="2" fillId="25" borderId="11" xfId="0" applyFont="1" applyFill="1" applyBorder="1" applyAlignment="1">
      <alignment horizontal="center" vertical="center" wrapText="1"/>
    </xf>
    <xf numFmtId="0" fontId="47" fillId="14" borderId="1" xfId="0" applyFont="1" applyFill="1" applyBorder="1" applyAlignment="1">
      <alignment horizontal="center" vertical="center" wrapText="1"/>
    </xf>
    <xf numFmtId="0" fontId="40" fillId="14" borderId="1" xfId="0" applyFont="1" applyFill="1" applyBorder="1" applyAlignment="1">
      <alignment horizontal="center" vertical="center" wrapText="1"/>
    </xf>
    <xf numFmtId="0" fontId="47" fillId="25" borderId="1" xfId="0" applyFont="1" applyFill="1" applyBorder="1" applyAlignment="1">
      <alignment horizontal="center" vertical="center" wrapText="1"/>
    </xf>
    <xf numFmtId="0" fontId="47" fillId="36" borderId="1" xfId="0" applyFont="1" applyFill="1" applyBorder="1" applyAlignment="1">
      <alignment horizontal="center" vertical="center" wrapText="1"/>
    </xf>
    <xf numFmtId="0" fontId="2" fillId="0" borderId="1" xfId="0" applyFont="1" applyBorder="1" applyAlignment="1">
      <alignment vertical="center" wrapText="1"/>
    </xf>
    <xf numFmtId="0" fontId="47" fillId="0" borderId="11" xfId="0" applyFont="1" applyBorder="1" applyAlignment="1">
      <alignment horizontal="center" vertical="center" wrapText="1"/>
    </xf>
    <xf numFmtId="14" fontId="26" fillId="25" borderId="1" xfId="0" applyNumberFormat="1" applyFont="1" applyFill="1" applyBorder="1" applyAlignment="1">
      <alignment horizontal="center" vertical="center"/>
    </xf>
    <xf numFmtId="0" fontId="26" fillId="25" borderId="1" xfId="0" applyFont="1" applyFill="1" applyBorder="1"/>
    <xf numFmtId="0" fontId="26" fillId="25" borderId="0" xfId="0" applyFont="1" applyFill="1"/>
    <xf numFmtId="166" fontId="49" fillId="25" borderId="2" xfId="1" applyNumberFormat="1" applyFont="1" applyFill="1" applyBorder="1" applyAlignment="1">
      <alignment vertical="center"/>
    </xf>
    <xf numFmtId="0" fontId="47" fillId="36" borderId="11" xfId="0" applyFont="1" applyFill="1" applyBorder="1" applyAlignment="1">
      <alignment horizontal="center" vertical="center" wrapText="1"/>
    </xf>
    <xf numFmtId="14" fontId="26" fillId="0" borderId="1" xfId="0" applyNumberFormat="1" applyFont="1" applyBorder="1" applyAlignment="1">
      <alignment vertical="center"/>
    </xf>
    <xf numFmtId="14" fontId="26" fillId="25" borderId="1" xfId="0" quotePrefix="1" applyNumberFormat="1" applyFont="1" applyFill="1" applyBorder="1" applyAlignment="1">
      <alignment vertical="center"/>
    </xf>
    <xf numFmtId="14" fontId="26" fillId="0" borderId="1" xfId="0" quotePrefix="1" applyNumberFormat="1" applyFont="1" applyBorder="1" applyAlignment="1">
      <alignment vertical="center"/>
    </xf>
    <xf numFmtId="0" fontId="29" fillId="6" borderId="1" xfId="0" applyFont="1" applyFill="1" applyBorder="1" applyAlignment="1">
      <alignment horizontal="center" vertical="center" wrapText="1"/>
    </xf>
    <xf numFmtId="0" fontId="32" fillId="0" borderId="1" xfId="0" applyFont="1" applyBorder="1" applyAlignment="1">
      <alignment vertical="center" wrapText="1"/>
    </xf>
    <xf numFmtId="0" fontId="2" fillId="25" borderId="0" xfId="0" applyFont="1" applyFill="1" applyAlignment="1">
      <alignment vertical="center"/>
    </xf>
    <xf numFmtId="0" fontId="32" fillId="25" borderId="1" xfId="0" applyFont="1" applyFill="1" applyBorder="1" applyAlignment="1">
      <alignment vertical="center" wrapText="1"/>
    </xf>
    <xf numFmtId="166" fontId="2" fillId="15" borderId="1" xfId="0" applyNumberFormat="1" applyFont="1" applyFill="1" applyBorder="1" applyAlignment="1">
      <alignment vertical="center"/>
    </xf>
    <xf numFmtId="166" fontId="25" fillId="37" borderId="14" xfId="1" applyNumberFormat="1" applyFont="1" applyFill="1" applyBorder="1" applyAlignment="1">
      <alignment horizontal="center"/>
    </xf>
    <xf numFmtId="0" fontId="26" fillId="14" borderId="0" xfId="0" applyFont="1" applyFill="1"/>
    <xf numFmtId="166" fontId="25" fillId="15" borderId="14" xfId="1" applyNumberFormat="1" applyFont="1" applyFill="1" applyBorder="1" applyAlignment="1">
      <alignment horizontal="center"/>
    </xf>
    <xf numFmtId="166" fontId="25" fillId="38" borderId="14" xfId="1" applyNumberFormat="1" applyFont="1" applyFill="1" applyBorder="1" applyAlignment="1">
      <alignment horizontal="center"/>
    </xf>
    <xf numFmtId="166" fontId="25" fillId="14" borderId="17" xfId="1" applyNumberFormat="1" applyFont="1" applyFill="1" applyBorder="1" applyAlignment="1">
      <alignment horizontal="center"/>
    </xf>
    <xf numFmtId="0" fontId="30" fillId="0" borderId="0" xfId="0" applyFont="1"/>
    <xf numFmtId="166" fontId="31" fillId="14" borderId="1" xfId="0" applyNumberFormat="1" applyFont="1" applyFill="1" applyBorder="1"/>
    <xf numFmtId="166" fontId="25" fillId="0" borderId="0" xfId="0" applyNumberFormat="1" applyFont="1" applyAlignment="1">
      <alignment horizontal="center"/>
    </xf>
    <xf numFmtId="0" fontId="0" fillId="36" borderId="1" xfId="0" applyFill="1" applyBorder="1" applyAlignment="1">
      <alignment horizontal="center"/>
    </xf>
    <xf numFmtId="0" fontId="51" fillId="0" borderId="1" xfId="0" applyFont="1" applyBorder="1" applyAlignment="1">
      <alignment horizontal="center"/>
    </xf>
    <xf numFmtId="0" fontId="30" fillId="36" borderId="0" xfId="0" applyFont="1" applyFill="1"/>
    <xf numFmtId="166" fontId="25" fillId="14" borderId="10" xfId="1" applyNumberFormat="1" applyFont="1" applyFill="1" applyBorder="1" applyAlignment="1">
      <alignment horizontal="center"/>
    </xf>
    <xf numFmtId="166" fontId="25" fillId="14" borderId="14" xfId="1" applyNumberFormat="1" applyFont="1" applyFill="1" applyBorder="1" applyAlignment="1">
      <alignment horizontal="center"/>
    </xf>
    <xf numFmtId="166" fontId="25" fillId="38" borderId="11" xfId="1" applyNumberFormat="1" applyFont="1" applyFill="1" applyBorder="1" applyAlignment="1">
      <alignment horizontal="center"/>
    </xf>
    <xf numFmtId="166" fontId="26" fillId="0" borderId="11" xfId="1" applyNumberFormat="1" applyFont="1" applyBorder="1"/>
    <xf numFmtId="166" fontId="26" fillId="38" borderId="11" xfId="1" applyNumberFormat="1" applyFont="1" applyFill="1" applyBorder="1"/>
    <xf numFmtId="0" fontId="26" fillId="0" borderId="11" xfId="0" applyFont="1" applyBorder="1"/>
    <xf numFmtId="0" fontId="26" fillId="25" borderId="11" xfId="0" applyFont="1" applyFill="1" applyBorder="1"/>
    <xf numFmtId="166" fontId="31" fillId="14" borderId="11" xfId="0" applyNumberFormat="1" applyFont="1" applyFill="1" applyBorder="1"/>
    <xf numFmtId="166" fontId="25" fillId="15" borderId="11" xfId="1" applyNumberFormat="1" applyFont="1" applyFill="1" applyBorder="1" applyAlignment="1">
      <alignment horizontal="center" vertical="center"/>
    </xf>
    <xf numFmtId="0" fontId="8" fillId="39" borderId="1" xfId="0" applyFont="1" applyFill="1" applyBorder="1" applyAlignment="1">
      <alignment horizontal="center" vertical="center" wrapText="1"/>
    </xf>
    <xf numFmtId="0" fontId="2" fillId="15" borderId="1" xfId="0" applyFont="1" applyFill="1" applyBorder="1" applyAlignment="1">
      <alignment horizontal="left" vertical="center" wrapText="1"/>
    </xf>
    <xf numFmtId="0" fontId="47" fillId="15" borderId="11" xfId="0" applyFont="1" applyFill="1" applyBorder="1" applyAlignment="1">
      <alignment horizontal="center" vertical="center" wrapText="1"/>
    </xf>
    <xf numFmtId="0" fontId="2" fillId="15" borderId="1" xfId="0" applyFont="1" applyFill="1" applyBorder="1" applyAlignment="1">
      <alignment vertical="center" wrapText="1"/>
    </xf>
    <xf numFmtId="0" fontId="2" fillId="41" borderId="1" xfId="0" applyFont="1" applyFill="1" applyBorder="1" applyAlignment="1">
      <alignment horizontal="center" vertical="center"/>
    </xf>
    <xf numFmtId="14" fontId="2" fillId="41" borderId="1" xfId="0" applyNumberFormat="1" applyFont="1" applyFill="1" applyBorder="1" applyAlignment="1">
      <alignment horizontal="center" vertical="center"/>
    </xf>
    <xf numFmtId="0" fontId="8" fillId="42" borderId="1" xfId="0" applyFont="1" applyFill="1" applyBorder="1" applyAlignment="1">
      <alignment horizontal="center" vertical="center" wrapText="1"/>
    </xf>
    <xf numFmtId="0" fontId="2" fillId="41" borderId="1" xfId="0" applyFont="1" applyFill="1" applyBorder="1" applyAlignment="1">
      <alignment horizontal="left" vertical="center" wrapText="1"/>
    </xf>
    <xf numFmtId="0" fontId="2" fillId="41" borderId="1" xfId="0" applyFont="1" applyFill="1" applyBorder="1" applyAlignment="1">
      <alignment vertical="center" wrapText="1"/>
    </xf>
    <xf numFmtId="0" fontId="9" fillId="41" borderId="1" xfId="0" applyFont="1" applyFill="1" applyBorder="1" applyAlignment="1">
      <alignment horizontal="center" vertical="center" wrapText="1"/>
    </xf>
    <xf numFmtId="0" fontId="8" fillId="41" borderId="1" xfId="0" applyFont="1" applyFill="1" applyBorder="1" applyAlignment="1">
      <alignment horizontal="center" vertical="center"/>
    </xf>
    <xf numFmtId="0" fontId="2" fillId="41" borderId="1" xfId="0" applyFont="1" applyFill="1" applyBorder="1" applyAlignment="1">
      <alignment vertical="center"/>
    </xf>
    <xf numFmtId="166" fontId="2" fillId="41" borderId="1" xfId="1" applyNumberFormat="1" applyFont="1" applyFill="1" applyBorder="1" applyAlignment="1" applyProtection="1">
      <alignment vertical="center"/>
    </xf>
    <xf numFmtId="166" fontId="2" fillId="41" borderId="1" xfId="0" applyNumberFormat="1" applyFont="1" applyFill="1" applyBorder="1" applyAlignment="1">
      <alignment vertical="center"/>
    </xf>
    <xf numFmtId="0" fontId="8" fillId="42" borderId="4" xfId="0" applyFont="1" applyFill="1" applyBorder="1" applyAlignment="1">
      <alignment horizontal="center" vertical="center" wrapText="1"/>
    </xf>
    <xf numFmtId="0" fontId="0" fillId="41" borderId="0" xfId="0" applyFill="1"/>
    <xf numFmtId="0" fontId="8" fillId="42" borderId="4" xfId="0" applyFont="1" applyFill="1" applyBorder="1" applyAlignment="1">
      <alignment vertical="center" wrapText="1"/>
    </xf>
    <xf numFmtId="0" fontId="8" fillId="41" borderId="1" xfId="0" applyFont="1" applyFill="1" applyBorder="1" applyAlignment="1">
      <alignment horizontal="left" vertical="center" wrapText="1"/>
    </xf>
    <xf numFmtId="0" fontId="2" fillId="41" borderId="1" xfId="0" quotePrefix="1" applyFont="1" applyFill="1" applyBorder="1" applyAlignment="1">
      <alignment horizontal="left" vertical="center" wrapText="1"/>
    </xf>
    <xf numFmtId="0" fontId="2" fillId="41" borderId="1" xfId="0" applyFont="1" applyFill="1" applyBorder="1" applyAlignment="1">
      <alignment horizontal="center" vertical="center" wrapText="1"/>
    </xf>
    <xf numFmtId="0" fontId="8" fillId="42" borderId="5" xfId="0" applyFont="1" applyFill="1" applyBorder="1" applyAlignment="1">
      <alignment vertical="center" wrapText="1"/>
    </xf>
    <xf numFmtId="166" fontId="0" fillId="25" borderId="0" xfId="0" applyNumberFormat="1" applyFill="1"/>
    <xf numFmtId="0" fontId="2" fillId="43" borderId="1" xfId="0" applyFont="1" applyFill="1" applyBorder="1" applyAlignment="1">
      <alignment horizontal="left" vertical="center" wrapText="1"/>
    </xf>
    <xf numFmtId="0" fontId="37" fillId="43" borderId="1" xfId="0" applyFont="1" applyFill="1" applyBorder="1" applyAlignment="1">
      <alignment horizontal="center" vertical="center" wrapText="1"/>
    </xf>
    <xf numFmtId="0" fontId="47" fillId="43" borderId="1" xfId="0" applyFont="1" applyFill="1" applyBorder="1" applyAlignment="1">
      <alignment horizontal="center" vertical="center" wrapText="1"/>
    </xf>
    <xf numFmtId="0" fontId="47" fillId="43" borderId="11" xfId="0" applyFont="1" applyFill="1" applyBorder="1" applyAlignment="1">
      <alignment horizontal="center" vertical="center" wrapText="1"/>
    </xf>
    <xf numFmtId="0" fontId="2" fillId="43" borderId="1" xfId="0" applyFont="1" applyFill="1" applyBorder="1" applyAlignment="1">
      <alignment vertical="center" wrapText="1"/>
    </xf>
    <xf numFmtId="166" fontId="29" fillId="14" borderId="1" xfId="1" applyNumberFormat="1" applyFont="1" applyFill="1" applyBorder="1" applyAlignment="1">
      <alignment horizontal="center" vertical="center"/>
    </xf>
    <xf numFmtId="0" fontId="8" fillId="14" borderId="1" xfId="0" applyFont="1" applyFill="1" applyBorder="1" applyAlignment="1">
      <alignment horizontal="center" vertical="center"/>
    </xf>
    <xf numFmtId="0" fontId="2" fillId="14" borderId="1" xfId="0" applyFont="1" applyFill="1" applyBorder="1" applyAlignment="1">
      <alignment horizontal="left" vertical="center"/>
    </xf>
    <xf numFmtId="0" fontId="2" fillId="0" borderId="0" xfId="0" quotePrefix="1" applyFont="1" applyAlignment="1">
      <alignment horizontal="center" vertical="center"/>
    </xf>
    <xf numFmtId="0" fontId="2" fillId="0" borderId="2" xfId="0" applyFont="1" applyBorder="1" applyAlignment="1">
      <alignment horizontal="center" vertical="center"/>
    </xf>
    <xf numFmtId="0" fontId="2" fillId="14" borderId="2" xfId="0" applyFont="1" applyFill="1" applyBorder="1" applyAlignment="1">
      <alignment horizontal="center" vertical="center"/>
    </xf>
    <xf numFmtId="0" fontId="32" fillId="36" borderId="2" xfId="0" applyFont="1" applyFill="1" applyBorder="1" applyAlignment="1">
      <alignment horizontal="center" vertical="center" wrapText="1"/>
    </xf>
    <xf numFmtId="0" fontId="32" fillId="36" borderId="11" xfId="0" applyFont="1" applyFill="1" applyBorder="1" applyAlignment="1">
      <alignment horizontal="center" vertical="center" wrapText="1"/>
    </xf>
    <xf numFmtId="0" fontId="9" fillId="25" borderId="2" xfId="0" applyFont="1" applyFill="1" applyBorder="1" applyAlignment="1">
      <alignment horizontal="center" vertical="center" wrapText="1"/>
    </xf>
    <xf numFmtId="0" fontId="9" fillId="25" borderId="10" xfId="0" applyFont="1" applyFill="1" applyBorder="1" applyAlignment="1">
      <alignment horizontal="center" vertical="center" wrapText="1"/>
    </xf>
    <xf numFmtId="0" fontId="9" fillId="25" borderId="11" xfId="0" applyFont="1" applyFill="1" applyBorder="1" applyAlignment="1">
      <alignment horizontal="center" vertical="center" wrapText="1"/>
    </xf>
    <xf numFmtId="0" fontId="2" fillId="25" borderId="2" xfId="0" applyFont="1" applyFill="1" applyBorder="1" applyAlignment="1">
      <alignment horizontal="center" vertical="center"/>
    </xf>
    <xf numFmtId="0" fontId="2" fillId="25" borderId="11" xfId="0" applyFont="1" applyFill="1" applyBorder="1" applyAlignment="1">
      <alignment horizontal="center" vertical="center"/>
    </xf>
    <xf numFmtId="0" fontId="2" fillId="25" borderId="2" xfId="0" applyFont="1" applyFill="1" applyBorder="1" applyAlignment="1">
      <alignment horizontal="center" vertical="center" wrapText="1"/>
    </xf>
    <xf numFmtId="0" fontId="2" fillId="25" borderId="11" xfId="0" applyFont="1" applyFill="1" applyBorder="1" applyAlignment="1">
      <alignment horizontal="center" vertical="center" wrapText="1"/>
    </xf>
    <xf numFmtId="0" fontId="47" fillId="0" borderId="2" xfId="0" applyFont="1" applyBorder="1" applyAlignment="1">
      <alignment horizontal="center" vertical="center" wrapText="1"/>
    </xf>
    <xf numFmtId="0" fontId="47" fillId="0" borderId="11" xfId="0" applyFont="1" applyBorder="1" applyAlignment="1">
      <alignment horizontal="center" vertical="center" wrapText="1"/>
    </xf>
    <xf numFmtId="0" fontId="2" fillId="0" borderId="2" xfId="0" applyFont="1" applyBorder="1" applyAlignment="1">
      <alignment horizontal="center" vertical="center"/>
    </xf>
    <xf numFmtId="0" fontId="2" fillId="0" borderId="11" xfId="0" applyFont="1" applyBorder="1" applyAlignment="1">
      <alignment horizontal="center" vertical="center"/>
    </xf>
    <xf numFmtId="14" fontId="2" fillId="0" borderId="2" xfId="0" applyNumberFormat="1" applyFont="1" applyBorder="1" applyAlignment="1">
      <alignment horizontal="center" vertical="center"/>
    </xf>
    <xf numFmtId="14" fontId="2" fillId="0" borderId="11" xfId="0" applyNumberFormat="1" applyFont="1" applyBorder="1" applyAlignment="1">
      <alignment horizontal="center" vertical="center"/>
    </xf>
    <xf numFmtId="0" fontId="40" fillId="0" borderId="2" xfId="0" applyFont="1" applyBorder="1" applyAlignment="1">
      <alignment horizontal="center" vertical="center" wrapText="1"/>
    </xf>
    <xf numFmtId="0" fontId="40" fillId="0" borderId="11" xfId="0" applyFont="1" applyBorder="1" applyAlignment="1">
      <alignment horizontal="center" vertical="center" wrapText="1"/>
    </xf>
    <xf numFmtId="0" fontId="2" fillId="25" borderId="10" xfId="0" applyFont="1" applyFill="1" applyBorder="1" applyAlignment="1">
      <alignment horizontal="center" vertical="center"/>
    </xf>
    <xf numFmtId="14" fontId="2" fillId="25" borderId="2" xfId="0" applyNumberFormat="1" applyFont="1" applyFill="1" applyBorder="1" applyAlignment="1">
      <alignment horizontal="center" vertical="center"/>
    </xf>
    <xf numFmtId="14" fontId="2" fillId="25" borderId="10" xfId="0" applyNumberFormat="1" applyFont="1" applyFill="1" applyBorder="1" applyAlignment="1">
      <alignment horizontal="center" vertical="center"/>
    </xf>
    <xf numFmtId="14" fontId="2" fillId="25" borderId="11" xfId="0" applyNumberFormat="1" applyFont="1" applyFill="1" applyBorder="1" applyAlignment="1">
      <alignment horizontal="center" vertical="center"/>
    </xf>
    <xf numFmtId="0" fontId="9" fillId="36" borderId="2" xfId="0" applyFont="1" applyFill="1" applyBorder="1" applyAlignment="1">
      <alignment horizontal="center" vertical="center" wrapText="1"/>
    </xf>
    <xf numFmtId="0" fontId="9" fillId="36" borderId="10" xfId="0" applyFont="1" applyFill="1" applyBorder="1" applyAlignment="1">
      <alignment horizontal="center" vertical="center" wrapText="1"/>
    </xf>
    <xf numFmtId="0" fontId="9" fillId="36" borderId="11"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2" fillId="36" borderId="2" xfId="0" applyFont="1" applyFill="1" applyBorder="1" applyAlignment="1">
      <alignment horizontal="center" vertical="center" wrapText="1"/>
    </xf>
    <xf numFmtId="0" fontId="2" fillId="36" borderId="11" xfId="0" applyFont="1" applyFill="1" applyBorder="1" applyAlignment="1">
      <alignment horizontal="center" vertical="center" wrapText="1"/>
    </xf>
    <xf numFmtId="0" fontId="2" fillId="43" borderId="2" xfId="0" applyFont="1" applyFill="1" applyBorder="1" applyAlignment="1">
      <alignment horizontal="center" vertical="center" wrapText="1"/>
    </xf>
    <xf numFmtId="0" fontId="2" fillId="43" borderId="11" xfId="0" applyFont="1" applyFill="1" applyBorder="1" applyAlignment="1">
      <alignment horizontal="center" vertical="center" wrapText="1"/>
    </xf>
    <xf numFmtId="0" fontId="2" fillId="14" borderId="2" xfId="0" applyFont="1" applyFill="1" applyBorder="1" applyAlignment="1">
      <alignment horizontal="center" vertical="center"/>
    </xf>
    <xf numFmtId="0" fontId="2" fillId="14" borderId="11" xfId="0" applyFont="1" applyFill="1" applyBorder="1" applyAlignment="1">
      <alignment horizontal="center" vertical="center"/>
    </xf>
    <xf numFmtId="14" fontId="2" fillId="14" borderId="2" xfId="0" applyNumberFormat="1" applyFont="1" applyFill="1" applyBorder="1" applyAlignment="1">
      <alignment horizontal="center" vertical="center"/>
    </xf>
    <xf numFmtId="14" fontId="2" fillId="14" borderId="11" xfId="0" applyNumberFormat="1" applyFont="1" applyFill="1" applyBorder="1" applyAlignment="1">
      <alignment horizontal="center" vertical="center"/>
    </xf>
    <xf numFmtId="0" fontId="2" fillId="25" borderId="2" xfId="0" quotePrefix="1" applyFont="1" applyFill="1" applyBorder="1" applyAlignment="1">
      <alignment horizontal="center" vertical="center" wrapText="1"/>
    </xf>
    <xf numFmtId="0" fontId="2" fillId="25" borderId="11" xfId="0" quotePrefix="1" applyFont="1" applyFill="1" applyBorder="1" applyAlignment="1">
      <alignment horizontal="center" vertical="center" wrapText="1"/>
    </xf>
    <xf numFmtId="0" fontId="2" fillId="25" borderId="5" xfId="0" applyFont="1" applyFill="1" applyBorder="1" applyAlignment="1">
      <alignment horizontal="center" vertical="center" wrapText="1"/>
    </xf>
    <xf numFmtId="0" fontId="2" fillId="25" borderId="10" xfId="0" quotePrefix="1" applyFont="1" applyFill="1" applyBorder="1" applyAlignment="1">
      <alignment horizontal="center" vertical="center" wrapText="1"/>
    </xf>
    <xf numFmtId="0" fontId="2" fillId="40" borderId="2" xfId="0" applyFont="1" applyFill="1" applyBorder="1" applyAlignment="1">
      <alignment horizontal="center" vertical="center" wrapText="1"/>
    </xf>
    <xf numFmtId="0" fontId="2" fillId="40" borderId="11" xfId="0" applyFont="1" applyFill="1" applyBorder="1" applyAlignment="1">
      <alignment horizontal="center" vertical="center" wrapText="1"/>
    </xf>
    <xf numFmtId="0" fontId="6" fillId="27" borderId="1" xfId="0" applyFont="1" applyFill="1" applyBorder="1" applyAlignment="1">
      <alignment horizontal="center" vertical="center"/>
    </xf>
    <xf numFmtId="0" fontId="6" fillId="27" borderId="1" xfId="0" applyFont="1" applyFill="1" applyBorder="1" applyAlignment="1">
      <alignment horizontal="justify" vertical="center"/>
    </xf>
    <xf numFmtId="0" fontId="6" fillId="31" borderId="3" xfId="0" applyFont="1" applyFill="1" applyBorder="1" applyAlignment="1">
      <alignment horizontal="center" vertical="center"/>
    </xf>
    <xf numFmtId="0" fontId="6" fillId="31" borderId="12" xfId="0" applyFont="1" applyFill="1" applyBorder="1" applyAlignment="1">
      <alignment horizontal="center" vertical="center"/>
    </xf>
    <xf numFmtId="0" fontId="6" fillId="31" borderId="7" xfId="0" applyFont="1" applyFill="1" applyBorder="1" applyAlignment="1">
      <alignment horizontal="center" vertical="center"/>
    </xf>
    <xf numFmtId="0" fontId="6" fillId="27" borderId="1" xfId="0" applyFont="1" applyFill="1" applyBorder="1" applyAlignment="1">
      <alignment horizontal="center" vertical="center" wrapText="1"/>
    </xf>
    <xf numFmtId="0" fontId="6" fillId="27" borderId="2" xfId="0" applyFont="1" applyFill="1" applyBorder="1" applyAlignment="1">
      <alignment horizontal="center" vertical="center" wrapText="1"/>
    </xf>
    <xf numFmtId="0" fontId="6" fillId="27" borderId="11"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6" fillId="27" borderId="12" xfId="0" applyFont="1" applyFill="1" applyBorder="1" applyAlignment="1">
      <alignment horizontal="center" vertical="center" wrapText="1"/>
    </xf>
    <xf numFmtId="0" fontId="6" fillId="27" borderId="7"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5"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0" borderId="0" xfId="0" applyFont="1" applyAlignment="1">
      <alignment horizontal="center"/>
    </xf>
    <xf numFmtId="0" fontId="15" fillId="0" borderId="0" xfId="0" applyFont="1" applyAlignment="1">
      <alignment horizontal="center"/>
    </xf>
    <xf numFmtId="14" fontId="16" fillId="0" borderId="0" xfId="0" applyNumberFormat="1" applyFont="1" applyAlignment="1">
      <alignment horizontal="center"/>
    </xf>
    <xf numFmtId="0" fontId="7" fillId="2" borderId="1" xfId="0" applyFont="1" applyFill="1" applyBorder="1" applyAlignment="1">
      <alignment horizontal="center" vertical="center"/>
    </xf>
    <xf numFmtId="14" fontId="6" fillId="2" borderId="1" xfId="0" applyNumberFormat="1" applyFont="1" applyFill="1" applyBorder="1" applyAlignment="1">
      <alignment horizontal="center" vertical="center" wrapText="1"/>
    </xf>
    <xf numFmtId="0" fontId="17" fillId="6" borderId="0" xfId="0" applyFont="1" applyFill="1" applyAlignment="1">
      <alignment horizontal="center" vertical="center" wrapText="1"/>
    </xf>
    <xf numFmtId="0" fontId="18"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6" fillId="0" borderId="0" xfId="0" applyFont="1" applyAlignment="1">
      <alignment horizontal="center"/>
    </xf>
    <xf numFmtId="0" fontId="19" fillId="0" borderId="0" xfId="0" applyFont="1" applyAlignment="1">
      <alignment horizontal="center"/>
    </xf>
    <xf numFmtId="0" fontId="2" fillId="6" borderId="4" xfId="0" applyFont="1" applyFill="1" applyBorder="1" applyAlignment="1">
      <alignment horizontal="center" vertical="center" wrapText="1"/>
    </xf>
    <xf numFmtId="0" fontId="26" fillId="0" borderId="2" xfId="0" applyFont="1" applyBorder="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xf>
    <xf numFmtId="0" fontId="25" fillId="11" borderId="1" xfId="0" applyFont="1" applyFill="1" applyBorder="1" applyAlignment="1">
      <alignment horizontal="center" vertical="center"/>
    </xf>
    <xf numFmtId="14" fontId="26" fillId="0" borderId="2" xfId="0" quotePrefix="1" applyNumberFormat="1" applyFont="1" applyBorder="1" applyAlignment="1">
      <alignment horizontal="center" vertical="center"/>
    </xf>
    <xf numFmtId="14" fontId="26" fillId="0" borderId="10" xfId="0" quotePrefix="1" applyNumberFormat="1" applyFont="1" applyBorder="1" applyAlignment="1">
      <alignment horizontal="center" vertical="center"/>
    </xf>
    <xf numFmtId="14" fontId="26" fillId="0" borderId="11" xfId="0" quotePrefix="1" applyNumberFormat="1" applyFont="1" applyBorder="1" applyAlignment="1">
      <alignment horizontal="center" vertical="center"/>
    </xf>
    <xf numFmtId="0" fontId="25" fillId="0" borderId="2" xfId="0" applyFont="1" applyBorder="1" applyAlignment="1">
      <alignment horizontal="center" vertical="center"/>
    </xf>
    <xf numFmtId="0" fontId="25" fillId="0" borderId="11" xfId="0" applyFont="1" applyBorder="1" applyAlignment="1">
      <alignment horizontal="center" vertical="center"/>
    </xf>
    <xf numFmtId="0" fontId="25" fillId="0" borderId="1" xfId="0" applyFont="1" applyBorder="1" applyAlignment="1">
      <alignment horizontal="center" vertical="center"/>
    </xf>
    <xf numFmtId="0" fontId="20" fillId="4" borderId="1" xfId="0" applyFont="1" applyFill="1" applyBorder="1" applyAlignment="1">
      <alignment horizontal="center" vertical="center"/>
    </xf>
    <xf numFmtId="0" fontId="20" fillId="9" borderId="1" xfId="0" applyFont="1" applyFill="1" applyBorder="1" applyAlignment="1">
      <alignment horizontal="center" vertical="center"/>
    </xf>
    <xf numFmtId="0" fontId="20" fillId="10" borderId="1" xfId="0" applyFont="1" applyFill="1" applyBorder="1" applyAlignment="1">
      <alignment horizontal="center" vertical="center"/>
    </xf>
    <xf numFmtId="0" fontId="20" fillId="11" borderId="1" xfId="0" applyFont="1" applyFill="1" applyBorder="1" applyAlignment="1">
      <alignment horizontal="center" vertical="center"/>
    </xf>
    <xf numFmtId="166" fontId="25" fillId="37" borderId="3" xfId="1" applyNumberFormat="1" applyFont="1" applyFill="1" applyBorder="1" applyAlignment="1">
      <alignment horizontal="center"/>
    </xf>
    <xf numFmtId="166" fontId="25" fillId="37" borderId="7" xfId="1" applyNumberFormat="1" applyFont="1" applyFill="1" applyBorder="1" applyAlignment="1">
      <alignment horizontal="center"/>
    </xf>
    <xf numFmtId="166" fontId="25" fillId="15" borderId="3" xfId="1" applyNumberFormat="1" applyFont="1" applyFill="1" applyBorder="1" applyAlignment="1">
      <alignment horizontal="center"/>
    </xf>
    <xf numFmtId="166" fontId="25" fillId="15" borderId="12" xfId="1" applyNumberFormat="1" applyFont="1" applyFill="1" applyBorder="1" applyAlignment="1">
      <alignment horizontal="center"/>
    </xf>
    <xf numFmtId="166" fontId="25" fillId="15" borderId="7" xfId="1" applyNumberFormat="1" applyFont="1" applyFill="1" applyBorder="1" applyAlignment="1">
      <alignment horizontal="center"/>
    </xf>
    <xf numFmtId="0" fontId="31" fillId="14" borderId="3" xfId="0" applyFont="1" applyFill="1" applyBorder="1" applyAlignment="1">
      <alignment horizontal="center" vertical="center"/>
    </xf>
    <xf numFmtId="0" fontId="31" fillId="14" borderId="7" xfId="0" applyFont="1" applyFill="1" applyBorder="1" applyAlignment="1">
      <alignment horizontal="center" vertical="center"/>
    </xf>
    <xf numFmtId="166" fontId="25" fillId="38" borderId="3" xfId="1" applyNumberFormat="1" applyFont="1" applyFill="1" applyBorder="1" applyAlignment="1">
      <alignment horizontal="center"/>
    </xf>
    <xf numFmtId="166" fontId="25" fillId="38" borderId="7" xfId="1" applyNumberFormat="1" applyFont="1" applyFill="1" applyBorder="1" applyAlignment="1">
      <alignment horizontal="center"/>
    </xf>
    <xf numFmtId="166" fontId="25" fillId="14" borderId="3" xfId="1" applyNumberFormat="1" applyFont="1" applyFill="1" applyBorder="1" applyAlignment="1">
      <alignment horizontal="center"/>
    </xf>
    <xf numFmtId="166" fontId="25" fillId="14" borderId="7" xfId="1" applyNumberFormat="1" applyFont="1" applyFill="1" applyBorder="1" applyAlignment="1">
      <alignment horizontal="center"/>
    </xf>
    <xf numFmtId="166" fontId="25" fillId="0" borderId="2" xfId="1" applyNumberFormat="1" applyFont="1" applyBorder="1" applyAlignment="1">
      <alignment horizontal="center" vertical="center"/>
    </xf>
    <xf numFmtId="166" fontId="25" fillId="0" borderId="11" xfId="1" applyNumberFormat="1" applyFont="1" applyBorder="1" applyAlignment="1">
      <alignment horizontal="center" vertical="center"/>
    </xf>
    <xf numFmtId="166" fontId="25" fillId="14" borderId="12" xfId="1" applyNumberFormat="1" applyFont="1" applyFill="1" applyBorder="1" applyAlignment="1">
      <alignment horizontal="center"/>
    </xf>
    <xf numFmtId="166" fontId="25" fillId="15" borderId="13" xfId="1" applyNumberFormat="1" applyFont="1" applyFill="1" applyBorder="1" applyAlignment="1">
      <alignment horizontal="center"/>
    </xf>
    <xf numFmtId="166" fontId="25" fillId="15" borderId="14" xfId="1" applyNumberFormat="1" applyFont="1" applyFill="1" applyBorder="1" applyAlignment="1">
      <alignment horizontal="center"/>
    </xf>
    <xf numFmtId="166" fontId="25" fillId="15" borderId="15" xfId="1" applyNumberFormat="1" applyFont="1" applyFill="1" applyBorder="1" applyAlignment="1">
      <alignment horizontal="center"/>
    </xf>
    <xf numFmtId="166" fontId="25" fillId="37" borderId="13" xfId="1" applyNumberFormat="1" applyFont="1" applyFill="1" applyBorder="1" applyAlignment="1">
      <alignment horizontal="center"/>
    </xf>
    <xf numFmtId="166" fontId="25" fillId="37" borderId="14" xfId="1" applyNumberFormat="1" applyFont="1" applyFill="1" applyBorder="1" applyAlignment="1">
      <alignment horizontal="center"/>
    </xf>
    <xf numFmtId="166" fontId="25" fillId="37" borderId="15" xfId="1" applyNumberFormat="1" applyFont="1" applyFill="1" applyBorder="1" applyAlignment="1">
      <alignment horizontal="center"/>
    </xf>
    <xf numFmtId="166" fontId="25" fillId="38" borderId="13" xfId="1" applyNumberFormat="1" applyFont="1" applyFill="1" applyBorder="1" applyAlignment="1">
      <alignment horizontal="center"/>
    </xf>
    <xf numFmtId="166" fontId="25" fillId="38" borderId="14" xfId="1" applyNumberFormat="1" applyFont="1" applyFill="1" applyBorder="1" applyAlignment="1">
      <alignment horizontal="center"/>
    </xf>
    <xf numFmtId="166" fontId="25" fillId="38" borderId="15" xfId="1" applyNumberFormat="1" applyFont="1" applyFill="1" applyBorder="1" applyAlignment="1">
      <alignment horizontal="center"/>
    </xf>
    <xf numFmtId="0" fontId="2" fillId="0" borderId="2" xfId="0" applyFont="1" applyBorder="1" applyAlignment="1">
      <alignment horizontal="center" vertical="center" wrapText="1"/>
    </xf>
    <xf numFmtId="0" fontId="40" fillId="36" borderId="2" xfId="0" applyFont="1" applyFill="1" applyBorder="1" applyAlignment="1">
      <alignment horizontal="center" vertical="center" wrapText="1"/>
    </xf>
    <xf numFmtId="0" fontId="2" fillId="0" borderId="2" xfId="0" applyFont="1" applyBorder="1" applyAlignment="1">
      <alignment horizontal="left" vertical="center"/>
    </xf>
    <xf numFmtId="166" fontId="2" fillId="0" borderId="2" xfId="0" applyNumberFormat="1" applyFont="1" applyBorder="1" applyAlignment="1">
      <alignment vertical="center"/>
    </xf>
    <xf numFmtId="0" fontId="29" fillId="6" borderId="16" xfId="0" applyFont="1" applyFill="1" applyBorder="1" applyAlignment="1">
      <alignment vertical="center" wrapText="1"/>
    </xf>
    <xf numFmtId="0" fontId="32" fillId="36" borderId="1" xfId="0" applyFont="1" applyFill="1" applyBorder="1" applyAlignment="1">
      <alignment horizontal="center" vertical="center" wrapText="1"/>
    </xf>
    <xf numFmtId="0" fontId="2" fillId="0" borderId="2" xfId="0" applyFont="1" applyBorder="1"/>
    <xf numFmtId="166" fontId="2" fillId="0" borderId="11" xfId="1" applyNumberFormat="1" applyFont="1" applyBorder="1" applyProtection="1"/>
    <xf numFmtId="0" fontId="2" fillId="0" borderId="11" xfId="0" applyFont="1" applyBorder="1" applyAlignment="1">
      <alignment horizontal="left" vertical="center"/>
    </xf>
    <xf numFmtId="0" fontId="2" fillId="0" borderId="5" xfId="0" applyFont="1" applyBorder="1"/>
    <xf numFmtId="0" fontId="2" fillId="0" borderId="4" xfId="0" applyFont="1" applyBorder="1"/>
    <xf numFmtId="0" fontId="2" fillId="25" borderId="4" xfId="0" applyFont="1" applyFill="1" applyBorder="1" applyAlignment="1">
      <alignment vertical="center"/>
    </xf>
    <xf numFmtId="0" fontId="8" fillId="0" borderId="4" xfId="0" applyFont="1" applyBorder="1" applyAlignment="1">
      <alignment horizontal="left" vertical="center" wrapText="1"/>
    </xf>
    <xf numFmtId="0" fontId="2" fillId="0" borderId="4" xfId="0" applyFont="1" applyBorder="1" applyAlignment="1">
      <alignment horizontal="left" vertical="center" wrapText="1"/>
    </xf>
    <xf numFmtId="0" fontId="29" fillId="6" borderId="8" xfId="0" applyFont="1" applyFill="1" applyBorder="1" applyAlignment="1">
      <alignment vertical="center" wrapText="1"/>
    </xf>
    <xf numFmtId="0" fontId="2" fillId="6" borderId="2" xfId="0" applyFont="1" applyFill="1" applyBorder="1" applyAlignment="1">
      <alignment horizontal="center" vertical="center" wrapText="1"/>
    </xf>
    <xf numFmtId="166" fontId="2" fillId="0" borderId="2" xfId="1" applyNumberFormat="1" applyFont="1" applyBorder="1" applyProtection="1"/>
    <xf numFmtId="166" fontId="2" fillId="0" borderId="5" xfId="1" applyNumberFormat="1" applyFont="1" applyBorder="1" applyProtection="1"/>
    <xf numFmtId="0" fontId="2" fillId="0" borderId="16" xfId="0" applyFont="1" applyBorder="1"/>
    <xf numFmtId="0" fontId="2" fillId="25" borderId="4" xfId="0" applyFont="1" applyFill="1" applyBorder="1" applyAlignment="1">
      <alignment horizontal="left" vertical="center"/>
    </xf>
    <xf numFmtId="0" fontId="2" fillId="0" borderId="5" xfId="0" applyFont="1" applyBorder="1" applyAlignment="1">
      <alignment horizontal="center"/>
    </xf>
    <xf numFmtId="0" fontId="8" fillId="6" borderId="10" xfId="0" applyFont="1" applyFill="1" applyBorder="1" applyAlignment="1">
      <alignment horizontal="center" vertical="center" wrapText="1"/>
    </xf>
  </cellXfs>
  <cellStyles count="4">
    <cellStyle name="Comma" xfId="1" builtinId="3"/>
    <cellStyle name="Excel Built-in Comma [0] 1" xfId="3" xr:uid="{00000000-0005-0000-0000-000007000000}"/>
    <cellStyle name="Normal" xfId="0" builtinId="0"/>
    <cellStyle name="Normal 2" xfId="2" xr:uid="{00000000-0005-0000-0000-000006000000}"/>
  </cellStyles>
  <dxfs count="10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69A2E"/>
      <rgbColor rgb="FF000080"/>
      <rgbColor rgb="FF808000"/>
      <rgbColor rgb="FF800080"/>
      <rgbColor rgb="FF00A933"/>
      <rgbColor rgb="FFC5E0B4"/>
      <rgbColor rgb="FF808080"/>
      <rgbColor rgb="FF9999FF"/>
      <rgbColor rgb="FFFF3838"/>
      <rgbColor rgb="FFFFF5CE"/>
      <rgbColor rgb="FFFBE5D6"/>
      <rgbColor rgb="FF660066"/>
      <rgbColor rgb="FFFF7B59"/>
      <rgbColor rgb="FF0070C0"/>
      <rgbColor rgb="FFFFC7CE"/>
      <rgbColor rgb="FF000080"/>
      <rgbColor rgb="FFFF00FF"/>
      <rgbColor rgb="FFFFFF00"/>
      <rgbColor rgb="FF00FFFF"/>
      <rgbColor rgb="FF800080"/>
      <rgbColor rgb="FF800000"/>
      <rgbColor rgb="FF008080"/>
      <rgbColor rgb="FF0000FF"/>
      <rgbColor rgb="FF00CCFF"/>
      <rgbColor rgb="FFFFD8CE"/>
      <rgbColor rgb="FFFFF2CC"/>
      <rgbColor rgb="FFFFE699"/>
      <rgbColor rgb="FF99CCFF"/>
      <rgbColor rgb="FFFF99CC"/>
      <rgbColor rgb="FFCC99FF"/>
      <rgbColor rgb="FFF8CBAD"/>
      <rgbColor rgb="FF3366FF"/>
      <rgbColor rgb="FF33CCCC"/>
      <rgbColor rgb="FF81D41A"/>
      <rgbColor rgb="FFFFC000"/>
      <rgbColor rgb="FFFFBF00"/>
      <rgbColor rgb="FFFF5429"/>
      <rgbColor rgb="FF666699"/>
      <rgbColor rgb="FF92D050"/>
      <rgbColor rgb="FF081B3A"/>
      <rgbColor rgb="FF3FAF4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AE282"/>
  <sheetViews>
    <sheetView zoomScale="56" zoomScaleNormal="55" workbookViewId="0">
      <pane xSplit="3" ySplit="5" topLeftCell="O243" activePane="bottomRight" state="frozen"/>
      <selection pane="topRight" activeCell="D1" sqref="D1"/>
      <selection pane="bottomLeft" activeCell="A6" sqref="A6"/>
      <selection pane="bottomRight" activeCell="T255" sqref="T255"/>
    </sheetView>
  </sheetViews>
  <sheetFormatPr defaultColWidth="9.109375" defaultRowHeight="18" x14ac:dyDescent="0.3"/>
  <cols>
    <col min="1" max="1" width="6.109375" style="105" customWidth="1"/>
    <col min="2" max="2" width="13.6640625" style="105" customWidth="1"/>
    <col min="3" max="3" width="64.109375" style="104" customWidth="1"/>
    <col min="4" max="4" width="15" style="103" customWidth="1"/>
    <col min="5" max="5" width="16" style="103" customWidth="1"/>
    <col min="6" max="6" width="9.44140625" style="103" customWidth="1"/>
    <col min="7" max="7" width="7.88671875" style="103" customWidth="1"/>
    <col min="8" max="8" width="16.88671875" style="103" customWidth="1"/>
    <col min="9" max="9" width="17.21875" style="103" customWidth="1"/>
    <col min="10" max="10" width="41.5546875" style="105" customWidth="1"/>
    <col min="11" max="11" width="23.5546875" style="105" customWidth="1"/>
    <col min="12" max="12" width="17.88671875" style="93" bestFit="1" customWidth="1"/>
    <col min="13" max="13" width="16.88671875" style="105" bestFit="1" customWidth="1"/>
    <col min="14" max="14" width="22.21875" style="149" customWidth="1"/>
    <col min="15" max="15" width="15.6640625" style="93" customWidth="1"/>
    <col min="16" max="16" width="12.109375" style="93" customWidth="1"/>
    <col min="17" max="17" width="12.5546875" style="93" customWidth="1"/>
    <col min="18" max="19" width="14.6640625" style="93" customWidth="1"/>
    <col min="20" max="20" width="13.109375" style="93" customWidth="1"/>
    <col min="21" max="21" width="11.88671875" style="93" customWidth="1"/>
    <col min="22" max="22" width="10.21875" style="93" customWidth="1"/>
    <col min="23" max="24" width="11.88671875" style="93" customWidth="1"/>
    <col min="25" max="25" width="17.5546875" style="337" customWidth="1"/>
    <col min="26" max="26" width="31.44140625" style="257" customWidth="1"/>
    <col min="27" max="27" width="34.109375" style="105" bestFit="1" customWidth="1"/>
    <col min="28" max="28" width="13.88671875" style="105" customWidth="1"/>
    <col min="29" max="29" width="19" style="93" bestFit="1" customWidth="1"/>
    <col min="30" max="30" width="37.33203125" style="93" bestFit="1" customWidth="1"/>
  </cols>
  <sheetData>
    <row r="1" spans="1:31" s="99" customFormat="1" ht="22.8" x14ac:dyDescent="0.3">
      <c r="A1" s="221" t="s">
        <v>0</v>
      </c>
      <c r="B1" s="98"/>
      <c r="C1" s="98"/>
      <c r="D1" s="98"/>
      <c r="E1" s="98"/>
      <c r="F1" s="98"/>
      <c r="G1" s="98"/>
      <c r="H1" s="98"/>
      <c r="I1" s="98"/>
      <c r="J1" s="221"/>
      <c r="K1" s="98"/>
      <c r="L1" s="98"/>
      <c r="M1" s="98" t="s">
        <v>1</v>
      </c>
      <c r="N1" s="148"/>
      <c r="Z1" s="256"/>
      <c r="AA1" s="225" t="s">
        <v>2</v>
      </c>
      <c r="AB1" s="225"/>
      <c r="AC1" s="100"/>
    </row>
    <row r="2" spans="1:31" x14ac:dyDescent="0.3">
      <c r="Y2" s="93"/>
    </row>
    <row r="3" spans="1:31" s="101" customFormat="1" ht="17.399999999999999" x14ac:dyDescent="0.3">
      <c r="A3" s="433" t="s">
        <v>3</v>
      </c>
      <c r="B3" s="433" t="s">
        <v>4</v>
      </c>
      <c r="C3" s="433" t="s">
        <v>5</v>
      </c>
      <c r="D3" s="438" t="s">
        <v>6</v>
      </c>
      <c r="E3" s="439" t="s">
        <v>487</v>
      </c>
      <c r="F3" s="441" t="s">
        <v>7</v>
      </c>
      <c r="G3" s="442"/>
      <c r="H3" s="442"/>
      <c r="I3" s="443"/>
      <c r="J3" s="433" t="s">
        <v>8</v>
      </c>
      <c r="K3" s="434" t="s">
        <v>9</v>
      </c>
      <c r="L3" s="433" t="s">
        <v>10</v>
      </c>
      <c r="M3" s="194" t="s">
        <v>11</v>
      </c>
      <c r="N3" s="194" t="s">
        <v>492</v>
      </c>
      <c r="O3" s="195" t="s">
        <v>12</v>
      </c>
      <c r="P3" s="435" t="s">
        <v>7</v>
      </c>
      <c r="Q3" s="436"/>
      <c r="R3" s="436"/>
      <c r="S3" s="436"/>
      <c r="T3" s="436"/>
      <c r="U3" s="436"/>
      <c r="V3" s="436"/>
      <c r="W3" s="437"/>
      <c r="X3" s="196" t="s">
        <v>13</v>
      </c>
      <c r="Y3" s="196" t="s">
        <v>14</v>
      </c>
      <c r="Z3" s="239" t="s">
        <v>15</v>
      </c>
      <c r="AA3" s="195" t="s">
        <v>16</v>
      </c>
      <c r="AB3" s="195" t="s">
        <v>7</v>
      </c>
      <c r="AC3" s="195" t="s">
        <v>17</v>
      </c>
      <c r="AD3" s="278" t="s">
        <v>18</v>
      </c>
    </row>
    <row r="4" spans="1:31" s="101" customFormat="1" x14ac:dyDescent="0.3">
      <c r="A4" s="433"/>
      <c r="B4" s="433"/>
      <c r="C4" s="433"/>
      <c r="D4" s="438"/>
      <c r="E4" s="440"/>
      <c r="F4" s="147" t="s">
        <v>490</v>
      </c>
      <c r="G4" s="147" t="s">
        <v>21</v>
      </c>
      <c r="H4" s="147" t="s">
        <v>22</v>
      </c>
      <c r="I4" s="147" t="s">
        <v>23</v>
      </c>
      <c r="J4" s="433"/>
      <c r="K4" s="433"/>
      <c r="L4" s="433"/>
      <c r="M4" s="195" t="s">
        <v>24</v>
      </c>
      <c r="N4" s="195" t="s">
        <v>25</v>
      </c>
      <c r="O4" s="197"/>
      <c r="P4" s="195" t="s">
        <v>26</v>
      </c>
      <c r="Q4" s="195" t="s">
        <v>27</v>
      </c>
      <c r="R4" s="198" t="s">
        <v>35</v>
      </c>
      <c r="S4" s="198" t="s">
        <v>38</v>
      </c>
      <c r="T4" s="198" t="s">
        <v>39</v>
      </c>
      <c r="U4" s="198" t="s">
        <v>42</v>
      </c>
      <c r="V4" s="195" t="s">
        <v>28</v>
      </c>
      <c r="W4" s="195" t="s">
        <v>23</v>
      </c>
      <c r="X4" s="196"/>
      <c r="Y4" s="196"/>
      <c r="Z4" s="239"/>
      <c r="AA4" s="195"/>
      <c r="AB4" s="195"/>
      <c r="AC4" s="195"/>
      <c r="AD4" s="278"/>
    </row>
    <row r="5" spans="1:31" s="177" customFormat="1" ht="54" customHeight="1" x14ac:dyDescent="0.3">
      <c r="A5" s="172"/>
      <c r="B5" s="172"/>
      <c r="C5" s="172"/>
      <c r="D5" s="173"/>
      <c r="E5" s="174"/>
      <c r="F5" s="173"/>
      <c r="G5" s="173"/>
      <c r="H5" s="173"/>
      <c r="I5" s="173"/>
      <c r="J5" s="172"/>
      <c r="K5" s="172"/>
      <c r="L5" s="172"/>
      <c r="M5" s="172"/>
      <c r="N5" s="172"/>
      <c r="O5" s="175"/>
      <c r="P5" s="172">
        <f t="shared" ref="P5:V5" si="0">SUBTOTAL(9,P6:P256)</f>
        <v>1019</v>
      </c>
      <c r="Q5" s="172">
        <f t="shared" si="0"/>
        <v>67</v>
      </c>
      <c r="R5" s="172">
        <f t="shared" si="0"/>
        <v>10</v>
      </c>
      <c r="S5" s="172">
        <f t="shared" si="0"/>
        <v>6</v>
      </c>
      <c r="T5" s="172">
        <f t="shared" si="0"/>
        <v>109</v>
      </c>
      <c r="U5" s="172">
        <f t="shared" si="0"/>
        <v>79</v>
      </c>
      <c r="V5" s="172">
        <f t="shared" si="0"/>
        <v>89</v>
      </c>
      <c r="W5" s="172">
        <f>SUBTOTAL(9,W6:W161)</f>
        <v>746</v>
      </c>
      <c r="X5" s="176"/>
      <c r="Y5" s="176"/>
      <c r="Z5" s="239"/>
      <c r="AA5" s="172"/>
      <c r="AB5" s="172">
        <f>SUBTOTAL(9,AB6:AB161)</f>
        <v>693</v>
      </c>
      <c r="AC5" s="282">
        <f>SUBTOTAL(9,AC6:AC161)</f>
        <v>3465000</v>
      </c>
      <c r="AD5" s="172"/>
    </row>
    <row r="6" spans="1:31" s="160" customFormat="1" ht="57.6" hidden="1" customHeight="1" x14ac:dyDescent="0.3">
      <c r="A6" s="152">
        <v>9</v>
      </c>
      <c r="B6" s="153">
        <v>46272</v>
      </c>
      <c r="C6" s="154" t="s">
        <v>45</v>
      </c>
      <c r="D6" s="155" t="s">
        <v>30</v>
      </c>
      <c r="E6" s="155"/>
      <c r="F6" s="155"/>
      <c r="G6" s="155">
        <v>6</v>
      </c>
      <c r="H6" s="155"/>
      <c r="I6" s="155">
        <f t="shared" ref="I6:I10" si="1">H6+G6</f>
        <v>6</v>
      </c>
      <c r="J6" s="152" t="s">
        <v>31</v>
      </c>
      <c r="K6" s="152"/>
      <c r="L6" s="152" t="s">
        <v>32</v>
      </c>
      <c r="M6" s="152" t="s">
        <v>46</v>
      </c>
      <c r="N6" s="163"/>
      <c r="O6" s="154" t="s">
        <v>26</v>
      </c>
      <c r="P6" s="157">
        <v>5</v>
      </c>
      <c r="Q6" s="157"/>
      <c r="R6" s="157"/>
      <c r="S6" s="157"/>
      <c r="T6" s="157"/>
      <c r="U6" s="157"/>
      <c r="V6" s="157">
        <v>1</v>
      </c>
      <c r="W6" s="157">
        <f t="shared" ref="W6:W34" si="2">SUM(P6:V6)</f>
        <v>6</v>
      </c>
      <c r="X6" s="158">
        <f>SUMIFS('Đơn giá'!C:C,'Đơn giá'!B:B,XUẤT!O6)</f>
        <v>98000</v>
      </c>
      <c r="Y6" s="159">
        <f t="shared" ref="Y6:Y37" si="3">X6*P6</f>
        <v>490000</v>
      </c>
      <c r="Z6" s="232"/>
      <c r="AA6" s="157"/>
      <c r="AB6" s="90">
        <f t="shared" ref="AB6:AB62" si="4">W6-V6</f>
        <v>5</v>
      </c>
      <c r="AC6" s="91">
        <f t="shared" ref="AC6:AC62" si="5">AB6*5000</f>
        <v>25000</v>
      </c>
      <c r="AD6" s="157"/>
    </row>
    <row r="7" spans="1:31" s="160" customFormat="1" ht="54" hidden="1" x14ac:dyDescent="0.3">
      <c r="A7" s="85">
        <v>10</v>
      </c>
      <c r="B7" s="153">
        <v>46272</v>
      </c>
      <c r="C7" s="154" t="s">
        <v>47</v>
      </c>
      <c r="D7" s="155" t="s">
        <v>30</v>
      </c>
      <c r="E7" s="155"/>
      <c r="F7" s="155"/>
      <c r="G7" s="157"/>
      <c r="H7" s="155">
        <v>1</v>
      </c>
      <c r="I7" s="155">
        <f t="shared" si="1"/>
        <v>1</v>
      </c>
      <c r="J7" s="162" t="s">
        <v>48</v>
      </c>
      <c r="K7" s="162"/>
      <c r="L7" s="152" t="s">
        <v>32</v>
      </c>
      <c r="M7" s="152" t="s">
        <v>46</v>
      </c>
      <c r="N7" s="163"/>
      <c r="O7" s="154" t="s">
        <v>39</v>
      </c>
      <c r="P7" s="157">
        <v>1</v>
      </c>
      <c r="Q7" s="157"/>
      <c r="R7" s="157"/>
      <c r="S7" s="157"/>
      <c r="T7" s="157"/>
      <c r="U7" s="157"/>
      <c r="V7" s="157"/>
      <c r="W7" s="157">
        <f t="shared" si="2"/>
        <v>1</v>
      </c>
      <c r="X7" s="158">
        <f>SUMIFS('Đơn giá'!C:C,'Đơn giá'!B:B,XUẤT!O7)</f>
        <v>52000</v>
      </c>
      <c r="Y7" s="159">
        <f t="shared" si="3"/>
        <v>52000</v>
      </c>
      <c r="Z7" s="232"/>
      <c r="AA7" s="154"/>
      <c r="AB7" s="90">
        <f t="shared" si="4"/>
        <v>1</v>
      </c>
      <c r="AC7" s="91" t="s">
        <v>666</v>
      </c>
      <c r="AD7" s="157"/>
    </row>
    <row r="8" spans="1:31" s="160" customFormat="1" ht="54" hidden="1" x14ac:dyDescent="0.3">
      <c r="A8" s="85">
        <v>11</v>
      </c>
      <c r="B8" s="153">
        <v>46272</v>
      </c>
      <c r="C8" s="154" t="s">
        <v>51</v>
      </c>
      <c r="D8" s="162" t="s">
        <v>40</v>
      </c>
      <c r="E8" s="162"/>
      <c r="F8" s="162"/>
      <c r="G8" s="162"/>
      <c r="H8" s="162">
        <v>11</v>
      </c>
      <c r="I8" s="155">
        <f t="shared" si="1"/>
        <v>11</v>
      </c>
      <c r="J8" s="162" t="s">
        <v>52</v>
      </c>
      <c r="K8" s="162"/>
      <c r="L8" s="152" t="s">
        <v>32</v>
      </c>
      <c r="M8" s="152" t="s">
        <v>50</v>
      </c>
      <c r="N8" s="163"/>
      <c r="O8" s="154" t="s">
        <v>42</v>
      </c>
      <c r="P8" s="157">
        <v>10</v>
      </c>
      <c r="Q8" s="157"/>
      <c r="R8" s="157"/>
      <c r="S8" s="157"/>
      <c r="T8" s="157"/>
      <c r="U8" s="157"/>
      <c r="V8" s="157">
        <v>1</v>
      </c>
      <c r="W8" s="157">
        <f t="shared" si="2"/>
        <v>11</v>
      </c>
      <c r="X8" s="158">
        <f>SUMIFS('Đơn giá'!C:C,'Đơn giá'!B:B,XUẤT!O8)</f>
        <v>48000</v>
      </c>
      <c r="Y8" s="159">
        <f t="shared" si="3"/>
        <v>480000</v>
      </c>
      <c r="Z8" s="232"/>
      <c r="AA8" s="154"/>
      <c r="AB8" s="90">
        <f t="shared" si="4"/>
        <v>10</v>
      </c>
      <c r="AC8" s="91">
        <f t="shared" si="5"/>
        <v>50000</v>
      </c>
      <c r="AD8" s="157"/>
    </row>
    <row r="9" spans="1:31" s="160" customFormat="1" ht="54" hidden="1" x14ac:dyDescent="0.3">
      <c r="A9" s="152">
        <v>12</v>
      </c>
      <c r="B9" s="153">
        <v>46272</v>
      </c>
      <c r="C9" s="154" t="s">
        <v>54</v>
      </c>
      <c r="D9" s="155" t="s">
        <v>30</v>
      </c>
      <c r="E9" s="155"/>
      <c r="F9" s="155"/>
      <c r="G9" s="155">
        <v>11</v>
      </c>
      <c r="H9" s="155"/>
      <c r="I9" s="155">
        <f t="shared" si="1"/>
        <v>11</v>
      </c>
      <c r="J9" s="152" t="s">
        <v>31</v>
      </c>
      <c r="K9" s="152"/>
      <c r="L9" s="152" t="s">
        <v>32</v>
      </c>
      <c r="M9" s="152" t="s">
        <v>46</v>
      </c>
      <c r="N9" s="163"/>
      <c r="O9" s="154" t="s">
        <v>26</v>
      </c>
      <c r="P9" s="157">
        <v>10</v>
      </c>
      <c r="Q9" s="157"/>
      <c r="R9" s="157"/>
      <c r="S9" s="157"/>
      <c r="T9" s="157"/>
      <c r="U9" s="157"/>
      <c r="V9" s="157">
        <v>1</v>
      </c>
      <c r="W9" s="157">
        <f t="shared" si="2"/>
        <v>11</v>
      </c>
      <c r="X9" s="158">
        <f>SUMIFS('Đơn giá'!C:C,'Đơn giá'!B:B,XUẤT!O9)</f>
        <v>98000</v>
      </c>
      <c r="Y9" s="159">
        <f t="shared" si="3"/>
        <v>980000</v>
      </c>
      <c r="Z9" s="232"/>
      <c r="AA9" s="157"/>
      <c r="AB9" s="90">
        <f t="shared" si="4"/>
        <v>10</v>
      </c>
      <c r="AC9" s="91">
        <f t="shared" si="5"/>
        <v>50000</v>
      </c>
      <c r="AD9" s="157"/>
    </row>
    <row r="10" spans="1:31" s="160" customFormat="1" ht="48" hidden="1" customHeight="1" x14ac:dyDescent="0.3">
      <c r="A10" s="85">
        <v>13</v>
      </c>
      <c r="B10" s="153">
        <v>46272</v>
      </c>
      <c r="C10" s="164" t="s">
        <v>55</v>
      </c>
      <c r="D10" s="155" t="s">
        <v>30</v>
      </c>
      <c r="E10" s="155"/>
      <c r="F10" s="155"/>
      <c r="G10" s="155">
        <v>2</v>
      </c>
      <c r="H10" s="155"/>
      <c r="I10" s="155">
        <f t="shared" si="1"/>
        <v>2</v>
      </c>
      <c r="J10" s="162" t="s">
        <v>56</v>
      </c>
      <c r="K10" s="162"/>
      <c r="L10" s="152" t="s">
        <v>32</v>
      </c>
      <c r="M10" s="152" t="s">
        <v>46</v>
      </c>
      <c r="N10" s="163"/>
      <c r="O10" s="154" t="s">
        <v>26</v>
      </c>
      <c r="P10" s="157">
        <v>2</v>
      </c>
      <c r="Q10" s="157"/>
      <c r="R10" s="157"/>
      <c r="S10" s="157"/>
      <c r="T10" s="157"/>
      <c r="U10" s="157"/>
      <c r="V10" s="157"/>
      <c r="W10" s="157">
        <f t="shared" si="2"/>
        <v>2</v>
      </c>
      <c r="X10" s="158">
        <f>SUMIFS('Đơn giá'!C:C,'Đơn giá'!B:B,XUẤT!O10)</f>
        <v>98000</v>
      </c>
      <c r="Y10" s="159">
        <f t="shared" si="3"/>
        <v>196000</v>
      </c>
      <c r="Z10" s="232"/>
      <c r="AA10" s="161"/>
      <c r="AB10" s="90">
        <f t="shared" si="4"/>
        <v>2</v>
      </c>
      <c r="AC10" s="91">
        <f t="shared" si="5"/>
        <v>10000</v>
      </c>
      <c r="AD10" s="157"/>
    </row>
    <row r="11" spans="1:31" s="165" customFormat="1" ht="36" hidden="1" x14ac:dyDescent="0.3">
      <c r="A11" s="85">
        <v>16</v>
      </c>
      <c r="B11" s="153">
        <v>46272</v>
      </c>
      <c r="C11" s="164" t="s">
        <v>66</v>
      </c>
      <c r="D11" s="155" t="s">
        <v>30</v>
      </c>
      <c r="E11" s="155"/>
      <c r="F11" s="155"/>
      <c r="G11" s="155">
        <v>11</v>
      </c>
      <c r="H11" s="155"/>
      <c r="I11" s="155">
        <f>H11+G11</f>
        <v>11</v>
      </c>
      <c r="J11" s="152" t="s">
        <v>67</v>
      </c>
      <c r="K11" s="152"/>
      <c r="L11" s="152" t="s">
        <v>68</v>
      </c>
      <c r="M11" s="152" t="s">
        <v>46</v>
      </c>
      <c r="N11" s="154"/>
      <c r="O11" s="154" t="s">
        <v>26</v>
      </c>
      <c r="P11" s="164">
        <v>10</v>
      </c>
      <c r="Q11" s="164"/>
      <c r="R11" s="164"/>
      <c r="S11" s="164"/>
      <c r="T11" s="164"/>
      <c r="U11" s="164"/>
      <c r="V11" s="164">
        <v>1</v>
      </c>
      <c r="W11" s="157">
        <f t="shared" si="2"/>
        <v>11</v>
      </c>
      <c r="X11" s="158">
        <f>SUMIFS('Đơn giá'!C:C,'Đơn giá'!B:B,XUẤT!O11)</f>
        <v>98000</v>
      </c>
      <c r="Y11" s="159">
        <f t="shared" si="3"/>
        <v>980000</v>
      </c>
      <c r="Z11" s="210"/>
      <c r="AA11" s="8"/>
      <c r="AB11" s="90">
        <f t="shared" si="4"/>
        <v>10</v>
      </c>
      <c r="AC11" s="91">
        <f t="shared" si="5"/>
        <v>50000</v>
      </c>
      <c r="AD11" s="152" t="s">
        <v>69</v>
      </c>
    </row>
    <row r="12" spans="1:31" ht="109.2" hidden="1" customHeight="1" x14ac:dyDescent="0.3">
      <c r="A12" s="102">
        <v>12</v>
      </c>
      <c r="B12" s="85" t="s">
        <v>737</v>
      </c>
      <c r="C12" s="313" t="s">
        <v>771</v>
      </c>
      <c r="D12" s="102" t="s">
        <v>683</v>
      </c>
      <c r="E12" s="102" t="s">
        <v>90</v>
      </c>
      <c r="F12" s="102"/>
      <c r="G12" s="102"/>
      <c r="H12" s="102">
        <v>11</v>
      </c>
      <c r="I12" s="155">
        <f t="shared" ref="I12" si="6">F12+G12+H12</f>
        <v>11</v>
      </c>
      <c r="J12" s="102" t="s">
        <v>781</v>
      </c>
      <c r="K12" s="102"/>
      <c r="L12" s="90" t="s">
        <v>491</v>
      </c>
      <c r="M12" s="85" t="s">
        <v>46</v>
      </c>
      <c r="N12" s="85" t="s">
        <v>769</v>
      </c>
      <c r="O12" s="90" t="s">
        <v>39</v>
      </c>
      <c r="P12" s="90"/>
      <c r="Q12" s="90"/>
      <c r="R12" s="90"/>
      <c r="S12" s="90"/>
      <c r="T12" s="90">
        <v>10</v>
      </c>
      <c r="U12" s="90"/>
      <c r="V12" s="90">
        <v>1</v>
      </c>
      <c r="W12" s="90">
        <f t="shared" si="2"/>
        <v>11</v>
      </c>
      <c r="X12" s="91">
        <f>SUMIFS('Đơn giá'!C:C,'Đơn giá'!B:B,XUẤT!O12)</f>
        <v>52000</v>
      </c>
      <c r="Y12" s="92">
        <f t="shared" ref="Y12" si="7">X12*T12</f>
        <v>520000</v>
      </c>
      <c r="Z12" s="232"/>
      <c r="AA12" s="10" t="s">
        <v>781</v>
      </c>
      <c r="AB12" s="90">
        <f t="shared" si="4"/>
        <v>10</v>
      </c>
      <c r="AC12" s="91">
        <f t="shared" si="5"/>
        <v>50000</v>
      </c>
      <c r="AD12" s="90"/>
    </row>
    <row r="13" spans="1:31" s="238" customFormat="1" ht="36" x14ac:dyDescent="0.3">
      <c r="A13" s="232">
        <v>17</v>
      </c>
      <c r="B13" s="233">
        <v>46273</v>
      </c>
      <c r="C13" s="382" t="s">
        <v>60</v>
      </c>
      <c r="D13" s="210" t="s">
        <v>30</v>
      </c>
      <c r="E13" s="210" t="s">
        <v>743</v>
      </c>
      <c r="F13" s="210"/>
      <c r="G13" s="210">
        <v>11</v>
      </c>
      <c r="H13" s="210"/>
      <c r="I13" s="210">
        <v>11</v>
      </c>
      <c r="J13" s="232" t="s">
        <v>31</v>
      </c>
      <c r="K13" s="232"/>
      <c r="L13" s="232" t="s">
        <v>32</v>
      </c>
      <c r="M13" s="232" t="s">
        <v>33</v>
      </c>
      <c r="N13" s="234" t="s">
        <v>301</v>
      </c>
      <c r="O13" s="84" t="s">
        <v>26</v>
      </c>
      <c r="P13" s="235">
        <v>10</v>
      </c>
      <c r="Q13" s="235"/>
      <c r="R13" s="235"/>
      <c r="S13" s="235"/>
      <c r="T13" s="235"/>
      <c r="U13" s="235"/>
      <c r="V13" s="235">
        <v>1</v>
      </c>
      <c r="W13" s="235">
        <f t="shared" si="2"/>
        <v>11</v>
      </c>
      <c r="X13" s="236">
        <f>SUMIFS('Đơn giá'!C:C,'Đơn giá'!B:B,XUẤT!O13)</f>
        <v>98000</v>
      </c>
      <c r="Y13" s="237">
        <f t="shared" si="3"/>
        <v>980000</v>
      </c>
      <c r="Z13" s="232" t="s">
        <v>603</v>
      </c>
      <c r="AA13" s="235" t="s">
        <v>37</v>
      </c>
      <c r="AB13" s="90">
        <f t="shared" si="4"/>
        <v>10</v>
      </c>
      <c r="AC13" s="91">
        <f t="shared" si="5"/>
        <v>50000</v>
      </c>
      <c r="AD13" s="235"/>
      <c r="AE13" s="238" t="s">
        <v>609</v>
      </c>
    </row>
    <row r="14" spans="1:31" s="160" customFormat="1" ht="37.200000000000003" customHeight="1" x14ac:dyDescent="0.3">
      <c r="A14" s="85">
        <v>18</v>
      </c>
      <c r="B14" s="166">
        <v>46273</v>
      </c>
      <c r="C14" s="241" t="s">
        <v>396</v>
      </c>
      <c r="D14" s="155" t="s">
        <v>30</v>
      </c>
      <c r="E14" s="155" t="s">
        <v>488</v>
      </c>
      <c r="F14" s="155"/>
      <c r="G14" s="155">
        <v>11</v>
      </c>
      <c r="H14" s="155"/>
      <c r="I14" s="155">
        <v>11</v>
      </c>
      <c r="J14" s="152" t="s">
        <v>31</v>
      </c>
      <c r="K14" s="152"/>
      <c r="L14" s="152" t="s">
        <v>32</v>
      </c>
      <c r="M14" s="152" t="s">
        <v>33</v>
      </c>
      <c r="N14" s="5" t="s">
        <v>125</v>
      </c>
      <c r="O14" s="171" t="s">
        <v>29</v>
      </c>
      <c r="P14" s="157"/>
      <c r="Q14" s="157">
        <v>10</v>
      </c>
      <c r="R14" s="157"/>
      <c r="S14" s="157"/>
      <c r="T14" s="157"/>
      <c r="U14" s="157"/>
      <c r="V14" s="157">
        <v>1</v>
      </c>
      <c r="W14" s="157">
        <f t="shared" si="2"/>
        <v>11</v>
      </c>
      <c r="X14" s="158">
        <f>SUMIFS('Đơn giá'!C:C,'Đơn giá'!B:B,XUẤT!O14)</f>
        <v>85000</v>
      </c>
      <c r="Y14" s="339">
        <f>X14*Q14</f>
        <v>850000</v>
      </c>
      <c r="Z14" s="232" t="s">
        <v>680</v>
      </c>
      <c r="AA14" s="157" t="s">
        <v>37</v>
      </c>
      <c r="AB14" s="90">
        <f t="shared" si="4"/>
        <v>10</v>
      </c>
      <c r="AC14" s="91">
        <f t="shared" si="5"/>
        <v>50000</v>
      </c>
      <c r="AD14" s="157"/>
    </row>
    <row r="15" spans="1:31" s="160" customFormat="1" ht="49.8" customHeight="1" x14ac:dyDescent="0.3">
      <c r="A15" s="152">
        <v>19</v>
      </c>
      <c r="B15" s="153">
        <v>46273</v>
      </c>
      <c r="C15" s="154" t="s">
        <v>61</v>
      </c>
      <c r="D15" s="155" t="s">
        <v>30</v>
      </c>
      <c r="E15" s="162" t="s">
        <v>488</v>
      </c>
      <c r="F15" s="155"/>
      <c r="G15" s="253">
        <v>22</v>
      </c>
      <c r="H15" s="155"/>
      <c r="I15" s="155">
        <v>22</v>
      </c>
      <c r="J15" s="152" t="s">
        <v>31</v>
      </c>
      <c r="K15" s="167"/>
      <c r="L15" s="152" t="s">
        <v>32</v>
      </c>
      <c r="M15" s="152" t="s">
        <v>33</v>
      </c>
      <c r="N15" s="156" t="s">
        <v>62</v>
      </c>
      <c r="O15" s="154" t="s">
        <v>26</v>
      </c>
      <c r="P15" s="235">
        <v>20</v>
      </c>
      <c r="Q15" s="157"/>
      <c r="R15" s="157"/>
      <c r="S15" s="157"/>
      <c r="T15" s="157"/>
      <c r="U15" s="157"/>
      <c r="V15" s="157">
        <v>2</v>
      </c>
      <c r="W15" s="157">
        <f t="shared" si="2"/>
        <v>22</v>
      </c>
      <c r="X15" s="158">
        <f>SUMIFS('Đơn giá'!C:C,'Đơn giá'!B:B,XUẤT!O15)</f>
        <v>98000</v>
      </c>
      <c r="Y15" s="159">
        <f t="shared" si="3"/>
        <v>1960000</v>
      </c>
      <c r="Z15" s="232" t="s">
        <v>549</v>
      </c>
      <c r="AA15" s="157" t="s">
        <v>37</v>
      </c>
      <c r="AB15" s="90">
        <f t="shared" si="4"/>
        <v>20</v>
      </c>
      <c r="AC15" s="91">
        <f t="shared" si="5"/>
        <v>100000</v>
      </c>
      <c r="AD15" s="157" t="s">
        <v>390</v>
      </c>
      <c r="AE15" s="238" t="s">
        <v>609</v>
      </c>
    </row>
    <row r="16" spans="1:31" s="160" customFormat="1" ht="36.6" customHeight="1" x14ac:dyDescent="0.3">
      <c r="A16" s="85">
        <v>20</v>
      </c>
      <c r="B16" s="153">
        <v>46273</v>
      </c>
      <c r="C16" s="154" t="s">
        <v>63</v>
      </c>
      <c r="D16" s="155" t="s">
        <v>30</v>
      </c>
      <c r="E16" s="162" t="s">
        <v>488</v>
      </c>
      <c r="F16" s="155"/>
      <c r="G16" s="253">
        <v>22</v>
      </c>
      <c r="H16" s="155"/>
      <c r="I16" s="155">
        <v>22</v>
      </c>
      <c r="J16" s="152" t="s">
        <v>31</v>
      </c>
      <c r="K16" s="152"/>
      <c r="L16" s="152" t="s">
        <v>32</v>
      </c>
      <c r="M16" s="152" t="s">
        <v>33</v>
      </c>
      <c r="N16" s="7" t="s">
        <v>283</v>
      </c>
      <c r="O16" s="154" t="s">
        <v>26</v>
      </c>
      <c r="P16" s="235">
        <v>10</v>
      </c>
      <c r="Q16" s="157"/>
      <c r="R16" s="157"/>
      <c r="S16" s="157"/>
      <c r="T16" s="157"/>
      <c r="U16" s="157"/>
      <c r="V16" s="157">
        <v>1</v>
      </c>
      <c r="W16" s="157">
        <f t="shared" si="2"/>
        <v>11</v>
      </c>
      <c r="X16" s="158">
        <f>SUMIFS('Đơn giá'!C:C,'Đơn giá'!B:B,XUẤT!O16)</f>
        <v>98000</v>
      </c>
      <c r="Y16" s="159">
        <f t="shared" si="3"/>
        <v>980000</v>
      </c>
      <c r="Z16" s="232" t="s">
        <v>549</v>
      </c>
      <c r="AA16" s="157" t="s">
        <v>37</v>
      </c>
      <c r="AB16" s="90">
        <f t="shared" si="4"/>
        <v>10</v>
      </c>
      <c r="AC16" s="91">
        <f t="shared" si="5"/>
        <v>50000</v>
      </c>
      <c r="AD16" s="157"/>
    </row>
    <row r="17" spans="1:30" s="160" customFormat="1" x14ac:dyDescent="0.3">
      <c r="A17" s="85">
        <v>21</v>
      </c>
      <c r="B17" s="153"/>
      <c r="C17" s="154"/>
      <c r="D17" s="155" t="s">
        <v>30</v>
      </c>
      <c r="E17" s="162" t="s">
        <v>488</v>
      </c>
      <c r="F17" s="155"/>
      <c r="G17" s="155"/>
      <c r="H17" s="155"/>
      <c r="I17" s="155"/>
      <c r="J17" s="152"/>
      <c r="K17" s="152"/>
      <c r="L17" s="152" t="s">
        <v>32</v>
      </c>
      <c r="M17" s="152" t="s">
        <v>33</v>
      </c>
      <c r="N17" s="10" t="s">
        <v>193</v>
      </c>
      <c r="O17" s="154" t="s">
        <v>26</v>
      </c>
      <c r="P17" s="235">
        <v>10</v>
      </c>
      <c r="Q17" s="157"/>
      <c r="R17" s="157"/>
      <c r="S17" s="157"/>
      <c r="T17" s="157"/>
      <c r="U17" s="157"/>
      <c r="V17" s="157">
        <v>1</v>
      </c>
      <c r="W17" s="157">
        <f t="shared" si="2"/>
        <v>11</v>
      </c>
      <c r="X17" s="158">
        <f>SUMIFS('Đơn giá'!C:C,'Đơn giá'!B:B,XUẤT!O17)</f>
        <v>98000</v>
      </c>
      <c r="Y17" s="159">
        <f t="shared" si="3"/>
        <v>980000</v>
      </c>
      <c r="Z17" s="232" t="s">
        <v>549</v>
      </c>
      <c r="AA17" s="152" t="s">
        <v>37</v>
      </c>
      <c r="AB17" s="90">
        <f t="shared" si="4"/>
        <v>10</v>
      </c>
      <c r="AC17" s="91">
        <f t="shared" si="5"/>
        <v>50000</v>
      </c>
      <c r="AD17" s="157"/>
    </row>
    <row r="18" spans="1:30" s="160" customFormat="1" ht="87" hidden="1" customHeight="1" x14ac:dyDescent="0.3">
      <c r="A18" s="152">
        <v>22</v>
      </c>
      <c r="B18" s="153">
        <v>46273</v>
      </c>
      <c r="C18" s="154" t="s">
        <v>64</v>
      </c>
      <c r="D18" s="155" t="s">
        <v>30</v>
      </c>
      <c r="E18" s="155" t="s">
        <v>488</v>
      </c>
      <c r="F18" s="155"/>
      <c r="G18" s="155"/>
      <c r="H18" s="155">
        <v>4</v>
      </c>
      <c r="I18" s="155">
        <v>4</v>
      </c>
      <c r="J18" s="152" t="s">
        <v>31</v>
      </c>
      <c r="K18" s="152"/>
      <c r="L18" s="152" t="s">
        <v>32</v>
      </c>
      <c r="M18" s="152" t="s">
        <v>46</v>
      </c>
      <c r="N18" s="156" t="s">
        <v>65</v>
      </c>
      <c r="O18" s="154" t="s">
        <v>39</v>
      </c>
      <c r="P18" s="157"/>
      <c r="Q18" s="157"/>
      <c r="R18" s="157"/>
      <c r="S18" s="157"/>
      <c r="T18" s="157">
        <v>4</v>
      </c>
      <c r="U18" s="157"/>
      <c r="V18" s="157"/>
      <c r="W18" s="157">
        <f t="shared" si="2"/>
        <v>4</v>
      </c>
      <c r="X18" s="158">
        <f>SUMIFS('Đơn giá'!C:C,'Đơn giá'!B:B,XUẤT!O18)</f>
        <v>52000</v>
      </c>
      <c r="Y18" s="159">
        <f>T18*X18</f>
        <v>208000</v>
      </c>
      <c r="Z18" s="232" t="s">
        <v>553</v>
      </c>
      <c r="AA18" s="157"/>
      <c r="AB18" s="90">
        <f t="shared" si="4"/>
        <v>4</v>
      </c>
      <c r="AC18" s="91">
        <f t="shared" si="5"/>
        <v>20000</v>
      </c>
      <c r="AD18" s="157"/>
    </row>
    <row r="19" spans="1:30" s="160" customFormat="1" ht="59.4" hidden="1" customHeight="1" x14ac:dyDescent="0.3">
      <c r="A19" s="85">
        <v>23</v>
      </c>
      <c r="B19" s="153">
        <v>46273</v>
      </c>
      <c r="C19" s="161" t="s">
        <v>70</v>
      </c>
      <c r="D19" s="155" t="s">
        <v>30</v>
      </c>
      <c r="E19" s="155"/>
      <c r="F19" s="155"/>
      <c r="G19" s="155">
        <v>6</v>
      </c>
      <c r="H19" s="155"/>
      <c r="I19" s="155">
        <v>6</v>
      </c>
      <c r="J19" s="152" t="s">
        <v>71</v>
      </c>
      <c r="K19" s="152"/>
      <c r="L19" s="152" t="s">
        <v>32</v>
      </c>
      <c r="M19" s="152" t="s">
        <v>72</v>
      </c>
      <c r="N19" s="156"/>
      <c r="O19" s="154" t="s">
        <v>26</v>
      </c>
      <c r="P19" s="157">
        <v>3</v>
      </c>
      <c r="Q19" s="157"/>
      <c r="R19" s="157"/>
      <c r="S19" s="157"/>
      <c r="T19" s="157"/>
      <c r="U19" s="157"/>
      <c r="V19" s="157"/>
      <c r="W19" s="157">
        <f t="shared" si="2"/>
        <v>3</v>
      </c>
      <c r="X19" s="158">
        <f>SUMIFS('Đơn giá'!C:C,'Đơn giá'!B:B,XUẤT!O19)</f>
        <v>98000</v>
      </c>
      <c r="Y19" s="159">
        <f t="shared" si="3"/>
        <v>294000</v>
      </c>
      <c r="Z19" s="232" t="s">
        <v>579</v>
      </c>
      <c r="AA19" s="161" t="s">
        <v>41</v>
      </c>
      <c r="AB19" s="90">
        <f t="shared" si="4"/>
        <v>3</v>
      </c>
      <c r="AC19" s="91">
        <f t="shared" si="5"/>
        <v>15000</v>
      </c>
      <c r="AD19" s="152" t="s">
        <v>74</v>
      </c>
    </row>
    <row r="20" spans="1:30" s="160" customFormat="1" ht="27" hidden="1" customHeight="1" x14ac:dyDescent="0.3">
      <c r="A20" s="85"/>
      <c r="B20" s="153"/>
      <c r="C20" s="161"/>
      <c r="D20" s="155"/>
      <c r="E20" s="155"/>
      <c r="F20" s="155"/>
      <c r="G20" s="155"/>
      <c r="H20" s="155"/>
      <c r="I20" s="155"/>
      <c r="J20" s="152"/>
      <c r="K20" s="152"/>
      <c r="L20" s="152"/>
      <c r="M20" s="152" t="s">
        <v>72</v>
      </c>
      <c r="N20" s="156"/>
      <c r="O20" s="154" t="s">
        <v>27</v>
      </c>
      <c r="P20" s="157"/>
      <c r="Q20" s="157">
        <v>3</v>
      </c>
      <c r="R20" s="157"/>
      <c r="S20" s="157"/>
      <c r="T20" s="157"/>
      <c r="U20" s="157"/>
      <c r="V20" s="157"/>
      <c r="W20" s="157">
        <f t="shared" si="2"/>
        <v>3</v>
      </c>
      <c r="X20" s="158">
        <v>85000</v>
      </c>
      <c r="Y20" s="159">
        <f>Q20*X20</f>
        <v>255000</v>
      </c>
      <c r="Z20" s="232" t="s">
        <v>579</v>
      </c>
      <c r="AA20" s="226" t="s">
        <v>41</v>
      </c>
      <c r="AB20" s="90">
        <f t="shared" si="4"/>
        <v>3</v>
      </c>
      <c r="AC20" s="91">
        <f t="shared" si="5"/>
        <v>15000</v>
      </c>
      <c r="AD20" s="152"/>
    </row>
    <row r="21" spans="1:30" s="160" customFormat="1" ht="64.2" hidden="1" customHeight="1" x14ac:dyDescent="0.3">
      <c r="A21" s="152">
        <v>24</v>
      </c>
      <c r="B21" s="153">
        <v>46273</v>
      </c>
      <c r="C21" s="154" t="s">
        <v>75</v>
      </c>
      <c r="D21" s="155" t="s">
        <v>30</v>
      </c>
      <c r="E21" s="155" t="s">
        <v>488</v>
      </c>
      <c r="F21" s="155"/>
      <c r="G21" s="155">
        <v>22</v>
      </c>
      <c r="H21" s="155"/>
      <c r="I21" s="155">
        <v>22</v>
      </c>
      <c r="J21" s="152" t="s">
        <v>76</v>
      </c>
      <c r="K21" s="152"/>
      <c r="L21" s="152" t="s">
        <v>32</v>
      </c>
      <c r="M21" s="152" t="s">
        <v>46</v>
      </c>
      <c r="N21" s="156" t="s">
        <v>77</v>
      </c>
      <c r="O21" s="154" t="s">
        <v>27</v>
      </c>
      <c r="P21" s="157"/>
      <c r="Q21" s="157">
        <v>20</v>
      </c>
      <c r="R21" s="157"/>
      <c r="S21" s="157"/>
      <c r="T21" s="157"/>
      <c r="U21" s="157"/>
      <c r="V21" s="157">
        <v>2</v>
      </c>
      <c r="W21" s="157">
        <f t="shared" si="2"/>
        <v>22</v>
      </c>
      <c r="X21" s="158">
        <v>85000</v>
      </c>
      <c r="Y21" s="159">
        <f>Q21*X21</f>
        <v>1700000</v>
      </c>
      <c r="Z21" s="232" t="s">
        <v>553</v>
      </c>
      <c r="AA21" s="34" t="s">
        <v>266</v>
      </c>
      <c r="AB21" s="90">
        <f t="shared" si="4"/>
        <v>20</v>
      </c>
      <c r="AC21" s="91">
        <f t="shared" si="5"/>
        <v>100000</v>
      </c>
      <c r="AD21" s="152" t="s">
        <v>69</v>
      </c>
    </row>
    <row r="22" spans="1:30" s="160" customFormat="1" ht="36" x14ac:dyDescent="0.3">
      <c r="A22" s="85">
        <v>25</v>
      </c>
      <c r="B22" s="153">
        <v>46273</v>
      </c>
      <c r="C22" s="161" t="s">
        <v>78</v>
      </c>
      <c r="D22" s="155" t="s">
        <v>30</v>
      </c>
      <c r="E22" s="155" t="s">
        <v>224</v>
      </c>
      <c r="F22" s="155"/>
      <c r="G22" s="168">
        <v>2</v>
      </c>
      <c r="H22" s="168"/>
      <c r="I22" s="168">
        <v>2</v>
      </c>
      <c r="J22" s="169" t="s">
        <v>79</v>
      </c>
      <c r="K22" s="169"/>
      <c r="L22" s="152" t="s">
        <v>32</v>
      </c>
      <c r="M22" s="152" t="s">
        <v>33</v>
      </c>
      <c r="N22" s="7" t="s">
        <v>101</v>
      </c>
      <c r="O22" s="154" t="s">
        <v>26</v>
      </c>
      <c r="P22" s="157">
        <v>2</v>
      </c>
      <c r="Q22" s="157"/>
      <c r="R22" s="157"/>
      <c r="S22" s="157"/>
      <c r="T22" s="157"/>
      <c r="U22" s="157"/>
      <c r="V22" s="157"/>
      <c r="W22" s="157">
        <f t="shared" si="2"/>
        <v>2</v>
      </c>
      <c r="X22" s="158">
        <f>SUMIFS('Đơn giá'!C:C,'Đơn giá'!B:B,XUẤT!O22)</f>
        <v>98000</v>
      </c>
      <c r="Y22" s="159">
        <f t="shared" si="3"/>
        <v>196000</v>
      </c>
      <c r="Z22" s="232" t="s">
        <v>549</v>
      </c>
      <c r="AA22" s="34" t="s">
        <v>266</v>
      </c>
      <c r="AB22" s="90">
        <f t="shared" si="4"/>
        <v>2</v>
      </c>
      <c r="AC22" s="91">
        <f t="shared" si="5"/>
        <v>10000</v>
      </c>
      <c r="AD22" s="157" t="s">
        <v>391</v>
      </c>
    </row>
    <row r="23" spans="1:30" s="160" customFormat="1" ht="48.6" customHeight="1" x14ac:dyDescent="0.3">
      <c r="A23" s="85">
        <v>26</v>
      </c>
      <c r="B23" s="153">
        <v>46273</v>
      </c>
      <c r="C23" s="156" t="s">
        <v>80</v>
      </c>
      <c r="D23" s="155" t="s">
        <v>30</v>
      </c>
      <c r="E23" s="155" t="s">
        <v>224</v>
      </c>
      <c r="F23" s="155"/>
      <c r="G23" s="168">
        <v>2</v>
      </c>
      <c r="H23" s="168"/>
      <c r="I23" s="168">
        <v>2</v>
      </c>
      <c r="J23" s="169" t="s">
        <v>79</v>
      </c>
      <c r="K23" s="169"/>
      <c r="L23" s="152" t="s">
        <v>32</v>
      </c>
      <c r="M23" s="152" t="s">
        <v>33</v>
      </c>
      <c r="N23" s="7" t="s">
        <v>101</v>
      </c>
      <c r="O23" s="154" t="s">
        <v>26</v>
      </c>
      <c r="P23" s="157">
        <v>2</v>
      </c>
      <c r="Q23" s="157"/>
      <c r="R23" s="157"/>
      <c r="S23" s="157"/>
      <c r="T23" s="157"/>
      <c r="U23" s="157"/>
      <c r="V23" s="157"/>
      <c r="W23" s="157">
        <f t="shared" si="2"/>
        <v>2</v>
      </c>
      <c r="X23" s="158">
        <f>SUMIFS('Đơn giá'!C:C,'Đơn giá'!B:B,XUẤT!O23)</f>
        <v>98000</v>
      </c>
      <c r="Y23" s="159">
        <f t="shared" si="3"/>
        <v>196000</v>
      </c>
      <c r="Z23" s="232" t="s">
        <v>411</v>
      </c>
      <c r="AA23" s="34" t="s">
        <v>266</v>
      </c>
      <c r="AB23" s="90">
        <f t="shared" si="4"/>
        <v>2</v>
      </c>
      <c r="AC23" s="91">
        <f t="shared" si="5"/>
        <v>10000</v>
      </c>
      <c r="AD23" s="157" t="s">
        <v>392</v>
      </c>
    </row>
    <row r="24" spans="1:30" s="375" customFormat="1" ht="41.4" customHeight="1" x14ac:dyDescent="0.3">
      <c r="A24" s="364">
        <v>27</v>
      </c>
      <c r="B24" s="365">
        <v>46273</v>
      </c>
      <c r="C24" s="367" t="s">
        <v>81</v>
      </c>
      <c r="D24" s="369" t="s">
        <v>30</v>
      </c>
      <c r="E24" s="369"/>
      <c r="F24" s="369"/>
      <c r="G24" s="369">
        <v>11</v>
      </c>
      <c r="H24" s="369"/>
      <c r="I24" s="369">
        <v>11</v>
      </c>
      <c r="J24" s="364" t="s">
        <v>31</v>
      </c>
      <c r="K24" s="364"/>
      <c r="L24" s="364" t="s">
        <v>32</v>
      </c>
      <c r="M24" s="152" t="s">
        <v>33</v>
      </c>
      <c r="N24" s="377" t="s">
        <v>37</v>
      </c>
      <c r="O24" s="367" t="s">
        <v>26</v>
      </c>
      <c r="P24" s="371">
        <v>10</v>
      </c>
      <c r="Q24" s="371"/>
      <c r="R24" s="371"/>
      <c r="S24" s="371"/>
      <c r="T24" s="371"/>
      <c r="U24" s="371"/>
      <c r="V24" s="371">
        <v>1</v>
      </c>
      <c r="W24" s="371">
        <f t="shared" si="2"/>
        <v>11</v>
      </c>
      <c r="X24" s="372">
        <f>SUMIFS('Đơn giá'!C:C,'Đơn giá'!B:B,XUẤT!O24)</f>
        <v>98000</v>
      </c>
      <c r="Y24" s="373">
        <f t="shared" si="3"/>
        <v>980000</v>
      </c>
      <c r="Z24" s="364" t="s">
        <v>951</v>
      </c>
      <c r="AA24" s="152" t="s">
        <v>990</v>
      </c>
      <c r="AB24" s="371">
        <f t="shared" si="4"/>
        <v>10</v>
      </c>
      <c r="AC24" s="372">
        <f t="shared" si="5"/>
        <v>50000</v>
      </c>
      <c r="AD24" s="371" t="s">
        <v>393</v>
      </c>
    </row>
    <row r="25" spans="1:30" s="160" customFormat="1" ht="41.4" customHeight="1" x14ac:dyDescent="0.3">
      <c r="A25" s="85">
        <v>28</v>
      </c>
      <c r="B25" s="153">
        <v>46273</v>
      </c>
      <c r="C25" s="154" t="s">
        <v>82</v>
      </c>
      <c r="D25" s="155" t="s">
        <v>30</v>
      </c>
      <c r="E25" s="155"/>
      <c r="F25" s="155"/>
      <c r="G25" s="155">
        <v>11</v>
      </c>
      <c r="H25" s="155"/>
      <c r="I25" s="155">
        <v>11</v>
      </c>
      <c r="J25" s="152" t="s">
        <v>31</v>
      </c>
      <c r="K25" s="152"/>
      <c r="L25" s="152" t="s">
        <v>32</v>
      </c>
      <c r="M25" s="152" t="s">
        <v>33</v>
      </c>
      <c r="N25" s="7" t="s">
        <v>235</v>
      </c>
      <c r="O25" s="154" t="s">
        <v>26</v>
      </c>
      <c r="P25" s="157">
        <v>10</v>
      </c>
      <c r="Q25" s="157"/>
      <c r="R25" s="157"/>
      <c r="S25" s="157"/>
      <c r="T25" s="157"/>
      <c r="U25" s="157"/>
      <c r="V25" s="157">
        <v>1</v>
      </c>
      <c r="W25" s="157">
        <f t="shared" si="2"/>
        <v>11</v>
      </c>
      <c r="X25" s="158">
        <f>SUMIFS('Đơn giá'!C:C,'Đơn giá'!B:B,XUẤT!O25)</f>
        <v>98000</v>
      </c>
      <c r="Y25" s="159">
        <f t="shared" si="3"/>
        <v>980000</v>
      </c>
      <c r="Z25" s="232" t="s">
        <v>549</v>
      </c>
      <c r="AA25" s="152" t="s">
        <v>990</v>
      </c>
      <c r="AB25" s="90">
        <f t="shared" si="4"/>
        <v>10</v>
      </c>
      <c r="AC25" s="91">
        <f t="shared" si="5"/>
        <v>50000</v>
      </c>
      <c r="AD25" s="157" t="s">
        <v>393</v>
      </c>
    </row>
    <row r="26" spans="1:30" s="160" customFormat="1" ht="54" hidden="1" x14ac:dyDescent="0.3">
      <c r="A26" s="152">
        <v>29</v>
      </c>
      <c r="B26" s="153">
        <v>46273</v>
      </c>
      <c r="C26" s="154" t="s">
        <v>389</v>
      </c>
      <c r="D26" s="155" t="s">
        <v>30</v>
      </c>
      <c r="E26" s="155" t="s">
        <v>488</v>
      </c>
      <c r="F26" s="155"/>
      <c r="G26" s="155"/>
      <c r="H26" s="155">
        <v>3</v>
      </c>
      <c r="I26" s="155">
        <v>3</v>
      </c>
      <c r="J26" s="152" t="s">
        <v>387</v>
      </c>
      <c r="K26" s="152"/>
      <c r="L26" s="152" t="s">
        <v>32</v>
      </c>
      <c r="M26" s="169" t="s">
        <v>46</v>
      </c>
      <c r="N26" s="7" t="s">
        <v>77</v>
      </c>
      <c r="O26" s="154" t="s">
        <v>39</v>
      </c>
      <c r="P26" s="157"/>
      <c r="Q26" s="157"/>
      <c r="R26" s="157"/>
      <c r="S26" s="157"/>
      <c r="T26" s="157">
        <v>3</v>
      </c>
      <c r="U26" s="157"/>
      <c r="V26" s="157"/>
      <c r="W26" s="157">
        <f t="shared" si="2"/>
        <v>3</v>
      </c>
      <c r="X26" s="158">
        <f>SUMIFS('Đơn giá'!C:C,'Đơn giá'!B:B,XUẤT!O26)</f>
        <v>52000</v>
      </c>
      <c r="Y26" s="159">
        <f>T26*X26</f>
        <v>156000</v>
      </c>
      <c r="Z26" s="232" t="s">
        <v>798</v>
      </c>
      <c r="AA26" s="10" t="s">
        <v>136</v>
      </c>
      <c r="AB26" s="90">
        <f t="shared" si="4"/>
        <v>3</v>
      </c>
      <c r="AC26" s="91">
        <f t="shared" si="5"/>
        <v>15000</v>
      </c>
      <c r="AD26" s="157" t="s">
        <v>388</v>
      </c>
    </row>
    <row r="27" spans="1:30" s="160" customFormat="1" ht="45" customHeight="1" x14ac:dyDescent="0.3">
      <c r="A27" s="85">
        <v>30</v>
      </c>
      <c r="B27" s="153">
        <v>46273</v>
      </c>
      <c r="C27" s="154" t="s">
        <v>394</v>
      </c>
      <c r="D27" s="155" t="s">
        <v>30</v>
      </c>
      <c r="E27" s="155" t="s">
        <v>224</v>
      </c>
      <c r="F27" s="155"/>
      <c r="G27" s="155">
        <v>3</v>
      </c>
      <c r="H27" s="155"/>
      <c r="I27" s="155"/>
      <c r="J27" s="152"/>
      <c r="K27" s="152"/>
      <c r="L27" s="152"/>
      <c r="M27" s="152" t="s">
        <v>33</v>
      </c>
      <c r="N27" s="5" t="s">
        <v>198</v>
      </c>
      <c r="O27" s="154" t="s">
        <v>26</v>
      </c>
      <c r="P27" s="157">
        <v>3</v>
      </c>
      <c r="Q27" s="157"/>
      <c r="R27" s="157"/>
      <c r="S27" s="157"/>
      <c r="T27" s="157"/>
      <c r="U27" s="157"/>
      <c r="V27" s="157"/>
      <c r="W27" s="157">
        <f t="shared" si="2"/>
        <v>3</v>
      </c>
      <c r="X27" s="158">
        <f>SUMIFS('Đơn giá'!C:C,'Đơn giá'!B:B,XUẤT!O27)</f>
        <v>98000</v>
      </c>
      <c r="Y27" s="159">
        <f t="shared" si="3"/>
        <v>294000</v>
      </c>
      <c r="Z27" s="232"/>
      <c r="AA27" s="10" t="s">
        <v>198</v>
      </c>
      <c r="AB27" s="90">
        <f t="shared" si="4"/>
        <v>3</v>
      </c>
      <c r="AC27" s="91">
        <f t="shared" si="5"/>
        <v>15000</v>
      </c>
      <c r="AD27" s="157"/>
    </row>
    <row r="28" spans="1:30" s="160" customFormat="1" ht="45" customHeight="1" x14ac:dyDescent="0.3">
      <c r="A28" s="85">
        <v>31</v>
      </c>
      <c r="B28" s="153">
        <v>46273</v>
      </c>
      <c r="C28" s="154" t="s">
        <v>395</v>
      </c>
      <c r="D28" s="155" t="s">
        <v>30</v>
      </c>
      <c r="E28" s="155" t="s">
        <v>488</v>
      </c>
      <c r="F28" s="155"/>
      <c r="G28" s="155">
        <v>2</v>
      </c>
      <c r="H28" s="155"/>
      <c r="I28" s="155">
        <v>2</v>
      </c>
      <c r="J28" s="152"/>
      <c r="K28" s="152"/>
      <c r="L28" s="152" t="s">
        <v>32</v>
      </c>
      <c r="M28" s="152" t="s">
        <v>33</v>
      </c>
      <c r="N28" s="5" t="s">
        <v>98</v>
      </c>
      <c r="O28" s="154" t="s">
        <v>26</v>
      </c>
      <c r="P28" s="157">
        <v>2</v>
      </c>
      <c r="Q28" s="157"/>
      <c r="R28" s="157"/>
      <c r="S28" s="157"/>
      <c r="T28" s="157"/>
      <c r="U28" s="157"/>
      <c r="V28" s="157"/>
      <c r="W28" s="157">
        <f t="shared" si="2"/>
        <v>2</v>
      </c>
      <c r="X28" s="158">
        <f>SUMIFS('Đơn giá'!C:C,'Đơn giá'!B:B,XUẤT!O28)</f>
        <v>98000</v>
      </c>
      <c r="Y28" s="159">
        <f t="shared" si="3"/>
        <v>196000</v>
      </c>
      <c r="Z28" s="240" t="s">
        <v>411</v>
      </c>
      <c r="AA28" s="36" t="s">
        <v>98</v>
      </c>
      <c r="AB28" s="90">
        <f t="shared" si="4"/>
        <v>2</v>
      </c>
      <c r="AC28" s="91">
        <f t="shared" si="5"/>
        <v>10000</v>
      </c>
      <c r="AD28" s="157"/>
    </row>
    <row r="29" spans="1:30" s="160" customFormat="1" ht="45" customHeight="1" x14ac:dyDescent="0.3">
      <c r="A29" s="85"/>
      <c r="B29" s="153">
        <v>46273</v>
      </c>
      <c r="C29" s="154" t="s">
        <v>500</v>
      </c>
      <c r="D29" s="155" t="s">
        <v>30</v>
      </c>
      <c r="E29" s="155" t="s">
        <v>488</v>
      </c>
      <c r="F29" s="155"/>
      <c r="G29" s="155">
        <v>3</v>
      </c>
      <c r="H29" s="155"/>
      <c r="I29" s="155">
        <v>3</v>
      </c>
      <c r="J29" s="152"/>
      <c r="K29" s="152"/>
      <c r="L29" s="152" t="s">
        <v>32</v>
      </c>
      <c r="M29" s="152" t="s">
        <v>33</v>
      </c>
      <c r="N29" s="10" t="s">
        <v>41</v>
      </c>
      <c r="O29" s="154" t="s">
        <v>26</v>
      </c>
      <c r="P29" s="157">
        <v>3</v>
      </c>
      <c r="Q29" s="157"/>
      <c r="R29" s="157"/>
      <c r="S29" s="157"/>
      <c r="T29" s="157"/>
      <c r="U29" s="157"/>
      <c r="V29" s="157"/>
      <c r="W29" s="157">
        <f t="shared" si="2"/>
        <v>3</v>
      </c>
      <c r="X29" s="158">
        <f>SUMIFS('Đơn giá'!C:C,'Đơn giá'!B:B,XUẤT!O29)</f>
        <v>98000</v>
      </c>
      <c r="Y29" s="159">
        <f t="shared" si="3"/>
        <v>294000</v>
      </c>
      <c r="Z29" s="387" t="s">
        <v>981</v>
      </c>
      <c r="AA29" s="10" t="s">
        <v>41</v>
      </c>
      <c r="AB29" s="90"/>
      <c r="AC29" s="91"/>
      <c r="AD29" s="157"/>
    </row>
    <row r="30" spans="1:30" s="160" customFormat="1" ht="45" customHeight="1" x14ac:dyDescent="0.3">
      <c r="A30" s="152">
        <v>32</v>
      </c>
      <c r="B30" s="153">
        <v>46273</v>
      </c>
      <c r="C30" s="162" t="s">
        <v>397</v>
      </c>
      <c r="D30" s="155" t="s">
        <v>30</v>
      </c>
      <c r="E30" s="155" t="s">
        <v>488</v>
      </c>
      <c r="F30" s="155"/>
      <c r="G30" s="155">
        <v>4</v>
      </c>
      <c r="H30" s="155"/>
      <c r="I30" s="155">
        <v>4</v>
      </c>
      <c r="J30" s="152" t="s">
        <v>387</v>
      </c>
      <c r="K30" s="152"/>
      <c r="L30" s="152" t="s">
        <v>32</v>
      </c>
      <c r="M30" s="152" t="s">
        <v>33</v>
      </c>
      <c r="N30" s="5" t="s">
        <v>136</v>
      </c>
      <c r="O30" s="171" t="s">
        <v>26</v>
      </c>
      <c r="P30" s="157">
        <v>4</v>
      </c>
      <c r="Q30" s="157"/>
      <c r="R30" s="157"/>
      <c r="S30" s="157"/>
      <c r="T30" s="157"/>
      <c r="U30" s="157"/>
      <c r="V30" s="157"/>
      <c r="W30" s="157">
        <f t="shared" si="2"/>
        <v>4</v>
      </c>
      <c r="X30" s="158">
        <f>SUMIFS('Đơn giá'!C:C,'Đơn giá'!B:B,XUẤT!O30)</f>
        <v>98000</v>
      </c>
      <c r="Y30" s="159">
        <f t="shared" si="3"/>
        <v>392000</v>
      </c>
      <c r="Z30" s="152" t="s">
        <v>798</v>
      </c>
      <c r="AA30" s="10" t="s">
        <v>136</v>
      </c>
      <c r="AB30" s="157">
        <f t="shared" si="4"/>
        <v>4</v>
      </c>
      <c r="AC30" s="158">
        <f t="shared" si="5"/>
        <v>20000</v>
      </c>
      <c r="AD30" s="157"/>
    </row>
    <row r="31" spans="1:30" s="160" customFormat="1" ht="45" customHeight="1" x14ac:dyDescent="0.3">
      <c r="A31" s="85">
        <v>33</v>
      </c>
      <c r="B31" s="153">
        <v>46274</v>
      </c>
      <c r="C31" s="154" t="s">
        <v>407</v>
      </c>
      <c r="D31" s="155" t="s">
        <v>30</v>
      </c>
      <c r="E31" s="155" t="s">
        <v>488</v>
      </c>
      <c r="F31" s="155">
        <v>11</v>
      </c>
      <c r="G31" s="155"/>
      <c r="H31" s="155"/>
      <c r="I31" s="155">
        <v>11</v>
      </c>
      <c r="J31" s="152" t="s">
        <v>73</v>
      </c>
      <c r="K31" s="152"/>
      <c r="L31" s="152"/>
      <c r="M31" s="152" t="s">
        <v>33</v>
      </c>
      <c r="N31" s="170" t="s">
        <v>108</v>
      </c>
      <c r="O31" s="8" t="s">
        <v>35</v>
      </c>
      <c r="P31" s="157"/>
      <c r="Q31" s="157"/>
      <c r="R31" s="157">
        <v>10</v>
      </c>
      <c r="S31" s="157"/>
      <c r="T31" s="157"/>
      <c r="U31" s="157"/>
      <c r="V31" s="157">
        <v>1</v>
      </c>
      <c r="W31" s="157">
        <f t="shared" si="2"/>
        <v>11</v>
      </c>
      <c r="X31" s="158">
        <f>SUMIFS('Đơn giá'!C:C,'Đơn giá'!B:B,XUẤT!O31)</f>
        <v>106000</v>
      </c>
      <c r="Y31" s="159">
        <f>R31*X31</f>
        <v>1060000</v>
      </c>
      <c r="Z31" s="232" t="s">
        <v>551</v>
      </c>
      <c r="AA31" s="10" t="s">
        <v>41</v>
      </c>
      <c r="AB31" s="90">
        <f t="shared" si="4"/>
        <v>10</v>
      </c>
      <c r="AC31" s="91">
        <f t="shared" si="5"/>
        <v>50000</v>
      </c>
      <c r="AD31" s="157" t="s">
        <v>408</v>
      </c>
    </row>
    <row r="32" spans="1:30" s="160" customFormat="1" ht="45" customHeight="1" x14ac:dyDescent="0.3">
      <c r="A32" s="152">
        <v>34</v>
      </c>
      <c r="B32" s="153">
        <v>46274</v>
      </c>
      <c r="C32" s="154" t="s">
        <v>409</v>
      </c>
      <c r="D32" s="155" t="s">
        <v>30</v>
      </c>
      <c r="E32" s="155" t="s">
        <v>488</v>
      </c>
      <c r="F32" s="155"/>
      <c r="G32" s="155"/>
      <c r="H32" s="155">
        <v>1</v>
      </c>
      <c r="I32" s="155">
        <v>1</v>
      </c>
      <c r="J32" s="152" t="s">
        <v>395</v>
      </c>
      <c r="K32" s="152"/>
      <c r="L32" s="152" t="s">
        <v>491</v>
      </c>
      <c r="M32" s="152" t="s">
        <v>33</v>
      </c>
      <c r="N32" s="5" t="s">
        <v>98</v>
      </c>
      <c r="O32" s="154" t="s">
        <v>39</v>
      </c>
      <c r="P32" s="157"/>
      <c r="Q32" s="157"/>
      <c r="R32" s="157"/>
      <c r="S32" s="157"/>
      <c r="T32" s="157">
        <v>1</v>
      </c>
      <c r="U32" s="157"/>
      <c r="V32" s="157"/>
      <c r="W32" s="157">
        <f t="shared" si="2"/>
        <v>1</v>
      </c>
      <c r="X32" s="158">
        <f>SUMIFS('Đơn giá'!C:C,'Đơn giá'!B:B,XUẤT!O32)</f>
        <v>52000</v>
      </c>
      <c r="Y32" s="159">
        <f>X32*T32</f>
        <v>52000</v>
      </c>
      <c r="Z32" s="240" t="s">
        <v>411</v>
      </c>
      <c r="AA32" s="36" t="s">
        <v>98</v>
      </c>
      <c r="AB32" s="90">
        <f t="shared" ref="AB32" si="8">W32-V32</f>
        <v>1</v>
      </c>
      <c r="AC32" s="91">
        <f t="shared" ref="AC32" si="9">AB32*5000</f>
        <v>5000</v>
      </c>
      <c r="AD32" s="157" t="s">
        <v>410</v>
      </c>
    </row>
    <row r="33" spans="1:30" s="160" customFormat="1" ht="72" hidden="1" x14ac:dyDescent="0.3">
      <c r="A33" s="85">
        <v>35</v>
      </c>
      <c r="B33" s="153">
        <v>46274</v>
      </c>
      <c r="C33" s="154" t="s">
        <v>485</v>
      </c>
      <c r="D33" s="155" t="s">
        <v>486</v>
      </c>
      <c r="E33" s="155" t="s">
        <v>488</v>
      </c>
      <c r="F33" s="155"/>
      <c r="G33" s="155">
        <v>4</v>
      </c>
      <c r="H33" s="155"/>
      <c r="I33" s="155">
        <f>H33+G33</f>
        <v>4</v>
      </c>
      <c r="J33" s="152" t="s">
        <v>395</v>
      </c>
      <c r="K33" s="152"/>
      <c r="L33" s="152" t="s">
        <v>491</v>
      </c>
      <c r="M33" s="169" t="s">
        <v>46</v>
      </c>
      <c r="N33" s="163" t="s">
        <v>489</v>
      </c>
      <c r="O33" s="154" t="s">
        <v>39</v>
      </c>
      <c r="P33" s="157">
        <v>3</v>
      </c>
      <c r="Q33" s="157">
        <v>1</v>
      </c>
      <c r="R33" s="157"/>
      <c r="S33" s="157"/>
      <c r="T33" s="157"/>
      <c r="U33" s="157"/>
      <c r="V33" s="157"/>
      <c r="W33" s="157">
        <f t="shared" si="2"/>
        <v>4</v>
      </c>
      <c r="X33" s="158">
        <f>SUMIFS('Đơn giá'!C:C,'Đơn giá'!B:B,XUẤT!O33)</f>
        <v>52000</v>
      </c>
      <c r="Y33" s="159">
        <f t="shared" si="3"/>
        <v>156000</v>
      </c>
      <c r="Z33" s="232" t="s">
        <v>718</v>
      </c>
      <c r="AA33" s="36" t="s">
        <v>98</v>
      </c>
      <c r="AB33" s="90">
        <f t="shared" si="4"/>
        <v>4</v>
      </c>
      <c r="AC33" s="91">
        <f t="shared" si="5"/>
        <v>20000</v>
      </c>
      <c r="AD33" s="157" t="s">
        <v>69</v>
      </c>
    </row>
    <row r="34" spans="1:30" s="160" customFormat="1" ht="40.799999999999997" customHeight="1" x14ac:dyDescent="0.3">
      <c r="A34" s="152"/>
      <c r="B34" s="153">
        <v>46274</v>
      </c>
      <c r="C34" s="154" t="s">
        <v>499</v>
      </c>
      <c r="D34" s="155"/>
      <c r="E34" s="155" t="s">
        <v>488</v>
      </c>
      <c r="F34" s="155"/>
      <c r="G34" s="155"/>
      <c r="H34" s="155">
        <v>2</v>
      </c>
      <c r="I34" s="155">
        <f>H34+G34</f>
        <v>2</v>
      </c>
      <c r="J34" s="152" t="s">
        <v>496</v>
      </c>
      <c r="K34" s="152"/>
      <c r="L34" s="152" t="s">
        <v>491</v>
      </c>
      <c r="M34" s="152" t="s">
        <v>33</v>
      </c>
      <c r="N34" s="10" t="s">
        <v>211</v>
      </c>
      <c r="O34" s="154" t="s">
        <v>39</v>
      </c>
      <c r="P34" s="157"/>
      <c r="Q34" s="157"/>
      <c r="R34" s="157"/>
      <c r="S34" s="157"/>
      <c r="T34" s="157">
        <v>2</v>
      </c>
      <c r="U34" s="157"/>
      <c r="V34" s="157"/>
      <c r="W34" s="157">
        <f t="shared" si="2"/>
        <v>2</v>
      </c>
      <c r="X34" s="158">
        <f>SUMIFS('Đơn giá'!C:C,'Đơn giá'!B:B,XUẤT!O34)</f>
        <v>52000</v>
      </c>
      <c r="Y34" s="159">
        <f>T34*X34</f>
        <v>104000</v>
      </c>
      <c r="Z34" s="232" t="s">
        <v>980</v>
      </c>
      <c r="AA34" s="10" t="s">
        <v>211</v>
      </c>
      <c r="AB34" s="90">
        <f t="shared" ref="AB34" si="10">W34-V34</f>
        <v>2</v>
      </c>
      <c r="AC34" s="91">
        <f t="shared" ref="AC34" si="11">AB34*5000</f>
        <v>10000</v>
      </c>
      <c r="AD34" s="157"/>
    </row>
    <row r="35" spans="1:30" s="160" customFormat="1" ht="40.799999999999997" customHeight="1" x14ac:dyDescent="0.3">
      <c r="A35" s="152"/>
      <c r="B35" s="153">
        <v>46274</v>
      </c>
      <c r="C35" s="154" t="s">
        <v>500</v>
      </c>
      <c r="D35" s="154"/>
      <c r="E35" s="155" t="s">
        <v>488</v>
      </c>
      <c r="F35" s="154"/>
      <c r="G35" s="154">
        <v>4</v>
      </c>
      <c r="H35" s="154"/>
      <c r="I35" s="155">
        <f t="shared" ref="I35:I38" si="12">H35+G35</f>
        <v>4</v>
      </c>
      <c r="J35" s="154" t="s">
        <v>500</v>
      </c>
      <c r="K35" s="154"/>
      <c r="L35" s="152" t="s">
        <v>491</v>
      </c>
      <c r="M35" s="152" t="s">
        <v>33</v>
      </c>
      <c r="N35" s="10" t="s">
        <v>41</v>
      </c>
      <c r="O35" s="154" t="s">
        <v>26</v>
      </c>
      <c r="P35" s="154">
        <v>4</v>
      </c>
      <c r="Q35" s="154"/>
      <c r="R35" s="157"/>
      <c r="S35" s="157"/>
      <c r="T35" s="157"/>
      <c r="U35" s="157"/>
      <c r="V35" s="157"/>
      <c r="W35" s="157">
        <f t="shared" ref="W35:W100" si="13">SUM(P35:V35)</f>
        <v>4</v>
      </c>
      <c r="X35" s="158">
        <f>SUMIFS('Đơn giá'!C:C,'Đơn giá'!B:B,XUẤT!O35)</f>
        <v>98000</v>
      </c>
      <c r="Y35" s="159">
        <f>X35*P35</f>
        <v>392000</v>
      </c>
      <c r="Z35" s="387" t="s">
        <v>981</v>
      </c>
      <c r="AA35" s="10" t="s">
        <v>41</v>
      </c>
      <c r="AB35" s="90">
        <f t="shared" si="4"/>
        <v>4</v>
      </c>
      <c r="AC35" s="91">
        <f t="shared" si="5"/>
        <v>20000</v>
      </c>
      <c r="AD35" s="157"/>
    </row>
    <row r="36" spans="1:30" s="160" customFormat="1" ht="61.8" customHeight="1" x14ac:dyDescent="0.3">
      <c r="A36" s="152">
        <v>1</v>
      </c>
      <c r="B36" s="206" t="s">
        <v>498</v>
      </c>
      <c r="C36" s="154" t="s">
        <v>501</v>
      </c>
      <c r="D36" s="154" t="s">
        <v>30</v>
      </c>
      <c r="E36" s="162" t="s">
        <v>224</v>
      </c>
      <c r="F36" s="154"/>
      <c r="G36" s="162">
        <v>4</v>
      </c>
      <c r="H36" s="154"/>
      <c r="I36" s="155">
        <f t="shared" si="12"/>
        <v>4</v>
      </c>
      <c r="J36" s="154" t="s">
        <v>504</v>
      </c>
      <c r="K36" s="154"/>
      <c r="L36" s="154" t="s">
        <v>491</v>
      </c>
      <c r="M36" s="152" t="s">
        <v>33</v>
      </c>
      <c r="N36" s="10" t="s">
        <v>144</v>
      </c>
      <c r="O36" s="154" t="s">
        <v>26</v>
      </c>
      <c r="P36" s="154">
        <v>4</v>
      </c>
      <c r="Q36" s="154"/>
      <c r="R36" s="157"/>
      <c r="S36" s="157"/>
      <c r="T36" s="157"/>
      <c r="U36" s="157"/>
      <c r="V36" s="157"/>
      <c r="W36" s="157">
        <f t="shared" si="13"/>
        <v>4</v>
      </c>
      <c r="X36" s="158">
        <f>SUMIFS('Đơn giá'!C:C,'Đơn giá'!B:B,XUẤT!O36)</f>
        <v>98000</v>
      </c>
      <c r="Y36" s="159">
        <f t="shared" si="3"/>
        <v>392000</v>
      </c>
      <c r="Z36" s="232" t="s">
        <v>951</v>
      </c>
      <c r="AA36" s="10" t="s">
        <v>37</v>
      </c>
      <c r="AB36" s="90">
        <f t="shared" si="4"/>
        <v>4</v>
      </c>
      <c r="AC36" s="91">
        <f t="shared" si="5"/>
        <v>20000</v>
      </c>
      <c r="AD36" s="157"/>
    </row>
    <row r="37" spans="1:30" s="160" customFormat="1" x14ac:dyDescent="0.3">
      <c r="A37" s="398">
        <v>2</v>
      </c>
      <c r="B37" s="427" t="s">
        <v>498</v>
      </c>
      <c r="C37" s="419" t="s">
        <v>502</v>
      </c>
      <c r="D37" s="400" t="s">
        <v>30</v>
      </c>
      <c r="E37" s="214" t="s">
        <v>488</v>
      </c>
      <c r="F37" s="154"/>
      <c r="G37" s="162">
        <v>11</v>
      </c>
      <c r="H37" s="154"/>
      <c r="I37" s="155">
        <f t="shared" si="12"/>
        <v>11</v>
      </c>
      <c r="J37" s="154" t="s">
        <v>504</v>
      </c>
      <c r="K37" s="154"/>
      <c r="L37" s="400"/>
      <c r="M37" s="152" t="s">
        <v>33</v>
      </c>
      <c r="N37" s="10" t="s">
        <v>200</v>
      </c>
      <c r="O37" s="154" t="s">
        <v>26</v>
      </c>
      <c r="P37" s="154">
        <v>10</v>
      </c>
      <c r="Q37" s="154"/>
      <c r="R37" s="157"/>
      <c r="S37" s="157"/>
      <c r="T37" s="157"/>
      <c r="U37" s="157"/>
      <c r="V37" s="157">
        <v>1</v>
      </c>
      <c r="W37" s="157">
        <f t="shared" si="13"/>
        <v>11</v>
      </c>
      <c r="X37" s="158">
        <f>SUMIFS('Đơn giá'!C:C,'Đơn giá'!B:B,XUẤT!O37)</f>
        <v>98000</v>
      </c>
      <c r="Y37" s="159">
        <f t="shared" si="3"/>
        <v>980000</v>
      </c>
      <c r="Z37" s="232" t="s">
        <v>953</v>
      </c>
      <c r="AA37" s="208" t="s">
        <v>200</v>
      </c>
      <c r="AB37" s="90">
        <f t="shared" si="4"/>
        <v>10</v>
      </c>
      <c r="AC37" s="91">
        <f t="shared" si="5"/>
        <v>50000</v>
      </c>
      <c r="AD37" s="157"/>
    </row>
    <row r="38" spans="1:30" s="160" customFormat="1" ht="85.2" customHeight="1" x14ac:dyDescent="0.3">
      <c r="A38" s="399"/>
      <c r="B38" s="428"/>
      <c r="C38" s="420"/>
      <c r="D38" s="401"/>
      <c r="E38" s="214" t="s">
        <v>488</v>
      </c>
      <c r="F38" s="154"/>
      <c r="G38" s="162"/>
      <c r="H38" s="154">
        <v>8</v>
      </c>
      <c r="I38" s="155">
        <f t="shared" si="12"/>
        <v>8</v>
      </c>
      <c r="J38" s="154" t="s">
        <v>504</v>
      </c>
      <c r="K38" s="154"/>
      <c r="L38" s="401"/>
      <c r="M38" s="152" t="s">
        <v>33</v>
      </c>
      <c r="N38" s="10" t="s">
        <v>200</v>
      </c>
      <c r="O38" s="154" t="s">
        <v>39</v>
      </c>
      <c r="P38" s="154"/>
      <c r="Q38" s="154"/>
      <c r="R38" s="157"/>
      <c r="S38" s="157"/>
      <c r="T38" s="157">
        <v>7</v>
      </c>
      <c r="U38" s="157"/>
      <c r="V38" s="157">
        <v>1</v>
      </c>
      <c r="W38" s="157">
        <f t="shared" si="13"/>
        <v>8</v>
      </c>
      <c r="X38" s="158">
        <f>SUMIFS('Đơn giá'!C:C,'Đơn giá'!B:B,XUẤT!O38)</f>
        <v>52000</v>
      </c>
      <c r="Y38" s="159">
        <f>T38*X38</f>
        <v>364000</v>
      </c>
      <c r="Z38" s="232" t="s">
        <v>953</v>
      </c>
      <c r="AA38" s="208" t="s">
        <v>200</v>
      </c>
      <c r="AB38" s="90">
        <f t="shared" ref="AB38:AB39" si="14">W38-V38</f>
        <v>7</v>
      </c>
      <c r="AC38" s="91">
        <f t="shared" ref="AC38:AC39" si="15">AB38*5000</f>
        <v>35000</v>
      </c>
      <c r="AD38" s="157"/>
    </row>
    <row r="39" spans="1:30" s="160" customFormat="1" ht="63" customHeight="1" x14ac:dyDescent="0.3">
      <c r="A39" s="152">
        <v>3</v>
      </c>
      <c r="B39" s="206" t="s">
        <v>498</v>
      </c>
      <c r="C39" s="303" t="s">
        <v>503</v>
      </c>
      <c r="D39" s="154" t="s">
        <v>30</v>
      </c>
      <c r="E39" s="210" t="s">
        <v>488</v>
      </c>
      <c r="F39" s="154"/>
      <c r="G39" s="162"/>
      <c r="H39" s="154">
        <v>15</v>
      </c>
      <c r="I39" s="154">
        <f t="shared" ref="I39:I100" si="16">H39+G39</f>
        <v>15</v>
      </c>
      <c r="J39" s="154" t="s">
        <v>505</v>
      </c>
      <c r="K39" s="154" t="s">
        <v>508</v>
      </c>
      <c r="L39" s="154" t="s">
        <v>491</v>
      </c>
      <c r="M39" s="152" t="s">
        <v>33</v>
      </c>
      <c r="N39" s="10" t="s">
        <v>219</v>
      </c>
      <c r="O39" s="154" t="s">
        <v>39</v>
      </c>
      <c r="P39" s="154"/>
      <c r="Q39" s="154"/>
      <c r="R39" s="157"/>
      <c r="S39" s="157"/>
      <c r="T39" s="157">
        <v>15</v>
      </c>
      <c r="U39" s="157"/>
      <c r="V39" s="157"/>
      <c r="W39" s="157">
        <f t="shared" si="13"/>
        <v>15</v>
      </c>
      <c r="X39" s="158">
        <f>SUMIFS('Đơn giá'!C:C,'Đơn giá'!B:B,XUẤT!O39)</f>
        <v>52000</v>
      </c>
      <c r="Y39" s="159">
        <f>X39*T39</f>
        <v>780000</v>
      </c>
      <c r="Z39" s="232"/>
      <c r="AA39" s="212" t="s">
        <v>37</v>
      </c>
      <c r="AB39" s="90">
        <f t="shared" si="14"/>
        <v>15</v>
      </c>
      <c r="AC39" s="91">
        <f t="shared" si="15"/>
        <v>75000</v>
      </c>
      <c r="AD39" s="157"/>
    </row>
    <row r="40" spans="1:30" s="160" customFormat="1" ht="54" hidden="1" x14ac:dyDescent="0.3">
      <c r="A40" s="152">
        <v>4</v>
      </c>
      <c r="B40" s="206" t="s">
        <v>498</v>
      </c>
      <c r="C40" s="164" t="s">
        <v>506</v>
      </c>
      <c r="D40" s="154" t="s">
        <v>30</v>
      </c>
      <c r="E40" s="209" t="s">
        <v>488</v>
      </c>
      <c r="F40" s="154"/>
      <c r="G40" s="162">
        <v>11</v>
      </c>
      <c r="H40" s="154"/>
      <c r="I40" s="154">
        <f t="shared" si="16"/>
        <v>11</v>
      </c>
      <c r="J40" s="154" t="s">
        <v>505</v>
      </c>
      <c r="K40" s="154"/>
      <c r="L40" s="154" t="s">
        <v>491</v>
      </c>
      <c r="M40" s="154" t="s">
        <v>46</v>
      </c>
      <c r="N40" s="154" t="s">
        <v>507</v>
      </c>
      <c r="O40" s="154" t="s">
        <v>26</v>
      </c>
      <c r="P40" s="154">
        <v>10</v>
      </c>
      <c r="Q40" s="154"/>
      <c r="R40" s="157"/>
      <c r="S40" s="157"/>
      <c r="T40" s="157"/>
      <c r="U40" s="157"/>
      <c r="V40" s="157">
        <v>1</v>
      </c>
      <c r="W40" s="157">
        <f t="shared" si="13"/>
        <v>11</v>
      </c>
      <c r="X40" s="158">
        <f>SUMIFS('Đơn giá'!C:C,'Đơn giá'!B:B,XUẤT!O40)</f>
        <v>98000</v>
      </c>
      <c r="Y40" s="159">
        <f t="shared" ref="Y40:Y99" si="17">X40*P40</f>
        <v>980000</v>
      </c>
      <c r="Z40" s="232" t="s">
        <v>553</v>
      </c>
      <c r="AA40" s="212" t="s">
        <v>37</v>
      </c>
      <c r="AB40" s="90">
        <f t="shared" si="4"/>
        <v>10</v>
      </c>
      <c r="AC40" s="91">
        <f t="shared" si="5"/>
        <v>50000</v>
      </c>
      <c r="AD40" s="157" t="s">
        <v>69</v>
      </c>
    </row>
    <row r="41" spans="1:30" s="375" customFormat="1" x14ac:dyDescent="0.3">
      <c r="A41" s="364">
        <v>5</v>
      </c>
      <c r="B41" s="378" t="s">
        <v>498</v>
      </c>
      <c r="C41" s="368" t="s">
        <v>510</v>
      </c>
      <c r="D41" s="367" t="s">
        <v>30</v>
      </c>
      <c r="E41" s="379" t="s">
        <v>224</v>
      </c>
      <c r="F41" s="367"/>
      <c r="G41" s="379">
        <v>33</v>
      </c>
      <c r="H41" s="367"/>
      <c r="I41" s="367">
        <f t="shared" si="16"/>
        <v>33</v>
      </c>
      <c r="J41" s="367" t="s">
        <v>505</v>
      </c>
      <c r="K41" s="367" t="s">
        <v>521</v>
      </c>
      <c r="L41" s="367" t="s">
        <v>491</v>
      </c>
      <c r="M41" s="152" t="s">
        <v>33</v>
      </c>
      <c r="N41" s="376" t="s">
        <v>37</v>
      </c>
      <c r="O41" s="367" t="s">
        <v>26</v>
      </c>
      <c r="P41" s="367">
        <v>30</v>
      </c>
      <c r="Q41" s="367"/>
      <c r="R41" s="371"/>
      <c r="S41" s="371"/>
      <c r="T41" s="371"/>
      <c r="U41" s="371"/>
      <c r="V41" s="371">
        <v>3</v>
      </c>
      <c r="W41" s="371">
        <f t="shared" si="13"/>
        <v>33</v>
      </c>
      <c r="X41" s="372">
        <f>SUMIFS('Đơn giá'!C:C,'Đơn giá'!B:B,XUẤT!O41)</f>
        <v>98000</v>
      </c>
      <c r="Y41" s="373">
        <f t="shared" si="17"/>
        <v>2940000</v>
      </c>
      <c r="Z41" s="364" t="s">
        <v>951</v>
      </c>
      <c r="AA41" s="380" t="s">
        <v>37</v>
      </c>
      <c r="AB41" s="371">
        <f t="shared" si="4"/>
        <v>30</v>
      </c>
      <c r="AC41" s="372">
        <f t="shared" si="5"/>
        <v>150000</v>
      </c>
      <c r="AD41" s="371"/>
    </row>
    <row r="42" spans="1:30" s="160" customFormat="1" ht="36" hidden="1" x14ac:dyDescent="0.3">
      <c r="A42" s="152">
        <v>6</v>
      </c>
      <c r="B42" s="206" t="s">
        <v>498</v>
      </c>
      <c r="C42" s="164" t="s">
        <v>518</v>
      </c>
      <c r="D42" s="154" t="s">
        <v>30</v>
      </c>
      <c r="E42" s="162" t="s">
        <v>519</v>
      </c>
      <c r="F42" s="154"/>
      <c r="G42" s="154">
        <v>11</v>
      </c>
      <c r="H42" s="154"/>
      <c r="I42" s="154">
        <f t="shared" si="16"/>
        <v>11</v>
      </c>
      <c r="J42" s="154" t="s">
        <v>525</v>
      </c>
      <c r="K42" s="154" t="s">
        <v>524</v>
      </c>
      <c r="L42" s="154" t="s">
        <v>491</v>
      </c>
      <c r="M42" s="162" t="s">
        <v>520</v>
      </c>
      <c r="N42" s="154" t="s">
        <v>665</v>
      </c>
      <c r="O42" s="154" t="s">
        <v>26</v>
      </c>
      <c r="P42" s="154">
        <v>10</v>
      </c>
      <c r="Q42" s="154"/>
      <c r="R42" s="157"/>
      <c r="S42" s="157"/>
      <c r="T42" s="157"/>
      <c r="U42" s="157"/>
      <c r="V42" s="157">
        <v>1</v>
      </c>
      <c r="W42" s="157">
        <f t="shared" si="13"/>
        <v>11</v>
      </c>
      <c r="X42" s="158">
        <f>SUMIFS('Đơn giá'!C:C,'Đơn giá'!B:B,XUẤT!O42)</f>
        <v>98000</v>
      </c>
      <c r="Y42" s="159">
        <f t="shared" si="17"/>
        <v>980000</v>
      </c>
      <c r="Z42" s="232"/>
      <c r="AA42" s="34" t="s">
        <v>49</v>
      </c>
      <c r="AB42" s="90">
        <f t="shared" si="4"/>
        <v>10</v>
      </c>
      <c r="AC42" s="91">
        <f t="shared" si="5"/>
        <v>50000</v>
      </c>
      <c r="AD42" s="157" t="s">
        <v>539</v>
      </c>
    </row>
    <row r="43" spans="1:30" s="160" customFormat="1" ht="64.8" hidden="1" customHeight="1" x14ac:dyDescent="0.3">
      <c r="A43" s="152">
        <v>7</v>
      </c>
      <c r="B43" s="206" t="s">
        <v>498</v>
      </c>
      <c r="C43" s="164" t="s">
        <v>522</v>
      </c>
      <c r="D43" s="154" t="s">
        <v>30</v>
      </c>
      <c r="E43" s="162" t="s">
        <v>488</v>
      </c>
      <c r="F43" s="154"/>
      <c r="G43" s="162">
        <v>11</v>
      </c>
      <c r="H43" s="154"/>
      <c r="I43" s="154">
        <f t="shared" si="16"/>
        <v>11</v>
      </c>
      <c r="J43" s="154" t="s">
        <v>523</v>
      </c>
      <c r="K43" s="154"/>
      <c r="L43" s="154" t="s">
        <v>491</v>
      </c>
      <c r="M43" s="154" t="s">
        <v>46</v>
      </c>
      <c r="N43" s="154" t="s">
        <v>77</v>
      </c>
      <c r="O43" s="154" t="s">
        <v>26</v>
      </c>
      <c r="P43" s="154">
        <v>5</v>
      </c>
      <c r="Q43" s="154"/>
      <c r="R43" s="157"/>
      <c r="S43" s="157"/>
      <c r="T43" s="157"/>
      <c r="U43" s="157"/>
      <c r="V43" s="157">
        <v>1</v>
      </c>
      <c r="W43" s="157">
        <f t="shared" si="13"/>
        <v>6</v>
      </c>
      <c r="X43" s="158">
        <f>SUMIFS('Đơn giá'!C:C,'Đơn giá'!B:B,XUẤT!O43)</f>
        <v>98000</v>
      </c>
      <c r="Y43" s="159">
        <f t="shared" si="17"/>
        <v>490000</v>
      </c>
      <c r="Z43" s="232" t="s">
        <v>718</v>
      </c>
      <c r="AA43" s="10" t="s">
        <v>98</v>
      </c>
      <c r="AB43" s="90">
        <f t="shared" si="4"/>
        <v>5</v>
      </c>
      <c r="AC43" s="91">
        <f t="shared" si="5"/>
        <v>25000</v>
      </c>
      <c r="AD43" s="157" t="s">
        <v>69</v>
      </c>
    </row>
    <row r="44" spans="1:30" s="160" customFormat="1" ht="35.4" hidden="1" customHeight="1" x14ac:dyDescent="0.3">
      <c r="A44" s="152"/>
      <c r="B44" s="206"/>
      <c r="C44" s="164"/>
      <c r="D44" s="154"/>
      <c r="E44" s="162"/>
      <c r="F44" s="154"/>
      <c r="G44" s="162"/>
      <c r="H44" s="154"/>
      <c r="I44" s="154"/>
      <c r="J44" s="219"/>
      <c r="K44" s="154"/>
      <c r="L44" s="154"/>
      <c r="M44" s="154"/>
      <c r="N44" s="219"/>
      <c r="O44" s="154"/>
      <c r="P44" s="154">
        <v>5</v>
      </c>
      <c r="Q44" s="154"/>
      <c r="R44" s="157"/>
      <c r="S44" s="157"/>
      <c r="T44" s="157"/>
      <c r="U44" s="157"/>
      <c r="V44" s="157"/>
      <c r="W44" s="157">
        <f t="shared" si="13"/>
        <v>5</v>
      </c>
      <c r="X44" s="158">
        <v>98000</v>
      </c>
      <c r="Y44" s="159">
        <f t="shared" si="17"/>
        <v>490000</v>
      </c>
      <c r="Z44" s="232"/>
      <c r="AA44" s="10" t="s">
        <v>41</v>
      </c>
      <c r="AB44" s="90">
        <f t="shared" si="4"/>
        <v>5</v>
      </c>
      <c r="AC44" s="91">
        <f t="shared" si="5"/>
        <v>25000</v>
      </c>
      <c r="AD44" s="157"/>
    </row>
    <row r="45" spans="1:30" s="160" customFormat="1" ht="41.4" customHeight="1" x14ac:dyDescent="0.3">
      <c r="A45" s="152">
        <v>8</v>
      </c>
      <c r="B45" s="206" t="s">
        <v>498</v>
      </c>
      <c r="C45" s="164" t="s">
        <v>528</v>
      </c>
      <c r="D45" s="154" t="s">
        <v>30</v>
      </c>
      <c r="E45" s="154" t="s">
        <v>90</v>
      </c>
      <c r="F45" s="154"/>
      <c r="G45" s="154">
        <v>2</v>
      </c>
      <c r="H45" s="154"/>
      <c r="I45" s="154">
        <f t="shared" si="16"/>
        <v>2</v>
      </c>
      <c r="J45" s="10" t="s">
        <v>193</v>
      </c>
      <c r="K45" s="154"/>
      <c r="L45" s="154" t="s">
        <v>491</v>
      </c>
      <c r="M45" s="152" t="s">
        <v>33</v>
      </c>
      <c r="N45" s="10" t="s">
        <v>193</v>
      </c>
      <c r="O45" s="154" t="s">
        <v>26</v>
      </c>
      <c r="P45" s="154">
        <v>2</v>
      </c>
      <c r="Q45" s="154"/>
      <c r="R45" s="157"/>
      <c r="S45" s="157"/>
      <c r="T45" s="157"/>
      <c r="U45" s="157"/>
      <c r="V45" s="157"/>
      <c r="W45" s="157">
        <f t="shared" si="13"/>
        <v>2</v>
      </c>
      <c r="X45" s="158">
        <f>SUMIFS('Đơn giá'!C:C,'Đơn giá'!B:B,XUẤT!O45)</f>
        <v>98000</v>
      </c>
      <c r="Y45" s="159">
        <f t="shared" si="17"/>
        <v>196000</v>
      </c>
      <c r="Z45" s="232" t="s">
        <v>941</v>
      </c>
      <c r="AA45" s="10" t="s">
        <v>193</v>
      </c>
      <c r="AB45" s="90">
        <f t="shared" si="4"/>
        <v>2</v>
      </c>
      <c r="AC45" s="91">
        <f t="shared" si="5"/>
        <v>10000</v>
      </c>
      <c r="AD45" s="157"/>
    </row>
    <row r="46" spans="1:30" s="160" customFormat="1" ht="49.8" hidden="1" customHeight="1" x14ac:dyDescent="0.3">
      <c r="A46" s="152">
        <v>9</v>
      </c>
      <c r="B46" s="206" t="s">
        <v>498</v>
      </c>
      <c r="C46" s="303" t="s">
        <v>529</v>
      </c>
      <c r="D46" s="154" t="s">
        <v>40</v>
      </c>
      <c r="E46" s="154" t="s">
        <v>657</v>
      </c>
      <c r="F46" s="154"/>
      <c r="G46" s="154"/>
      <c r="H46" s="154">
        <v>22</v>
      </c>
      <c r="I46" s="154">
        <f t="shared" si="16"/>
        <v>22</v>
      </c>
      <c r="J46" s="154" t="s">
        <v>530</v>
      </c>
      <c r="K46" s="154" t="s">
        <v>202</v>
      </c>
      <c r="L46" s="154" t="s">
        <v>491</v>
      </c>
      <c r="M46" s="154" t="s">
        <v>46</v>
      </c>
      <c r="N46" s="10" t="s">
        <v>979</v>
      </c>
      <c r="O46" s="154" t="s">
        <v>39</v>
      </c>
      <c r="P46" s="154"/>
      <c r="Q46" s="154"/>
      <c r="R46" s="157"/>
      <c r="S46" s="157"/>
      <c r="T46" s="157">
        <v>20</v>
      </c>
      <c r="U46" s="157"/>
      <c r="V46" s="157">
        <v>2</v>
      </c>
      <c r="W46" s="157">
        <f t="shared" si="13"/>
        <v>22</v>
      </c>
      <c r="X46" s="158">
        <f>SUMIFS('Đơn giá'!C:C,'Đơn giá'!B:B,XUẤT!O46)</f>
        <v>52000</v>
      </c>
      <c r="Y46" s="159">
        <f>T46*X46</f>
        <v>1040000</v>
      </c>
      <c r="Z46" s="232"/>
      <c r="AA46" s="10" t="s">
        <v>211</v>
      </c>
      <c r="AB46" s="90">
        <f t="shared" si="4"/>
        <v>20</v>
      </c>
      <c r="AC46" s="91">
        <f t="shared" si="5"/>
        <v>100000</v>
      </c>
      <c r="AD46" s="157"/>
    </row>
    <row r="47" spans="1:30" s="160" customFormat="1" ht="52.2" hidden="1" customHeight="1" x14ac:dyDescent="0.3">
      <c r="A47" s="152">
        <v>10</v>
      </c>
      <c r="B47" s="427" t="s">
        <v>498</v>
      </c>
      <c r="C47" s="400" t="s">
        <v>531</v>
      </c>
      <c r="D47" s="154" t="s">
        <v>30</v>
      </c>
      <c r="E47" s="154" t="s">
        <v>224</v>
      </c>
      <c r="F47" s="154"/>
      <c r="G47" s="154">
        <v>22</v>
      </c>
      <c r="H47" s="154"/>
      <c r="I47" s="154">
        <f t="shared" si="16"/>
        <v>22</v>
      </c>
      <c r="J47" s="154" t="s">
        <v>504</v>
      </c>
      <c r="K47" s="154"/>
      <c r="L47" s="154" t="s">
        <v>491</v>
      </c>
      <c r="M47" s="154" t="s">
        <v>46</v>
      </c>
      <c r="N47" s="400" t="s">
        <v>77</v>
      </c>
      <c r="O47" s="154" t="s">
        <v>26</v>
      </c>
      <c r="P47" s="154"/>
      <c r="Q47" s="154">
        <v>10</v>
      </c>
      <c r="R47" s="157"/>
      <c r="S47" s="157"/>
      <c r="T47" s="157"/>
      <c r="U47" s="157"/>
      <c r="V47" s="157">
        <v>2</v>
      </c>
      <c r="W47" s="157">
        <f t="shared" si="13"/>
        <v>12</v>
      </c>
      <c r="X47" s="158">
        <v>85000</v>
      </c>
      <c r="Y47" s="159">
        <f>Q47*X47</f>
        <v>850000</v>
      </c>
      <c r="Z47" s="279" t="s">
        <v>547</v>
      </c>
      <c r="AA47" s="212" t="s">
        <v>37</v>
      </c>
      <c r="AB47" s="90">
        <f t="shared" si="4"/>
        <v>10</v>
      </c>
      <c r="AC47" s="91">
        <f t="shared" si="5"/>
        <v>50000</v>
      </c>
      <c r="AD47" s="157" t="s">
        <v>69</v>
      </c>
    </row>
    <row r="48" spans="1:30" s="160" customFormat="1" ht="43.8" hidden="1" customHeight="1" x14ac:dyDescent="0.3">
      <c r="A48" s="152"/>
      <c r="B48" s="428"/>
      <c r="C48" s="401"/>
      <c r="D48" s="154"/>
      <c r="E48" s="154"/>
      <c r="F48" s="154"/>
      <c r="G48" s="154"/>
      <c r="H48" s="154"/>
      <c r="I48" s="154"/>
      <c r="J48" s="219"/>
      <c r="K48" s="154"/>
      <c r="L48" s="154"/>
      <c r="M48" s="154" t="s">
        <v>46</v>
      </c>
      <c r="N48" s="429"/>
      <c r="O48" s="154" t="s">
        <v>26</v>
      </c>
      <c r="P48" s="154"/>
      <c r="Q48" s="154">
        <v>10</v>
      </c>
      <c r="R48" s="157"/>
      <c r="S48" s="157"/>
      <c r="T48" s="157"/>
      <c r="U48" s="157"/>
      <c r="V48" s="157"/>
      <c r="W48" s="157">
        <f t="shared" si="13"/>
        <v>10</v>
      </c>
      <c r="X48" s="158">
        <v>85000</v>
      </c>
      <c r="Y48" s="159">
        <f>Q48*X48</f>
        <v>850000</v>
      </c>
      <c r="Z48" s="279" t="s">
        <v>547</v>
      </c>
      <c r="AA48" s="10" t="s">
        <v>138</v>
      </c>
      <c r="AB48" s="90">
        <f t="shared" si="4"/>
        <v>10</v>
      </c>
      <c r="AC48" s="91">
        <f t="shared" si="5"/>
        <v>50000</v>
      </c>
      <c r="AD48" s="157"/>
    </row>
    <row r="49" spans="1:30" s="160" customFormat="1" ht="45.6" customHeight="1" x14ac:dyDescent="0.3">
      <c r="A49" s="152">
        <v>11</v>
      </c>
      <c r="B49" s="206" t="s">
        <v>498</v>
      </c>
      <c r="C49" s="303" t="s">
        <v>532</v>
      </c>
      <c r="D49" s="154" t="s">
        <v>30</v>
      </c>
      <c r="E49" s="154" t="s">
        <v>224</v>
      </c>
      <c r="F49" s="154"/>
      <c r="G49" s="154">
        <v>8</v>
      </c>
      <c r="H49" s="154"/>
      <c r="I49" s="154">
        <f t="shared" si="16"/>
        <v>8</v>
      </c>
      <c r="J49" s="10" t="s">
        <v>62</v>
      </c>
      <c r="K49" s="154"/>
      <c r="L49" s="154" t="s">
        <v>491</v>
      </c>
      <c r="M49" s="152" t="s">
        <v>33</v>
      </c>
      <c r="N49" s="10" t="s">
        <v>62</v>
      </c>
      <c r="O49" s="154" t="s">
        <v>26</v>
      </c>
      <c r="P49" s="154">
        <v>8</v>
      </c>
      <c r="Q49" s="154"/>
      <c r="R49" s="157"/>
      <c r="S49" s="157"/>
      <c r="T49" s="157"/>
      <c r="U49" s="157"/>
      <c r="V49" s="157"/>
      <c r="W49" s="157">
        <f t="shared" si="13"/>
        <v>8</v>
      </c>
      <c r="X49" s="158">
        <f>SUMIFS('Đơn giá'!C:C,'Đơn giá'!B:B,XUẤT!O49)</f>
        <v>98000</v>
      </c>
      <c r="Y49" s="159">
        <f t="shared" si="17"/>
        <v>784000</v>
      </c>
      <c r="Z49" s="232" t="s">
        <v>850</v>
      </c>
      <c r="AA49" s="10" t="s">
        <v>62</v>
      </c>
      <c r="AB49" s="90">
        <f t="shared" si="4"/>
        <v>8</v>
      </c>
      <c r="AC49" s="91">
        <f t="shared" si="5"/>
        <v>40000</v>
      </c>
      <c r="AD49" s="157"/>
    </row>
    <row r="50" spans="1:30" s="160" customFormat="1" ht="45.6" customHeight="1" x14ac:dyDescent="0.3">
      <c r="A50" s="152">
        <v>12</v>
      </c>
      <c r="B50" s="206" t="s">
        <v>498</v>
      </c>
      <c r="C50" s="164" t="s">
        <v>535</v>
      </c>
      <c r="D50" s="154" t="s">
        <v>30</v>
      </c>
      <c r="E50" s="154" t="s">
        <v>224</v>
      </c>
      <c r="F50" s="154"/>
      <c r="G50" s="154">
        <v>2</v>
      </c>
      <c r="H50" s="154"/>
      <c r="I50" s="154">
        <f t="shared" si="16"/>
        <v>2</v>
      </c>
      <c r="J50" s="10" t="s">
        <v>239</v>
      </c>
      <c r="K50" s="154"/>
      <c r="L50" s="154" t="s">
        <v>491</v>
      </c>
      <c r="M50" s="152" t="s">
        <v>33</v>
      </c>
      <c r="N50" s="10" t="s">
        <v>239</v>
      </c>
      <c r="O50" s="154" t="s">
        <v>26</v>
      </c>
      <c r="P50" s="154">
        <v>2</v>
      </c>
      <c r="Q50" s="154"/>
      <c r="R50" s="157"/>
      <c r="S50" s="157"/>
      <c r="T50" s="157"/>
      <c r="U50" s="157"/>
      <c r="V50" s="157"/>
      <c r="W50" s="157">
        <f t="shared" si="13"/>
        <v>2</v>
      </c>
      <c r="X50" s="158">
        <f>SUMIFS('Đơn giá'!C:C,'Đơn giá'!B:B,XUẤT!O50)</f>
        <v>98000</v>
      </c>
      <c r="Y50" s="159">
        <f>X50*P50</f>
        <v>196000</v>
      </c>
      <c r="Z50" s="232" t="s">
        <v>977</v>
      </c>
      <c r="AA50" s="10" t="s">
        <v>239</v>
      </c>
      <c r="AB50" s="90">
        <f t="shared" si="4"/>
        <v>2</v>
      </c>
      <c r="AC50" s="91">
        <f t="shared" si="5"/>
        <v>10000</v>
      </c>
      <c r="AD50" s="157"/>
    </row>
    <row r="51" spans="1:30" s="164" customFormat="1" ht="52.2" customHeight="1" x14ac:dyDescent="0.3">
      <c r="A51" s="162">
        <v>1</v>
      </c>
      <c r="B51" s="206" t="s">
        <v>534</v>
      </c>
      <c r="C51" s="164" t="s">
        <v>560</v>
      </c>
      <c r="D51" s="154" t="s">
        <v>30</v>
      </c>
      <c r="E51" s="224" t="s">
        <v>224</v>
      </c>
      <c r="G51" s="162">
        <v>6</v>
      </c>
      <c r="I51" s="164">
        <f t="shared" si="16"/>
        <v>6</v>
      </c>
      <c r="J51" s="36" t="s">
        <v>37</v>
      </c>
      <c r="L51" s="152" t="s">
        <v>491</v>
      </c>
      <c r="M51" s="152" t="s">
        <v>33</v>
      </c>
      <c r="N51" s="222" t="s">
        <v>266</v>
      </c>
      <c r="O51" s="164" t="s">
        <v>26</v>
      </c>
      <c r="P51" s="164">
        <v>5</v>
      </c>
      <c r="W51" s="164">
        <f t="shared" si="13"/>
        <v>5</v>
      </c>
      <c r="X51" s="164">
        <f>SUMIFS('Đơn giá'!C:C,'Đơn giá'!B:B,XUẤT!O51)</f>
        <v>98000</v>
      </c>
      <c r="Y51" s="159">
        <f t="shared" si="17"/>
        <v>490000</v>
      </c>
      <c r="Z51" s="210"/>
      <c r="AA51" s="36" t="s">
        <v>37</v>
      </c>
      <c r="AB51" s="90">
        <f t="shared" si="4"/>
        <v>5</v>
      </c>
      <c r="AC51" s="91">
        <f t="shared" si="5"/>
        <v>25000</v>
      </c>
    </row>
    <row r="52" spans="1:30" s="160" customFormat="1" ht="62.4" customHeight="1" x14ac:dyDescent="0.3">
      <c r="A52" s="152">
        <v>2</v>
      </c>
      <c r="B52" s="206" t="s">
        <v>534</v>
      </c>
      <c r="C52" s="164" t="s">
        <v>537</v>
      </c>
      <c r="D52" s="154" t="s">
        <v>30</v>
      </c>
      <c r="E52" s="155" t="s">
        <v>536</v>
      </c>
      <c r="F52" s="155"/>
      <c r="G52" s="155">
        <v>4</v>
      </c>
      <c r="H52" s="155"/>
      <c r="I52" s="155">
        <f t="shared" si="16"/>
        <v>4</v>
      </c>
      <c r="J52" s="152" t="s">
        <v>538</v>
      </c>
      <c r="K52" s="152"/>
      <c r="L52" s="152" t="s">
        <v>491</v>
      </c>
      <c r="M52" s="152" t="s">
        <v>33</v>
      </c>
      <c r="N52" s="10" t="s">
        <v>153</v>
      </c>
      <c r="O52" s="154" t="s">
        <v>26</v>
      </c>
      <c r="P52" s="157">
        <v>4</v>
      </c>
      <c r="Q52" s="157"/>
      <c r="R52" s="157"/>
      <c r="S52" s="157"/>
      <c r="T52" s="157"/>
      <c r="U52" s="157"/>
      <c r="V52" s="157"/>
      <c r="W52" s="157">
        <f t="shared" si="13"/>
        <v>4</v>
      </c>
      <c r="X52" s="158">
        <f>SUMIFS('Đơn giá'!C:C,'Đơn giá'!B:B,XUẤT!O52)</f>
        <v>98000</v>
      </c>
      <c r="Y52" s="159">
        <f t="shared" si="17"/>
        <v>392000</v>
      </c>
      <c r="Z52" s="232" t="s">
        <v>983</v>
      </c>
      <c r="AA52" s="152" t="s">
        <v>538</v>
      </c>
      <c r="AB52" s="90">
        <f t="shared" si="4"/>
        <v>4</v>
      </c>
      <c r="AC52" s="91">
        <f t="shared" si="5"/>
        <v>20000</v>
      </c>
      <c r="AD52" s="157"/>
    </row>
    <row r="53" spans="1:30" s="160" customFormat="1" ht="36" hidden="1" x14ac:dyDescent="0.3">
      <c r="A53" s="152">
        <v>3</v>
      </c>
      <c r="B53" s="206" t="s">
        <v>534</v>
      </c>
      <c r="C53" s="154" t="s">
        <v>540</v>
      </c>
      <c r="D53" s="154" t="s">
        <v>30</v>
      </c>
      <c r="E53" s="224" t="s">
        <v>224</v>
      </c>
      <c r="F53" s="155"/>
      <c r="G53" s="155">
        <v>4</v>
      </c>
      <c r="H53" s="155"/>
      <c r="I53" s="155">
        <f t="shared" si="16"/>
        <v>4</v>
      </c>
      <c r="J53" s="229" t="s">
        <v>545</v>
      </c>
      <c r="K53" s="152"/>
      <c r="L53" s="152" t="s">
        <v>491</v>
      </c>
      <c r="M53" s="169" t="s">
        <v>46</v>
      </c>
      <c r="N53" s="163" t="s">
        <v>541</v>
      </c>
      <c r="O53" s="154" t="s">
        <v>26</v>
      </c>
      <c r="P53" s="157">
        <v>4</v>
      </c>
      <c r="Q53" s="157"/>
      <c r="R53" s="157"/>
      <c r="S53" s="157"/>
      <c r="T53" s="157"/>
      <c r="U53" s="157"/>
      <c r="V53" s="157"/>
      <c r="W53" s="157">
        <f t="shared" si="13"/>
        <v>4</v>
      </c>
      <c r="X53" s="158">
        <f>SUMIFS('Đơn giá'!C:C,'Đơn giá'!B:B,XUẤT!O53)</f>
        <v>98000</v>
      </c>
      <c r="Y53" s="159">
        <f t="shared" si="17"/>
        <v>392000</v>
      </c>
      <c r="Z53" s="232" t="s">
        <v>718</v>
      </c>
      <c r="AA53" s="229" t="s">
        <v>37</v>
      </c>
      <c r="AB53" s="90">
        <f t="shared" si="4"/>
        <v>4</v>
      </c>
      <c r="AC53" s="91">
        <f t="shared" si="5"/>
        <v>20000</v>
      </c>
      <c r="AD53" s="157"/>
    </row>
    <row r="54" spans="1:30" s="160" customFormat="1" ht="63" customHeight="1" x14ac:dyDescent="0.3">
      <c r="A54" s="152">
        <v>4</v>
      </c>
      <c r="B54" s="206" t="s">
        <v>534</v>
      </c>
      <c r="C54" s="154" t="s">
        <v>544</v>
      </c>
      <c r="D54" s="154" t="s">
        <v>30</v>
      </c>
      <c r="E54" s="224" t="s">
        <v>543</v>
      </c>
      <c r="F54" s="155"/>
      <c r="G54" s="155">
        <v>11</v>
      </c>
      <c r="H54" s="155"/>
      <c r="I54" s="155">
        <f t="shared" si="16"/>
        <v>11</v>
      </c>
      <c r="J54" s="229" t="s">
        <v>112</v>
      </c>
      <c r="K54" s="152"/>
      <c r="L54" s="152"/>
      <c r="M54" s="152" t="s">
        <v>33</v>
      </c>
      <c r="N54" s="142" t="s">
        <v>179</v>
      </c>
      <c r="O54" s="154" t="s">
        <v>26</v>
      </c>
      <c r="P54" s="157">
        <v>10</v>
      </c>
      <c r="Q54" s="157"/>
      <c r="R54" s="157"/>
      <c r="S54" s="157"/>
      <c r="T54" s="157"/>
      <c r="U54" s="157"/>
      <c r="V54" s="157">
        <v>1</v>
      </c>
      <c r="W54" s="157">
        <f t="shared" si="13"/>
        <v>11</v>
      </c>
      <c r="X54" s="158">
        <f>SUMIFS('Đơn giá'!C:C,'Đơn giá'!B:B,XUẤT!O54)</f>
        <v>98000</v>
      </c>
      <c r="Y54" s="159">
        <f t="shared" si="17"/>
        <v>980000</v>
      </c>
      <c r="Z54" s="232"/>
      <c r="AA54" s="230" t="s">
        <v>112</v>
      </c>
      <c r="AB54" s="90">
        <f t="shared" si="4"/>
        <v>10</v>
      </c>
      <c r="AC54" s="91">
        <f t="shared" si="5"/>
        <v>50000</v>
      </c>
      <c r="AD54" s="157"/>
    </row>
    <row r="55" spans="1:30" s="160" customFormat="1" ht="30.6" hidden="1" customHeight="1" x14ac:dyDescent="0.3">
      <c r="A55" s="398">
        <v>5</v>
      </c>
      <c r="B55" s="427" t="s">
        <v>534</v>
      </c>
      <c r="C55" s="431" t="s">
        <v>542</v>
      </c>
      <c r="D55" s="395" t="s">
        <v>40</v>
      </c>
      <c r="E55" s="155"/>
      <c r="F55" s="155"/>
      <c r="G55" s="155"/>
      <c r="H55" s="155">
        <v>11</v>
      </c>
      <c r="I55" s="155">
        <f t="shared" si="16"/>
        <v>11</v>
      </c>
      <c r="J55" s="229" t="s">
        <v>37</v>
      </c>
      <c r="K55" s="152"/>
      <c r="L55" s="152" t="s">
        <v>491</v>
      </c>
      <c r="M55" s="169" t="s">
        <v>46</v>
      </c>
      <c r="N55" s="163"/>
      <c r="O55" s="154" t="s">
        <v>39</v>
      </c>
      <c r="P55" s="157"/>
      <c r="Q55" s="157"/>
      <c r="R55" s="157"/>
      <c r="S55" s="157"/>
      <c r="T55" s="157">
        <v>5</v>
      </c>
      <c r="U55" s="157"/>
      <c r="V55" s="157">
        <v>1</v>
      </c>
      <c r="W55" s="157">
        <f t="shared" si="13"/>
        <v>6</v>
      </c>
      <c r="X55" s="158">
        <f>SUMIFS('Đơn giá'!C:C,'Đơn giá'!B:B,XUẤT!O55)</f>
        <v>52000</v>
      </c>
      <c r="Y55" s="159">
        <f>T55*X55</f>
        <v>260000</v>
      </c>
      <c r="Z55" s="232"/>
      <c r="AA55" s="36" t="s">
        <v>37</v>
      </c>
      <c r="AB55" s="90">
        <f t="shared" si="4"/>
        <v>5</v>
      </c>
      <c r="AC55" s="91">
        <f t="shared" si="5"/>
        <v>25000</v>
      </c>
      <c r="AD55" s="157"/>
    </row>
    <row r="56" spans="1:30" s="160" customFormat="1" ht="31.8" hidden="1" customHeight="1" x14ac:dyDescent="0.3">
      <c r="A56" s="399"/>
      <c r="B56" s="430"/>
      <c r="C56" s="432"/>
      <c r="D56" s="397"/>
      <c r="E56" s="155"/>
      <c r="F56" s="155"/>
      <c r="G56" s="155"/>
      <c r="H56" s="155"/>
      <c r="I56" s="155">
        <f t="shared" si="16"/>
        <v>0</v>
      </c>
      <c r="J56" s="229" t="s">
        <v>140</v>
      </c>
      <c r="K56" s="152"/>
      <c r="L56" s="152" t="s">
        <v>491</v>
      </c>
      <c r="M56" s="169" t="s">
        <v>46</v>
      </c>
      <c r="N56" s="163"/>
      <c r="O56" s="154" t="s">
        <v>39</v>
      </c>
      <c r="P56" s="157"/>
      <c r="Q56" s="157"/>
      <c r="R56" s="157"/>
      <c r="S56" s="157"/>
      <c r="T56" s="157">
        <v>5</v>
      </c>
      <c r="U56" s="157"/>
      <c r="V56" s="157"/>
      <c r="W56" s="157">
        <f t="shared" si="13"/>
        <v>5</v>
      </c>
      <c r="X56" s="158">
        <f>SUMIFS('Đơn giá'!C:C,'Đơn giá'!B:B,XUẤT!O56)</f>
        <v>52000</v>
      </c>
      <c r="Y56" s="159">
        <f>T56*X56</f>
        <v>260000</v>
      </c>
      <c r="Z56" s="232"/>
      <c r="AA56" s="36" t="s">
        <v>140</v>
      </c>
      <c r="AB56" s="90">
        <f t="shared" si="4"/>
        <v>5</v>
      </c>
      <c r="AC56" s="91">
        <f t="shared" si="5"/>
        <v>25000</v>
      </c>
      <c r="AD56" s="157"/>
    </row>
    <row r="57" spans="1:30" s="160" customFormat="1" ht="52.2" hidden="1" customHeight="1" x14ac:dyDescent="0.3">
      <c r="A57" s="152">
        <v>6</v>
      </c>
      <c r="B57" s="231" t="s">
        <v>534</v>
      </c>
      <c r="C57" s="229" t="s">
        <v>552</v>
      </c>
      <c r="D57" s="154" t="s">
        <v>30</v>
      </c>
      <c r="E57" s="155" t="s">
        <v>248</v>
      </c>
      <c r="F57" s="155"/>
      <c r="G57" s="155">
        <v>3</v>
      </c>
      <c r="H57" s="155"/>
      <c r="I57" s="155">
        <v>12</v>
      </c>
      <c r="J57" s="229" t="s">
        <v>548</v>
      </c>
      <c r="K57" s="152"/>
      <c r="L57" s="152" t="s">
        <v>491</v>
      </c>
      <c r="M57" s="169" t="s">
        <v>46</v>
      </c>
      <c r="N57" s="163"/>
      <c r="O57" s="154" t="s">
        <v>26</v>
      </c>
      <c r="P57" s="157">
        <v>3</v>
      </c>
      <c r="Q57" s="157"/>
      <c r="R57" s="157"/>
      <c r="S57" s="157"/>
      <c r="T57" s="157"/>
      <c r="U57" s="157"/>
      <c r="V57" s="157"/>
      <c r="W57" s="157">
        <f t="shared" si="13"/>
        <v>3</v>
      </c>
      <c r="X57" s="158">
        <f>SUMIFS('Đơn giá'!C:C,'Đơn giá'!B:B,XUẤT!O57)</f>
        <v>98000</v>
      </c>
      <c r="Y57" s="159">
        <f t="shared" si="17"/>
        <v>294000</v>
      </c>
      <c r="Z57" s="232" t="s">
        <v>673</v>
      </c>
      <c r="AA57" s="36" t="s">
        <v>264</v>
      </c>
      <c r="AB57" s="90">
        <f t="shared" si="4"/>
        <v>3</v>
      </c>
      <c r="AC57" s="91">
        <f t="shared" si="5"/>
        <v>15000</v>
      </c>
      <c r="AD57" s="157" t="s">
        <v>554</v>
      </c>
    </row>
    <row r="58" spans="1:30" s="160" customFormat="1" ht="54" customHeight="1" x14ac:dyDescent="0.3">
      <c r="A58" s="152">
        <v>7</v>
      </c>
      <c r="B58" s="153">
        <v>46335</v>
      </c>
      <c r="C58" s="360" t="s">
        <v>550</v>
      </c>
      <c r="D58" s="154" t="s">
        <v>30</v>
      </c>
      <c r="E58" s="155" t="s">
        <v>224</v>
      </c>
      <c r="F58" s="155"/>
      <c r="G58" s="155">
        <v>11</v>
      </c>
      <c r="H58" s="155"/>
      <c r="I58" s="155">
        <f t="shared" ref="I58:I59" si="18">H58+G58</f>
        <v>11</v>
      </c>
      <c r="J58" s="152" t="s">
        <v>31</v>
      </c>
      <c r="K58" s="152"/>
      <c r="L58" s="152"/>
      <c r="M58" s="152" t="s">
        <v>33</v>
      </c>
      <c r="N58" s="7" t="s">
        <v>204</v>
      </c>
      <c r="O58" s="154" t="s">
        <v>26</v>
      </c>
      <c r="P58" s="157">
        <v>10</v>
      </c>
      <c r="Q58" s="157"/>
      <c r="R58" s="157"/>
      <c r="S58" s="157"/>
      <c r="T58" s="157"/>
      <c r="U58" s="157"/>
      <c r="V58" s="157"/>
      <c r="W58" s="157">
        <f t="shared" si="13"/>
        <v>10</v>
      </c>
      <c r="X58" s="158">
        <f>SUMIFS('Đơn giá'!C:C,'Đơn giá'!B:B,XUẤT!O58)</f>
        <v>98000</v>
      </c>
      <c r="Y58" s="159">
        <f t="shared" si="17"/>
        <v>980000</v>
      </c>
      <c r="Z58" s="232" t="s">
        <v>569</v>
      </c>
      <c r="AA58" s="36" t="s">
        <v>37</v>
      </c>
      <c r="AB58" s="90">
        <f t="shared" si="4"/>
        <v>10</v>
      </c>
      <c r="AC58" s="91">
        <f t="shared" si="5"/>
        <v>50000</v>
      </c>
      <c r="AD58" s="157"/>
    </row>
    <row r="59" spans="1:30" s="160" customFormat="1" ht="49.2" customHeight="1" x14ac:dyDescent="0.3">
      <c r="A59" s="152">
        <v>8</v>
      </c>
      <c r="B59" s="153">
        <v>46335</v>
      </c>
      <c r="C59" s="228" t="s">
        <v>387</v>
      </c>
      <c r="D59" s="154" t="s">
        <v>30</v>
      </c>
      <c r="E59" s="155" t="s">
        <v>90</v>
      </c>
      <c r="F59" s="155"/>
      <c r="G59" s="155">
        <v>2</v>
      </c>
      <c r="H59" s="155"/>
      <c r="I59" s="155">
        <f t="shared" si="18"/>
        <v>2</v>
      </c>
      <c r="J59" s="36" t="s">
        <v>136</v>
      </c>
      <c r="K59" s="152"/>
      <c r="L59" s="152" t="s">
        <v>491</v>
      </c>
      <c r="M59" s="152" t="s">
        <v>33</v>
      </c>
      <c r="N59" s="229" t="s">
        <v>136</v>
      </c>
      <c r="O59" s="154" t="s">
        <v>26</v>
      </c>
      <c r="P59" s="157">
        <v>2</v>
      </c>
      <c r="Q59" s="157"/>
      <c r="R59" s="157"/>
      <c r="S59" s="157"/>
      <c r="T59" s="157"/>
      <c r="U59" s="157"/>
      <c r="V59" s="157"/>
      <c r="W59" s="157">
        <f t="shared" si="13"/>
        <v>2</v>
      </c>
      <c r="X59" s="158">
        <f>SUMIFS('Đơn giá'!C:C,'Đơn giá'!B:B,XUẤT!O59)</f>
        <v>98000</v>
      </c>
      <c r="Y59" s="159">
        <f t="shared" si="17"/>
        <v>196000</v>
      </c>
      <c r="Z59" s="152" t="s">
        <v>798</v>
      </c>
      <c r="AA59" s="36" t="s">
        <v>136</v>
      </c>
      <c r="AB59" s="157">
        <f t="shared" si="4"/>
        <v>2</v>
      </c>
      <c r="AC59" s="158">
        <f t="shared" si="5"/>
        <v>10000</v>
      </c>
      <c r="AD59" s="157"/>
    </row>
    <row r="60" spans="1:30" s="375" customFormat="1" ht="49.8" customHeight="1" x14ac:dyDescent="0.3">
      <c r="A60" s="364">
        <v>9</v>
      </c>
      <c r="B60" s="365">
        <v>46335</v>
      </c>
      <c r="C60" s="366" t="s">
        <v>558</v>
      </c>
      <c r="D60" s="367" t="s">
        <v>30</v>
      </c>
      <c r="E60" s="368" t="s">
        <v>224</v>
      </c>
      <c r="F60" s="369"/>
      <c r="G60" s="369">
        <v>11</v>
      </c>
      <c r="H60" s="369"/>
      <c r="I60" s="369">
        <f t="shared" si="16"/>
        <v>11</v>
      </c>
      <c r="J60" s="366" t="s">
        <v>37</v>
      </c>
      <c r="K60" s="364"/>
      <c r="L60" s="364" t="s">
        <v>491</v>
      </c>
      <c r="M60" s="152" t="s">
        <v>33</v>
      </c>
      <c r="N60" s="366" t="s">
        <v>37</v>
      </c>
      <c r="O60" s="367" t="s">
        <v>26</v>
      </c>
      <c r="P60" s="371">
        <v>10</v>
      </c>
      <c r="Q60" s="371"/>
      <c r="R60" s="371"/>
      <c r="S60" s="371"/>
      <c r="T60" s="371"/>
      <c r="U60" s="371"/>
      <c r="V60" s="371">
        <v>1</v>
      </c>
      <c r="W60" s="371">
        <f t="shared" si="13"/>
        <v>11</v>
      </c>
      <c r="X60" s="372">
        <f>SUMIFS('Đơn giá'!C:C,'Đơn giá'!B:B,XUẤT!O60)</f>
        <v>98000</v>
      </c>
      <c r="Y60" s="373">
        <f t="shared" si="17"/>
        <v>980000</v>
      </c>
      <c r="Z60" s="364" t="s">
        <v>951</v>
      </c>
      <c r="AA60" s="374" t="s">
        <v>37</v>
      </c>
      <c r="AB60" s="371">
        <f t="shared" si="4"/>
        <v>10</v>
      </c>
      <c r="AC60" s="372">
        <f t="shared" si="5"/>
        <v>50000</v>
      </c>
      <c r="AD60" s="371"/>
    </row>
    <row r="61" spans="1:30" s="160" customFormat="1" ht="53.4" hidden="1" customHeight="1" x14ac:dyDescent="0.3">
      <c r="A61" s="152">
        <v>10</v>
      </c>
      <c r="B61" s="153">
        <v>46335</v>
      </c>
      <c r="C61" s="164" t="s">
        <v>559</v>
      </c>
      <c r="D61" s="154" t="s">
        <v>30</v>
      </c>
      <c r="E61" s="155" t="s">
        <v>543</v>
      </c>
      <c r="F61" s="155"/>
      <c r="G61" s="155"/>
      <c r="H61" s="155"/>
      <c r="I61" s="155"/>
      <c r="J61" s="152"/>
      <c r="K61" s="152"/>
      <c r="L61" s="152"/>
      <c r="M61" s="169"/>
      <c r="N61" s="10"/>
      <c r="O61" s="154"/>
      <c r="P61" s="157"/>
      <c r="Q61" s="157"/>
      <c r="R61" s="157"/>
      <c r="S61" s="157"/>
      <c r="T61" s="157"/>
      <c r="U61" s="157"/>
      <c r="V61" s="157"/>
      <c r="W61" s="157">
        <f t="shared" si="13"/>
        <v>0</v>
      </c>
      <c r="X61" s="158">
        <f>SUMIFS('Đơn giá'!C:C,'Đơn giá'!B:B,XUẤT!O61)</f>
        <v>0</v>
      </c>
      <c r="Y61" s="159">
        <f t="shared" si="17"/>
        <v>0</v>
      </c>
      <c r="Z61" s="232"/>
      <c r="AA61" s="10"/>
      <c r="AB61" s="90">
        <f t="shared" si="4"/>
        <v>0</v>
      </c>
      <c r="AC61" s="91">
        <f t="shared" si="5"/>
        <v>0</v>
      </c>
      <c r="AD61" s="157"/>
    </row>
    <row r="62" spans="1:30" s="160" customFormat="1" ht="53.4" customHeight="1" x14ac:dyDescent="0.3">
      <c r="A62" s="152">
        <v>11</v>
      </c>
      <c r="B62" s="153">
        <v>46335</v>
      </c>
      <c r="C62" s="154" t="s">
        <v>71</v>
      </c>
      <c r="D62" s="154" t="s">
        <v>30</v>
      </c>
      <c r="E62" s="155" t="s">
        <v>543</v>
      </c>
      <c r="F62" s="155"/>
      <c r="G62" s="155">
        <v>3</v>
      </c>
      <c r="H62" s="155"/>
      <c r="I62" s="155">
        <f t="shared" si="16"/>
        <v>3</v>
      </c>
      <c r="J62" s="152"/>
      <c r="K62" s="152"/>
      <c r="L62" s="152"/>
      <c r="M62" s="152" t="s">
        <v>33</v>
      </c>
      <c r="N62" s="10" t="s">
        <v>41</v>
      </c>
      <c r="O62" s="154" t="s">
        <v>26</v>
      </c>
      <c r="P62" s="157">
        <v>3</v>
      </c>
      <c r="Q62" s="157"/>
      <c r="R62" s="157"/>
      <c r="S62" s="157"/>
      <c r="T62" s="157"/>
      <c r="U62" s="157"/>
      <c r="V62" s="157"/>
      <c r="W62" s="157">
        <f t="shared" si="13"/>
        <v>3</v>
      </c>
      <c r="X62" s="158">
        <f>SUMIFS('Đơn giá'!C:C,'Đơn giá'!B:B,XUẤT!O62)</f>
        <v>98000</v>
      </c>
      <c r="Y62" s="159">
        <f t="shared" si="17"/>
        <v>294000</v>
      </c>
      <c r="Z62" s="387" t="s">
        <v>981</v>
      </c>
      <c r="AA62" s="10" t="s">
        <v>41</v>
      </c>
      <c r="AB62" s="90">
        <f t="shared" si="4"/>
        <v>3</v>
      </c>
      <c r="AC62" s="91">
        <f t="shared" si="5"/>
        <v>15000</v>
      </c>
      <c r="AD62" s="157"/>
    </row>
    <row r="63" spans="1:30" s="160" customFormat="1" ht="58.8" customHeight="1" x14ac:dyDescent="0.3">
      <c r="A63" s="398">
        <v>1</v>
      </c>
      <c r="B63" s="411">
        <v>46365</v>
      </c>
      <c r="C63" s="400" t="s">
        <v>562</v>
      </c>
      <c r="D63" s="154" t="s">
        <v>30</v>
      </c>
      <c r="E63" s="155" t="s">
        <v>536</v>
      </c>
      <c r="F63" s="155"/>
      <c r="G63" s="155">
        <v>2</v>
      </c>
      <c r="H63" s="155"/>
      <c r="I63" s="155">
        <f t="shared" si="16"/>
        <v>2</v>
      </c>
      <c r="J63" s="152" t="s">
        <v>56</v>
      </c>
      <c r="K63" s="152"/>
      <c r="L63" s="152" t="s">
        <v>491</v>
      </c>
      <c r="M63" s="152" t="s">
        <v>33</v>
      </c>
      <c r="N63" s="7" t="s">
        <v>96</v>
      </c>
      <c r="O63" s="154" t="s">
        <v>26</v>
      </c>
      <c r="P63" s="157">
        <v>2</v>
      </c>
      <c r="Q63" s="157"/>
      <c r="R63" s="157"/>
      <c r="S63" s="157"/>
      <c r="T63" s="157"/>
      <c r="U63" s="157"/>
      <c r="V63" s="157"/>
      <c r="W63" s="157">
        <f t="shared" si="13"/>
        <v>2</v>
      </c>
      <c r="X63" s="158">
        <f>SUMIFS('Đơn giá'!C:C,'Đơn giá'!B:B,XUẤT!O63)</f>
        <v>98000</v>
      </c>
      <c r="Y63" s="159">
        <f t="shared" si="17"/>
        <v>196000</v>
      </c>
      <c r="Z63" s="232"/>
      <c r="AA63" s="10" t="s">
        <v>57</v>
      </c>
      <c r="AB63" s="90">
        <f t="shared" ref="AB63:AB124" si="19">W63-V63</f>
        <v>2</v>
      </c>
      <c r="AC63" s="91">
        <f t="shared" ref="AC63:AC122" si="20">AB63*5000</f>
        <v>10000</v>
      </c>
      <c r="AD63" s="157"/>
    </row>
    <row r="64" spans="1:30" s="160" customFormat="1" ht="44.4" customHeight="1" x14ac:dyDescent="0.3">
      <c r="A64" s="399"/>
      <c r="B64" s="413"/>
      <c r="C64" s="401"/>
      <c r="D64" s="154" t="s">
        <v>30</v>
      </c>
      <c r="E64" s="155" t="s">
        <v>543</v>
      </c>
      <c r="F64" s="155"/>
      <c r="G64" s="155">
        <v>5</v>
      </c>
      <c r="H64" s="155"/>
      <c r="I64" s="155">
        <f t="shared" si="16"/>
        <v>5</v>
      </c>
      <c r="J64" s="152" t="s">
        <v>395</v>
      </c>
      <c r="K64" s="152"/>
      <c r="L64" s="152" t="s">
        <v>491</v>
      </c>
      <c r="M64" s="152" t="s">
        <v>33</v>
      </c>
      <c r="N64" s="7" t="s">
        <v>96</v>
      </c>
      <c r="O64" s="154" t="s">
        <v>29</v>
      </c>
      <c r="P64" s="157"/>
      <c r="Q64" s="157">
        <v>5</v>
      </c>
      <c r="R64" s="157"/>
      <c r="S64" s="157"/>
      <c r="T64" s="157"/>
      <c r="U64" s="157"/>
      <c r="V64" s="157"/>
      <c r="W64" s="157">
        <f t="shared" si="13"/>
        <v>5</v>
      </c>
      <c r="X64" s="158">
        <v>85000</v>
      </c>
      <c r="Y64" s="159">
        <f>Q64*X64</f>
        <v>425000</v>
      </c>
      <c r="Z64" s="232"/>
      <c r="AA64" s="36" t="s">
        <v>98</v>
      </c>
      <c r="AB64" s="90">
        <f t="shared" si="19"/>
        <v>5</v>
      </c>
      <c r="AC64" s="91">
        <f t="shared" si="20"/>
        <v>25000</v>
      </c>
      <c r="AD64" s="157"/>
    </row>
    <row r="65" spans="1:30" s="160" customFormat="1" ht="46.2" customHeight="1" x14ac:dyDescent="0.3">
      <c r="A65" s="152">
        <v>2</v>
      </c>
      <c r="B65" s="153">
        <v>46365</v>
      </c>
      <c r="C65" s="270" t="s">
        <v>563</v>
      </c>
      <c r="D65" s="155" t="s">
        <v>30</v>
      </c>
      <c r="E65" s="164" t="s">
        <v>224</v>
      </c>
      <c r="F65" s="155"/>
      <c r="G65" s="155">
        <v>22</v>
      </c>
      <c r="H65" s="155"/>
      <c r="I65" s="155">
        <f t="shared" si="16"/>
        <v>22</v>
      </c>
      <c r="J65" s="252" t="s">
        <v>36</v>
      </c>
      <c r="K65" s="152"/>
      <c r="L65" s="152" t="s">
        <v>491</v>
      </c>
      <c r="M65" s="152" t="s">
        <v>33</v>
      </c>
      <c r="N65" s="212" t="s">
        <v>36</v>
      </c>
      <c r="O65" s="154" t="s">
        <v>26</v>
      </c>
      <c r="P65" s="157">
        <v>20</v>
      </c>
      <c r="Q65" s="157"/>
      <c r="R65" s="157"/>
      <c r="S65" s="157"/>
      <c r="T65" s="157"/>
      <c r="U65" s="157"/>
      <c r="V65" s="157">
        <v>2</v>
      </c>
      <c r="W65" s="157">
        <f t="shared" si="13"/>
        <v>22</v>
      </c>
      <c r="X65" s="158">
        <f>SUMIFS('Đơn giá'!C:C,'Đơn giá'!B:B,XUẤT!O65)</f>
        <v>98000</v>
      </c>
      <c r="Y65" s="159">
        <f t="shared" si="17"/>
        <v>1960000</v>
      </c>
      <c r="Z65" s="232" t="s">
        <v>941</v>
      </c>
      <c r="AA65" s="36" t="s">
        <v>36</v>
      </c>
      <c r="AB65" s="90">
        <f t="shared" si="19"/>
        <v>20</v>
      </c>
      <c r="AC65" s="91">
        <f t="shared" si="20"/>
        <v>100000</v>
      </c>
      <c r="AD65" s="157"/>
    </row>
    <row r="66" spans="1:30" s="160" customFormat="1" ht="42.6" customHeight="1" x14ac:dyDescent="0.3">
      <c r="A66" s="152">
        <v>3</v>
      </c>
      <c r="B66" s="153">
        <v>46365</v>
      </c>
      <c r="C66" s="154" t="s">
        <v>565</v>
      </c>
      <c r="D66" s="155" t="s">
        <v>30</v>
      </c>
      <c r="E66" s="164" t="s">
        <v>224</v>
      </c>
      <c r="F66" s="155"/>
      <c r="G66" s="155">
        <v>3</v>
      </c>
      <c r="H66" s="155"/>
      <c r="I66" s="155">
        <f t="shared" si="16"/>
        <v>3</v>
      </c>
      <c r="J66" s="229" t="s">
        <v>37</v>
      </c>
      <c r="K66" s="152"/>
      <c r="L66" s="152" t="s">
        <v>491</v>
      </c>
      <c r="M66" s="152" t="s">
        <v>33</v>
      </c>
      <c r="N66" s="10" t="s">
        <v>107</v>
      </c>
      <c r="O66" s="154" t="s">
        <v>26</v>
      </c>
      <c r="P66" s="157">
        <v>3</v>
      </c>
      <c r="Q66" s="157"/>
      <c r="R66" s="157"/>
      <c r="S66" s="157"/>
      <c r="T66" s="157"/>
      <c r="U66" s="157"/>
      <c r="V66" s="157"/>
      <c r="W66" s="157">
        <f t="shared" si="13"/>
        <v>3</v>
      </c>
      <c r="X66" s="158">
        <f>SUMIFS('Đơn giá'!C:C,'Đơn giá'!B:B,XUẤT!O66)</f>
        <v>98000</v>
      </c>
      <c r="Y66" s="159">
        <f t="shared" si="17"/>
        <v>294000</v>
      </c>
      <c r="Z66" s="232" t="s">
        <v>583</v>
      </c>
      <c r="AA66" s="36" t="s">
        <v>37</v>
      </c>
      <c r="AB66" s="90">
        <f t="shared" si="19"/>
        <v>3</v>
      </c>
      <c r="AC66" s="91">
        <f t="shared" si="20"/>
        <v>15000</v>
      </c>
      <c r="AD66" s="157"/>
    </row>
    <row r="67" spans="1:30" s="160" customFormat="1" ht="87" customHeight="1" x14ac:dyDescent="0.3">
      <c r="A67" s="152">
        <v>4</v>
      </c>
      <c r="B67" s="233">
        <v>46365</v>
      </c>
      <c r="C67" s="84" t="s">
        <v>566</v>
      </c>
      <c r="D67" s="253"/>
      <c r="E67" s="253" t="s">
        <v>567</v>
      </c>
      <c r="F67" s="155"/>
      <c r="G67" s="155">
        <v>11</v>
      </c>
      <c r="H67" s="155"/>
      <c r="I67" s="155">
        <f t="shared" si="16"/>
        <v>11</v>
      </c>
      <c r="J67" s="152" t="s">
        <v>568</v>
      </c>
      <c r="K67" s="152"/>
      <c r="L67" s="152"/>
      <c r="M67" s="152" t="s">
        <v>33</v>
      </c>
      <c r="N67" s="10" t="s">
        <v>57</v>
      </c>
      <c r="O67" s="154" t="s">
        <v>26</v>
      </c>
      <c r="P67" s="157">
        <v>10</v>
      </c>
      <c r="Q67" s="157"/>
      <c r="R67" s="157"/>
      <c r="S67" s="157"/>
      <c r="T67" s="157"/>
      <c r="U67" s="157"/>
      <c r="V67" s="157">
        <v>1</v>
      </c>
      <c r="W67" s="157">
        <f t="shared" si="13"/>
        <v>11</v>
      </c>
      <c r="X67" s="158">
        <f>SUMIFS('Đơn giá'!C:C,'Đơn giá'!B:B,XUẤT!O67)</f>
        <v>98000</v>
      </c>
      <c r="Y67" s="159">
        <f t="shared" si="17"/>
        <v>980000</v>
      </c>
      <c r="Z67" s="232" t="s">
        <v>681</v>
      </c>
      <c r="AA67" s="152" t="s">
        <v>670</v>
      </c>
      <c r="AB67" s="90">
        <f t="shared" si="19"/>
        <v>10</v>
      </c>
      <c r="AC67" s="91">
        <f t="shared" si="20"/>
        <v>50000</v>
      </c>
      <c r="AD67" s="157"/>
    </row>
    <row r="68" spans="1:30" s="160" customFormat="1" ht="90" hidden="1" customHeight="1" x14ac:dyDescent="0.3">
      <c r="A68" s="152">
        <v>5</v>
      </c>
      <c r="B68" s="153">
        <v>46365</v>
      </c>
      <c r="C68" s="154" t="s">
        <v>570</v>
      </c>
      <c r="D68" s="155" t="s">
        <v>30</v>
      </c>
      <c r="E68" s="164" t="s">
        <v>224</v>
      </c>
      <c r="F68" s="155"/>
      <c r="G68" s="155">
        <v>3</v>
      </c>
      <c r="H68" s="155"/>
      <c r="I68" s="155">
        <f t="shared" si="16"/>
        <v>3</v>
      </c>
      <c r="J68" s="152" t="s">
        <v>571</v>
      </c>
      <c r="K68" s="152"/>
      <c r="L68" s="152" t="s">
        <v>491</v>
      </c>
      <c r="M68" s="169" t="s">
        <v>72</v>
      </c>
      <c r="N68" s="163"/>
      <c r="O68" s="154" t="s">
        <v>26</v>
      </c>
      <c r="P68" s="157">
        <v>3</v>
      </c>
      <c r="Q68" s="157"/>
      <c r="R68" s="157"/>
      <c r="S68" s="157"/>
      <c r="T68" s="157"/>
      <c r="U68" s="157"/>
      <c r="V68" s="157"/>
      <c r="W68" s="157">
        <f t="shared" si="13"/>
        <v>3</v>
      </c>
      <c r="X68" s="158">
        <f>SUMIFS('Đơn giá'!C:C,'Đơn giá'!B:B,XUẤT!O68)</f>
        <v>98000</v>
      </c>
      <c r="Y68" s="159">
        <f t="shared" si="17"/>
        <v>294000</v>
      </c>
      <c r="Z68" s="232" t="s">
        <v>579</v>
      </c>
      <c r="AA68" s="152"/>
      <c r="AB68" s="90">
        <f t="shared" si="19"/>
        <v>3</v>
      </c>
      <c r="AC68" s="91">
        <f t="shared" si="20"/>
        <v>15000</v>
      </c>
      <c r="AD68" s="157" t="s">
        <v>74</v>
      </c>
    </row>
    <row r="69" spans="1:30" s="375" customFormat="1" ht="58.8" customHeight="1" x14ac:dyDescent="0.3">
      <c r="A69" s="364">
        <v>6</v>
      </c>
      <c r="B69" s="365">
        <v>46365</v>
      </c>
      <c r="C69" s="367" t="s">
        <v>572</v>
      </c>
      <c r="D69" s="369" t="s">
        <v>30</v>
      </c>
      <c r="E69" s="369" t="s">
        <v>543</v>
      </c>
      <c r="F69" s="369"/>
      <c r="G69" s="369">
        <v>11</v>
      </c>
      <c r="H69" s="369">
        <v>11</v>
      </c>
      <c r="I69" s="369">
        <f t="shared" si="16"/>
        <v>22</v>
      </c>
      <c r="J69" s="374" t="s">
        <v>37</v>
      </c>
      <c r="K69" s="364"/>
      <c r="L69" s="364" t="s">
        <v>491</v>
      </c>
      <c r="M69" s="152" t="s">
        <v>33</v>
      </c>
      <c r="N69" s="376" t="s">
        <v>37</v>
      </c>
      <c r="O69" s="367" t="s">
        <v>29</v>
      </c>
      <c r="P69" s="371"/>
      <c r="Q69" s="371">
        <v>10</v>
      </c>
      <c r="R69" s="371"/>
      <c r="S69" s="371"/>
      <c r="T69" s="371"/>
      <c r="U69" s="371"/>
      <c r="V69" s="371">
        <v>1</v>
      </c>
      <c r="W69" s="371">
        <f t="shared" si="13"/>
        <v>11</v>
      </c>
      <c r="X69" s="372">
        <f>SUMIFS('Đơn giá'!C:C,'Đơn giá'!B:B,XUẤT!O69)</f>
        <v>85000</v>
      </c>
      <c r="Y69" s="373">
        <f>Q69*X69</f>
        <v>850000</v>
      </c>
      <c r="Z69" s="364" t="s">
        <v>951</v>
      </c>
      <c r="AA69" s="374" t="s">
        <v>37</v>
      </c>
      <c r="AB69" s="371">
        <f t="shared" si="19"/>
        <v>10</v>
      </c>
      <c r="AC69" s="372">
        <f t="shared" si="20"/>
        <v>50000</v>
      </c>
      <c r="AD69" s="371"/>
    </row>
    <row r="70" spans="1:30" s="160" customFormat="1" ht="59.4" hidden="1" customHeight="1" x14ac:dyDescent="0.3">
      <c r="A70" s="152">
        <v>7</v>
      </c>
      <c r="B70" s="153">
        <v>46365</v>
      </c>
      <c r="C70" s="154" t="s">
        <v>580</v>
      </c>
      <c r="D70" s="155" t="s">
        <v>30</v>
      </c>
      <c r="E70" s="155" t="s">
        <v>543</v>
      </c>
      <c r="F70" s="155"/>
      <c r="G70" s="155">
        <v>20</v>
      </c>
      <c r="H70" s="155"/>
      <c r="I70" s="155">
        <f t="shared" si="16"/>
        <v>20</v>
      </c>
      <c r="J70" s="36" t="s">
        <v>37</v>
      </c>
      <c r="K70" s="152"/>
      <c r="L70" s="152" t="s">
        <v>491</v>
      </c>
      <c r="M70" s="169" t="s">
        <v>573</v>
      </c>
      <c r="N70" s="163"/>
      <c r="O70" s="154"/>
      <c r="P70" s="157"/>
      <c r="Q70" s="157">
        <v>20</v>
      </c>
      <c r="R70" s="157"/>
      <c r="S70" s="157"/>
      <c r="T70" s="157"/>
      <c r="U70" s="157"/>
      <c r="V70" s="157"/>
      <c r="W70" s="157">
        <f t="shared" si="13"/>
        <v>20</v>
      </c>
      <c r="X70" s="158">
        <f>SUMIFS('Đơn giá'!C:C,'Đơn giá'!B:B,XUẤT!O70)</f>
        <v>0</v>
      </c>
      <c r="Y70" s="159">
        <f t="shared" si="17"/>
        <v>0</v>
      </c>
      <c r="Z70" s="232"/>
      <c r="AA70" s="152"/>
      <c r="AB70" s="90">
        <f t="shared" si="19"/>
        <v>20</v>
      </c>
      <c r="AC70" s="91">
        <f t="shared" si="20"/>
        <v>100000</v>
      </c>
      <c r="AD70" s="157" t="s">
        <v>581</v>
      </c>
    </row>
    <row r="71" spans="1:30" s="160" customFormat="1" ht="87.6" hidden="1" customHeight="1" x14ac:dyDescent="0.3">
      <c r="A71" s="152">
        <v>8</v>
      </c>
      <c r="B71" s="153">
        <v>46365</v>
      </c>
      <c r="C71" s="154" t="s">
        <v>575</v>
      </c>
      <c r="D71" s="155" t="s">
        <v>30</v>
      </c>
      <c r="E71" s="155" t="s">
        <v>543</v>
      </c>
      <c r="F71" s="155"/>
      <c r="G71" s="155">
        <v>5</v>
      </c>
      <c r="H71" s="155"/>
      <c r="I71" s="155">
        <f t="shared" si="16"/>
        <v>5</v>
      </c>
      <c r="J71" s="152" t="s">
        <v>500</v>
      </c>
      <c r="K71" s="152"/>
      <c r="L71" s="152"/>
      <c r="M71" s="169" t="s">
        <v>46</v>
      </c>
      <c r="N71" s="163"/>
      <c r="O71" s="154" t="s">
        <v>26</v>
      </c>
      <c r="P71" s="157">
        <v>5</v>
      </c>
      <c r="Q71" s="157"/>
      <c r="R71" s="157"/>
      <c r="S71" s="157"/>
      <c r="T71" s="157"/>
      <c r="U71" s="157"/>
      <c r="V71" s="157"/>
      <c r="W71" s="157">
        <f t="shared" si="13"/>
        <v>5</v>
      </c>
      <c r="X71" s="158">
        <f>SUMIFS('Đơn giá'!C:C,'Đơn giá'!B:B,XUẤT!O71)</f>
        <v>98000</v>
      </c>
      <c r="Y71" s="159">
        <f t="shared" si="17"/>
        <v>490000</v>
      </c>
      <c r="Z71" s="232" t="s">
        <v>826</v>
      </c>
      <c r="AA71" s="10" t="s">
        <v>41</v>
      </c>
      <c r="AB71" s="90">
        <f t="shared" si="19"/>
        <v>5</v>
      </c>
      <c r="AC71" s="91">
        <f t="shared" si="20"/>
        <v>25000</v>
      </c>
      <c r="AD71" s="157"/>
    </row>
    <row r="72" spans="1:30" s="160" customFormat="1" ht="48.6" customHeight="1" x14ac:dyDescent="0.3">
      <c r="A72" s="152">
        <v>9</v>
      </c>
      <c r="B72" s="153">
        <v>46365</v>
      </c>
      <c r="C72" s="154" t="s">
        <v>576</v>
      </c>
      <c r="D72" s="155" t="s">
        <v>30</v>
      </c>
      <c r="E72" s="155" t="s">
        <v>577</v>
      </c>
      <c r="F72" s="155"/>
      <c r="G72" s="155"/>
      <c r="H72" s="155"/>
      <c r="I72" s="155">
        <f t="shared" si="16"/>
        <v>0</v>
      </c>
      <c r="J72" s="10" t="s">
        <v>136</v>
      </c>
      <c r="K72" s="152"/>
      <c r="L72" s="152" t="s">
        <v>491</v>
      </c>
      <c r="M72" s="152" t="s">
        <v>33</v>
      </c>
      <c r="N72" s="10" t="s">
        <v>136</v>
      </c>
      <c r="O72" s="154" t="s">
        <v>26</v>
      </c>
      <c r="P72" s="157"/>
      <c r="Q72" s="157"/>
      <c r="R72" s="157"/>
      <c r="S72" s="157"/>
      <c r="T72" s="157"/>
      <c r="U72" s="157"/>
      <c r="V72" s="157"/>
      <c r="W72" s="157">
        <f t="shared" si="13"/>
        <v>0</v>
      </c>
      <c r="X72" s="158">
        <f>SUMIFS('Đơn giá'!C:C,'Đơn giá'!B:B,XUẤT!O72)</f>
        <v>98000</v>
      </c>
      <c r="Y72" s="159">
        <f t="shared" si="17"/>
        <v>0</v>
      </c>
      <c r="Z72" s="152" t="s">
        <v>798</v>
      </c>
      <c r="AA72" s="36" t="s">
        <v>136</v>
      </c>
      <c r="AB72" s="157">
        <f t="shared" si="19"/>
        <v>0</v>
      </c>
      <c r="AC72" s="158">
        <f t="shared" si="20"/>
        <v>0</v>
      </c>
      <c r="AD72" s="157"/>
    </row>
    <row r="73" spans="1:30" s="160" customFormat="1" ht="55.8" customHeight="1" x14ac:dyDescent="0.3">
      <c r="A73" s="152">
        <v>10</v>
      </c>
      <c r="B73" s="153">
        <v>46365</v>
      </c>
      <c r="C73" s="382" t="s">
        <v>578</v>
      </c>
      <c r="D73" s="155" t="s">
        <v>30</v>
      </c>
      <c r="E73" s="155" t="s">
        <v>543</v>
      </c>
      <c r="F73" s="155"/>
      <c r="G73" s="155">
        <v>11</v>
      </c>
      <c r="H73" s="155"/>
      <c r="I73" s="155">
        <f t="shared" si="16"/>
        <v>11</v>
      </c>
      <c r="J73" s="152" t="s">
        <v>31</v>
      </c>
      <c r="K73" s="152"/>
      <c r="L73" s="152" t="s">
        <v>491</v>
      </c>
      <c r="M73" s="152" t="s">
        <v>33</v>
      </c>
      <c r="N73" s="10" t="s">
        <v>104</v>
      </c>
      <c r="O73" s="154" t="s">
        <v>26</v>
      </c>
      <c r="P73" s="157">
        <v>10</v>
      </c>
      <c r="Q73" s="157"/>
      <c r="R73" s="157"/>
      <c r="S73" s="157"/>
      <c r="T73" s="157"/>
      <c r="U73" s="157"/>
      <c r="V73" s="157">
        <v>1</v>
      </c>
      <c r="W73" s="157">
        <f t="shared" si="13"/>
        <v>11</v>
      </c>
      <c r="X73" s="158">
        <f>SUMIFS('Đơn giá'!C:C,'Đơn giá'!B:B,XUẤT!O73)</f>
        <v>98000</v>
      </c>
      <c r="Y73" s="159">
        <f t="shared" si="17"/>
        <v>980000</v>
      </c>
      <c r="Z73" s="152" t="s">
        <v>602</v>
      </c>
      <c r="AA73" s="10" t="s">
        <v>235</v>
      </c>
      <c r="AB73" s="90">
        <f t="shared" si="19"/>
        <v>10</v>
      </c>
      <c r="AC73" s="91">
        <f t="shared" si="20"/>
        <v>50000</v>
      </c>
      <c r="AD73" s="157" t="s">
        <v>390</v>
      </c>
    </row>
    <row r="74" spans="1:30" s="160" customFormat="1" ht="42" customHeight="1" x14ac:dyDescent="0.3">
      <c r="A74" s="152">
        <v>11</v>
      </c>
      <c r="B74" s="153">
        <v>46365</v>
      </c>
      <c r="C74" s="154" t="s">
        <v>584</v>
      </c>
      <c r="D74" s="155" t="s">
        <v>30</v>
      </c>
      <c r="E74" s="224" t="s">
        <v>224</v>
      </c>
      <c r="F74" s="155"/>
      <c r="G74" s="155">
        <v>4</v>
      </c>
      <c r="H74" s="155"/>
      <c r="I74" s="155">
        <f t="shared" si="16"/>
        <v>4</v>
      </c>
      <c r="J74" s="211" t="s">
        <v>241</v>
      </c>
      <c r="K74" s="152"/>
      <c r="L74" s="152" t="s">
        <v>491</v>
      </c>
      <c r="M74" s="152" t="s">
        <v>33</v>
      </c>
      <c r="N74" s="10" t="s">
        <v>241</v>
      </c>
      <c r="O74" s="154" t="s">
        <v>26</v>
      </c>
      <c r="P74" s="157">
        <v>4</v>
      </c>
      <c r="Q74" s="157"/>
      <c r="R74" s="157"/>
      <c r="S74" s="157"/>
      <c r="T74" s="157"/>
      <c r="U74" s="157"/>
      <c r="V74" s="157"/>
      <c r="W74" s="157">
        <f t="shared" si="13"/>
        <v>4</v>
      </c>
      <c r="X74" s="158">
        <f>SUMIFS('Đơn giá'!C:C,'Đơn giá'!B:B,XUẤT!O74)</f>
        <v>98000</v>
      </c>
      <c r="Y74" s="159">
        <f t="shared" si="17"/>
        <v>392000</v>
      </c>
      <c r="Z74" s="232"/>
      <c r="AA74" s="10" t="s">
        <v>241</v>
      </c>
      <c r="AB74" s="90">
        <f t="shared" si="19"/>
        <v>4</v>
      </c>
      <c r="AC74" s="91">
        <f t="shared" si="20"/>
        <v>20000</v>
      </c>
      <c r="AD74" s="157"/>
    </row>
    <row r="75" spans="1:30" s="160" customFormat="1" ht="45" customHeight="1" x14ac:dyDescent="0.3">
      <c r="A75" s="152">
        <v>1</v>
      </c>
      <c r="B75" s="153" t="s">
        <v>582</v>
      </c>
      <c r="C75" s="361" t="s">
        <v>585</v>
      </c>
      <c r="D75" s="155" t="s">
        <v>30</v>
      </c>
      <c r="E75" s="155" t="s">
        <v>577</v>
      </c>
      <c r="F75" s="155"/>
      <c r="G75" s="155">
        <v>11</v>
      </c>
      <c r="H75" s="155"/>
      <c r="I75" s="155">
        <f t="shared" si="16"/>
        <v>11</v>
      </c>
      <c r="J75" s="7" t="s">
        <v>219</v>
      </c>
      <c r="K75" s="152"/>
      <c r="L75" s="152" t="s">
        <v>491</v>
      </c>
      <c r="M75" s="152" t="s">
        <v>33</v>
      </c>
      <c r="N75" s="10" t="s">
        <v>58</v>
      </c>
      <c r="O75" s="154" t="s">
        <v>26</v>
      </c>
      <c r="P75" s="157">
        <v>10</v>
      </c>
      <c r="Q75" s="157"/>
      <c r="R75" s="157"/>
      <c r="S75" s="157"/>
      <c r="T75" s="157"/>
      <c r="U75" s="157"/>
      <c r="V75" s="157">
        <v>1</v>
      </c>
      <c r="W75" s="157">
        <f t="shared" si="13"/>
        <v>11</v>
      </c>
      <c r="X75" s="158">
        <f>SUMIFS('Đơn giá'!C:C,'Đơn giá'!B:B,XUẤT!O75)</f>
        <v>98000</v>
      </c>
      <c r="Y75" s="159">
        <f t="shared" si="17"/>
        <v>980000</v>
      </c>
      <c r="Z75" s="232"/>
      <c r="AA75" s="7" t="s">
        <v>219</v>
      </c>
      <c r="AB75" s="90">
        <f t="shared" si="19"/>
        <v>10</v>
      </c>
      <c r="AC75" s="91">
        <f t="shared" si="20"/>
        <v>50000</v>
      </c>
      <c r="AD75" s="157"/>
    </row>
    <row r="76" spans="1:30" s="160" customFormat="1" ht="45" customHeight="1" x14ac:dyDescent="0.3">
      <c r="A76" s="152">
        <v>2</v>
      </c>
      <c r="B76" s="153" t="s">
        <v>582</v>
      </c>
      <c r="C76" s="154" t="s">
        <v>586</v>
      </c>
      <c r="D76" s="155" t="s">
        <v>30</v>
      </c>
      <c r="E76" s="155" t="s">
        <v>424</v>
      </c>
      <c r="F76" s="155"/>
      <c r="G76" s="155">
        <v>11</v>
      </c>
      <c r="H76" s="155"/>
      <c r="I76" s="155">
        <f t="shared" si="16"/>
        <v>11</v>
      </c>
      <c r="J76" s="7" t="s">
        <v>235</v>
      </c>
      <c r="K76" s="152"/>
      <c r="L76" s="152" t="s">
        <v>491</v>
      </c>
      <c r="M76" s="152" t="s">
        <v>33</v>
      </c>
      <c r="N76" s="10" t="s">
        <v>178</v>
      </c>
      <c r="O76" s="154" t="s">
        <v>26</v>
      </c>
      <c r="P76" s="157">
        <v>10</v>
      </c>
      <c r="Q76" s="157"/>
      <c r="R76" s="157"/>
      <c r="S76" s="157"/>
      <c r="T76" s="157"/>
      <c r="U76" s="157"/>
      <c r="V76" s="157">
        <v>1</v>
      </c>
      <c r="W76" s="157">
        <f t="shared" si="13"/>
        <v>11</v>
      </c>
      <c r="X76" s="158">
        <f>SUMIFS('Đơn giá'!C:C,'Đơn giá'!B:B,XUẤT!O76)</f>
        <v>98000</v>
      </c>
      <c r="Y76" s="159">
        <f t="shared" si="17"/>
        <v>980000</v>
      </c>
      <c r="Z76" s="152" t="s">
        <v>680</v>
      </c>
      <c r="AA76" s="10" t="s">
        <v>235</v>
      </c>
      <c r="AB76" s="90">
        <f t="shared" si="19"/>
        <v>10</v>
      </c>
      <c r="AC76" s="91">
        <f t="shared" si="20"/>
        <v>50000</v>
      </c>
      <c r="AD76" s="255" t="s">
        <v>588</v>
      </c>
    </row>
    <row r="77" spans="1:30" s="160" customFormat="1" ht="45" customHeight="1" x14ac:dyDescent="0.3">
      <c r="A77" s="152">
        <v>3</v>
      </c>
      <c r="B77" s="153" t="s">
        <v>582</v>
      </c>
      <c r="C77" s="154" t="s">
        <v>587</v>
      </c>
      <c r="D77" s="155" t="s">
        <v>30</v>
      </c>
      <c r="E77" s="155" t="s">
        <v>424</v>
      </c>
      <c r="F77" s="155"/>
      <c r="G77" s="155">
        <v>11</v>
      </c>
      <c r="H77" s="155"/>
      <c r="I77" s="155">
        <f t="shared" si="16"/>
        <v>11</v>
      </c>
      <c r="J77" s="7" t="s">
        <v>235</v>
      </c>
      <c r="K77" s="152"/>
      <c r="L77" s="152" t="s">
        <v>491</v>
      </c>
      <c r="M77" s="152" t="s">
        <v>33</v>
      </c>
      <c r="N77" s="10" t="s">
        <v>171</v>
      </c>
      <c r="O77" s="154" t="s">
        <v>26</v>
      </c>
      <c r="P77" s="157">
        <v>10</v>
      </c>
      <c r="Q77" s="157"/>
      <c r="R77" s="157"/>
      <c r="S77" s="157"/>
      <c r="T77" s="157"/>
      <c r="U77" s="157"/>
      <c r="V77" s="157">
        <v>1</v>
      </c>
      <c r="W77" s="157">
        <f t="shared" si="13"/>
        <v>11</v>
      </c>
      <c r="X77" s="158">
        <f>SUMIFS('Đơn giá'!C:C,'Đơn giá'!B:B,XUẤT!O77)</f>
        <v>98000</v>
      </c>
      <c r="Y77" s="159">
        <f t="shared" si="17"/>
        <v>980000</v>
      </c>
      <c r="Z77" s="152" t="s">
        <v>602</v>
      </c>
      <c r="AA77" s="10" t="s">
        <v>235</v>
      </c>
      <c r="AB77" s="90">
        <f t="shared" si="19"/>
        <v>10</v>
      </c>
      <c r="AC77" s="91">
        <f t="shared" si="20"/>
        <v>50000</v>
      </c>
      <c r="AD77" s="157" t="s">
        <v>592</v>
      </c>
    </row>
    <row r="78" spans="1:30" s="160" customFormat="1" ht="45" customHeight="1" x14ac:dyDescent="0.3">
      <c r="A78" s="152">
        <v>4</v>
      </c>
      <c r="B78" s="153" t="s">
        <v>582</v>
      </c>
      <c r="C78" s="154" t="s">
        <v>457</v>
      </c>
      <c r="D78" s="155" t="s">
        <v>30</v>
      </c>
      <c r="E78" s="155" t="s">
        <v>424</v>
      </c>
      <c r="F78" s="155"/>
      <c r="G78" s="155">
        <v>11</v>
      </c>
      <c r="H78" s="155"/>
      <c r="I78" s="155">
        <f t="shared" si="16"/>
        <v>11</v>
      </c>
      <c r="J78" s="7" t="s">
        <v>235</v>
      </c>
      <c r="K78" s="152"/>
      <c r="L78" s="152" t="s">
        <v>491</v>
      </c>
      <c r="M78" s="152" t="s">
        <v>33</v>
      </c>
      <c r="N78" s="10" t="s">
        <v>193</v>
      </c>
      <c r="O78" s="154" t="s">
        <v>26</v>
      </c>
      <c r="P78" s="157">
        <v>10</v>
      </c>
      <c r="Q78" s="157"/>
      <c r="R78" s="157"/>
      <c r="S78" s="157"/>
      <c r="T78" s="157"/>
      <c r="U78" s="157"/>
      <c r="V78" s="157">
        <v>1</v>
      </c>
      <c r="W78" s="157">
        <f t="shared" si="13"/>
        <v>11</v>
      </c>
      <c r="X78" s="158">
        <f>SUMIFS('Đơn giá'!C:C,'Đơn giá'!B:B,XUẤT!O78)</f>
        <v>98000</v>
      </c>
      <c r="Y78" s="159">
        <f t="shared" si="17"/>
        <v>980000</v>
      </c>
      <c r="Z78" s="152" t="s">
        <v>602</v>
      </c>
      <c r="AA78" s="10" t="s">
        <v>235</v>
      </c>
      <c r="AB78" s="90">
        <f t="shared" si="19"/>
        <v>10</v>
      </c>
      <c r="AC78" s="91">
        <f t="shared" si="20"/>
        <v>50000</v>
      </c>
      <c r="AD78" s="157" t="s">
        <v>592</v>
      </c>
    </row>
    <row r="79" spans="1:30" s="160" customFormat="1" ht="45" customHeight="1" x14ac:dyDescent="0.3">
      <c r="A79" s="152">
        <v>5</v>
      </c>
      <c r="B79" s="153" t="s">
        <v>582</v>
      </c>
      <c r="C79" s="154" t="s">
        <v>591</v>
      </c>
      <c r="D79" s="155" t="s">
        <v>30</v>
      </c>
      <c r="E79" s="155" t="s">
        <v>424</v>
      </c>
      <c r="F79" s="155"/>
      <c r="G79" s="155">
        <v>11</v>
      </c>
      <c r="H79" s="155"/>
      <c r="I79" s="155">
        <f t="shared" si="16"/>
        <v>11</v>
      </c>
      <c r="J79" s="7" t="s">
        <v>235</v>
      </c>
      <c r="K79" s="152"/>
      <c r="L79" s="152" t="s">
        <v>491</v>
      </c>
      <c r="M79" s="152" t="s">
        <v>33</v>
      </c>
      <c r="N79" s="10" t="s">
        <v>312</v>
      </c>
      <c r="O79" s="154" t="s">
        <v>26</v>
      </c>
      <c r="P79" s="157">
        <v>10</v>
      </c>
      <c r="Q79" s="157"/>
      <c r="R79" s="157"/>
      <c r="S79" s="157"/>
      <c r="T79" s="157"/>
      <c r="U79" s="157"/>
      <c r="V79" s="157">
        <v>1</v>
      </c>
      <c r="W79" s="157">
        <f t="shared" si="13"/>
        <v>11</v>
      </c>
      <c r="X79" s="158">
        <v>98000</v>
      </c>
      <c r="Y79" s="159">
        <f t="shared" si="17"/>
        <v>980000</v>
      </c>
      <c r="Z79" s="152" t="s">
        <v>602</v>
      </c>
      <c r="AA79" s="10" t="s">
        <v>235</v>
      </c>
      <c r="AB79" s="90">
        <f t="shared" si="19"/>
        <v>10</v>
      </c>
      <c r="AC79" s="91">
        <f t="shared" si="20"/>
        <v>50000</v>
      </c>
      <c r="AD79" s="157" t="s">
        <v>592</v>
      </c>
    </row>
    <row r="80" spans="1:30" s="160" customFormat="1" ht="45" customHeight="1" x14ac:dyDescent="0.3">
      <c r="A80" s="152">
        <v>6</v>
      </c>
      <c r="B80" s="153" t="s">
        <v>582</v>
      </c>
      <c r="C80" s="154" t="s">
        <v>614</v>
      </c>
      <c r="D80" s="155" t="s">
        <v>30</v>
      </c>
      <c r="E80" s="155" t="s">
        <v>424</v>
      </c>
      <c r="F80" s="155"/>
      <c r="G80" s="155">
        <v>2</v>
      </c>
      <c r="H80" s="155"/>
      <c r="I80" s="155">
        <f t="shared" si="16"/>
        <v>2</v>
      </c>
      <c r="J80" s="7" t="s">
        <v>235</v>
      </c>
      <c r="K80" s="152"/>
      <c r="L80" s="152" t="s">
        <v>491</v>
      </c>
      <c r="M80" s="152" t="s">
        <v>33</v>
      </c>
      <c r="N80" s="7" t="s">
        <v>235</v>
      </c>
      <c r="O80" s="154" t="s">
        <v>26</v>
      </c>
      <c r="P80" s="157">
        <v>2</v>
      </c>
      <c r="Q80" s="157"/>
      <c r="R80" s="157"/>
      <c r="S80" s="157"/>
      <c r="T80" s="157"/>
      <c r="U80" s="157"/>
      <c r="V80" s="157"/>
      <c r="W80" s="157">
        <f t="shared" si="13"/>
        <v>2</v>
      </c>
      <c r="X80" s="158">
        <f>SUMIFS('Đơn giá'!C:C,'Đơn giá'!B:B,XUẤT!O80)</f>
        <v>98000</v>
      </c>
      <c r="Y80" s="159">
        <f t="shared" si="17"/>
        <v>196000</v>
      </c>
      <c r="Z80" s="152" t="s">
        <v>602</v>
      </c>
      <c r="AA80" s="10" t="s">
        <v>235</v>
      </c>
      <c r="AB80" s="90">
        <f t="shared" si="19"/>
        <v>2</v>
      </c>
      <c r="AC80" s="91">
        <f t="shared" si="20"/>
        <v>10000</v>
      </c>
      <c r="AD80" s="157" t="s">
        <v>592</v>
      </c>
    </row>
    <row r="81" spans="1:30" s="265" customFormat="1" ht="45" customHeight="1" x14ac:dyDescent="0.3">
      <c r="A81" s="232">
        <v>7</v>
      </c>
      <c r="B81" s="233" t="s">
        <v>582</v>
      </c>
      <c r="C81" s="270" t="s">
        <v>616</v>
      </c>
      <c r="D81" s="253" t="s">
        <v>30</v>
      </c>
      <c r="E81" s="253" t="s">
        <v>543</v>
      </c>
      <c r="F81" s="253"/>
      <c r="G81" s="253">
        <v>30</v>
      </c>
      <c r="H81" s="253"/>
      <c r="I81" s="253">
        <f t="shared" si="16"/>
        <v>30</v>
      </c>
      <c r="J81" s="264" t="s">
        <v>235</v>
      </c>
      <c r="K81" s="232"/>
      <c r="L81" s="232" t="s">
        <v>491</v>
      </c>
      <c r="M81" s="152" t="s">
        <v>33</v>
      </c>
      <c r="N81" s="208" t="s">
        <v>219</v>
      </c>
      <c r="O81" s="84" t="s">
        <v>26</v>
      </c>
      <c r="P81" s="235">
        <v>30</v>
      </c>
      <c r="Q81" s="235"/>
      <c r="R81" s="235"/>
      <c r="S81" s="235"/>
      <c r="T81" s="235"/>
      <c r="U81" s="235"/>
      <c r="V81" s="235"/>
      <c r="W81" s="235">
        <f t="shared" si="13"/>
        <v>30</v>
      </c>
      <c r="X81" s="236">
        <v>98000</v>
      </c>
      <c r="Y81" s="237">
        <f>P81*X81</f>
        <v>2940000</v>
      </c>
      <c r="Z81" s="232"/>
      <c r="AA81" s="208" t="s">
        <v>235</v>
      </c>
      <c r="AB81" s="90">
        <f t="shared" si="19"/>
        <v>30</v>
      </c>
      <c r="AC81" s="91">
        <f t="shared" si="20"/>
        <v>150000</v>
      </c>
      <c r="AD81" s="266"/>
    </row>
    <row r="82" spans="1:30" s="160" customFormat="1" ht="78" hidden="1" customHeight="1" x14ac:dyDescent="0.3">
      <c r="A82" s="152">
        <v>1</v>
      </c>
      <c r="B82" s="153" t="s">
        <v>593</v>
      </c>
      <c r="C82" s="270" t="s">
        <v>594</v>
      </c>
      <c r="D82" s="155" t="s">
        <v>30</v>
      </c>
      <c r="E82" s="155" t="s">
        <v>543</v>
      </c>
      <c r="F82" s="155"/>
      <c r="G82" s="155">
        <v>11</v>
      </c>
      <c r="H82" s="155"/>
      <c r="I82" s="155">
        <f t="shared" si="16"/>
        <v>11</v>
      </c>
      <c r="J82" s="152" t="s">
        <v>595</v>
      </c>
      <c r="K82" s="152"/>
      <c r="L82" s="152" t="s">
        <v>491</v>
      </c>
      <c r="M82" s="169" t="s">
        <v>46</v>
      </c>
      <c r="N82" s="163" t="s">
        <v>507</v>
      </c>
      <c r="O82" s="154" t="s">
        <v>26</v>
      </c>
      <c r="P82" s="157">
        <v>10</v>
      </c>
      <c r="Q82" s="157"/>
      <c r="R82" s="157"/>
      <c r="S82" s="157"/>
      <c r="T82" s="157"/>
      <c r="U82" s="157"/>
      <c r="V82" s="157">
        <v>1</v>
      </c>
      <c r="W82" s="157">
        <f t="shared" si="13"/>
        <v>11</v>
      </c>
      <c r="X82" s="158">
        <f>SUMIFS('Đơn giá'!C:C,'Đơn giá'!B:B,XUẤT!O82)</f>
        <v>98000</v>
      </c>
      <c r="Y82" s="159">
        <f t="shared" si="17"/>
        <v>980000</v>
      </c>
      <c r="Z82" s="152" t="s">
        <v>948</v>
      </c>
      <c r="AA82" s="10" t="s">
        <v>37</v>
      </c>
      <c r="AB82" s="90">
        <f t="shared" si="19"/>
        <v>10</v>
      </c>
      <c r="AC82" s="91">
        <f t="shared" si="20"/>
        <v>50000</v>
      </c>
      <c r="AD82" s="10" t="s">
        <v>37</v>
      </c>
    </row>
    <row r="83" spans="1:30" s="160" customFormat="1" ht="71.400000000000006" hidden="1" customHeight="1" x14ac:dyDescent="0.3">
      <c r="A83" s="152">
        <v>2</v>
      </c>
      <c r="B83" s="153" t="s">
        <v>593</v>
      </c>
      <c r="C83" s="154" t="s">
        <v>596</v>
      </c>
      <c r="D83" s="155" t="s">
        <v>30</v>
      </c>
      <c r="E83" s="155" t="s">
        <v>224</v>
      </c>
      <c r="F83" s="155"/>
      <c r="G83" s="155">
        <v>11</v>
      </c>
      <c r="H83" s="155"/>
      <c r="I83" s="155">
        <f t="shared" si="16"/>
        <v>11</v>
      </c>
      <c r="J83" s="152" t="s">
        <v>595</v>
      </c>
      <c r="K83" s="152"/>
      <c r="L83" s="152" t="s">
        <v>491</v>
      </c>
      <c r="M83" s="169" t="s">
        <v>46</v>
      </c>
      <c r="N83" s="163"/>
      <c r="O83" s="154" t="s">
        <v>26</v>
      </c>
      <c r="P83" s="157">
        <v>10</v>
      </c>
      <c r="Q83" s="157"/>
      <c r="R83" s="157"/>
      <c r="S83" s="157"/>
      <c r="T83" s="157"/>
      <c r="U83" s="157"/>
      <c r="V83" s="157">
        <v>1</v>
      </c>
      <c r="W83" s="157">
        <f t="shared" si="13"/>
        <v>11</v>
      </c>
      <c r="X83" s="158">
        <f>SUMIFS('Đơn giá'!C:C,'Đơn giá'!B:B,XUẤT!O83)</f>
        <v>98000</v>
      </c>
      <c r="Y83" s="159">
        <f t="shared" si="17"/>
        <v>980000</v>
      </c>
      <c r="Z83" s="232" t="s">
        <v>681</v>
      </c>
      <c r="AA83" s="152"/>
      <c r="AB83" s="90">
        <f t="shared" si="19"/>
        <v>10</v>
      </c>
      <c r="AC83" s="91">
        <f t="shared" si="20"/>
        <v>50000</v>
      </c>
      <c r="AD83" s="157"/>
    </row>
    <row r="84" spans="1:30" s="160" customFormat="1" ht="71.400000000000006" hidden="1" customHeight="1" x14ac:dyDescent="0.3">
      <c r="A84" s="152">
        <v>3</v>
      </c>
      <c r="B84" s="153" t="s">
        <v>593</v>
      </c>
      <c r="C84" s="154" t="s">
        <v>597</v>
      </c>
      <c r="D84" s="155" t="s">
        <v>30</v>
      </c>
      <c r="E84" s="155" t="s">
        <v>543</v>
      </c>
      <c r="F84" s="155"/>
      <c r="G84" s="155">
        <v>11</v>
      </c>
      <c r="H84" s="155"/>
      <c r="I84" s="155">
        <f t="shared" si="16"/>
        <v>11</v>
      </c>
      <c r="J84" s="152" t="s">
        <v>595</v>
      </c>
      <c r="K84" s="152"/>
      <c r="L84" s="152" t="s">
        <v>491</v>
      </c>
      <c r="M84" s="169" t="s">
        <v>50</v>
      </c>
      <c r="N84" s="163"/>
      <c r="O84" s="154" t="s">
        <v>35</v>
      </c>
      <c r="P84" s="157">
        <v>10</v>
      </c>
      <c r="Q84" s="157"/>
      <c r="R84" s="157"/>
      <c r="S84" s="157"/>
      <c r="T84" s="157"/>
      <c r="U84" s="157"/>
      <c r="V84" s="157">
        <v>1</v>
      </c>
      <c r="W84" s="157">
        <f t="shared" si="13"/>
        <v>11</v>
      </c>
      <c r="X84" s="158">
        <f>SUMIFS('Đơn giá'!C:C,'Đơn giá'!B:B,XUẤT!O84)</f>
        <v>106000</v>
      </c>
      <c r="Y84" s="159">
        <f t="shared" si="17"/>
        <v>1060000</v>
      </c>
      <c r="Z84" s="152"/>
      <c r="AA84" s="152"/>
      <c r="AB84" s="90">
        <f t="shared" si="19"/>
        <v>10</v>
      </c>
      <c r="AC84" s="91">
        <f t="shared" si="20"/>
        <v>50000</v>
      </c>
      <c r="AD84" s="157"/>
    </row>
    <row r="85" spans="1:30" s="160" customFormat="1" ht="45" customHeight="1" x14ac:dyDescent="0.3">
      <c r="A85" s="152">
        <v>4</v>
      </c>
      <c r="B85" s="153" t="s">
        <v>593</v>
      </c>
      <c r="C85" s="154" t="s">
        <v>598</v>
      </c>
      <c r="D85" s="155" t="s">
        <v>30</v>
      </c>
      <c r="E85" s="155" t="s">
        <v>577</v>
      </c>
      <c r="F85" s="155"/>
      <c r="G85" s="155">
        <v>7</v>
      </c>
      <c r="H85" s="155"/>
      <c r="I85" s="155">
        <f t="shared" si="16"/>
        <v>7</v>
      </c>
      <c r="J85" s="36" t="s">
        <v>136</v>
      </c>
      <c r="K85" s="152"/>
      <c r="L85" s="152" t="s">
        <v>491</v>
      </c>
      <c r="M85" s="152" t="s">
        <v>33</v>
      </c>
      <c r="N85" s="10" t="s">
        <v>136</v>
      </c>
      <c r="O85" s="154" t="s">
        <v>26</v>
      </c>
      <c r="P85" s="157">
        <v>7</v>
      </c>
      <c r="Q85" s="157"/>
      <c r="R85" s="157"/>
      <c r="S85" s="157"/>
      <c r="T85" s="157"/>
      <c r="U85" s="157"/>
      <c r="V85" s="157"/>
      <c r="W85" s="157">
        <f t="shared" si="13"/>
        <v>7</v>
      </c>
      <c r="X85" s="158">
        <f>SUMIFS('Đơn giá'!C:C,'Đơn giá'!B:B,XUẤT!O85)</f>
        <v>98000</v>
      </c>
      <c r="Y85" s="159">
        <f t="shared" si="17"/>
        <v>686000</v>
      </c>
      <c r="Z85" s="152" t="s">
        <v>798</v>
      </c>
      <c r="AA85" s="10" t="s">
        <v>136</v>
      </c>
      <c r="AB85" s="157">
        <f t="shared" si="19"/>
        <v>7</v>
      </c>
      <c r="AC85" s="158">
        <f t="shared" si="20"/>
        <v>35000</v>
      </c>
      <c r="AD85" s="157"/>
    </row>
    <row r="86" spans="1:30" s="160" customFormat="1" ht="79.8" hidden="1" customHeight="1" x14ac:dyDescent="0.3">
      <c r="A86" s="152">
        <v>5</v>
      </c>
      <c r="B86" s="153" t="s">
        <v>593</v>
      </c>
      <c r="C86" s="154" t="s">
        <v>601</v>
      </c>
      <c r="D86" s="155" t="s">
        <v>30</v>
      </c>
      <c r="E86" s="155" t="s">
        <v>543</v>
      </c>
      <c r="F86" s="155"/>
      <c r="G86" s="155">
        <v>11</v>
      </c>
      <c r="H86" s="155"/>
      <c r="I86" s="155">
        <f t="shared" si="16"/>
        <v>11</v>
      </c>
      <c r="J86" s="152" t="s">
        <v>595</v>
      </c>
      <c r="K86" s="152"/>
      <c r="L86" s="152" t="s">
        <v>491</v>
      </c>
      <c r="M86" s="169" t="s">
        <v>72</v>
      </c>
      <c r="N86" s="163"/>
      <c r="O86" s="154" t="s">
        <v>26</v>
      </c>
      <c r="P86" s="157">
        <v>10</v>
      </c>
      <c r="Q86" s="157"/>
      <c r="R86" s="157"/>
      <c r="S86" s="157"/>
      <c r="T86" s="157"/>
      <c r="U86" s="157"/>
      <c r="V86" s="157">
        <v>1</v>
      </c>
      <c r="W86" s="157">
        <f t="shared" si="13"/>
        <v>11</v>
      </c>
      <c r="X86" s="158">
        <f>SUMIFS('Đơn giá'!C:C,'Đơn giá'!B:B,XUẤT!O86)</f>
        <v>98000</v>
      </c>
      <c r="Y86" s="159">
        <f t="shared" si="17"/>
        <v>980000</v>
      </c>
      <c r="Z86" s="152"/>
      <c r="AA86" s="10" t="s">
        <v>37</v>
      </c>
      <c r="AB86" s="90">
        <f t="shared" si="19"/>
        <v>10</v>
      </c>
      <c r="AC86" s="91">
        <f t="shared" si="20"/>
        <v>50000</v>
      </c>
      <c r="AD86" s="157" t="s">
        <v>599</v>
      </c>
    </row>
    <row r="87" spans="1:30" s="160" customFormat="1" ht="69" customHeight="1" x14ac:dyDescent="0.3">
      <c r="A87" s="152">
        <v>6</v>
      </c>
      <c r="B87" s="153" t="s">
        <v>593</v>
      </c>
      <c r="C87" s="154" t="s">
        <v>600</v>
      </c>
      <c r="D87" s="155" t="s">
        <v>30</v>
      </c>
      <c r="E87" s="155" t="s">
        <v>543</v>
      </c>
      <c r="F87" s="155"/>
      <c r="G87" s="155">
        <v>11</v>
      </c>
      <c r="H87" s="155"/>
      <c r="I87" s="155">
        <f t="shared" si="16"/>
        <v>11</v>
      </c>
      <c r="J87" s="152" t="s">
        <v>595</v>
      </c>
      <c r="K87" s="152"/>
      <c r="L87" s="152" t="s">
        <v>491</v>
      </c>
      <c r="M87" s="152" t="s">
        <v>33</v>
      </c>
      <c r="N87" s="10" t="s">
        <v>312</v>
      </c>
      <c r="O87" s="154" t="s">
        <v>26</v>
      </c>
      <c r="P87" s="157">
        <v>10</v>
      </c>
      <c r="Q87" s="157"/>
      <c r="R87" s="157"/>
      <c r="S87" s="157"/>
      <c r="T87" s="157"/>
      <c r="U87" s="157"/>
      <c r="V87" s="157">
        <v>1</v>
      </c>
      <c r="W87" s="157">
        <f t="shared" si="13"/>
        <v>11</v>
      </c>
      <c r="X87" s="158">
        <f>SUMIFS('Đơn giá'!C:C,'Đơn giá'!B:B,XUẤT!O87)</f>
        <v>98000</v>
      </c>
      <c r="Y87" s="159">
        <f t="shared" si="17"/>
        <v>980000</v>
      </c>
      <c r="Z87" s="152"/>
      <c r="AA87" s="152" t="s">
        <v>990</v>
      </c>
      <c r="AB87" s="90">
        <f t="shared" si="19"/>
        <v>10</v>
      </c>
      <c r="AC87" s="91">
        <f t="shared" si="20"/>
        <v>50000</v>
      </c>
      <c r="AD87" s="157"/>
    </row>
    <row r="88" spans="1:30" s="160" customFormat="1" ht="148.80000000000001" hidden="1" customHeight="1" x14ac:dyDescent="0.3">
      <c r="A88" s="152">
        <v>7</v>
      </c>
      <c r="B88" s="153" t="s">
        <v>593</v>
      </c>
      <c r="C88" s="154" t="s">
        <v>605</v>
      </c>
      <c r="D88" s="155" t="s">
        <v>30</v>
      </c>
      <c r="E88" s="155" t="s">
        <v>543</v>
      </c>
      <c r="F88" s="155"/>
      <c r="G88" s="155"/>
      <c r="H88" s="155">
        <v>10</v>
      </c>
      <c r="I88" s="155">
        <f t="shared" si="16"/>
        <v>10</v>
      </c>
      <c r="J88" s="152" t="s">
        <v>595</v>
      </c>
      <c r="K88" s="152"/>
      <c r="L88" s="152" t="s">
        <v>491</v>
      </c>
      <c r="M88" s="169" t="s">
        <v>46</v>
      </c>
      <c r="N88" s="163" t="s">
        <v>604</v>
      </c>
      <c r="O88" s="154" t="s">
        <v>39</v>
      </c>
      <c r="P88" s="157"/>
      <c r="Q88" s="157"/>
      <c r="R88" s="157"/>
      <c r="S88" s="157"/>
      <c r="T88" s="157">
        <v>10</v>
      </c>
      <c r="U88" s="157"/>
      <c r="V88" s="157"/>
      <c r="W88" s="157">
        <f t="shared" si="13"/>
        <v>10</v>
      </c>
      <c r="X88" s="158">
        <v>52000</v>
      </c>
      <c r="Y88" s="159">
        <f>T88*X88</f>
        <v>520000</v>
      </c>
      <c r="Z88" s="232" t="s">
        <v>633</v>
      </c>
      <c r="AA88" s="152" t="s">
        <v>990</v>
      </c>
      <c r="AB88" s="90">
        <f t="shared" si="19"/>
        <v>10</v>
      </c>
      <c r="AC88" s="91">
        <f t="shared" si="20"/>
        <v>50000</v>
      </c>
      <c r="AD88" s="157"/>
    </row>
    <row r="89" spans="1:30" s="160" customFormat="1" ht="71.400000000000006" hidden="1" customHeight="1" x14ac:dyDescent="0.3">
      <c r="A89" s="398">
        <v>8</v>
      </c>
      <c r="B89" s="411" t="s">
        <v>593</v>
      </c>
      <c r="C89" s="400" t="s">
        <v>860</v>
      </c>
      <c r="D89" s="395" t="s">
        <v>30</v>
      </c>
      <c r="E89" s="395" t="s">
        <v>536</v>
      </c>
      <c r="F89" s="155"/>
      <c r="G89" s="155"/>
      <c r="H89" s="155">
        <v>15</v>
      </c>
      <c r="I89" s="155">
        <f t="shared" si="16"/>
        <v>15</v>
      </c>
      <c r="J89" s="152"/>
      <c r="K89" s="152"/>
      <c r="L89" s="152" t="s">
        <v>491</v>
      </c>
      <c r="M89" s="169" t="s">
        <v>46</v>
      </c>
      <c r="N89" s="163" t="s">
        <v>606</v>
      </c>
      <c r="O89" s="154" t="s">
        <v>39</v>
      </c>
      <c r="P89" s="157"/>
      <c r="Q89" s="157"/>
      <c r="R89" s="157"/>
      <c r="S89" s="157"/>
      <c r="T89" s="157">
        <v>14</v>
      </c>
      <c r="U89" s="157"/>
      <c r="V89" s="157">
        <v>1</v>
      </c>
      <c r="W89" s="157">
        <f t="shared" si="13"/>
        <v>15</v>
      </c>
      <c r="X89" s="158">
        <f>SUMIFS('Đơn giá'!C:C,'Đơn giá'!B:B,XUẤT!O89)</f>
        <v>52000</v>
      </c>
      <c r="Y89" s="159">
        <f>T89*X89</f>
        <v>728000</v>
      </c>
      <c r="Z89" s="232" t="s">
        <v>848</v>
      </c>
      <c r="AA89" s="152"/>
      <c r="AB89" s="90">
        <f t="shared" si="19"/>
        <v>14</v>
      </c>
      <c r="AC89" s="91">
        <f t="shared" si="20"/>
        <v>70000</v>
      </c>
      <c r="AD89" s="157"/>
    </row>
    <row r="90" spans="1:30" s="160" customFormat="1" ht="33" hidden="1" customHeight="1" x14ac:dyDescent="0.3">
      <c r="A90" s="399"/>
      <c r="B90" s="413"/>
      <c r="C90" s="401"/>
      <c r="D90" s="397"/>
      <c r="E90" s="397"/>
      <c r="F90" s="155"/>
      <c r="G90" s="155">
        <v>2</v>
      </c>
      <c r="H90" s="155"/>
      <c r="I90" s="155">
        <f t="shared" si="16"/>
        <v>2</v>
      </c>
      <c r="J90" s="152"/>
      <c r="K90" s="152"/>
      <c r="L90" s="152" t="s">
        <v>491</v>
      </c>
      <c r="M90" s="169" t="s">
        <v>46</v>
      </c>
      <c r="N90" s="163" t="s">
        <v>606</v>
      </c>
      <c r="O90" s="154" t="s">
        <v>29</v>
      </c>
      <c r="P90" s="157"/>
      <c r="Q90" s="157"/>
      <c r="R90" s="157"/>
      <c r="S90" s="157">
        <v>2</v>
      </c>
      <c r="T90" s="157"/>
      <c r="U90" s="157"/>
      <c r="V90" s="157"/>
      <c r="W90" s="157">
        <f t="shared" si="13"/>
        <v>2</v>
      </c>
      <c r="X90" s="158">
        <f>SUMIFS('Đơn giá'!C:C,'Đơn giá'!B:B,XUẤT!O90)</f>
        <v>85000</v>
      </c>
      <c r="Y90" s="159">
        <f>S90*X90</f>
        <v>170000</v>
      </c>
      <c r="Z90" s="232" t="s">
        <v>848</v>
      </c>
      <c r="AA90" s="152"/>
      <c r="AB90" s="90">
        <f t="shared" si="19"/>
        <v>2</v>
      </c>
      <c r="AC90" s="91">
        <f t="shared" si="20"/>
        <v>10000</v>
      </c>
      <c r="AD90" s="157"/>
    </row>
    <row r="91" spans="1:30" s="160" customFormat="1" ht="57" hidden="1" customHeight="1" x14ac:dyDescent="0.3">
      <c r="A91" s="152">
        <v>9</v>
      </c>
      <c r="B91" s="153" t="s">
        <v>593</v>
      </c>
      <c r="C91" s="154" t="s">
        <v>607</v>
      </c>
      <c r="D91" s="155" t="s">
        <v>30</v>
      </c>
      <c r="E91" s="155" t="s">
        <v>224</v>
      </c>
      <c r="F91" s="155"/>
      <c r="G91" s="155">
        <v>5</v>
      </c>
      <c r="H91" s="155"/>
      <c r="I91" s="155">
        <f t="shared" si="16"/>
        <v>5</v>
      </c>
      <c r="J91" s="152" t="s">
        <v>595</v>
      </c>
      <c r="K91" s="152"/>
      <c r="L91" s="152" t="s">
        <v>491</v>
      </c>
      <c r="M91" s="169" t="s">
        <v>46</v>
      </c>
      <c r="N91" s="163" t="s">
        <v>608</v>
      </c>
      <c r="O91" s="154" t="s">
        <v>26</v>
      </c>
      <c r="P91" s="157">
        <v>5</v>
      </c>
      <c r="Q91" s="157"/>
      <c r="R91" s="157"/>
      <c r="S91" s="157"/>
      <c r="T91" s="157"/>
      <c r="U91" s="157"/>
      <c r="V91" s="157"/>
      <c r="W91" s="157">
        <f t="shared" si="13"/>
        <v>5</v>
      </c>
      <c r="X91" s="158">
        <f>SUMIFS('Đơn giá'!C:C,'Đơn giá'!B:B,XUẤT!O91)</f>
        <v>98000</v>
      </c>
      <c r="Y91" s="159">
        <f t="shared" si="17"/>
        <v>490000</v>
      </c>
      <c r="Z91" s="232" t="s">
        <v>681</v>
      </c>
      <c r="AA91" s="10" t="s">
        <v>37</v>
      </c>
      <c r="AB91" s="90">
        <f t="shared" si="19"/>
        <v>5</v>
      </c>
      <c r="AC91" s="91">
        <f t="shared" si="20"/>
        <v>25000</v>
      </c>
      <c r="AD91" s="157"/>
    </row>
    <row r="92" spans="1:30" s="160" customFormat="1" ht="37.799999999999997" customHeight="1" x14ac:dyDescent="0.3">
      <c r="A92" s="152">
        <v>10</v>
      </c>
      <c r="B92" s="153" t="s">
        <v>593</v>
      </c>
      <c r="C92" s="270" t="s">
        <v>886</v>
      </c>
      <c r="D92" s="155" t="s">
        <v>30</v>
      </c>
      <c r="E92" s="155" t="s">
        <v>536</v>
      </c>
      <c r="F92" s="155"/>
      <c r="G92" s="155">
        <v>40</v>
      </c>
      <c r="H92" s="155"/>
      <c r="I92" s="155">
        <f t="shared" si="16"/>
        <v>40</v>
      </c>
      <c r="J92" s="152" t="s">
        <v>887</v>
      </c>
      <c r="K92" s="152"/>
      <c r="L92" s="152" t="s">
        <v>491</v>
      </c>
      <c r="M92" s="152" t="s">
        <v>33</v>
      </c>
      <c r="N92" s="34" t="s">
        <v>201</v>
      </c>
      <c r="O92" s="154" t="s">
        <v>26</v>
      </c>
      <c r="P92" s="157">
        <v>40</v>
      </c>
      <c r="Q92" s="157"/>
      <c r="R92" s="157"/>
      <c r="S92" s="157"/>
      <c r="T92" s="157"/>
      <c r="U92" s="157"/>
      <c r="V92" s="157"/>
      <c r="W92" s="157">
        <f t="shared" si="13"/>
        <v>40</v>
      </c>
      <c r="X92" s="158">
        <f>SUMIFS('Đơn giá'!C:C,'Đơn giá'!B:B,XUẤT!O92)</f>
        <v>98000</v>
      </c>
      <c r="Y92" s="159">
        <f t="shared" si="17"/>
        <v>3920000</v>
      </c>
      <c r="Z92" s="232" t="s">
        <v>885</v>
      </c>
      <c r="AA92" s="34" t="s">
        <v>201</v>
      </c>
      <c r="AB92" s="90">
        <f t="shared" si="19"/>
        <v>40</v>
      </c>
      <c r="AC92" s="91">
        <f t="shared" si="20"/>
        <v>200000</v>
      </c>
      <c r="AD92" s="157" t="s">
        <v>888</v>
      </c>
    </row>
    <row r="93" spans="1:30" s="160" customFormat="1" ht="32.4" customHeight="1" x14ac:dyDescent="0.3">
      <c r="A93" s="152">
        <v>11</v>
      </c>
      <c r="B93" s="153" t="s">
        <v>593</v>
      </c>
      <c r="C93" s="154" t="s">
        <v>614</v>
      </c>
      <c r="D93" s="155" t="s">
        <v>30</v>
      </c>
      <c r="E93" s="155" t="s">
        <v>543</v>
      </c>
      <c r="F93" s="155"/>
      <c r="G93" s="155">
        <v>5</v>
      </c>
      <c r="H93" s="155"/>
      <c r="I93" s="155">
        <f t="shared" si="16"/>
        <v>5</v>
      </c>
      <c r="J93" s="152" t="s">
        <v>615</v>
      </c>
      <c r="K93" s="152"/>
      <c r="L93" s="152" t="s">
        <v>491</v>
      </c>
      <c r="M93" s="152" t="s">
        <v>33</v>
      </c>
      <c r="N93" s="10" t="s">
        <v>235</v>
      </c>
      <c r="O93" s="154" t="s">
        <v>26</v>
      </c>
      <c r="P93" s="157">
        <v>5</v>
      </c>
      <c r="Q93" s="157"/>
      <c r="R93" s="157"/>
      <c r="S93" s="157"/>
      <c r="T93" s="157"/>
      <c r="U93" s="157"/>
      <c r="V93" s="157"/>
      <c r="W93" s="157">
        <f t="shared" si="13"/>
        <v>5</v>
      </c>
      <c r="X93" s="158">
        <f>SUMIFS('Đơn giá'!C:C,'Đơn giá'!B:B,XUẤT!O93)</f>
        <v>98000</v>
      </c>
      <c r="Y93" s="159">
        <f t="shared" si="17"/>
        <v>490000</v>
      </c>
      <c r="Z93" s="152" t="s">
        <v>674</v>
      </c>
      <c r="AA93" s="10" t="s">
        <v>235</v>
      </c>
      <c r="AB93" s="90">
        <f t="shared" si="19"/>
        <v>5</v>
      </c>
      <c r="AC93" s="91">
        <f t="shared" si="20"/>
        <v>25000</v>
      </c>
      <c r="AD93" s="157"/>
    </row>
    <row r="94" spans="1:30" s="160" customFormat="1" ht="116.4" hidden="1" customHeight="1" x14ac:dyDescent="0.3">
      <c r="A94" s="152">
        <v>1</v>
      </c>
      <c r="B94" s="153" t="s">
        <v>617</v>
      </c>
      <c r="C94" s="154" t="s">
        <v>620</v>
      </c>
      <c r="D94" s="155" t="s">
        <v>30</v>
      </c>
      <c r="E94" s="155" t="s">
        <v>543</v>
      </c>
      <c r="F94" s="155"/>
      <c r="G94" s="155"/>
      <c r="H94" s="155">
        <v>2</v>
      </c>
      <c r="I94" s="155">
        <f t="shared" si="16"/>
        <v>2</v>
      </c>
      <c r="J94" s="152" t="s">
        <v>595</v>
      </c>
      <c r="K94" s="152" t="s">
        <v>524</v>
      </c>
      <c r="L94" s="152"/>
      <c r="M94" s="169" t="s">
        <v>46</v>
      </c>
      <c r="N94" s="163" t="s">
        <v>621</v>
      </c>
      <c r="O94" s="154" t="s">
        <v>39</v>
      </c>
      <c r="P94" s="157"/>
      <c r="Q94" s="157"/>
      <c r="R94" s="157"/>
      <c r="S94" s="157"/>
      <c r="T94" s="157">
        <v>2</v>
      </c>
      <c r="U94" s="157"/>
      <c r="V94" s="157"/>
      <c r="W94" s="157">
        <f t="shared" si="13"/>
        <v>2</v>
      </c>
      <c r="X94" s="158">
        <f>SUMIFS('Đơn giá'!C:C,'Đơn giá'!B:B,XUẤT!O94)</f>
        <v>52000</v>
      </c>
      <c r="Y94" s="159">
        <f>T94*X94</f>
        <v>104000</v>
      </c>
      <c r="Z94" s="232" t="s">
        <v>825</v>
      </c>
      <c r="AA94" s="152" t="s">
        <v>990</v>
      </c>
      <c r="AB94" s="90">
        <f t="shared" si="19"/>
        <v>2</v>
      </c>
      <c r="AC94" s="91">
        <f t="shared" si="20"/>
        <v>10000</v>
      </c>
      <c r="AD94" s="157"/>
    </row>
    <row r="95" spans="1:30" s="160" customFormat="1" ht="46.8" customHeight="1" x14ac:dyDescent="0.3">
      <c r="A95" s="398">
        <v>2</v>
      </c>
      <c r="B95" s="411" t="s">
        <v>617</v>
      </c>
      <c r="C95" s="419" t="s">
        <v>618</v>
      </c>
      <c r="D95" s="155" t="s">
        <v>30</v>
      </c>
      <c r="E95" s="155" t="s">
        <v>543</v>
      </c>
      <c r="F95" s="155"/>
      <c r="G95" s="155"/>
      <c r="H95" s="155">
        <v>2</v>
      </c>
      <c r="I95" s="155">
        <f t="shared" si="16"/>
        <v>2</v>
      </c>
      <c r="J95" s="152" t="s">
        <v>595</v>
      </c>
      <c r="K95" s="152"/>
      <c r="L95" s="152" t="s">
        <v>491</v>
      </c>
      <c r="M95" s="152" t="s">
        <v>33</v>
      </c>
      <c r="N95" s="7" t="s">
        <v>214</v>
      </c>
      <c r="O95" s="154" t="s">
        <v>39</v>
      </c>
      <c r="P95" s="157"/>
      <c r="Q95" s="157"/>
      <c r="R95" s="157"/>
      <c r="S95" s="157"/>
      <c r="T95" s="157">
        <v>2</v>
      </c>
      <c r="U95" s="157"/>
      <c r="V95" s="157"/>
      <c r="W95" s="157">
        <f t="shared" si="13"/>
        <v>2</v>
      </c>
      <c r="X95" s="158">
        <f>SUMIFS('Đơn giá'!C:C,'Đơn giá'!B:B,XUẤT!O95)</f>
        <v>52000</v>
      </c>
      <c r="Y95" s="339">
        <f t="shared" ref="Y95" si="21">T95*X95</f>
        <v>104000</v>
      </c>
      <c r="Z95" s="232" t="s">
        <v>848</v>
      </c>
      <c r="AA95" s="152" t="s">
        <v>990</v>
      </c>
      <c r="AB95" s="90">
        <f t="shared" si="19"/>
        <v>2</v>
      </c>
      <c r="AC95" s="91">
        <f t="shared" si="20"/>
        <v>10000</v>
      </c>
      <c r="AD95" s="157"/>
    </row>
    <row r="96" spans="1:30" s="160" customFormat="1" ht="76.2" customHeight="1" x14ac:dyDescent="0.3">
      <c r="A96" s="399"/>
      <c r="B96" s="413"/>
      <c r="C96" s="420"/>
      <c r="D96" s="155" t="s">
        <v>30</v>
      </c>
      <c r="E96" s="155" t="s">
        <v>543</v>
      </c>
      <c r="F96" s="155"/>
      <c r="G96" s="155">
        <v>2</v>
      </c>
      <c r="H96" s="155"/>
      <c r="I96" s="155">
        <f t="shared" si="16"/>
        <v>2</v>
      </c>
      <c r="J96" s="152" t="s">
        <v>595</v>
      </c>
      <c r="K96" s="152"/>
      <c r="L96" s="152" t="s">
        <v>491</v>
      </c>
      <c r="M96" s="152" t="s">
        <v>33</v>
      </c>
      <c r="N96" s="7" t="s">
        <v>214</v>
      </c>
      <c r="O96" s="154" t="s">
        <v>29</v>
      </c>
      <c r="P96" s="157"/>
      <c r="Q96" s="157">
        <v>2</v>
      </c>
      <c r="R96" s="157"/>
      <c r="S96" s="157"/>
      <c r="T96" s="157"/>
      <c r="U96" s="157"/>
      <c r="V96" s="157"/>
      <c r="W96" s="157">
        <f t="shared" si="13"/>
        <v>2</v>
      </c>
      <c r="X96" s="158">
        <f>SUMIFS('Đơn giá'!C:C,'Đơn giá'!B:B,XUẤT!O96)</f>
        <v>85000</v>
      </c>
      <c r="Y96" s="339">
        <f>Q96*X96</f>
        <v>170000</v>
      </c>
      <c r="Z96" s="232" t="s">
        <v>848</v>
      </c>
      <c r="AA96" s="152" t="s">
        <v>990</v>
      </c>
      <c r="AB96" s="90">
        <f t="shared" si="19"/>
        <v>2</v>
      </c>
      <c r="AC96" s="91">
        <f t="shared" si="20"/>
        <v>10000</v>
      </c>
      <c r="AD96" s="267" t="s">
        <v>619</v>
      </c>
    </row>
    <row r="97" spans="1:30" s="160" customFormat="1" ht="55.2" customHeight="1" x14ac:dyDescent="0.3">
      <c r="A97" s="398">
        <v>3</v>
      </c>
      <c r="B97" s="411" t="s">
        <v>617</v>
      </c>
      <c r="C97" s="421" t="s">
        <v>626</v>
      </c>
      <c r="D97" s="155" t="s">
        <v>30</v>
      </c>
      <c r="E97" s="155" t="s">
        <v>424</v>
      </c>
      <c r="F97" s="155"/>
      <c r="G97" s="155">
        <v>22</v>
      </c>
      <c r="H97" s="155"/>
      <c r="I97" s="155">
        <f t="shared" si="16"/>
        <v>22</v>
      </c>
      <c r="J97" s="152" t="s">
        <v>595</v>
      </c>
      <c r="K97" s="152" t="s">
        <v>524</v>
      </c>
      <c r="L97" s="152"/>
      <c r="M97" s="152" t="s">
        <v>33</v>
      </c>
      <c r="N97" s="212" t="s">
        <v>103</v>
      </c>
      <c r="O97" s="154" t="s">
        <v>26</v>
      </c>
      <c r="P97" s="157">
        <v>20</v>
      </c>
      <c r="Q97" s="157"/>
      <c r="R97" s="157"/>
      <c r="S97" s="157"/>
      <c r="T97" s="157"/>
      <c r="U97" s="157"/>
      <c r="V97" s="157">
        <v>2</v>
      </c>
      <c r="W97" s="157">
        <f t="shared" si="13"/>
        <v>22</v>
      </c>
      <c r="X97" s="158">
        <f>SUMIFS('Đơn giá'!C:C,'Đơn giá'!B:B,XUẤT!O97)</f>
        <v>98000</v>
      </c>
      <c r="Y97" s="159">
        <f t="shared" si="17"/>
        <v>1960000</v>
      </c>
      <c r="Z97" s="232"/>
      <c r="AA97" s="10" t="s">
        <v>37</v>
      </c>
      <c r="AB97" s="90">
        <f t="shared" si="19"/>
        <v>20</v>
      </c>
      <c r="AC97" s="91">
        <f t="shared" si="20"/>
        <v>100000</v>
      </c>
      <c r="AD97" s="157"/>
    </row>
    <row r="98" spans="1:30" s="160" customFormat="1" ht="55.2" customHeight="1" x14ac:dyDescent="0.3">
      <c r="A98" s="399"/>
      <c r="B98" s="413"/>
      <c r="C98" s="422"/>
      <c r="D98" s="155" t="s">
        <v>30</v>
      </c>
      <c r="E98" s="155" t="s">
        <v>543</v>
      </c>
      <c r="F98" s="155"/>
      <c r="G98" s="155"/>
      <c r="H98" s="155">
        <v>4</v>
      </c>
      <c r="I98" s="155">
        <f t="shared" si="16"/>
        <v>4</v>
      </c>
      <c r="J98" s="152" t="s">
        <v>595</v>
      </c>
      <c r="K98" s="152"/>
      <c r="L98" s="152"/>
      <c r="M98" s="152" t="s">
        <v>33</v>
      </c>
      <c r="N98" s="10" t="s">
        <v>103</v>
      </c>
      <c r="O98" s="154" t="s">
        <v>42</v>
      </c>
      <c r="P98" s="157"/>
      <c r="Q98" s="157"/>
      <c r="R98" s="157"/>
      <c r="S98" s="157"/>
      <c r="T98" s="157"/>
      <c r="U98" s="157">
        <v>4</v>
      </c>
      <c r="V98" s="157"/>
      <c r="W98" s="157">
        <f t="shared" si="13"/>
        <v>4</v>
      </c>
      <c r="X98" s="158">
        <f>SUMIFS('Đơn giá'!C:C,'Đơn giá'!B:B,XUẤT!O98)</f>
        <v>48000</v>
      </c>
      <c r="Y98" s="159">
        <f>U98*X98</f>
        <v>192000</v>
      </c>
      <c r="Z98" s="232"/>
      <c r="AA98" s="10" t="s">
        <v>37</v>
      </c>
      <c r="AB98" s="90">
        <f t="shared" si="19"/>
        <v>4</v>
      </c>
      <c r="AC98" s="91">
        <f t="shared" si="20"/>
        <v>20000</v>
      </c>
      <c r="AD98" s="157"/>
    </row>
    <row r="99" spans="1:30" s="160" customFormat="1" ht="55.2" customHeight="1" x14ac:dyDescent="0.3">
      <c r="A99" s="398">
        <v>4</v>
      </c>
      <c r="B99" s="411" t="s">
        <v>617</v>
      </c>
      <c r="C99" s="400" t="s">
        <v>780</v>
      </c>
      <c r="D99" s="155" t="s">
        <v>30</v>
      </c>
      <c r="E99" s="155" t="s">
        <v>622</v>
      </c>
      <c r="F99" s="155"/>
      <c r="G99" s="155">
        <v>11</v>
      </c>
      <c r="H99" s="155"/>
      <c r="I99" s="155">
        <f t="shared" si="16"/>
        <v>11</v>
      </c>
      <c r="J99" s="152" t="s">
        <v>623</v>
      </c>
      <c r="K99" s="152"/>
      <c r="L99" s="152"/>
      <c r="M99" s="152" t="s">
        <v>33</v>
      </c>
      <c r="N99" s="10" t="s">
        <v>220</v>
      </c>
      <c r="O99" s="154" t="s">
        <v>26</v>
      </c>
      <c r="P99" s="157">
        <v>10</v>
      </c>
      <c r="Q99" s="157"/>
      <c r="R99" s="157"/>
      <c r="S99" s="157"/>
      <c r="T99" s="157"/>
      <c r="U99" s="157"/>
      <c r="V99" s="157">
        <v>1</v>
      </c>
      <c r="W99" s="157">
        <f t="shared" si="13"/>
        <v>11</v>
      </c>
      <c r="X99" s="158">
        <f>SUMIFS('Đơn giá'!C:C,'Đơn giá'!B:B,XUẤT!O99)</f>
        <v>98000</v>
      </c>
      <c r="Y99" s="159">
        <f t="shared" si="17"/>
        <v>980000</v>
      </c>
      <c r="Z99" s="279" t="s">
        <v>820</v>
      </c>
      <c r="AA99" s="152" t="s">
        <v>679</v>
      </c>
      <c r="AB99" s="90">
        <f t="shared" si="19"/>
        <v>10</v>
      </c>
      <c r="AC99" s="91">
        <f t="shared" si="20"/>
        <v>50000</v>
      </c>
      <c r="AD99" s="157"/>
    </row>
    <row r="100" spans="1:30" s="160" customFormat="1" ht="71.400000000000006" customHeight="1" x14ac:dyDescent="0.3">
      <c r="A100" s="399"/>
      <c r="B100" s="413"/>
      <c r="C100" s="401"/>
      <c r="D100" s="155" t="s">
        <v>30</v>
      </c>
      <c r="E100" s="155" t="s">
        <v>622</v>
      </c>
      <c r="F100" s="155"/>
      <c r="G100" s="155"/>
      <c r="H100" s="155">
        <v>2</v>
      </c>
      <c r="I100" s="155">
        <f t="shared" si="16"/>
        <v>2</v>
      </c>
      <c r="J100" s="152" t="s">
        <v>623</v>
      </c>
      <c r="K100" s="152"/>
      <c r="L100" s="152"/>
      <c r="M100" s="152" t="s">
        <v>33</v>
      </c>
      <c r="N100" s="10" t="s">
        <v>220</v>
      </c>
      <c r="O100" s="154" t="s">
        <v>42</v>
      </c>
      <c r="P100" s="157"/>
      <c r="Q100" s="157"/>
      <c r="R100" s="157"/>
      <c r="S100" s="157"/>
      <c r="T100" s="157"/>
      <c r="U100" s="157">
        <v>2</v>
      </c>
      <c r="V100" s="157"/>
      <c r="W100" s="157">
        <f t="shared" si="13"/>
        <v>2</v>
      </c>
      <c r="X100" s="158">
        <f>SUMIFS('Đơn giá'!C:C,'Đơn giá'!B:B,XUẤT!O100)</f>
        <v>48000</v>
      </c>
      <c r="Y100" s="159">
        <f>X100*U100</f>
        <v>96000</v>
      </c>
      <c r="Z100" s="279" t="s">
        <v>820</v>
      </c>
      <c r="AA100" s="152" t="s">
        <v>679</v>
      </c>
      <c r="AB100" s="90">
        <f t="shared" si="19"/>
        <v>2</v>
      </c>
      <c r="AC100" s="91">
        <f t="shared" si="20"/>
        <v>10000</v>
      </c>
      <c r="AD100" s="157"/>
    </row>
    <row r="101" spans="1:30" s="160" customFormat="1" ht="69" hidden="1" customHeight="1" x14ac:dyDescent="0.3">
      <c r="A101" s="152">
        <v>6</v>
      </c>
      <c r="B101" s="153" t="s">
        <v>617</v>
      </c>
      <c r="C101" s="154" t="s">
        <v>625</v>
      </c>
      <c r="D101" s="155" t="s">
        <v>30</v>
      </c>
      <c r="E101" s="155" t="s">
        <v>543</v>
      </c>
      <c r="F101" s="155"/>
      <c r="G101" s="155"/>
      <c r="H101" s="155">
        <v>6</v>
      </c>
      <c r="I101" s="155">
        <f t="shared" ref="I101:I133" si="22">H101+G101</f>
        <v>6</v>
      </c>
      <c r="J101" s="152" t="s">
        <v>595</v>
      </c>
      <c r="K101" s="152" t="s">
        <v>524</v>
      </c>
      <c r="L101" s="152"/>
      <c r="M101" s="169" t="s">
        <v>46</v>
      </c>
      <c r="N101" s="163" t="s">
        <v>628</v>
      </c>
      <c r="O101" s="154" t="s">
        <v>39</v>
      </c>
      <c r="P101" s="157"/>
      <c r="Q101" s="157"/>
      <c r="R101" s="157"/>
      <c r="S101" s="157"/>
      <c r="T101" s="157">
        <v>6</v>
      </c>
      <c r="U101" s="157"/>
      <c r="V101" s="157"/>
      <c r="W101" s="157">
        <f t="shared" ref="W101:W133" si="23">SUM(P101:V101)</f>
        <v>6</v>
      </c>
      <c r="X101" s="158">
        <f>SUMIFS('Đơn giá'!C:C,'Đơn giá'!B:B,XUẤT!O101)</f>
        <v>52000</v>
      </c>
      <c r="Y101" s="159">
        <f>T101*X101</f>
        <v>312000</v>
      </c>
      <c r="Z101" s="232"/>
      <c r="AA101" s="10" t="s">
        <v>37</v>
      </c>
      <c r="AB101" s="90">
        <f t="shared" si="19"/>
        <v>6</v>
      </c>
      <c r="AC101" s="91">
        <f t="shared" si="20"/>
        <v>30000</v>
      </c>
      <c r="AD101" s="157"/>
    </row>
    <row r="102" spans="1:30" s="160" customFormat="1" ht="55.8" customHeight="1" x14ac:dyDescent="0.3">
      <c r="A102" s="152"/>
      <c r="B102" s="153" t="s">
        <v>617</v>
      </c>
      <c r="C102" s="382" t="s">
        <v>627</v>
      </c>
      <c r="D102" s="155" t="s">
        <v>30</v>
      </c>
      <c r="E102" s="155" t="s">
        <v>224</v>
      </c>
      <c r="F102" s="155"/>
      <c r="G102" s="155">
        <v>11</v>
      </c>
      <c r="H102" s="155"/>
      <c r="I102" s="155">
        <f t="shared" si="22"/>
        <v>11</v>
      </c>
      <c r="J102" s="152" t="s">
        <v>595</v>
      </c>
      <c r="K102" s="152"/>
      <c r="L102" s="152" t="s">
        <v>491</v>
      </c>
      <c r="M102" s="152" t="s">
        <v>33</v>
      </c>
      <c r="N102" s="10" t="s">
        <v>37</v>
      </c>
      <c r="O102" s="154" t="s">
        <v>26</v>
      </c>
      <c r="P102" s="157">
        <v>10</v>
      </c>
      <c r="Q102" s="157"/>
      <c r="R102" s="157"/>
      <c r="S102" s="157"/>
      <c r="T102" s="157"/>
      <c r="U102" s="157"/>
      <c r="V102" s="157">
        <v>1</v>
      </c>
      <c r="W102" s="157">
        <f t="shared" si="23"/>
        <v>11</v>
      </c>
      <c r="X102" s="158">
        <f>SUMIFS('Đơn giá'!C:C,'Đơn giá'!B:B,XUẤT!O102)</f>
        <v>98000</v>
      </c>
      <c r="Y102" s="159">
        <f t="shared" ref="X102:Y127" si="24">X102*P102</f>
        <v>980000</v>
      </c>
      <c r="Z102" s="232"/>
      <c r="AA102" s="10" t="s">
        <v>37</v>
      </c>
      <c r="AB102" s="90">
        <f t="shared" si="19"/>
        <v>10</v>
      </c>
      <c r="AC102" s="91">
        <f t="shared" si="20"/>
        <v>50000</v>
      </c>
      <c r="AD102" s="157"/>
    </row>
    <row r="103" spans="1:30" s="160" customFormat="1" ht="57.6" customHeight="1" x14ac:dyDescent="0.3">
      <c r="A103" s="152"/>
      <c r="B103" s="153" t="s">
        <v>617</v>
      </c>
      <c r="C103" s="268" t="s">
        <v>629</v>
      </c>
      <c r="D103" s="155" t="s">
        <v>30</v>
      </c>
      <c r="E103" s="155" t="s">
        <v>224</v>
      </c>
      <c r="F103" s="155"/>
      <c r="G103" s="155">
        <v>11</v>
      </c>
      <c r="H103" s="155"/>
      <c r="I103" s="155">
        <f t="shared" si="22"/>
        <v>11</v>
      </c>
      <c r="J103" s="269" t="s">
        <v>49</v>
      </c>
      <c r="K103" s="152"/>
      <c r="L103" s="152"/>
      <c r="M103" s="152" t="s">
        <v>33</v>
      </c>
      <c r="N103" s="269" t="s">
        <v>49</v>
      </c>
      <c r="O103" s="154" t="s">
        <v>26</v>
      </c>
      <c r="P103" s="157">
        <v>10</v>
      </c>
      <c r="Q103" s="157"/>
      <c r="R103" s="157"/>
      <c r="S103" s="157"/>
      <c r="T103" s="157"/>
      <c r="U103" s="157"/>
      <c r="V103" s="157">
        <v>1</v>
      </c>
      <c r="W103" s="157">
        <f t="shared" si="23"/>
        <v>11</v>
      </c>
      <c r="X103" s="158">
        <f>SUMIFS('Đơn giá'!C:C,'Đơn giá'!B:B,XUẤT!O103)</f>
        <v>98000</v>
      </c>
      <c r="Y103" s="159">
        <f t="shared" si="24"/>
        <v>980000</v>
      </c>
      <c r="Z103" s="232" t="s">
        <v>630</v>
      </c>
      <c r="AA103" s="269" t="s">
        <v>49</v>
      </c>
      <c r="AB103" s="90">
        <f t="shared" si="19"/>
        <v>10</v>
      </c>
      <c r="AC103" s="91">
        <f t="shared" si="20"/>
        <v>50000</v>
      </c>
      <c r="AD103" s="157"/>
    </row>
    <row r="104" spans="1:30" s="160" customFormat="1" ht="50.4" customHeight="1" x14ac:dyDescent="0.3">
      <c r="A104" s="152"/>
      <c r="B104" s="153" t="s">
        <v>617</v>
      </c>
      <c r="C104" s="268" t="s">
        <v>631</v>
      </c>
      <c r="D104" s="155" t="s">
        <v>30</v>
      </c>
      <c r="E104" s="155" t="s">
        <v>536</v>
      </c>
      <c r="F104" s="155"/>
      <c r="G104" s="155">
        <v>1</v>
      </c>
      <c r="H104" s="155"/>
      <c r="I104" s="155">
        <f t="shared" si="22"/>
        <v>1</v>
      </c>
      <c r="J104" s="152" t="s">
        <v>632</v>
      </c>
      <c r="K104" s="152"/>
      <c r="L104" s="152" t="s">
        <v>491</v>
      </c>
      <c r="M104" s="152" t="s">
        <v>33</v>
      </c>
      <c r="N104" s="10" t="s">
        <v>132</v>
      </c>
      <c r="O104" s="154" t="s">
        <v>26</v>
      </c>
      <c r="P104" s="157">
        <v>1</v>
      </c>
      <c r="Q104" s="157"/>
      <c r="R104" s="157"/>
      <c r="S104" s="157"/>
      <c r="T104" s="157"/>
      <c r="U104" s="157"/>
      <c r="V104" s="157"/>
      <c r="W104" s="157">
        <f t="shared" si="23"/>
        <v>1</v>
      </c>
      <c r="X104" s="158">
        <f>SUMIFS('Đơn giá'!C:C,'Đơn giá'!B:B,XUẤT!O104)</f>
        <v>98000</v>
      </c>
      <c r="Y104" s="159">
        <f t="shared" si="24"/>
        <v>98000</v>
      </c>
      <c r="Z104" s="232"/>
      <c r="AA104" s="10" t="s">
        <v>132</v>
      </c>
      <c r="AB104" s="90">
        <f t="shared" si="19"/>
        <v>1</v>
      </c>
      <c r="AC104" s="91">
        <f t="shared" si="20"/>
        <v>5000</v>
      </c>
      <c r="AD104" s="157"/>
    </row>
    <row r="105" spans="1:30" s="160" customFormat="1" ht="94.2" hidden="1" customHeight="1" x14ac:dyDescent="0.3">
      <c r="A105" s="152">
        <v>2</v>
      </c>
      <c r="B105" s="153" t="s">
        <v>634</v>
      </c>
      <c r="C105" s="270" t="s">
        <v>675</v>
      </c>
      <c r="D105" s="155" t="s">
        <v>30</v>
      </c>
      <c r="E105" s="155" t="s">
        <v>635</v>
      </c>
      <c r="F105" s="155"/>
      <c r="G105" s="155"/>
      <c r="H105" s="155">
        <v>17</v>
      </c>
      <c r="I105" s="155">
        <f t="shared" si="22"/>
        <v>17</v>
      </c>
      <c r="J105" s="162" t="s">
        <v>636</v>
      </c>
      <c r="K105" s="152" t="s">
        <v>637</v>
      </c>
      <c r="L105" s="169" t="s">
        <v>491</v>
      </c>
      <c r="M105" s="169" t="s">
        <v>46</v>
      </c>
      <c r="N105" s="163" t="s">
        <v>624</v>
      </c>
      <c r="O105" s="154" t="s">
        <v>42</v>
      </c>
      <c r="P105" s="157"/>
      <c r="Q105" s="157"/>
      <c r="R105" s="157"/>
      <c r="S105" s="157"/>
      <c r="T105" s="157"/>
      <c r="U105" s="157">
        <v>16</v>
      </c>
      <c r="V105" s="157">
        <v>1</v>
      </c>
      <c r="W105" s="157">
        <f t="shared" si="23"/>
        <v>17</v>
      </c>
      <c r="X105" s="158">
        <f>SUMIFS('Đơn giá'!C:C,'Đơn giá'!B:B,XUẤT!O105)</f>
        <v>48000</v>
      </c>
      <c r="Y105" s="159">
        <f>U105*X105</f>
        <v>768000</v>
      </c>
      <c r="Z105" s="232"/>
      <c r="AA105" s="152"/>
      <c r="AB105" s="90">
        <f t="shared" si="19"/>
        <v>16</v>
      </c>
      <c r="AC105" s="91">
        <f t="shared" si="20"/>
        <v>80000</v>
      </c>
      <c r="AD105" s="157"/>
    </row>
    <row r="106" spans="1:30" s="160" customFormat="1" ht="85.8" hidden="1" customHeight="1" x14ac:dyDescent="0.3">
      <c r="A106" s="152">
        <v>3</v>
      </c>
      <c r="B106" s="153" t="s">
        <v>634</v>
      </c>
      <c r="C106" s="154" t="s">
        <v>638</v>
      </c>
      <c r="D106" s="155" t="s">
        <v>30</v>
      </c>
      <c r="E106" s="155" t="s">
        <v>543</v>
      </c>
      <c r="F106" s="155"/>
      <c r="G106" s="155">
        <v>5</v>
      </c>
      <c r="H106" s="155"/>
      <c r="I106" s="155">
        <f t="shared" si="22"/>
        <v>5</v>
      </c>
      <c r="J106" s="152" t="s">
        <v>640</v>
      </c>
      <c r="K106" s="152"/>
      <c r="L106" s="169" t="s">
        <v>491</v>
      </c>
      <c r="M106" s="169" t="s">
        <v>46</v>
      </c>
      <c r="N106" s="7" t="s">
        <v>641</v>
      </c>
      <c r="O106" s="154" t="s">
        <v>26</v>
      </c>
      <c r="P106" s="157">
        <v>5</v>
      </c>
      <c r="Q106" s="157"/>
      <c r="R106" s="157"/>
      <c r="S106" s="157"/>
      <c r="T106" s="157"/>
      <c r="U106" s="157"/>
      <c r="V106" s="157"/>
      <c r="W106" s="157">
        <f t="shared" si="23"/>
        <v>5</v>
      </c>
      <c r="X106" s="158">
        <f>SUMIFS('Đơn giá'!C:C,'Đơn giá'!B:B,XUẤT!O106)</f>
        <v>98000</v>
      </c>
      <c r="Y106" s="159">
        <f t="shared" si="24"/>
        <v>490000</v>
      </c>
      <c r="Z106" s="232" t="s">
        <v>977</v>
      </c>
      <c r="AA106" s="152"/>
      <c r="AB106" s="90">
        <f t="shared" si="19"/>
        <v>5</v>
      </c>
      <c r="AC106" s="91">
        <f t="shared" si="20"/>
        <v>25000</v>
      </c>
      <c r="AD106" s="157"/>
    </row>
    <row r="107" spans="1:30" s="160" customFormat="1" ht="55.2" customHeight="1" x14ac:dyDescent="0.3">
      <c r="A107" s="152">
        <v>4</v>
      </c>
      <c r="B107" s="411" t="s">
        <v>634</v>
      </c>
      <c r="C107" s="421" t="s">
        <v>639</v>
      </c>
      <c r="D107" s="395" t="s">
        <v>30</v>
      </c>
      <c r="E107" s="155" t="s">
        <v>543</v>
      </c>
      <c r="F107" s="155"/>
      <c r="G107" s="155">
        <v>3</v>
      </c>
      <c r="H107" s="155"/>
      <c r="I107" s="155">
        <f t="shared" si="22"/>
        <v>3</v>
      </c>
      <c r="J107" s="152" t="s">
        <v>640</v>
      </c>
      <c r="K107" s="152"/>
      <c r="L107" s="169" t="s">
        <v>491</v>
      </c>
      <c r="M107" s="152" t="s">
        <v>33</v>
      </c>
      <c r="N107" s="212" t="s">
        <v>37</v>
      </c>
      <c r="O107" s="154" t="s">
        <v>26</v>
      </c>
      <c r="P107" s="157">
        <v>3</v>
      </c>
      <c r="Q107" s="157"/>
      <c r="R107" s="157"/>
      <c r="S107" s="157"/>
      <c r="T107" s="157"/>
      <c r="U107" s="157"/>
      <c r="V107" s="157"/>
      <c r="W107" s="157">
        <f t="shared" si="23"/>
        <v>3</v>
      </c>
      <c r="X107" s="159">
        <v>98000</v>
      </c>
      <c r="Y107" s="271">
        <f>P107*X107</f>
        <v>294000</v>
      </c>
      <c r="Z107" s="152"/>
      <c r="AA107" s="212" t="s">
        <v>37</v>
      </c>
      <c r="AB107" s="90">
        <f t="shared" si="19"/>
        <v>3</v>
      </c>
      <c r="AC107" s="91">
        <f t="shared" si="20"/>
        <v>15000</v>
      </c>
      <c r="AD107" s="381">
        <f>Y24+Y41+Y60+Y69+Y126</f>
        <v>10650000</v>
      </c>
    </row>
    <row r="108" spans="1:30" s="160" customFormat="1" ht="55.2" customHeight="1" x14ac:dyDescent="0.3">
      <c r="A108" s="152"/>
      <c r="B108" s="413"/>
      <c r="C108" s="422"/>
      <c r="D108" s="397"/>
      <c r="E108" s="155" t="s">
        <v>543</v>
      </c>
      <c r="F108" s="155"/>
      <c r="G108" s="155"/>
      <c r="H108" s="155">
        <v>2</v>
      </c>
      <c r="I108" s="155">
        <f t="shared" si="22"/>
        <v>2</v>
      </c>
      <c r="J108" s="152" t="s">
        <v>640</v>
      </c>
      <c r="K108" s="152"/>
      <c r="L108" s="169" t="s">
        <v>491</v>
      </c>
      <c r="M108" s="152" t="s">
        <v>33</v>
      </c>
      <c r="N108" s="212" t="s">
        <v>37</v>
      </c>
      <c r="O108" s="154" t="s">
        <v>39</v>
      </c>
      <c r="P108" s="157"/>
      <c r="Q108" s="157"/>
      <c r="R108" s="157"/>
      <c r="S108" s="157"/>
      <c r="T108" s="157">
        <v>2</v>
      </c>
      <c r="U108" s="157"/>
      <c r="V108" s="157"/>
      <c r="W108" s="157">
        <f t="shared" si="23"/>
        <v>2</v>
      </c>
      <c r="X108" s="158">
        <f>SUMIFS('Đơn giá'!C:C,'Đơn giá'!B:B,XUẤT!O108)</f>
        <v>52000</v>
      </c>
      <c r="Y108" s="271">
        <f>T108*X108</f>
        <v>104000</v>
      </c>
      <c r="Z108" s="152"/>
      <c r="AA108" s="212" t="s">
        <v>37</v>
      </c>
      <c r="AB108" s="90">
        <f t="shared" si="19"/>
        <v>2</v>
      </c>
      <c r="AC108" s="91">
        <f t="shared" si="20"/>
        <v>10000</v>
      </c>
    </row>
    <row r="109" spans="1:30" s="160" customFormat="1" ht="55.2" customHeight="1" x14ac:dyDescent="0.3">
      <c r="A109" s="152">
        <v>5</v>
      </c>
      <c r="B109" s="153" t="s">
        <v>634</v>
      </c>
      <c r="C109" s="270" t="s">
        <v>831</v>
      </c>
      <c r="D109" s="155" t="s">
        <v>30</v>
      </c>
      <c r="E109" s="155" t="s">
        <v>543</v>
      </c>
      <c r="F109" s="155"/>
      <c r="G109" s="155">
        <v>10</v>
      </c>
      <c r="H109" s="155"/>
      <c r="I109" s="155">
        <f t="shared" si="22"/>
        <v>10</v>
      </c>
      <c r="J109" s="152" t="s">
        <v>640</v>
      </c>
      <c r="K109" s="152"/>
      <c r="L109" s="169" t="s">
        <v>491</v>
      </c>
      <c r="M109" s="152" t="s">
        <v>33</v>
      </c>
      <c r="N109" s="10" t="s">
        <v>219</v>
      </c>
      <c r="O109" s="154" t="s">
        <v>26</v>
      </c>
      <c r="P109" s="157">
        <v>10</v>
      </c>
      <c r="Q109" s="157"/>
      <c r="R109" s="157"/>
      <c r="S109" s="157"/>
      <c r="T109" s="157"/>
      <c r="U109" s="157"/>
      <c r="V109" s="157">
        <v>1</v>
      </c>
      <c r="W109" s="157">
        <f t="shared" si="23"/>
        <v>11</v>
      </c>
      <c r="X109" s="159">
        <v>98000</v>
      </c>
      <c r="Y109" s="271">
        <f>P109*X109</f>
        <v>980000</v>
      </c>
      <c r="Z109" s="232"/>
      <c r="AA109" s="212" t="s">
        <v>37</v>
      </c>
      <c r="AB109" s="90">
        <f t="shared" si="19"/>
        <v>10</v>
      </c>
      <c r="AC109" s="91">
        <f t="shared" si="20"/>
        <v>50000</v>
      </c>
    </row>
    <row r="110" spans="1:30" s="160" customFormat="1" ht="87.6" hidden="1" customHeight="1" x14ac:dyDescent="0.3">
      <c r="A110" s="152">
        <v>7</v>
      </c>
      <c r="B110" s="153" t="s">
        <v>634</v>
      </c>
      <c r="C110" s="270" t="s">
        <v>644</v>
      </c>
      <c r="D110" s="155" t="s">
        <v>30</v>
      </c>
      <c r="E110" s="155" t="s">
        <v>224</v>
      </c>
      <c r="F110" s="155"/>
      <c r="G110" s="155">
        <v>11</v>
      </c>
      <c r="H110" s="155"/>
      <c r="I110" s="155">
        <f t="shared" si="22"/>
        <v>11</v>
      </c>
      <c r="J110" s="152" t="s">
        <v>640</v>
      </c>
      <c r="K110" s="152"/>
      <c r="L110" s="169" t="s">
        <v>491</v>
      </c>
      <c r="M110" s="163" t="s">
        <v>46</v>
      </c>
      <c r="N110" s="163" t="s">
        <v>642</v>
      </c>
      <c r="O110" s="154" t="s">
        <v>26</v>
      </c>
      <c r="P110" s="157">
        <v>10</v>
      </c>
      <c r="Q110" s="157"/>
      <c r="R110" s="157"/>
      <c r="S110" s="157"/>
      <c r="T110" s="157"/>
      <c r="U110" s="157"/>
      <c r="V110" s="157">
        <v>1</v>
      </c>
      <c r="W110" s="157">
        <f t="shared" si="23"/>
        <v>11</v>
      </c>
      <c r="X110" s="159">
        <v>98000</v>
      </c>
      <c r="Y110" s="271">
        <f>P110*X110</f>
        <v>980000</v>
      </c>
      <c r="Z110" s="232" t="s">
        <v>941</v>
      </c>
      <c r="AA110" s="158"/>
      <c r="AB110" s="90">
        <f t="shared" si="19"/>
        <v>10</v>
      </c>
      <c r="AC110" s="91">
        <f t="shared" si="20"/>
        <v>50000</v>
      </c>
    </row>
    <row r="111" spans="1:30" s="160" customFormat="1" ht="64.8" hidden="1" customHeight="1" x14ac:dyDescent="0.3">
      <c r="A111" s="152">
        <v>8</v>
      </c>
      <c r="B111" s="153" t="s">
        <v>634</v>
      </c>
      <c r="C111" s="270" t="s">
        <v>649</v>
      </c>
      <c r="D111" s="155" t="s">
        <v>30</v>
      </c>
      <c r="E111" s="155" t="s">
        <v>543</v>
      </c>
      <c r="F111" s="155"/>
      <c r="G111" s="155"/>
      <c r="H111" s="155">
        <v>25</v>
      </c>
      <c r="I111" s="155">
        <f t="shared" si="22"/>
        <v>25</v>
      </c>
      <c r="J111" s="152" t="s">
        <v>640</v>
      </c>
      <c r="K111" s="152" t="s">
        <v>248</v>
      </c>
      <c r="L111" s="169" t="s">
        <v>491</v>
      </c>
      <c r="M111" s="163" t="s">
        <v>46</v>
      </c>
      <c r="N111" s="163" t="s">
        <v>643</v>
      </c>
      <c r="O111" s="154" t="s">
        <v>39</v>
      </c>
      <c r="P111" s="157"/>
      <c r="Q111" s="157"/>
      <c r="R111" s="157"/>
      <c r="S111" s="157"/>
      <c r="T111" s="157">
        <v>25</v>
      </c>
      <c r="U111" s="157"/>
      <c r="V111" s="157"/>
      <c r="W111" s="157">
        <f t="shared" si="23"/>
        <v>25</v>
      </c>
      <c r="X111" s="159">
        <v>52000</v>
      </c>
      <c r="Y111" s="271">
        <f>T111*X111</f>
        <v>1300000</v>
      </c>
      <c r="Z111" s="152"/>
      <c r="AA111" s="34" t="s">
        <v>53</v>
      </c>
      <c r="AB111" s="90">
        <f t="shared" si="19"/>
        <v>25</v>
      </c>
      <c r="AC111" s="91">
        <f t="shared" si="20"/>
        <v>125000</v>
      </c>
    </row>
    <row r="112" spans="1:30" s="160" customFormat="1" ht="64.8" customHeight="1" x14ac:dyDescent="0.3">
      <c r="A112" s="152">
        <v>9</v>
      </c>
      <c r="B112" s="153" t="s">
        <v>634</v>
      </c>
      <c r="C112" s="154" t="s">
        <v>650</v>
      </c>
      <c r="D112" s="155" t="s">
        <v>30</v>
      </c>
      <c r="E112" s="155" t="s">
        <v>543</v>
      </c>
      <c r="F112" s="155"/>
      <c r="G112" s="155"/>
      <c r="H112" s="155">
        <v>2</v>
      </c>
      <c r="I112" s="155">
        <f t="shared" si="22"/>
        <v>2</v>
      </c>
      <c r="J112" s="152" t="s">
        <v>651</v>
      </c>
      <c r="K112" s="152"/>
      <c r="L112" s="169" t="s">
        <v>491</v>
      </c>
      <c r="M112" s="152" t="s">
        <v>33</v>
      </c>
      <c r="N112" s="10" t="s">
        <v>221</v>
      </c>
      <c r="O112" s="154" t="s">
        <v>39</v>
      </c>
      <c r="P112" s="157"/>
      <c r="Q112" s="157"/>
      <c r="R112" s="157"/>
      <c r="S112" s="157"/>
      <c r="T112" s="157">
        <v>2</v>
      </c>
      <c r="U112" s="157"/>
      <c r="V112" s="157"/>
      <c r="W112" s="157">
        <f t="shared" si="23"/>
        <v>2</v>
      </c>
      <c r="X112" s="158">
        <f>SUMIFS('Đơn giá'!C:C,'Đơn giá'!B:B,XUẤT!O112)</f>
        <v>52000</v>
      </c>
      <c r="Y112" s="271">
        <f>T112*X112</f>
        <v>104000</v>
      </c>
      <c r="Z112" s="152" t="s">
        <v>905</v>
      </c>
      <c r="AA112" s="10" t="s">
        <v>221</v>
      </c>
      <c r="AB112" s="90">
        <f t="shared" si="19"/>
        <v>2</v>
      </c>
      <c r="AC112" s="91">
        <f t="shared" si="20"/>
        <v>10000</v>
      </c>
    </row>
    <row r="113" spans="1:29" s="160" customFormat="1" ht="64.8" customHeight="1" x14ac:dyDescent="0.3">
      <c r="A113" s="152">
        <v>10</v>
      </c>
      <c r="B113" s="153" t="s">
        <v>634</v>
      </c>
      <c r="C113" s="382" t="s">
        <v>664</v>
      </c>
      <c r="D113" s="155" t="s">
        <v>30</v>
      </c>
      <c r="E113" s="155" t="s">
        <v>543</v>
      </c>
      <c r="F113" s="155"/>
      <c r="G113" s="155"/>
      <c r="H113" s="155">
        <v>2</v>
      </c>
      <c r="I113" s="155">
        <f t="shared" si="22"/>
        <v>2</v>
      </c>
      <c r="J113" s="152" t="s">
        <v>652</v>
      </c>
      <c r="K113" s="152"/>
      <c r="L113" s="169" t="s">
        <v>491</v>
      </c>
      <c r="M113" s="152" t="s">
        <v>33</v>
      </c>
      <c r="N113" s="212" t="s">
        <v>37</v>
      </c>
      <c r="O113" s="154" t="s">
        <v>39</v>
      </c>
      <c r="P113" s="157"/>
      <c r="Q113" s="157"/>
      <c r="R113" s="157"/>
      <c r="S113" s="157"/>
      <c r="T113" s="157">
        <v>2</v>
      </c>
      <c r="U113" s="157"/>
      <c r="V113" s="157"/>
      <c r="W113" s="157">
        <f t="shared" si="23"/>
        <v>2</v>
      </c>
      <c r="X113" s="158">
        <f>SUMIFS('Đơn giá'!C:C,'Đơn giá'!B:B,XUẤT!O113)</f>
        <v>52000</v>
      </c>
      <c r="Y113" s="271">
        <f>T113*X113</f>
        <v>104000</v>
      </c>
      <c r="Z113" s="152"/>
      <c r="AA113" s="212" t="s">
        <v>37</v>
      </c>
      <c r="AB113" s="90">
        <f t="shared" si="19"/>
        <v>2</v>
      </c>
      <c r="AC113" s="91">
        <f t="shared" si="20"/>
        <v>10000</v>
      </c>
    </row>
    <row r="114" spans="1:29" s="160" customFormat="1" ht="64.8" customHeight="1" x14ac:dyDescent="0.3">
      <c r="A114" s="152">
        <v>11</v>
      </c>
      <c r="B114" s="153" t="s">
        <v>634</v>
      </c>
      <c r="C114" s="154" t="s">
        <v>653</v>
      </c>
      <c r="D114" s="155" t="s">
        <v>30</v>
      </c>
      <c r="E114" s="155" t="s">
        <v>543</v>
      </c>
      <c r="F114" s="155"/>
      <c r="G114" s="155"/>
      <c r="H114" s="155">
        <v>1</v>
      </c>
      <c r="I114" s="155">
        <f t="shared" si="22"/>
        <v>1</v>
      </c>
      <c r="J114" s="152" t="s">
        <v>395</v>
      </c>
      <c r="K114" s="152"/>
      <c r="L114" s="169" t="s">
        <v>491</v>
      </c>
      <c r="M114" s="152" t="s">
        <v>33</v>
      </c>
      <c r="N114" s="10" t="s">
        <v>98</v>
      </c>
      <c r="O114" s="154" t="s">
        <v>39</v>
      </c>
      <c r="P114" s="157"/>
      <c r="Q114" s="157"/>
      <c r="R114" s="157"/>
      <c r="S114" s="157"/>
      <c r="T114" s="157">
        <v>1</v>
      </c>
      <c r="U114" s="157"/>
      <c r="V114" s="157"/>
      <c r="W114" s="157">
        <f t="shared" si="23"/>
        <v>1</v>
      </c>
      <c r="X114" s="158">
        <f>SUMIFS('Đơn giá'!C:C,'Đơn giá'!B:B,XUẤT!O114)</f>
        <v>52000</v>
      </c>
      <c r="Y114" s="271">
        <f>T114*X114</f>
        <v>52000</v>
      </c>
      <c r="Z114" s="152" t="s">
        <v>687</v>
      </c>
      <c r="AA114" s="10" t="s">
        <v>98</v>
      </c>
      <c r="AB114" s="90">
        <f t="shared" si="19"/>
        <v>1</v>
      </c>
      <c r="AC114" s="91">
        <f t="shared" si="20"/>
        <v>5000</v>
      </c>
    </row>
    <row r="115" spans="1:29" s="160" customFormat="1" ht="64.8" customHeight="1" x14ac:dyDescent="0.3">
      <c r="A115" s="152">
        <v>12</v>
      </c>
      <c r="B115" s="153" t="s">
        <v>634</v>
      </c>
      <c r="C115" s="154" t="s">
        <v>654</v>
      </c>
      <c r="D115" s="155" t="s">
        <v>30</v>
      </c>
      <c r="E115" s="155" t="s">
        <v>577</v>
      </c>
      <c r="F115" s="155"/>
      <c r="G115" s="155">
        <v>3</v>
      </c>
      <c r="H115" s="155"/>
      <c r="I115" s="155">
        <f t="shared" si="22"/>
        <v>3</v>
      </c>
      <c r="J115" s="152" t="s">
        <v>387</v>
      </c>
      <c r="K115" s="152"/>
      <c r="L115" s="169" t="s">
        <v>491</v>
      </c>
      <c r="M115" s="152" t="s">
        <v>33</v>
      </c>
      <c r="N115" s="10" t="s">
        <v>136</v>
      </c>
      <c r="O115" s="154" t="s">
        <v>26</v>
      </c>
      <c r="P115" s="157">
        <v>3</v>
      </c>
      <c r="Q115" s="157"/>
      <c r="R115" s="157"/>
      <c r="S115" s="157"/>
      <c r="T115" s="157"/>
      <c r="U115" s="157"/>
      <c r="V115" s="157"/>
      <c r="W115" s="157">
        <f t="shared" si="23"/>
        <v>3</v>
      </c>
      <c r="X115" s="159">
        <v>98000</v>
      </c>
      <c r="Y115" s="271">
        <f>X115*P115</f>
        <v>294000</v>
      </c>
      <c r="Z115" s="152" t="s">
        <v>798</v>
      </c>
      <c r="AA115" s="212" t="s">
        <v>136</v>
      </c>
      <c r="AB115" s="157">
        <f t="shared" si="19"/>
        <v>3</v>
      </c>
      <c r="AC115" s="158">
        <f t="shared" si="20"/>
        <v>15000</v>
      </c>
    </row>
    <row r="116" spans="1:29" s="160" customFormat="1" ht="64.8" customHeight="1" x14ac:dyDescent="0.3">
      <c r="A116" s="152">
        <v>13</v>
      </c>
      <c r="B116" s="153" t="s">
        <v>634</v>
      </c>
      <c r="C116" s="154" t="s">
        <v>655</v>
      </c>
      <c r="D116" s="155" t="s">
        <v>30</v>
      </c>
      <c r="E116" s="155" t="s">
        <v>577</v>
      </c>
      <c r="F116" s="155"/>
      <c r="G116" s="155">
        <v>1</v>
      </c>
      <c r="H116" s="155"/>
      <c r="I116" s="155">
        <f t="shared" si="22"/>
        <v>1</v>
      </c>
      <c r="J116" s="10" t="s">
        <v>139</v>
      </c>
      <c r="K116" s="152"/>
      <c r="L116" s="169" t="s">
        <v>491</v>
      </c>
      <c r="M116" s="152" t="s">
        <v>33</v>
      </c>
      <c r="N116" s="10" t="s">
        <v>139</v>
      </c>
      <c r="O116" s="154" t="s">
        <v>26</v>
      </c>
      <c r="P116" s="157">
        <v>1</v>
      </c>
      <c r="Q116" s="157"/>
      <c r="R116" s="157"/>
      <c r="S116" s="157"/>
      <c r="T116" s="157"/>
      <c r="U116" s="157"/>
      <c r="V116" s="157"/>
      <c r="W116" s="157">
        <f t="shared" si="23"/>
        <v>1</v>
      </c>
      <c r="X116" s="159">
        <v>98000</v>
      </c>
      <c r="Y116" s="271">
        <f>P116*X116</f>
        <v>98000</v>
      </c>
      <c r="Z116" s="152"/>
      <c r="AA116" s="10" t="s">
        <v>139</v>
      </c>
      <c r="AB116" s="90">
        <f t="shared" si="19"/>
        <v>1</v>
      </c>
      <c r="AC116" s="91">
        <f t="shared" si="20"/>
        <v>5000</v>
      </c>
    </row>
    <row r="117" spans="1:29" s="160" customFormat="1" ht="64.8" customHeight="1" x14ac:dyDescent="0.3">
      <c r="A117" s="152">
        <v>14</v>
      </c>
      <c r="B117" s="153" t="s">
        <v>634</v>
      </c>
      <c r="C117" s="270" t="s">
        <v>662</v>
      </c>
      <c r="D117" s="155" t="s">
        <v>30</v>
      </c>
      <c r="E117" s="155" t="s">
        <v>224</v>
      </c>
      <c r="F117" s="155"/>
      <c r="G117" s="155"/>
      <c r="H117" s="155">
        <v>11</v>
      </c>
      <c r="I117" s="155">
        <f t="shared" si="22"/>
        <v>11</v>
      </c>
      <c r="J117" s="218" t="s">
        <v>595</v>
      </c>
      <c r="K117" s="152"/>
      <c r="L117" s="169" t="s">
        <v>491</v>
      </c>
      <c r="M117" s="152" t="s">
        <v>33</v>
      </c>
      <c r="N117" s="10" t="s">
        <v>37</v>
      </c>
      <c r="O117" s="154" t="s">
        <v>42</v>
      </c>
      <c r="P117" s="157"/>
      <c r="Q117" s="157"/>
      <c r="R117" s="157"/>
      <c r="S117" s="157"/>
      <c r="T117" s="157"/>
      <c r="U117" s="157">
        <v>10</v>
      </c>
      <c r="V117" s="157">
        <v>1</v>
      </c>
      <c r="W117" s="157">
        <f t="shared" si="23"/>
        <v>11</v>
      </c>
      <c r="X117" s="159">
        <v>48000</v>
      </c>
      <c r="Y117" s="271">
        <f>U117*X117</f>
        <v>480000</v>
      </c>
      <c r="Z117" s="152"/>
      <c r="AA117" s="10" t="s">
        <v>37</v>
      </c>
      <c r="AB117" s="90">
        <f t="shared" si="19"/>
        <v>10</v>
      </c>
      <c r="AC117" s="91">
        <f t="shared" si="20"/>
        <v>50000</v>
      </c>
    </row>
    <row r="118" spans="1:29" s="160" customFormat="1" ht="64.8" customHeight="1" x14ac:dyDescent="0.3">
      <c r="A118" s="152">
        <v>15</v>
      </c>
      <c r="B118" s="153" t="s">
        <v>634</v>
      </c>
      <c r="C118" s="154" t="s">
        <v>663</v>
      </c>
      <c r="D118" s="155" t="s">
        <v>30</v>
      </c>
      <c r="E118" s="155" t="s">
        <v>224</v>
      </c>
      <c r="F118" s="155"/>
      <c r="G118" s="155"/>
      <c r="H118" s="155">
        <v>2</v>
      </c>
      <c r="I118" s="155">
        <f t="shared" si="22"/>
        <v>2</v>
      </c>
      <c r="J118" s="218" t="s">
        <v>49</v>
      </c>
      <c r="K118" s="152"/>
      <c r="L118" s="169" t="s">
        <v>491</v>
      </c>
      <c r="M118" s="152" t="s">
        <v>33</v>
      </c>
      <c r="N118" s="10" t="s">
        <v>245</v>
      </c>
      <c r="O118" s="154" t="s">
        <v>42</v>
      </c>
      <c r="P118" s="157"/>
      <c r="Q118" s="157"/>
      <c r="R118" s="157"/>
      <c r="S118" s="157"/>
      <c r="T118" s="157"/>
      <c r="U118" s="157">
        <v>2</v>
      </c>
      <c r="V118" s="157"/>
      <c r="W118" s="157">
        <f t="shared" si="23"/>
        <v>2</v>
      </c>
      <c r="X118" s="159">
        <v>48000</v>
      </c>
      <c r="Y118" s="271">
        <f>U118*X118</f>
        <v>96000</v>
      </c>
      <c r="Z118" s="152"/>
      <c r="AA118" s="218" t="s">
        <v>49</v>
      </c>
      <c r="AB118" s="90">
        <f t="shared" si="19"/>
        <v>2</v>
      </c>
      <c r="AC118" s="91">
        <f t="shared" si="20"/>
        <v>10000</v>
      </c>
    </row>
    <row r="119" spans="1:29" s="160" customFormat="1" ht="52.8" customHeight="1" x14ac:dyDescent="0.3">
      <c r="A119" s="398">
        <v>2</v>
      </c>
      <c r="B119" s="411" t="s">
        <v>646</v>
      </c>
      <c r="C119" s="414" t="s">
        <v>647</v>
      </c>
      <c r="D119" s="395" t="s">
        <v>648</v>
      </c>
      <c r="E119" s="395" t="s">
        <v>622</v>
      </c>
      <c r="F119" s="155">
        <v>3</v>
      </c>
      <c r="G119" s="155"/>
      <c r="H119" s="155">
        <v>15</v>
      </c>
      <c r="I119" s="155">
        <f t="shared" si="22"/>
        <v>15</v>
      </c>
      <c r="J119" s="152"/>
      <c r="K119" s="152"/>
      <c r="L119" s="169"/>
      <c r="M119" s="152" t="s">
        <v>33</v>
      </c>
      <c r="N119" s="211" t="s">
        <v>104</v>
      </c>
      <c r="O119" s="154" t="s">
        <v>39</v>
      </c>
      <c r="P119" s="157"/>
      <c r="Q119" s="157"/>
      <c r="R119" s="157"/>
      <c r="S119" s="157"/>
      <c r="T119" s="157">
        <v>6</v>
      </c>
      <c r="U119" s="157"/>
      <c r="V119" s="157"/>
      <c r="W119" s="157">
        <f t="shared" si="23"/>
        <v>6</v>
      </c>
      <c r="X119" s="158">
        <f>SUMIFS('Đơn giá'!C:C,'Đơn giá'!B:B,XUẤT!O119)</f>
        <v>52000</v>
      </c>
      <c r="Y119" s="272">
        <f>T119*X119</f>
        <v>312000</v>
      </c>
      <c r="Z119" s="158"/>
      <c r="AA119" s="157" t="s">
        <v>679</v>
      </c>
      <c r="AB119" s="90">
        <f t="shared" si="19"/>
        <v>6</v>
      </c>
      <c r="AC119" s="91">
        <f t="shared" si="20"/>
        <v>30000</v>
      </c>
    </row>
    <row r="120" spans="1:29" s="160" customFormat="1" ht="31.2" customHeight="1" x14ac:dyDescent="0.3">
      <c r="A120" s="410"/>
      <c r="B120" s="412"/>
      <c r="C120" s="415"/>
      <c r="D120" s="396"/>
      <c r="E120" s="396"/>
      <c r="F120" s="155"/>
      <c r="G120" s="155"/>
      <c r="H120" s="155"/>
      <c r="I120" s="155">
        <f t="shared" si="22"/>
        <v>0</v>
      </c>
      <c r="J120" s="152"/>
      <c r="K120" s="152"/>
      <c r="L120" s="152"/>
      <c r="M120" s="152" t="s">
        <v>33</v>
      </c>
      <c r="N120" s="211" t="s">
        <v>104</v>
      </c>
      <c r="O120" s="154" t="s">
        <v>42</v>
      </c>
      <c r="P120" s="157"/>
      <c r="Q120" s="157"/>
      <c r="R120" s="157"/>
      <c r="S120" s="157"/>
      <c r="T120" s="157"/>
      <c r="U120" s="157">
        <v>9</v>
      </c>
      <c r="V120" s="157"/>
      <c r="W120" s="157">
        <f t="shared" si="23"/>
        <v>9</v>
      </c>
      <c r="X120" s="159">
        <v>48000</v>
      </c>
      <c r="Y120" s="271">
        <f>U120*X120</f>
        <v>432000</v>
      </c>
      <c r="Z120" s="152"/>
      <c r="AA120" s="157" t="s">
        <v>679</v>
      </c>
      <c r="AB120" s="90">
        <f t="shared" si="19"/>
        <v>9</v>
      </c>
      <c r="AC120" s="91">
        <f t="shared" si="20"/>
        <v>45000</v>
      </c>
    </row>
    <row r="121" spans="1:29" s="160" customFormat="1" ht="43.2" customHeight="1" x14ac:dyDescent="0.3">
      <c r="A121" s="399"/>
      <c r="B121" s="413"/>
      <c r="C121" s="416"/>
      <c r="D121" s="397"/>
      <c r="E121" s="397"/>
      <c r="F121" s="155"/>
      <c r="G121" s="155"/>
      <c r="H121" s="155"/>
      <c r="I121" s="155">
        <f t="shared" si="22"/>
        <v>0</v>
      </c>
      <c r="J121" s="152"/>
      <c r="K121" s="152"/>
      <c r="L121" s="152"/>
      <c r="M121" s="152" t="s">
        <v>33</v>
      </c>
      <c r="N121" s="211" t="s">
        <v>104</v>
      </c>
      <c r="O121" s="154" t="s">
        <v>38</v>
      </c>
      <c r="P121" s="157"/>
      <c r="Q121" s="157"/>
      <c r="R121" s="157"/>
      <c r="S121" s="157">
        <v>3</v>
      </c>
      <c r="T121" s="157"/>
      <c r="U121" s="157"/>
      <c r="V121" s="157"/>
      <c r="W121" s="157">
        <f t="shared" si="23"/>
        <v>3</v>
      </c>
      <c r="X121" s="159">
        <v>93000</v>
      </c>
      <c r="Y121" s="271">
        <f>S121*X121</f>
        <v>279000</v>
      </c>
      <c r="Z121" s="152"/>
      <c r="AA121" s="157" t="s">
        <v>679</v>
      </c>
      <c r="AB121" s="90">
        <f t="shared" si="19"/>
        <v>3</v>
      </c>
      <c r="AC121" s="91">
        <f t="shared" si="20"/>
        <v>15000</v>
      </c>
    </row>
    <row r="122" spans="1:29" s="160" customFormat="1" ht="123.6" hidden="1" customHeight="1" x14ac:dyDescent="0.3">
      <c r="A122" s="152">
        <v>3</v>
      </c>
      <c r="B122" s="273" t="s">
        <v>646</v>
      </c>
      <c r="C122" s="270" t="s">
        <v>660</v>
      </c>
      <c r="D122" s="155" t="s">
        <v>30</v>
      </c>
      <c r="E122" s="155" t="s">
        <v>543</v>
      </c>
      <c r="F122" s="155"/>
      <c r="G122" s="155">
        <v>11</v>
      </c>
      <c r="H122" s="155"/>
      <c r="I122" s="155">
        <f t="shared" si="22"/>
        <v>11</v>
      </c>
      <c r="J122" s="152" t="s">
        <v>640</v>
      </c>
      <c r="K122" s="152"/>
      <c r="L122" s="152"/>
      <c r="M122" s="169" t="s">
        <v>46</v>
      </c>
      <c r="N122" s="10"/>
      <c r="O122" s="154" t="s">
        <v>26</v>
      </c>
      <c r="P122" s="157">
        <v>10</v>
      </c>
      <c r="Q122" s="157"/>
      <c r="R122" s="157"/>
      <c r="S122" s="157"/>
      <c r="T122" s="157"/>
      <c r="U122" s="157"/>
      <c r="V122" s="157">
        <v>1</v>
      </c>
      <c r="W122" s="157">
        <f t="shared" si="23"/>
        <v>11</v>
      </c>
      <c r="X122" s="159">
        <v>98000</v>
      </c>
      <c r="Y122" s="271">
        <f>P122*X122</f>
        <v>980000</v>
      </c>
      <c r="Z122" s="152" t="s">
        <v>899</v>
      </c>
      <c r="AA122" s="152" t="s">
        <v>990</v>
      </c>
      <c r="AB122" s="90">
        <f t="shared" si="19"/>
        <v>10</v>
      </c>
      <c r="AC122" s="91">
        <f t="shared" si="20"/>
        <v>50000</v>
      </c>
    </row>
    <row r="123" spans="1:29" s="160" customFormat="1" ht="69" hidden="1" customHeight="1" x14ac:dyDescent="0.3">
      <c r="A123" s="152">
        <v>5</v>
      </c>
      <c r="B123" s="273" t="s">
        <v>646</v>
      </c>
      <c r="C123" s="154" t="s">
        <v>656</v>
      </c>
      <c r="D123" s="155" t="s">
        <v>30</v>
      </c>
      <c r="E123" s="155" t="s">
        <v>543</v>
      </c>
      <c r="F123" s="155"/>
      <c r="G123" s="155">
        <v>22</v>
      </c>
      <c r="H123" s="155"/>
      <c r="I123" s="155">
        <f t="shared" si="22"/>
        <v>22</v>
      </c>
      <c r="J123" s="152" t="s">
        <v>640</v>
      </c>
      <c r="K123" s="152"/>
      <c r="L123" s="152"/>
      <c r="M123" s="169" t="s">
        <v>657</v>
      </c>
      <c r="N123" s="154"/>
      <c r="O123" s="154" t="s">
        <v>26</v>
      </c>
      <c r="P123" s="157">
        <v>20</v>
      </c>
      <c r="Q123" s="157"/>
      <c r="R123" s="157"/>
      <c r="S123" s="157"/>
      <c r="T123" s="157"/>
      <c r="U123" s="157"/>
      <c r="V123" s="157">
        <v>2</v>
      </c>
      <c r="W123" s="157">
        <f t="shared" si="23"/>
        <v>22</v>
      </c>
      <c r="X123" s="159">
        <v>98000</v>
      </c>
      <c r="Y123" s="277">
        <f>P123*X123</f>
        <v>1960000</v>
      </c>
      <c r="Z123" s="152"/>
      <c r="AA123" s="152" t="s">
        <v>990</v>
      </c>
      <c r="AB123" s="90">
        <f t="shared" si="19"/>
        <v>20</v>
      </c>
      <c r="AC123" s="91">
        <f t="shared" ref="AC123:AC164" si="25">AB123*5000</f>
        <v>100000</v>
      </c>
    </row>
    <row r="124" spans="1:29" s="160" customFormat="1" ht="117" hidden="1" customHeight="1" x14ac:dyDescent="0.3">
      <c r="A124" s="152">
        <v>6</v>
      </c>
      <c r="B124" s="273" t="s">
        <v>646</v>
      </c>
      <c r="C124" s="154" t="s">
        <v>658</v>
      </c>
      <c r="D124" s="155" t="s">
        <v>30</v>
      </c>
      <c r="E124" s="155" t="s">
        <v>224</v>
      </c>
      <c r="F124" s="155"/>
      <c r="G124" s="155">
        <v>11</v>
      </c>
      <c r="H124" s="155"/>
      <c r="I124" s="155">
        <f t="shared" si="22"/>
        <v>11</v>
      </c>
      <c r="J124" s="152" t="s">
        <v>640</v>
      </c>
      <c r="K124" s="152"/>
      <c r="L124" s="152" t="s">
        <v>491</v>
      </c>
      <c r="M124" s="169" t="s">
        <v>50</v>
      </c>
      <c r="N124" s="154"/>
      <c r="O124" s="154" t="s">
        <v>29</v>
      </c>
      <c r="P124" s="157"/>
      <c r="Q124" s="157">
        <v>10</v>
      </c>
      <c r="R124" s="157"/>
      <c r="S124" s="157"/>
      <c r="T124" s="157"/>
      <c r="U124" s="157"/>
      <c r="V124" s="157">
        <v>1</v>
      </c>
      <c r="W124" s="157">
        <f t="shared" si="23"/>
        <v>11</v>
      </c>
      <c r="X124" s="159">
        <f>P124*85000</f>
        <v>0</v>
      </c>
      <c r="Y124" s="277">
        <f t="shared" ref="Y124" si="26">P124*X124</f>
        <v>0</v>
      </c>
      <c r="Z124" s="152"/>
      <c r="AA124" s="152" t="s">
        <v>990</v>
      </c>
      <c r="AB124" s="90">
        <f t="shared" si="19"/>
        <v>10</v>
      </c>
      <c r="AC124" s="91">
        <f t="shared" si="25"/>
        <v>50000</v>
      </c>
    </row>
    <row r="125" spans="1:29" s="160" customFormat="1" ht="69" hidden="1" customHeight="1" x14ac:dyDescent="0.3">
      <c r="A125" s="152">
        <v>7</v>
      </c>
      <c r="B125" s="273" t="s">
        <v>646</v>
      </c>
      <c r="C125" s="154" t="s">
        <v>659</v>
      </c>
      <c r="D125" s="155" t="s">
        <v>30</v>
      </c>
      <c r="E125" s="155" t="s">
        <v>224</v>
      </c>
      <c r="F125" s="155"/>
      <c r="G125" s="155">
        <v>20</v>
      </c>
      <c r="H125" s="155"/>
      <c r="I125" s="155">
        <f t="shared" si="22"/>
        <v>20</v>
      </c>
      <c r="J125" s="152" t="s">
        <v>640</v>
      </c>
      <c r="K125" s="152"/>
      <c r="L125" s="152" t="s">
        <v>491</v>
      </c>
      <c r="M125" s="169" t="s">
        <v>46</v>
      </c>
      <c r="N125" s="154"/>
      <c r="O125" s="154" t="s">
        <v>26</v>
      </c>
      <c r="P125" s="157">
        <v>20</v>
      </c>
      <c r="Q125" s="157"/>
      <c r="R125" s="157"/>
      <c r="S125" s="157"/>
      <c r="T125" s="157"/>
      <c r="U125" s="157"/>
      <c r="V125" s="157"/>
      <c r="W125" s="157">
        <f t="shared" si="23"/>
        <v>20</v>
      </c>
      <c r="X125" s="159">
        <v>98000</v>
      </c>
      <c r="Y125" s="277">
        <f>P125*X125</f>
        <v>1960000</v>
      </c>
      <c r="Z125" s="152"/>
      <c r="AA125" s="152" t="s">
        <v>990</v>
      </c>
      <c r="AB125" s="90">
        <f t="shared" ref="AB125:AB132" si="27">W125-V125</f>
        <v>20</v>
      </c>
      <c r="AC125" s="91">
        <f t="shared" si="25"/>
        <v>100000</v>
      </c>
    </row>
    <row r="126" spans="1:29" s="160" customFormat="1" ht="118.2" customHeight="1" x14ac:dyDescent="0.3">
      <c r="A126" s="152">
        <v>8</v>
      </c>
      <c r="B126" s="273" t="s">
        <v>646</v>
      </c>
      <c r="C126" s="299" t="s">
        <v>661</v>
      </c>
      <c r="D126" s="155" t="s">
        <v>30</v>
      </c>
      <c r="E126" s="155" t="s">
        <v>543</v>
      </c>
      <c r="F126" s="155"/>
      <c r="G126" s="155">
        <v>55</v>
      </c>
      <c r="H126" s="155"/>
      <c r="I126" s="155">
        <f t="shared" si="22"/>
        <v>55</v>
      </c>
      <c r="J126" s="152" t="s">
        <v>640</v>
      </c>
      <c r="K126" s="152"/>
      <c r="L126" s="152"/>
      <c r="M126" s="152" t="s">
        <v>33</v>
      </c>
      <c r="N126" s="10" t="s">
        <v>37</v>
      </c>
      <c r="O126" s="154" t="s">
        <v>26</v>
      </c>
      <c r="P126" s="157">
        <v>50</v>
      </c>
      <c r="Q126" s="157"/>
      <c r="R126" s="157"/>
      <c r="S126" s="157"/>
      <c r="T126" s="157"/>
      <c r="U126" s="157"/>
      <c r="V126" s="157">
        <v>5</v>
      </c>
      <c r="W126" s="157">
        <f t="shared" si="23"/>
        <v>55</v>
      </c>
      <c r="X126" s="159">
        <v>98000</v>
      </c>
      <c r="Y126" s="271">
        <f>P126*X126</f>
        <v>4900000</v>
      </c>
      <c r="Z126" s="152" t="s">
        <v>848</v>
      </c>
      <c r="AA126" s="152" t="s">
        <v>990</v>
      </c>
      <c r="AB126" s="157">
        <f t="shared" si="27"/>
        <v>50</v>
      </c>
      <c r="AC126" s="158">
        <f t="shared" si="25"/>
        <v>250000</v>
      </c>
    </row>
    <row r="127" spans="1:29" s="160" customFormat="1" ht="66.599999999999994" hidden="1" customHeight="1" x14ac:dyDescent="0.3">
      <c r="A127" s="152">
        <v>9</v>
      </c>
      <c r="B127" s="273" t="s">
        <v>646</v>
      </c>
      <c r="C127" s="154" t="s">
        <v>667</v>
      </c>
      <c r="D127" s="155" t="s">
        <v>668</v>
      </c>
      <c r="E127" s="155"/>
      <c r="F127" s="155"/>
      <c r="G127" s="155">
        <v>55</v>
      </c>
      <c r="H127" s="155"/>
      <c r="I127" s="155">
        <f t="shared" si="22"/>
        <v>55</v>
      </c>
      <c r="J127" s="152" t="s">
        <v>640</v>
      </c>
      <c r="K127" s="152"/>
      <c r="L127" s="152"/>
      <c r="M127" s="169" t="s">
        <v>568</v>
      </c>
      <c r="N127" s="154"/>
      <c r="O127" s="154"/>
      <c r="P127" s="157"/>
      <c r="Q127" s="157">
        <v>50</v>
      </c>
      <c r="R127" s="157"/>
      <c r="S127" s="157"/>
      <c r="T127" s="157"/>
      <c r="U127" s="157"/>
      <c r="V127" s="157">
        <v>5</v>
      </c>
      <c r="W127" s="157">
        <f t="shared" si="23"/>
        <v>55</v>
      </c>
      <c r="X127" s="159">
        <f t="shared" si="24"/>
        <v>0</v>
      </c>
      <c r="Y127" s="277">
        <f t="shared" ref="Y127:Y131" si="28">P127*X127</f>
        <v>0</v>
      </c>
      <c r="Z127" s="152"/>
      <c r="AA127" s="152" t="s">
        <v>990</v>
      </c>
      <c r="AB127" s="90">
        <f t="shared" si="27"/>
        <v>50</v>
      </c>
      <c r="AC127" s="91">
        <f t="shared" si="25"/>
        <v>250000</v>
      </c>
    </row>
    <row r="128" spans="1:29" s="160" customFormat="1" ht="118.2" customHeight="1" x14ac:dyDescent="0.3">
      <c r="A128" s="152">
        <v>10</v>
      </c>
      <c r="B128" s="273" t="s">
        <v>646</v>
      </c>
      <c r="C128" s="154" t="s">
        <v>669</v>
      </c>
      <c r="D128" s="155" t="s">
        <v>30</v>
      </c>
      <c r="E128" s="155" t="s">
        <v>543</v>
      </c>
      <c r="F128" s="155"/>
      <c r="G128" s="155">
        <v>2</v>
      </c>
      <c r="H128" s="155"/>
      <c r="I128" s="155">
        <f t="shared" si="22"/>
        <v>2</v>
      </c>
      <c r="J128" s="36" t="s">
        <v>98</v>
      </c>
      <c r="K128" s="152"/>
      <c r="L128" s="152" t="s">
        <v>491</v>
      </c>
      <c r="M128" s="152" t="s">
        <v>33</v>
      </c>
      <c r="N128" s="10" t="s">
        <v>127</v>
      </c>
      <c r="O128" s="154" t="s">
        <v>29</v>
      </c>
      <c r="P128" s="157"/>
      <c r="Q128" s="157">
        <v>2</v>
      </c>
      <c r="R128" s="157"/>
      <c r="S128" s="157"/>
      <c r="T128" s="157"/>
      <c r="U128" s="157"/>
      <c r="V128" s="157"/>
      <c r="W128" s="157">
        <f t="shared" si="23"/>
        <v>2</v>
      </c>
      <c r="X128" s="159">
        <v>85000</v>
      </c>
      <c r="Y128" s="277">
        <f>Q128*X128</f>
        <v>170000</v>
      </c>
      <c r="Z128" s="152"/>
      <c r="AA128" s="36" t="s">
        <v>98</v>
      </c>
      <c r="AB128" s="90">
        <f t="shared" si="27"/>
        <v>2</v>
      </c>
      <c r="AC128" s="91">
        <f t="shared" si="25"/>
        <v>10000</v>
      </c>
    </row>
    <row r="129" spans="1:30" s="160" customFormat="1" ht="69" hidden="1" customHeight="1" x14ac:dyDescent="0.3">
      <c r="A129" s="152">
        <v>11</v>
      </c>
      <c r="B129" s="273" t="s">
        <v>646</v>
      </c>
      <c r="C129" s="154" t="s">
        <v>672</v>
      </c>
      <c r="D129" s="155" t="s">
        <v>30</v>
      </c>
      <c r="E129" s="155" t="s">
        <v>224</v>
      </c>
      <c r="F129" s="155"/>
      <c r="G129" s="155"/>
      <c r="H129" s="155">
        <v>2</v>
      </c>
      <c r="I129" s="155">
        <f t="shared" si="22"/>
        <v>2</v>
      </c>
      <c r="J129" s="152" t="s">
        <v>595</v>
      </c>
      <c r="K129" s="152"/>
      <c r="L129" s="152" t="s">
        <v>491</v>
      </c>
      <c r="M129" s="169" t="s">
        <v>46</v>
      </c>
      <c r="N129" s="10"/>
      <c r="O129" s="154" t="s">
        <v>42</v>
      </c>
      <c r="P129" s="157"/>
      <c r="Q129" s="157"/>
      <c r="R129" s="157"/>
      <c r="S129" s="157"/>
      <c r="T129" s="157"/>
      <c r="U129" s="157">
        <v>2</v>
      </c>
      <c r="V129" s="157"/>
      <c r="W129" s="157">
        <f t="shared" si="23"/>
        <v>2</v>
      </c>
      <c r="X129" s="159">
        <v>48000</v>
      </c>
      <c r="Y129" s="277">
        <f>U129*X129</f>
        <v>96000</v>
      </c>
      <c r="Z129" s="152" t="s">
        <v>680</v>
      </c>
      <c r="AA129" s="152" t="s">
        <v>990</v>
      </c>
      <c r="AB129" s="90">
        <f t="shared" si="27"/>
        <v>2</v>
      </c>
      <c r="AC129" s="91">
        <f t="shared" si="25"/>
        <v>10000</v>
      </c>
    </row>
    <row r="130" spans="1:30" s="160" customFormat="1" ht="69" customHeight="1" x14ac:dyDescent="0.3">
      <c r="A130" s="152"/>
      <c r="B130" s="273" t="s">
        <v>646</v>
      </c>
      <c r="C130" s="154" t="s">
        <v>676</v>
      </c>
      <c r="D130" s="155" t="s">
        <v>30</v>
      </c>
      <c r="E130" s="155" t="s">
        <v>543</v>
      </c>
      <c r="F130" s="155"/>
      <c r="G130" s="155">
        <v>2</v>
      </c>
      <c r="H130" s="155"/>
      <c r="I130" s="155">
        <f t="shared" si="22"/>
        <v>2</v>
      </c>
      <c r="J130" s="229" t="s">
        <v>176</v>
      </c>
      <c r="K130" s="152"/>
      <c r="L130" s="152" t="s">
        <v>491</v>
      </c>
      <c r="M130" s="152" t="s">
        <v>33</v>
      </c>
      <c r="N130" s="36" t="s">
        <v>176</v>
      </c>
      <c r="O130" s="154" t="s">
        <v>26</v>
      </c>
      <c r="P130" s="157">
        <v>2</v>
      </c>
      <c r="Q130" s="157"/>
      <c r="R130" s="157"/>
      <c r="S130" s="157"/>
      <c r="T130" s="157"/>
      <c r="U130" s="157"/>
      <c r="V130" s="157"/>
      <c r="W130" s="157">
        <f t="shared" si="23"/>
        <v>2</v>
      </c>
      <c r="X130" s="159">
        <v>98000</v>
      </c>
      <c r="Y130" s="277">
        <f t="shared" si="28"/>
        <v>196000</v>
      </c>
      <c r="Z130" s="152"/>
      <c r="AA130" s="36" t="s">
        <v>176</v>
      </c>
      <c r="AB130" s="90">
        <f t="shared" si="27"/>
        <v>2</v>
      </c>
      <c r="AC130" s="91">
        <f t="shared" si="25"/>
        <v>10000</v>
      </c>
    </row>
    <row r="131" spans="1:30" s="160" customFormat="1" ht="69" customHeight="1" x14ac:dyDescent="0.3">
      <c r="A131" s="274"/>
      <c r="B131" s="273" t="s">
        <v>646</v>
      </c>
      <c r="C131" s="312" t="s">
        <v>677</v>
      </c>
      <c r="D131" s="155" t="s">
        <v>30</v>
      </c>
      <c r="E131" s="155" t="s">
        <v>543</v>
      </c>
      <c r="F131" s="275"/>
      <c r="G131" s="275">
        <v>4</v>
      </c>
      <c r="H131" s="275"/>
      <c r="I131" s="275">
        <f t="shared" si="22"/>
        <v>4</v>
      </c>
      <c r="J131" s="212" t="s">
        <v>219</v>
      </c>
      <c r="K131" s="274"/>
      <c r="L131" s="274" t="s">
        <v>491</v>
      </c>
      <c r="M131" s="152" t="s">
        <v>33</v>
      </c>
      <c r="N131" s="10" t="s">
        <v>219</v>
      </c>
      <c r="O131" s="154" t="s">
        <v>26</v>
      </c>
      <c r="P131" s="255"/>
      <c r="Q131" s="255"/>
      <c r="R131" s="255"/>
      <c r="S131" s="255"/>
      <c r="T131" s="255"/>
      <c r="U131" s="255"/>
      <c r="V131" s="255">
        <v>4</v>
      </c>
      <c r="W131" s="255">
        <f t="shared" si="23"/>
        <v>4</v>
      </c>
      <c r="X131" s="284">
        <v>98000</v>
      </c>
      <c r="Y131" s="285">
        <f t="shared" si="28"/>
        <v>0</v>
      </c>
      <c r="Z131" s="274"/>
      <c r="AA131" s="10" t="s">
        <v>219</v>
      </c>
      <c r="AB131" s="90">
        <f t="shared" si="27"/>
        <v>0</v>
      </c>
      <c r="AC131" s="286">
        <f t="shared" si="25"/>
        <v>0</v>
      </c>
    </row>
    <row r="132" spans="1:30" s="160" customFormat="1" ht="69" customHeight="1" x14ac:dyDescent="0.3">
      <c r="A132" s="274"/>
      <c r="B132" s="273" t="s">
        <v>646</v>
      </c>
      <c r="C132" s="154" t="s">
        <v>614</v>
      </c>
      <c r="D132" s="155" t="s">
        <v>30</v>
      </c>
      <c r="E132" s="155" t="s">
        <v>224</v>
      </c>
      <c r="F132" s="275"/>
      <c r="G132" s="275">
        <v>3</v>
      </c>
      <c r="H132" s="275"/>
      <c r="I132" s="275">
        <f t="shared" si="22"/>
        <v>3</v>
      </c>
      <c r="J132" s="10" t="s">
        <v>235</v>
      </c>
      <c r="K132" s="274"/>
      <c r="L132" s="274" t="s">
        <v>491</v>
      </c>
      <c r="M132" s="152" t="s">
        <v>33</v>
      </c>
      <c r="N132" s="10" t="s">
        <v>235</v>
      </c>
      <c r="O132" s="154" t="s">
        <v>26</v>
      </c>
      <c r="P132" s="255">
        <v>3</v>
      </c>
      <c r="Q132" s="255"/>
      <c r="R132" s="255"/>
      <c r="S132" s="255"/>
      <c r="T132" s="255"/>
      <c r="U132" s="255"/>
      <c r="V132" s="255"/>
      <c r="W132" s="255">
        <f t="shared" si="23"/>
        <v>3</v>
      </c>
      <c r="X132" s="284">
        <v>98000</v>
      </c>
      <c r="Y132" s="285">
        <f>P132*X132</f>
        <v>294000</v>
      </c>
      <c r="Z132" s="274" t="s">
        <v>721</v>
      </c>
      <c r="AA132" s="10" t="s">
        <v>235</v>
      </c>
      <c r="AB132" s="90">
        <f t="shared" si="27"/>
        <v>3</v>
      </c>
      <c r="AC132" s="286">
        <v>15000</v>
      </c>
    </row>
    <row r="133" spans="1:30" s="75" customFormat="1" ht="63" hidden="1" customHeight="1" x14ac:dyDescent="0.3">
      <c r="A133" s="85">
        <v>1</v>
      </c>
      <c r="B133" s="85" t="s">
        <v>671</v>
      </c>
      <c r="C133" s="304" t="s">
        <v>709</v>
      </c>
      <c r="D133" s="102" t="s">
        <v>30</v>
      </c>
      <c r="E133" s="102"/>
      <c r="F133" s="102"/>
      <c r="G133" s="102"/>
      <c r="H133" s="102">
        <v>33</v>
      </c>
      <c r="I133" s="275">
        <f t="shared" si="22"/>
        <v>33</v>
      </c>
      <c r="J133" s="85" t="s">
        <v>711</v>
      </c>
      <c r="K133" s="85" t="s">
        <v>710</v>
      </c>
      <c r="L133" s="274" t="s">
        <v>491</v>
      </c>
      <c r="M133" s="85" t="s">
        <v>72</v>
      </c>
      <c r="N133" s="150"/>
      <c r="O133" s="90"/>
      <c r="P133" s="90"/>
      <c r="Q133" s="90"/>
      <c r="R133" s="90"/>
      <c r="S133" s="90"/>
      <c r="T133" s="90"/>
      <c r="U133" s="90"/>
      <c r="V133" s="90"/>
      <c r="W133" s="255">
        <f t="shared" si="23"/>
        <v>0</v>
      </c>
      <c r="X133" s="90"/>
      <c r="Y133" s="90"/>
      <c r="Z133" s="232"/>
      <c r="AA133" s="85"/>
      <c r="AB133" s="85"/>
      <c r="AC133" s="90"/>
    </row>
    <row r="134" spans="1:30" s="160" customFormat="1" ht="60" customHeight="1" x14ac:dyDescent="0.3">
      <c r="A134" s="274">
        <v>2</v>
      </c>
      <c r="B134" s="296" t="s">
        <v>678</v>
      </c>
      <c r="C134" s="312" t="s">
        <v>645</v>
      </c>
      <c r="D134" s="275" t="s">
        <v>30</v>
      </c>
      <c r="E134" s="275" t="s">
        <v>224</v>
      </c>
      <c r="F134" s="275"/>
      <c r="G134" s="275"/>
      <c r="H134" s="275">
        <v>15</v>
      </c>
      <c r="I134" s="275">
        <f t="shared" ref="I134" si="29">H134+G134</f>
        <v>15</v>
      </c>
      <c r="J134" s="274" t="s">
        <v>640</v>
      </c>
      <c r="K134" s="274"/>
      <c r="L134" s="307"/>
      <c r="M134" s="152" t="s">
        <v>33</v>
      </c>
      <c r="N134" s="308" t="s">
        <v>37</v>
      </c>
      <c r="O134" s="283" t="s">
        <v>42</v>
      </c>
      <c r="P134" s="255"/>
      <c r="Q134" s="255"/>
      <c r="R134" s="255"/>
      <c r="S134" s="255"/>
      <c r="T134" s="255"/>
      <c r="U134" s="255">
        <v>14</v>
      </c>
      <c r="V134" s="255">
        <v>1</v>
      </c>
      <c r="W134" s="255">
        <f t="shared" ref="W134:W137" si="30">SUM(P134:V134)</f>
        <v>15</v>
      </c>
      <c r="X134" s="274">
        <v>48000</v>
      </c>
      <c r="Y134" s="330">
        <f>U134*X134</f>
        <v>672000</v>
      </c>
      <c r="Z134" s="309"/>
      <c r="AA134" s="255" t="s">
        <v>37</v>
      </c>
      <c r="AB134" s="310">
        <f t="shared" ref="AB134" si="31">W134-V134</f>
        <v>14</v>
      </c>
      <c r="AC134" s="286">
        <f t="shared" ref="AC134" si="32">AB134*5000</f>
        <v>70000</v>
      </c>
    </row>
    <row r="135" spans="1:30" s="75" customFormat="1" ht="86.4" customHeight="1" x14ac:dyDescent="0.3">
      <c r="A135" s="85">
        <v>3</v>
      </c>
      <c r="B135" s="153" t="s">
        <v>678</v>
      </c>
      <c r="C135" s="300" t="s">
        <v>682</v>
      </c>
      <c r="D135" s="155" t="s">
        <v>30</v>
      </c>
      <c r="E135" s="87" t="s">
        <v>224</v>
      </c>
      <c r="F135" s="87"/>
      <c r="G135" s="87">
        <v>11</v>
      </c>
      <c r="H135" s="87"/>
      <c r="I135" s="155">
        <f t="shared" ref="I135:I144" si="33">H135+G135</f>
        <v>11</v>
      </c>
      <c r="J135" s="85" t="s">
        <v>640</v>
      </c>
      <c r="K135" s="85"/>
      <c r="L135" s="88" t="s">
        <v>491</v>
      </c>
      <c r="M135" s="152" t="s">
        <v>33</v>
      </c>
      <c r="N135" s="7" t="s">
        <v>198</v>
      </c>
      <c r="O135" s="154" t="s">
        <v>26</v>
      </c>
      <c r="P135" s="90">
        <v>10</v>
      </c>
      <c r="Q135" s="90"/>
      <c r="R135" s="90"/>
      <c r="S135" s="90"/>
      <c r="T135" s="90"/>
      <c r="U135" s="90"/>
      <c r="V135" s="90">
        <v>1</v>
      </c>
      <c r="W135" s="157">
        <f t="shared" si="30"/>
        <v>11</v>
      </c>
      <c r="X135" s="92">
        <v>98000</v>
      </c>
      <c r="Y135" s="277">
        <f>P135*X135</f>
        <v>980000</v>
      </c>
      <c r="Z135" s="227"/>
      <c r="AA135" s="152" t="s">
        <v>990</v>
      </c>
      <c r="AB135" s="90">
        <f t="shared" ref="AB135:AB177" si="34">W135-V135</f>
        <v>10</v>
      </c>
      <c r="AC135" s="91">
        <f t="shared" si="25"/>
        <v>50000</v>
      </c>
    </row>
    <row r="136" spans="1:30" ht="119.4" customHeight="1" x14ac:dyDescent="0.3">
      <c r="A136" s="287">
        <v>4</v>
      </c>
      <c r="B136" s="297" t="s">
        <v>678</v>
      </c>
      <c r="C136" s="311" t="s">
        <v>705</v>
      </c>
      <c r="D136" s="276" t="s">
        <v>30</v>
      </c>
      <c r="E136" s="288" t="s">
        <v>90</v>
      </c>
      <c r="F136" s="288">
        <v>3</v>
      </c>
      <c r="G136" s="288"/>
      <c r="H136" s="288"/>
      <c r="I136" s="276">
        <f>H136+G136+F136</f>
        <v>3</v>
      </c>
      <c r="J136" s="287" t="s">
        <v>640</v>
      </c>
      <c r="K136" s="287"/>
      <c r="L136" s="289"/>
      <c r="M136" s="152" t="s">
        <v>33</v>
      </c>
      <c r="N136" s="212" t="s">
        <v>104</v>
      </c>
      <c r="O136" s="290" t="s">
        <v>38</v>
      </c>
      <c r="P136" s="291"/>
      <c r="Q136" s="291"/>
      <c r="R136" s="291"/>
      <c r="S136" s="291">
        <v>3</v>
      </c>
      <c r="T136" s="291"/>
      <c r="U136" s="291"/>
      <c r="V136" s="291"/>
      <c r="W136" s="292">
        <f t="shared" si="30"/>
        <v>3</v>
      </c>
      <c r="X136" s="293">
        <v>93000</v>
      </c>
      <c r="Y136" s="298">
        <f>S136*X136</f>
        <v>279000</v>
      </c>
      <c r="Z136" s="294"/>
      <c r="AA136" s="152" t="s">
        <v>990</v>
      </c>
      <c r="AB136" s="291">
        <f t="shared" si="34"/>
        <v>3</v>
      </c>
      <c r="AC136" s="295">
        <f t="shared" si="25"/>
        <v>15000</v>
      </c>
      <c r="AD136"/>
    </row>
    <row r="137" spans="1:30" ht="69" customHeight="1" x14ac:dyDescent="0.3">
      <c r="A137" s="85">
        <v>5</v>
      </c>
      <c r="B137" s="153" t="s">
        <v>678</v>
      </c>
      <c r="C137" s="87" t="s">
        <v>684</v>
      </c>
      <c r="D137" s="155" t="s">
        <v>30</v>
      </c>
      <c r="E137" s="87" t="s">
        <v>686</v>
      </c>
      <c r="F137" s="87"/>
      <c r="G137" s="87">
        <v>3</v>
      </c>
      <c r="H137" s="87"/>
      <c r="I137" s="276">
        <f t="shared" si="33"/>
        <v>3</v>
      </c>
      <c r="J137" s="89" t="s">
        <v>685</v>
      </c>
      <c r="K137" s="85"/>
      <c r="L137" s="88"/>
      <c r="M137" s="152" t="s">
        <v>33</v>
      </c>
      <c r="N137" s="89" t="s">
        <v>685</v>
      </c>
      <c r="O137" s="154" t="s">
        <v>26</v>
      </c>
      <c r="P137" s="90">
        <v>3</v>
      </c>
      <c r="Q137" s="90"/>
      <c r="R137" s="90"/>
      <c r="S137" s="90"/>
      <c r="T137" s="90"/>
      <c r="U137" s="90"/>
      <c r="V137" s="90"/>
      <c r="W137" s="157">
        <f t="shared" si="30"/>
        <v>3</v>
      </c>
      <c r="X137" s="91">
        <f>SUMIFS('Đơn giá'!C:C,'Đơn giá'!B:B,XUẤT!O137)</f>
        <v>98000</v>
      </c>
      <c r="Y137" s="92">
        <f t="shared" ref="Y137:Y143" si="35">X137*P137</f>
        <v>294000</v>
      </c>
      <c r="Z137" s="232" t="s">
        <v>687</v>
      </c>
      <c r="AA137" s="89" t="s">
        <v>685</v>
      </c>
      <c r="AB137" s="90">
        <f t="shared" si="34"/>
        <v>3</v>
      </c>
      <c r="AC137" s="91">
        <f t="shared" si="25"/>
        <v>15000</v>
      </c>
      <c r="AD137" s="90"/>
    </row>
    <row r="138" spans="1:30" ht="69" customHeight="1" x14ac:dyDescent="0.3">
      <c r="A138" s="85">
        <v>6</v>
      </c>
      <c r="B138" s="153" t="s">
        <v>678</v>
      </c>
      <c r="C138" s="87" t="s">
        <v>684</v>
      </c>
      <c r="D138" s="155" t="s">
        <v>30</v>
      </c>
      <c r="E138" s="87" t="s">
        <v>686</v>
      </c>
      <c r="F138" s="87"/>
      <c r="G138" s="87">
        <v>2</v>
      </c>
      <c r="H138" s="87"/>
      <c r="I138" s="276">
        <f t="shared" si="33"/>
        <v>2</v>
      </c>
      <c r="J138" s="89" t="s">
        <v>685</v>
      </c>
      <c r="K138" s="85"/>
      <c r="L138" s="88"/>
      <c r="M138" s="152" t="s">
        <v>33</v>
      </c>
      <c r="N138" s="89" t="s">
        <v>685</v>
      </c>
      <c r="O138" s="154" t="s">
        <v>26</v>
      </c>
      <c r="P138" s="90">
        <v>2</v>
      </c>
      <c r="Q138" s="90"/>
      <c r="R138" s="90"/>
      <c r="S138" s="90"/>
      <c r="T138" s="90"/>
      <c r="U138" s="90"/>
      <c r="V138" s="90"/>
      <c r="W138" s="157">
        <f t="shared" ref="W138:W157" si="36">SUM(P138:V138)</f>
        <v>2</v>
      </c>
      <c r="X138" s="91">
        <f>SUMIFS('Đơn giá'!C:C,'Đơn giá'!B:B,XUẤT!O138)</f>
        <v>98000</v>
      </c>
      <c r="Y138" s="92">
        <f t="shared" si="35"/>
        <v>196000</v>
      </c>
      <c r="Z138" s="232" t="s">
        <v>690</v>
      </c>
      <c r="AA138" s="89" t="s">
        <v>685</v>
      </c>
      <c r="AB138" s="90">
        <f t="shared" si="34"/>
        <v>2</v>
      </c>
      <c r="AC138" s="91">
        <f t="shared" si="25"/>
        <v>10000</v>
      </c>
      <c r="AD138" s="90"/>
    </row>
    <row r="139" spans="1:30" ht="69" hidden="1" customHeight="1" x14ac:dyDescent="0.3">
      <c r="A139" s="85">
        <v>7</v>
      </c>
      <c r="B139" s="153" t="s">
        <v>678</v>
      </c>
      <c r="C139" s="87" t="s">
        <v>691</v>
      </c>
      <c r="D139" s="155" t="s">
        <v>30</v>
      </c>
      <c r="E139" s="87" t="s">
        <v>224</v>
      </c>
      <c r="F139" s="87"/>
      <c r="G139" s="87">
        <v>22</v>
      </c>
      <c r="H139" s="87"/>
      <c r="I139" s="276">
        <f t="shared" si="33"/>
        <v>22</v>
      </c>
      <c r="J139" s="89" t="s">
        <v>595</v>
      </c>
      <c r="K139" s="85"/>
      <c r="L139" s="88"/>
      <c r="M139" s="169" t="s">
        <v>692</v>
      </c>
      <c r="N139" s="89"/>
      <c r="O139" s="154" t="s">
        <v>29</v>
      </c>
      <c r="P139" s="90"/>
      <c r="Q139" s="90">
        <v>20</v>
      </c>
      <c r="R139" s="90"/>
      <c r="S139" s="90"/>
      <c r="T139" s="90"/>
      <c r="U139" s="90"/>
      <c r="V139" s="90">
        <v>2</v>
      </c>
      <c r="W139" s="157">
        <f t="shared" si="36"/>
        <v>22</v>
      </c>
      <c r="X139" s="91">
        <v>85000</v>
      </c>
      <c r="Y139" s="92">
        <f>X139*Q139</f>
        <v>1700000</v>
      </c>
      <c r="Z139" s="232"/>
      <c r="AA139" s="152" t="s">
        <v>990</v>
      </c>
      <c r="AB139" s="90">
        <f t="shared" si="34"/>
        <v>20</v>
      </c>
      <c r="AC139" s="91">
        <f t="shared" si="25"/>
        <v>100000</v>
      </c>
      <c r="AD139" s="90"/>
    </row>
    <row r="140" spans="1:30" ht="81.599999999999994" hidden="1" customHeight="1" x14ac:dyDescent="0.3">
      <c r="A140" s="85">
        <v>8</v>
      </c>
      <c r="B140" s="153" t="s">
        <v>678</v>
      </c>
      <c r="C140" s="87" t="s">
        <v>693</v>
      </c>
      <c r="D140" s="155" t="s">
        <v>30</v>
      </c>
      <c r="E140" s="87" t="s">
        <v>224</v>
      </c>
      <c r="F140" s="87"/>
      <c r="G140" s="87"/>
      <c r="H140" s="87">
        <v>1</v>
      </c>
      <c r="I140" s="276">
        <f t="shared" si="33"/>
        <v>1</v>
      </c>
      <c r="J140" s="222" t="s">
        <v>49</v>
      </c>
      <c r="K140" s="85"/>
      <c r="L140" s="88"/>
      <c r="M140" s="287" t="s">
        <v>46</v>
      </c>
      <c r="N140" s="89" t="s">
        <v>77</v>
      </c>
      <c r="O140" s="154" t="s">
        <v>39</v>
      </c>
      <c r="P140" s="90"/>
      <c r="Q140" s="90"/>
      <c r="R140" s="90"/>
      <c r="S140" s="90"/>
      <c r="T140" s="90">
        <v>1</v>
      </c>
      <c r="U140" s="90"/>
      <c r="V140" s="90"/>
      <c r="W140" s="157">
        <f t="shared" si="36"/>
        <v>1</v>
      </c>
      <c r="X140" s="91">
        <v>52000</v>
      </c>
      <c r="Y140" s="92">
        <f>X140*T140</f>
        <v>52000</v>
      </c>
      <c r="Z140" s="232" t="s">
        <v>725</v>
      </c>
      <c r="AA140" s="152" t="s">
        <v>990</v>
      </c>
      <c r="AB140" s="90">
        <f t="shared" si="34"/>
        <v>1</v>
      </c>
      <c r="AC140" s="91">
        <f t="shared" si="25"/>
        <v>5000</v>
      </c>
      <c r="AD140" s="90"/>
    </row>
    <row r="141" spans="1:30" ht="69" hidden="1" customHeight="1" x14ac:dyDescent="0.3">
      <c r="A141" s="85">
        <v>9</v>
      </c>
      <c r="B141" s="153" t="s">
        <v>678</v>
      </c>
      <c r="C141" s="304" t="s">
        <v>696</v>
      </c>
      <c r="D141" s="155" t="s">
        <v>30</v>
      </c>
      <c r="E141" s="87" t="s">
        <v>224</v>
      </c>
      <c r="F141" s="87"/>
      <c r="G141" s="87"/>
      <c r="H141" s="87">
        <v>8</v>
      </c>
      <c r="I141" s="276">
        <f t="shared" si="33"/>
        <v>8</v>
      </c>
      <c r="J141" s="89" t="s">
        <v>595</v>
      </c>
      <c r="K141" s="85" t="s">
        <v>695</v>
      </c>
      <c r="L141" s="88" t="s">
        <v>491</v>
      </c>
      <c r="M141" s="287" t="s">
        <v>46</v>
      </c>
      <c r="N141" s="89" t="s">
        <v>694</v>
      </c>
      <c r="O141" s="154" t="s">
        <v>39</v>
      </c>
      <c r="P141" s="90"/>
      <c r="Q141" s="90"/>
      <c r="R141" s="90"/>
      <c r="S141" s="90"/>
      <c r="T141" s="90">
        <v>5</v>
      </c>
      <c r="U141" s="90"/>
      <c r="V141" s="90">
        <v>3</v>
      </c>
      <c r="W141" s="157">
        <f t="shared" si="36"/>
        <v>8</v>
      </c>
      <c r="X141" s="91">
        <f>SUMIFS('Đơn giá'!C:C,'Đơn giá'!B:B,XUẤT!O141)</f>
        <v>52000</v>
      </c>
      <c r="Y141" s="92">
        <f>X141*T141</f>
        <v>260000</v>
      </c>
      <c r="Z141" s="232"/>
      <c r="AA141" s="152" t="s">
        <v>990</v>
      </c>
      <c r="AB141" s="90">
        <f t="shared" si="34"/>
        <v>5</v>
      </c>
      <c r="AC141" s="91">
        <f t="shared" si="25"/>
        <v>25000</v>
      </c>
      <c r="AD141" s="90"/>
    </row>
    <row r="142" spans="1:30" ht="109.8" hidden="1" customHeight="1" x14ac:dyDescent="0.3">
      <c r="A142" s="287">
        <v>10</v>
      </c>
      <c r="B142" s="153" t="s">
        <v>678</v>
      </c>
      <c r="C142" s="300" t="s">
        <v>697</v>
      </c>
      <c r="D142" s="155" t="s">
        <v>30</v>
      </c>
      <c r="E142" s="87" t="s">
        <v>224</v>
      </c>
      <c r="F142" s="288"/>
      <c r="G142" s="288"/>
      <c r="H142" s="288">
        <v>2</v>
      </c>
      <c r="I142" s="276">
        <f t="shared" ref="I142" si="37">H142+G142</f>
        <v>2</v>
      </c>
      <c r="J142" s="287" t="s">
        <v>139</v>
      </c>
      <c r="K142" s="287"/>
      <c r="L142" s="289"/>
      <c r="M142" s="287" t="s">
        <v>46</v>
      </c>
      <c r="N142" s="89" t="s">
        <v>77</v>
      </c>
      <c r="O142" s="154" t="s">
        <v>39</v>
      </c>
      <c r="P142" s="291"/>
      <c r="Q142" s="291"/>
      <c r="R142" s="291"/>
      <c r="S142" s="291"/>
      <c r="T142" s="291">
        <v>2</v>
      </c>
      <c r="U142" s="291"/>
      <c r="V142" s="291"/>
      <c r="W142" s="292">
        <f t="shared" ref="W142" si="38">SUM(P142:V142)</f>
        <v>2</v>
      </c>
      <c r="X142" s="293">
        <v>52000</v>
      </c>
      <c r="Y142" s="92">
        <f>X142*T142</f>
        <v>104000</v>
      </c>
      <c r="Z142" s="294" t="s">
        <v>725</v>
      </c>
      <c r="AA142" s="10" t="s">
        <v>139</v>
      </c>
      <c r="AB142" s="291">
        <f t="shared" ref="AB142" si="39">W142-V142</f>
        <v>2</v>
      </c>
      <c r="AC142" s="295">
        <f t="shared" ref="AC142" si="40">AB142*5000</f>
        <v>10000</v>
      </c>
      <c r="AD142"/>
    </row>
    <row r="143" spans="1:30" ht="69" hidden="1" customHeight="1" x14ac:dyDescent="0.3">
      <c r="A143" s="85">
        <v>11</v>
      </c>
      <c r="B143" s="153" t="s">
        <v>678</v>
      </c>
      <c r="C143" s="305" t="s">
        <v>698</v>
      </c>
      <c r="D143" s="155" t="s">
        <v>30</v>
      </c>
      <c r="E143" s="87" t="s">
        <v>543</v>
      </c>
      <c r="F143" s="87"/>
      <c r="G143" s="87">
        <v>11</v>
      </c>
      <c r="H143" s="87"/>
      <c r="I143" s="155">
        <f t="shared" si="33"/>
        <v>11</v>
      </c>
      <c r="J143" s="89" t="s">
        <v>595</v>
      </c>
      <c r="K143" s="85"/>
      <c r="L143" s="88"/>
      <c r="M143" s="287" t="s">
        <v>46</v>
      </c>
      <c r="N143" s="89" t="s">
        <v>699</v>
      </c>
      <c r="O143" s="154" t="s">
        <v>26</v>
      </c>
      <c r="P143" s="90">
        <v>10</v>
      </c>
      <c r="Q143" s="90"/>
      <c r="R143" s="90"/>
      <c r="S143" s="90"/>
      <c r="T143" s="90"/>
      <c r="U143" s="90"/>
      <c r="V143" s="90">
        <v>1</v>
      </c>
      <c r="W143" s="157">
        <f t="shared" si="36"/>
        <v>11</v>
      </c>
      <c r="X143" s="91">
        <f>SUMIFS('Đơn giá'!C:C,'Đơn giá'!B:B,XUẤT!O143)</f>
        <v>98000</v>
      </c>
      <c r="Y143" s="92">
        <f t="shared" si="35"/>
        <v>980000</v>
      </c>
      <c r="Z143" s="232" t="s">
        <v>680</v>
      </c>
      <c r="AA143" s="227"/>
      <c r="AB143" s="90">
        <f t="shared" si="34"/>
        <v>10</v>
      </c>
      <c r="AC143" s="91">
        <f t="shared" si="25"/>
        <v>50000</v>
      </c>
      <c r="AD143" s="90"/>
    </row>
    <row r="144" spans="1:30" ht="105.6" hidden="1" customHeight="1" x14ac:dyDescent="0.3">
      <c r="A144" s="85">
        <v>12</v>
      </c>
      <c r="B144" s="153" t="s">
        <v>678</v>
      </c>
      <c r="C144" s="305" t="s">
        <v>702</v>
      </c>
      <c r="D144" s="155" t="s">
        <v>30</v>
      </c>
      <c r="E144" s="87" t="s">
        <v>701</v>
      </c>
      <c r="F144" s="87"/>
      <c r="G144" s="87"/>
      <c r="H144" s="87">
        <v>3</v>
      </c>
      <c r="I144" s="155">
        <f t="shared" si="33"/>
        <v>3</v>
      </c>
      <c r="J144" s="89" t="s">
        <v>56</v>
      </c>
      <c r="K144" s="85"/>
      <c r="L144" s="88" t="s">
        <v>491</v>
      </c>
      <c r="M144" s="85" t="s">
        <v>46</v>
      </c>
      <c r="N144" s="89" t="s">
        <v>700</v>
      </c>
      <c r="O144" s="154" t="s">
        <v>39</v>
      </c>
      <c r="P144" s="90"/>
      <c r="Q144" s="90"/>
      <c r="R144" s="90"/>
      <c r="S144" s="90"/>
      <c r="T144" s="90">
        <v>3</v>
      </c>
      <c r="U144" s="90"/>
      <c r="V144" s="90"/>
      <c r="W144" s="157">
        <f t="shared" si="36"/>
        <v>3</v>
      </c>
      <c r="X144" s="91">
        <f>SUMIFS('Đơn giá'!C:C,'Đơn giá'!B:B,XUẤT!O144)</f>
        <v>52000</v>
      </c>
      <c r="Y144" s="92">
        <f>X144*T144</f>
        <v>156000</v>
      </c>
      <c r="Z144" s="232" t="s">
        <v>687</v>
      </c>
      <c r="AA144" s="152" t="s">
        <v>990</v>
      </c>
      <c r="AB144" s="90">
        <f t="shared" si="34"/>
        <v>3</v>
      </c>
      <c r="AC144" s="91">
        <f t="shared" si="25"/>
        <v>15000</v>
      </c>
      <c r="AD144" s="90"/>
    </row>
    <row r="145" spans="1:30" ht="69" customHeight="1" x14ac:dyDescent="0.3">
      <c r="A145" s="85">
        <v>13</v>
      </c>
      <c r="B145" s="153" t="s">
        <v>678</v>
      </c>
      <c r="C145" s="383" t="s">
        <v>703</v>
      </c>
      <c r="D145" s="155" t="s">
        <v>30</v>
      </c>
      <c r="E145" s="87" t="s">
        <v>543</v>
      </c>
      <c r="F145" s="87"/>
      <c r="G145" s="87">
        <v>11</v>
      </c>
      <c r="H145" s="87"/>
      <c r="I145" s="155">
        <f t="shared" ref="I145:I147" si="41">H145+G145</f>
        <v>11</v>
      </c>
      <c r="J145" s="85" t="s">
        <v>595</v>
      </c>
      <c r="K145" s="85"/>
      <c r="L145" s="88"/>
      <c r="M145" s="152" t="s">
        <v>33</v>
      </c>
      <c r="N145" s="7" t="s">
        <v>37</v>
      </c>
      <c r="O145" s="154" t="s">
        <v>29</v>
      </c>
      <c r="P145" s="90"/>
      <c r="Q145" s="90">
        <v>10</v>
      </c>
      <c r="R145" s="90"/>
      <c r="S145" s="90"/>
      <c r="T145" s="90"/>
      <c r="U145" s="90"/>
      <c r="V145" s="90">
        <v>1</v>
      </c>
      <c r="W145" s="157">
        <f t="shared" ref="W145:W147" si="42">SUM(P145:V145)</f>
        <v>11</v>
      </c>
      <c r="X145" s="91">
        <f>SUMIFS('Đơn giá'!C:C,'Đơn giá'!B:B,XUẤT!O145)</f>
        <v>85000</v>
      </c>
      <c r="Y145" s="92">
        <f>X145*Q145</f>
        <v>850000</v>
      </c>
      <c r="Z145" s="232"/>
      <c r="AA145" s="7" t="s">
        <v>37</v>
      </c>
      <c r="AB145" s="90">
        <f t="shared" ref="AB145:AB147" si="43">W145-V145</f>
        <v>10</v>
      </c>
      <c r="AC145" s="91">
        <f t="shared" ref="AC145:AC147" si="44">AB145*5000</f>
        <v>50000</v>
      </c>
      <c r="AD145" s="90"/>
    </row>
    <row r="146" spans="1:30" ht="109.8" customHeight="1" x14ac:dyDescent="0.3">
      <c r="A146" s="287"/>
      <c r="B146" s="153" t="s">
        <v>678</v>
      </c>
      <c r="C146" s="300" t="s">
        <v>706</v>
      </c>
      <c r="D146" s="155" t="s">
        <v>30</v>
      </c>
      <c r="E146" s="87" t="s">
        <v>543</v>
      </c>
      <c r="F146" s="288"/>
      <c r="G146" s="288">
        <v>1</v>
      </c>
      <c r="H146" s="288"/>
      <c r="I146" s="276">
        <f t="shared" si="41"/>
        <v>1</v>
      </c>
      <c r="J146" s="287" t="s">
        <v>707</v>
      </c>
      <c r="K146" s="287"/>
      <c r="L146" s="289" t="s">
        <v>491</v>
      </c>
      <c r="M146" s="152" t="s">
        <v>33</v>
      </c>
      <c r="N146" s="7" t="s">
        <v>108</v>
      </c>
      <c r="O146" s="154" t="s">
        <v>26</v>
      </c>
      <c r="P146" s="291">
        <v>1</v>
      </c>
      <c r="Q146" s="291"/>
      <c r="R146" s="291"/>
      <c r="S146" s="291"/>
      <c r="T146" s="291"/>
      <c r="U146" s="291"/>
      <c r="V146" s="291"/>
      <c r="W146" s="292">
        <f t="shared" si="42"/>
        <v>1</v>
      </c>
      <c r="X146" s="293">
        <v>98000</v>
      </c>
      <c r="Y146" s="92">
        <f>X146*P146</f>
        <v>98000</v>
      </c>
      <c r="Z146" s="294" t="s">
        <v>984</v>
      </c>
      <c r="AA146" s="10" t="s">
        <v>108</v>
      </c>
      <c r="AB146" s="291">
        <f t="shared" si="43"/>
        <v>1</v>
      </c>
      <c r="AC146" s="295">
        <f t="shared" si="44"/>
        <v>5000</v>
      </c>
      <c r="AD146"/>
    </row>
    <row r="147" spans="1:30" ht="69" customHeight="1" x14ac:dyDescent="0.3">
      <c r="A147" s="85"/>
      <c r="B147" s="153" t="s">
        <v>678</v>
      </c>
      <c r="C147" s="306" t="s">
        <v>719</v>
      </c>
      <c r="D147" s="87" t="s">
        <v>683</v>
      </c>
      <c r="E147" s="87" t="s">
        <v>90</v>
      </c>
      <c r="F147" s="87"/>
      <c r="G147" s="87">
        <v>1</v>
      </c>
      <c r="H147" s="87"/>
      <c r="I147" s="155">
        <f t="shared" si="41"/>
        <v>1</v>
      </c>
      <c r="J147" s="10" t="s">
        <v>139</v>
      </c>
      <c r="K147" s="85"/>
      <c r="L147" s="88" t="s">
        <v>491</v>
      </c>
      <c r="M147" s="152" t="s">
        <v>33</v>
      </c>
      <c r="N147" s="10" t="s">
        <v>139</v>
      </c>
      <c r="O147" s="154" t="s">
        <v>26</v>
      </c>
      <c r="P147" s="90">
        <v>1</v>
      </c>
      <c r="Q147" s="90"/>
      <c r="R147" s="90"/>
      <c r="S147" s="90"/>
      <c r="T147" s="90"/>
      <c r="U147" s="90"/>
      <c r="V147" s="90"/>
      <c r="W147" s="157">
        <f t="shared" si="42"/>
        <v>1</v>
      </c>
      <c r="X147" s="91">
        <f>SUMIFS('Đơn giá'!C:C,'Đơn giá'!B:B,XUẤT!O147)</f>
        <v>98000</v>
      </c>
      <c r="Y147" s="92">
        <f t="shared" ref="Y147" si="45">X147*P147</f>
        <v>98000</v>
      </c>
      <c r="Z147" s="232"/>
      <c r="AA147" s="10" t="s">
        <v>139</v>
      </c>
      <c r="AB147" s="90">
        <f t="shared" si="43"/>
        <v>1</v>
      </c>
      <c r="AC147" s="91">
        <f t="shared" si="44"/>
        <v>5000</v>
      </c>
      <c r="AD147" s="90"/>
    </row>
    <row r="148" spans="1:30" ht="54.6" customHeight="1" x14ac:dyDescent="0.3">
      <c r="A148" s="85"/>
      <c r="B148" s="153" t="s">
        <v>678</v>
      </c>
      <c r="C148" s="300" t="s">
        <v>712</v>
      </c>
      <c r="D148" s="87" t="s">
        <v>683</v>
      </c>
      <c r="E148" s="87" t="s">
        <v>224</v>
      </c>
      <c r="F148" s="87"/>
      <c r="G148" s="87">
        <v>1</v>
      </c>
      <c r="H148" s="87"/>
      <c r="I148" s="155">
        <f t="shared" ref="I148:I163" si="46">H148+G148</f>
        <v>1</v>
      </c>
      <c r="J148" s="85" t="s">
        <v>590</v>
      </c>
      <c r="K148" s="85"/>
      <c r="L148" s="88" t="s">
        <v>491</v>
      </c>
      <c r="M148" s="152" t="s">
        <v>33</v>
      </c>
      <c r="N148" s="10" t="s">
        <v>235</v>
      </c>
      <c r="O148" s="154" t="s">
        <v>26</v>
      </c>
      <c r="P148" s="90"/>
      <c r="Q148" s="90"/>
      <c r="R148" s="90"/>
      <c r="S148" s="90"/>
      <c r="T148" s="90"/>
      <c r="U148" s="90"/>
      <c r="V148" s="90">
        <v>1</v>
      </c>
      <c r="W148" s="157">
        <f t="shared" si="36"/>
        <v>1</v>
      </c>
      <c r="X148" s="91">
        <f>SUMIFS('Đơn giá'!C:C,'Đơn giá'!B:B,XUẤT!O148)</f>
        <v>98000</v>
      </c>
      <c r="Y148" s="92">
        <f t="shared" ref="Y148:Y152" si="47">X148*P148</f>
        <v>0</v>
      </c>
      <c r="Z148" s="232"/>
      <c r="AA148" s="227"/>
      <c r="AB148" s="90">
        <f t="shared" si="34"/>
        <v>0</v>
      </c>
      <c r="AC148" s="91">
        <f t="shared" si="25"/>
        <v>0</v>
      </c>
      <c r="AD148" s="90"/>
    </row>
    <row r="149" spans="1:30" ht="41.4" hidden="1" customHeight="1" x14ac:dyDescent="0.3">
      <c r="A149" s="85"/>
      <c r="B149" s="153"/>
      <c r="C149" s="75"/>
      <c r="D149" s="87"/>
      <c r="E149" s="87"/>
      <c r="F149" s="87"/>
      <c r="G149" s="87"/>
      <c r="H149" s="87"/>
      <c r="I149" s="155">
        <f t="shared" si="46"/>
        <v>0</v>
      </c>
      <c r="J149" s="85"/>
      <c r="K149" s="85"/>
      <c r="L149" s="85"/>
      <c r="M149" s="85"/>
      <c r="N149" s="151"/>
      <c r="O149" s="154"/>
      <c r="P149" s="90"/>
      <c r="Q149" s="90"/>
      <c r="R149" s="90"/>
      <c r="S149" s="90"/>
      <c r="T149" s="90"/>
      <c r="U149" s="90"/>
      <c r="V149" s="90"/>
      <c r="W149" s="157">
        <f t="shared" si="36"/>
        <v>0</v>
      </c>
      <c r="X149" s="91">
        <f>SUMIFS('Đơn giá'!C:C,'Đơn giá'!B:B,XUẤT!O149)</f>
        <v>0</v>
      </c>
      <c r="Y149" s="92">
        <f t="shared" si="47"/>
        <v>0</v>
      </c>
      <c r="Z149" s="232"/>
      <c r="AA149" s="85"/>
      <c r="AB149" s="90">
        <f t="shared" si="34"/>
        <v>0</v>
      </c>
      <c r="AC149" s="91">
        <f t="shared" si="25"/>
        <v>0</v>
      </c>
      <c r="AD149" s="90"/>
    </row>
    <row r="150" spans="1:30" ht="69" hidden="1" customHeight="1" x14ac:dyDescent="0.3">
      <c r="A150" s="85">
        <v>1</v>
      </c>
      <c r="B150" s="86" t="s">
        <v>704</v>
      </c>
      <c r="C150" s="306" t="s">
        <v>713</v>
      </c>
      <c r="D150" s="87" t="s">
        <v>683</v>
      </c>
      <c r="E150" s="87" t="s">
        <v>224</v>
      </c>
      <c r="F150" s="87"/>
      <c r="G150" s="87">
        <v>22</v>
      </c>
      <c r="H150" s="87"/>
      <c r="I150" s="155">
        <f t="shared" si="46"/>
        <v>22</v>
      </c>
      <c r="J150" s="85" t="s">
        <v>640</v>
      </c>
      <c r="K150" s="85"/>
      <c r="L150" s="85" t="s">
        <v>491</v>
      </c>
      <c r="M150" s="163" t="s">
        <v>72</v>
      </c>
      <c r="N150" s="163" t="s">
        <v>72</v>
      </c>
      <c r="O150" s="154" t="s">
        <v>29</v>
      </c>
      <c r="P150" s="90"/>
      <c r="Q150" s="90">
        <v>20</v>
      </c>
      <c r="R150" s="90"/>
      <c r="S150" s="90"/>
      <c r="T150" s="90"/>
      <c r="U150" s="90"/>
      <c r="V150" s="90">
        <v>2</v>
      </c>
      <c r="W150" s="157">
        <f t="shared" si="36"/>
        <v>22</v>
      </c>
      <c r="X150" s="91">
        <f>SUMIFS('Đơn giá'!C:C,'Đơn giá'!B:B,XUẤT!O150)</f>
        <v>85000</v>
      </c>
      <c r="Y150" s="92">
        <f>X150*Q150</f>
        <v>1700000</v>
      </c>
      <c r="Z150" s="232"/>
      <c r="AA150" s="152" t="s">
        <v>990</v>
      </c>
      <c r="AB150" s="90">
        <f t="shared" si="34"/>
        <v>20</v>
      </c>
      <c r="AC150" s="91">
        <f t="shared" si="25"/>
        <v>100000</v>
      </c>
      <c r="AD150" s="90"/>
    </row>
    <row r="151" spans="1:30" ht="102" customHeight="1" x14ac:dyDescent="0.3">
      <c r="A151" s="85">
        <v>2</v>
      </c>
      <c r="B151" s="86" t="s">
        <v>704</v>
      </c>
      <c r="C151" s="306" t="s">
        <v>714</v>
      </c>
      <c r="D151" s="87" t="s">
        <v>683</v>
      </c>
      <c r="E151" s="87" t="s">
        <v>72</v>
      </c>
      <c r="F151" s="87"/>
      <c r="G151" s="87">
        <v>5</v>
      </c>
      <c r="H151" s="87"/>
      <c r="I151" s="155">
        <f t="shared" si="46"/>
        <v>5</v>
      </c>
      <c r="J151" s="85" t="s">
        <v>72</v>
      </c>
      <c r="K151" s="85"/>
      <c r="L151" s="85" t="s">
        <v>491</v>
      </c>
      <c r="M151" s="152" t="s">
        <v>33</v>
      </c>
      <c r="N151" s="10" t="s">
        <v>140</v>
      </c>
      <c r="O151" s="90" t="s">
        <v>26</v>
      </c>
      <c r="P151" s="90">
        <v>5</v>
      </c>
      <c r="Q151" s="90"/>
      <c r="R151" s="90"/>
      <c r="S151" s="90"/>
      <c r="T151" s="90"/>
      <c r="U151" s="90"/>
      <c r="V151" s="90"/>
      <c r="W151" s="157">
        <f t="shared" si="36"/>
        <v>5</v>
      </c>
      <c r="X151" s="91">
        <f>SUMIFS('Đơn giá'!C:C,'Đơn giá'!B:B,XUẤT!O151)</f>
        <v>98000</v>
      </c>
      <c r="Y151" s="92">
        <f t="shared" si="47"/>
        <v>490000</v>
      </c>
      <c r="Z151" s="232"/>
      <c r="AA151" s="85" t="s">
        <v>715</v>
      </c>
      <c r="AB151" s="90">
        <f t="shared" si="34"/>
        <v>5</v>
      </c>
      <c r="AC151" s="91">
        <f t="shared" si="25"/>
        <v>25000</v>
      </c>
      <c r="AD151" s="90" t="s">
        <v>724</v>
      </c>
    </row>
    <row r="152" spans="1:30" ht="67.2" customHeight="1" x14ac:dyDescent="0.3">
      <c r="A152" s="85">
        <v>3</v>
      </c>
      <c r="B152" s="86" t="s">
        <v>704</v>
      </c>
      <c r="C152" s="306" t="s">
        <v>717</v>
      </c>
      <c r="D152" s="87" t="s">
        <v>683</v>
      </c>
      <c r="E152" s="87" t="s">
        <v>543</v>
      </c>
      <c r="F152" s="87"/>
      <c r="G152" s="87">
        <v>11</v>
      </c>
      <c r="H152" s="87"/>
      <c r="I152" s="155">
        <f t="shared" si="46"/>
        <v>11</v>
      </c>
      <c r="J152" s="85" t="s">
        <v>595</v>
      </c>
      <c r="K152" s="85"/>
      <c r="L152" s="85" t="s">
        <v>491</v>
      </c>
      <c r="M152" s="152" t="s">
        <v>33</v>
      </c>
      <c r="N152" s="34" t="s">
        <v>123</v>
      </c>
      <c r="O152" s="90" t="s">
        <v>26</v>
      </c>
      <c r="P152" s="90">
        <v>10</v>
      </c>
      <c r="Q152" s="90"/>
      <c r="R152" s="90"/>
      <c r="S152" s="90"/>
      <c r="T152" s="90"/>
      <c r="U152" s="90"/>
      <c r="V152" s="90">
        <v>1</v>
      </c>
      <c r="W152" s="157">
        <f t="shared" si="36"/>
        <v>11</v>
      </c>
      <c r="X152" s="91">
        <f>SUMIFS('Đơn giá'!C:C,'Đơn giá'!B:B,XUẤT!O152)</f>
        <v>98000</v>
      </c>
      <c r="Y152" s="92">
        <f t="shared" si="47"/>
        <v>980000</v>
      </c>
      <c r="Z152" s="232"/>
      <c r="AA152" s="152" t="s">
        <v>990</v>
      </c>
      <c r="AB152" s="90">
        <f t="shared" si="34"/>
        <v>10</v>
      </c>
      <c r="AC152" s="91">
        <f t="shared" si="25"/>
        <v>50000</v>
      </c>
      <c r="AD152" s="90"/>
    </row>
    <row r="153" spans="1:30" ht="102" hidden="1" customHeight="1" x14ac:dyDescent="0.3">
      <c r="A153" s="85">
        <v>4</v>
      </c>
      <c r="B153" s="86" t="s">
        <v>704</v>
      </c>
      <c r="C153" s="306" t="s">
        <v>722</v>
      </c>
      <c r="D153" s="87" t="s">
        <v>683</v>
      </c>
      <c r="E153" s="87" t="s">
        <v>224</v>
      </c>
      <c r="F153" s="87"/>
      <c r="G153" s="87"/>
      <c r="H153" s="87">
        <v>1</v>
      </c>
      <c r="I153" s="155">
        <f t="shared" si="46"/>
        <v>1</v>
      </c>
      <c r="J153" s="85" t="s">
        <v>595</v>
      </c>
      <c r="K153" s="85"/>
      <c r="L153" s="85" t="s">
        <v>491</v>
      </c>
      <c r="M153" s="85" t="s">
        <v>46</v>
      </c>
      <c r="N153" s="89" t="s">
        <v>77</v>
      </c>
      <c r="O153" s="90" t="s">
        <v>39</v>
      </c>
      <c r="P153" s="90"/>
      <c r="Q153" s="90"/>
      <c r="R153" s="90"/>
      <c r="S153" s="90"/>
      <c r="T153" s="90">
        <v>1</v>
      </c>
      <c r="U153" s="90"/>
      <c r="V153" s="90"/>
      <c r="W153" s="157">
        <f t="shared" si="36"/>
        <v>1</v>
      </c>
      <c r="X153" s="91">
        <f>SUMIFS('Đơn giá'!C:C,'Đơn giá'!B:B,XUẤT!O153)</f>
        <v>52000</v>
      </c>
      <c r="Y153" s="92">
        <f>X153*T153</f>
        <v>52000</v>
      </c>
      <c r="Z153" s="232" t="s">
        <v>730</v>
      </c>
      <c r="AA153" s="152" t="s">
        <v>990</v>
      </c>
      <c r="AB153" s="90">
        <f t="shared" si="34"/>
        <v>1</v>
      </c>
      <c r="AC153" s="91">
        <f t="shared" si="25"/>
        <v>5000</v>
      </c>
      <c r="AD153" s="90" t="s">
        <v>390</v>
      </c>
    </row>
    <row r="154" spans="1:30" ht="129" hidden="1" customHeight="1" x14ac:dyDescent="0.3">
      <c r="A154" s="85">
        <v>5</v>
      </c>
      <c r="B154" s="86" t="s">
        <v>704</v>
      </c>
      <c r="C154" s="313" t="s">
        <v>723</v>
      </c>
      <c r="D154" s="87" t="s">
        <v>683</v>
      </c>
      <c r="E154" s="87" t="s">
        <v>224</v>
      </c>
      <c r="F154" s="87"/>
      <c r="G154" s="87"/>
      <c r="H154" s="87">
        <v>3</v>
      </c>
      <c r="I154" s="155">
        <f t="shared" si="46"/>
        <v>3</v>
      </c>
      <c r="J154" s="85" t="s">
        <v>595</v>
      </c>
      <c r="K154" s="85"/>
      <c r="L154" s="85" t="s">
        <v>491</v>
      </c>
      <c r="M154" s="85" t="s">
        <v>46</v>
      </c>
      <c r="N154" s="89" t="s">
        <v>77</v>
      </c>
      <c r="O154" s="90" t="s">
        <v>42</v>
      </c>
      <c r="P154" s="90"/>
      <c r="Q154" s="90"/>
      <c r="R154" s="90"/>
      <c r="S154" s="90"/>
      <c r="T154" s="90"/>
      <c r="U154" s="90">
        <v>3</v>
      </c>
      <c r="V154" s="90"/>
      <c r="W154" s="157">
        <f t="shared" si="36"/>
        <v>3</v>
      </c>
      <c r="X154" s="91">
        <f>SUMIFS('Đơn giá'!C:C,'Đơn giá'!B:B,XUẤT!O154)</f>
        <v>48000</v>
      </c>
      <c r="Y154" s="92">
        <f>X154*U154</f>
        <v>144000</v>
      </c>
      <c r="Z154" s="232" t="s">
        <v>729</v>
      </c>
      <c r="AA154" s="152" t="s">
        <v>990</v>
      </c>
      <c r="AB154" s="90">
        <f t="shared" si="34"/>
        <v>3</v>
      </c>
      <c r="AC154" s="91">
        <f t="shared" si="25"/>
        <v>15000</v>
      </c>
      <c r="AD154" s="90" t="s">
        <v>390</v>
      </c>
    </row>
    <row r="155" spans="1:30" ht="46.2" hidden="1" customHeight="1" x14ac:dyDescent="0.3">
      <c r="A155" s="404">
        <v>6</v>
      </c>
      <c r="B155" s="406" t="s">
        <v>704</v>
      </c>
      <c r="C155" s="408" t="s">
        <v>726</v>
      </c>
      <c r="D155" s="87" t="s">
        <v>683</v>
      </c>
      <c r="E155" s="87" t="s">
        <v>543</v>
      </c>
      <c r="F155" s="87"/>
      <c r="G155" s="87">
        <v>6</v>
      </c>
      <c r="H155" s="87"/>
      <c r="I155" s="155"/>
      <c r="J155" s="36" t="s">
        <v>98</v>
      </c>
      <c r="K155" s="85"/>
      <c r="L155" s="85" t="s">
        <v>491</v>
      </c>
      <c r="M155" s="85" t="s">
        <v>46</v>
      </c>
      <c r="N155" s="89" t="s">
        <v>77</v>
      </c>
      <c r="O155" s="90" t="s">
        <v>26</v>
      </c>
      <c r="P155" s="90">
        <v>5</v>
      </c>
      <c r="Q155" s="90"/>
      <c r="R155" s="90"/>
      <c r="S155" s="90"/>
      <c r="T155" s="90"/>
      <c r="U155" s="90"/>
      <c r="V155" s="90">
        <v>1</v>
      </c>
      <c r="W155" s="157">
        <f t="shared" si="36"/>
        <v>6</v>
      </c>
      <c r="X155" s="91">
        <f>SUMIFS('Đơn giá'!C:C,'Đơn giá'!B:B,XUẤT!O155)</f>
        <v>98000</v>
      </c>
      <c r="Y155" s="92">
        <f t="shared" ref="Y155:Y160" si="48">X155*P155</f>
        <v>490000</v>
      </c>
      <c r="Z155" s="232" t="s">
        <v>756</v>
      </c>
      <c r="AA155" s="10" t="s">
        <v>98</v>
      </c>
      <c r="AB155" s="90">
        <f>W155-V155</f>
        <v>5</v>
      </c>
      <c r="AC155" s="91">
        <f t="shared" si="25"/>
        <v>25000</v>
      </c>
      <c r="AD155" s="90"/>
    </row>
    <row r="156" spans="1:30" ht="46.2" hidden="1" customHeight="1" x14ac:dyDescent="0.3">
      <c r="A156" s="405"/>
      <c r="B156" s="407"/>
      <c r="C156" s="409"/>
      <c r="D156" s="87" t="s">
        <v>683</v>
      </c>
      <c r="E156" s="87" t="s">
        <v>543</v>
      </c>
      <c r="F156" s="87"/>
      <c r="G156" s="87">
        <v>5</v>
      </c>
      <c r="H156" s="87"/>
      <c r="I156" s="155"/>
      <c r="J156" s="36" t="s">
        <v>41</v>
      </c>
      <c r="K156" s="85"/>
      <c r="L156" s="85" t="s">
        <v>491</v>
      </c>
      <c r="M156" s="85" t="s">
        <v>46</v>
      </c>
      <c r="N156" s="89" t="s">
        <v>77</v>
      </c>
      <c r="O156" s="90" t="s">
        <v>26</v>
      </c>
      <c r="P156" s="90">
        <v>5</v>
      </c>
      <c r="Q156" s="90"/>
      <c r="R156" s="90"/>
      <c r="S156" s="90"/>
      <c r="T156" s="90"/>
      <c r="U156" s="90"/>
      <c r="V156" s="90"/>
      <c r="W156" s="157">
        <f t="shared" si="36"/>
        <v>5</v>
      </c>
      <c r="X156" s="91">
        <f>SUMIFS('Đơn giá'!C:C,'Đơn giá'!B:B,XUẤT!O156)</f>
        <v>98000</v>
      </c>
      <c r="Y156" s="92">
        <f t="shared" si="48"/>
        <v>490000</v>
      </c>
      <c r="Z156" s="232" t="s">
        <v>756</v>
      </c>
      <c r="AA156" s="10" t="s">
        <v>41</v>
      </c>
      <c r="AB156" s="90">
        <f t="shared" ref="AB156:AB157" si="49">W156-V156</f>
        <v>5</v>
      </c>
      <c r="AC156" s="91">
        <f t="shared" si="25"/>
        <v>25000</v>
      </c>
      <c r="AD156" s="90"/>
    </row>
    <row r="157" spans="1:30" ht="62.4" customHeight="1" x14ac:dyDescent="0.3">
      <c r="A157" s="85">
        <v>1</v>
      </c>
      <c r="B157" s="86" t="s">
        <v>720</v>
      </c>
      <c r="C157" s="313" t="s">
        <v>732</v>
      </c>
      <c r="D157" s="87" t="s">
        <v>683</v>
      </c>
      <c r="E157" s="87" t="s">
        <v>90</v>
      </c>
      <c r="F157" s="87"/>
      <c r="G157" s="87">
        <v>1</v>
      </c>
      <c r="H157" s="87"/>
      <c r="I157" s="155"/>
      <c r="J157" s="85" t="s">
        <v>732</v>
      </c>
      <c r="K157" s="85"/>
      <c r="L157" s="85" t="s">
        <v>491</v>
      </c>
      <c r="M157" s="152" t="s">
        <v>33</v>
      </c>
      <c r="N157" s="10" t="s">
        <v>134</v>
      </c>
      <c r="O157" s="90" t="s">
        <v>26</v>
      </c>
      <c r="P157" s="90">
        <v>1</v>
      </c>
      <c r="Q157" s="90"/>
      <c r="R157" s="90"/>
      <c r="S157" s="90"/>
      <c r="T157" s="90"/>
      <c r="U157" s="90"/>
      <c r="V157" s="90">
        <v>1</v>
      </c>
      <c r="W157" s="157">
        <f t="shared" si="36"/>
        <v>2</v>
      </c>
      <c r="X157" s="91">
        <v>98000</v>
      </c>
      <c r="Y157" s="92">
        <f t="shared" si="48"/>
        <v>98000</v>
      </c>
      <c r="Z157" s="232" t="s">
        <v>760</v>
      </c>
      <c r="AA157" s="10" t="s">
        <v>134</v>
      </c>
      <c r="AB157" s="90">
        <f t="shared" si="49"/>
        <v>1</v>
      </c>
      <c r="AC157" s="91">
        <f t="shared" si="25"/>
        <v>5000</v>
      </c>
      <c r="AD157" s="90"/>
    </row>
    <row r="158" spans="1:30" ht="62.4" customHeight="1" x14ac:dyDescent="0.3">
      <c r="A158" s="85">
        <v>1</v>
      </c>
      <c r="B158" s="86" t="s">
        <v>720</v>
      </c>
      <c r="C158" s="313" t="s">
        <v>733</v>
      </c>
      <c r="D158" s="87" t="s">
        <v>683</v>
      </c>
      <c r="E158" s="87" t="s">
        <v>224</v>
      </c>
      <c r="F158" s="87"/>
      <c r="G158" s="87">
        <v>11</v>
      </c>
      <c r="H158" s="87"/>
      <c r="I158" s="155"/>
      <c r="J158" s="85" t="s">
        <v>595</v>
      </c>
      <c r="K158" s="85"/>
      <c r="L158" s="85" t="s">
        <v>491</v>
      </c>
      <c r="M158" s="152" t="s">
        <v>33</v>
      </c>
      <c r="N158" s="10" t="s">
        <v>107</v>
      </c>
      <c r="O158" s="90" t="s">
        <v>26</v>
      </c>
      <c r="P158" s="90">
        <v>10</v>
      </c>
      <c r="Q158" s="90"/>
      <c r="R158" s="90"/>
      <c r="S158" s="90"/>
      <c r="T158" s="90"/>
      <c r="U158" s="90"/>
      <c r="V158" s="90">
        <v>1</v>
      </c>
      <c r="W158" s="157">
        <f t="shared" ref="W158" si="50">SUM(P158:V158)</f>
        <v>11</v>
      </c>
      <c r="X158" s="91">
        <v>98000</v>
      </c>
      <c r="Y158" s="92">
        <f t="shared" si="48"/>
        <v>980000</v>
      </c>
      <c r="Z158" s="232" t="s">
        <v>756</v>
      </c>
      <c r="AA158" s="152" t="s">
        <v>990</v>
      </c>
      <c r="AB158" s="90">
        <f t="shared" ref="AB158" si="51">W158-V158</f>
        <v>10</v>
      </c>
      <c r="AC158" s="91">
        <f t="shared" ref="AC158" si="52">AB158*5000</f>
        <v>50000</v>
      </c>
      <c r="AD158" s="90"/>
    </row>
    <row r="159" spans="1:30" ht="62.4" customHeight="1" x14ac:dyDescent="0.3">
      <c r="A159" s="85">
        <v>1</v>
      </c>
      <c r="B159" s="86" t="s">
        <v>720</v>
      </c>
      <c r="C159" s="313" t="s">
        <v>734</v>
      </c>
      <c r="D159" s="87" t="s">
        <v>683</v>
      </c>
      <c r="E159" s="87" t="s">
        <v>224</v>
      </c>
      <c r="F159" s="87"/>
      <c r="G159" s="87">
        <v>6</v>
      </c>
      <c r="H159" s="87"/>
      <c r="I159" s="155"/>
      <c r="J159" s="85" t="s">
        <v>239</v>
      </c>
      <c r="K159" s="85"/>
      <c r="L159" s="85" t="s">
        <v>491</v>
      </c>
      <c r="M159" s="152" t="s">
        <v>33</v>
      </c>
      <c r="N159" s="85" t="s">
        <v>239</v>
      </c>
      <c r="O159" s="90" t="s">
        <v>26</v>
      </c>
      <c r="P159" s="90">
        <v>6</v>
      </c>
      <c r="Q159" s="90"/>
      <c r="R159" s="90"/>
      <c r="S159" s="90"/>
      <c r="T159" s="90"/>
      <c r="U159" s="90"/>
      <c r="V159" s="90"/>
      <c r="W159" s="157">
        <f t="shared" ref="W159" si="53">SUM(P159:V159)</f>
        <v>6</v>
      </c>
      <c r="X159" s="91">
        <v>98000</v>
      </c>
      <c r="Y159" s="92">
        <f t="shared" si="48"/>
        <v>588000</v>
      </c>
      <c r="Z159" s="232" t="s">
        <v>977</v>
      </c>
      <c r="AA159" s="85" t="s">
        <v>239</v>
      </c>
      <c r="AB159" s="90">
        <f t="shared" ref="AB159" si="54">W159-V159</f>
        <v>6</v>
      </c>
      <c r="AC159" s="91">
        <f t="shared" ref="AC159" si="55">AB159*5000</f>
        <v>30000</v>
      </c>
      <c r="AD159" s="90"/>
    </row>
    <row r="160" spans="1:30" ht="62.4" hidden="1" customHeight="1" x14ac:dyDescent="0.3">
      <c r="A160" s="85">
        <v>1</v>
      </c>
      <c r="B160" s="86" t="s">
        <v>727</v>
      </c>
      <c r="C160" s="313" t="s">
        <v>735</v>
      </c>
      <c r="D160" s="87" t="s">
        <v>683</v>
      </c>
      <c r="E160" s="87" t="s">
        <v>543</v>
      </c>
      <c r="F160" s="87"/>
      <c r="G160" s="87">
        <v>11</v>
      </c>
      <c r="H160" s="87"/>
      <c r="I160" s="155"/>
      <c r="J160" s="85" t="s">
        <v>728</v>
      </c>
      <c r="K160" s="85"/>
      <c r="L160" s="85" t="s">
        <v>491</v>
      </c>
      <c r="M160" s="85" t="s">
        <v>46</v>
      </c>
      <c r="N160" s="89"/>
      <c r="O160" s="90" t="s">
        <v>26</v>
      </c>
      <c r="P160" s="90">
        <v>10</v>
      </c>
      <c r="Q160" s="90"/>
      <c r="R160" s="90"/>
      <c r="S160" s="90"/>
      <c r="T160" s="90"/>
      <c r="U160" s="90"/>
      <c r="V160" s="90">
        <v>1</v>
      </c>
      <c r="W160" s="157">
        <f t="shared" ref="W160" si="56">SUM(P160:V160)</f>
        <v>11</v>
      </c>
      <c r="X160" s="91">
        <v>98000</v>
      </c>
      <c r="Y160" s="92">
        <f t="shared" si="48"/>
        <v>980000</v>
      </c>
      <c r="Z160" s="232" t="s">
        <v>757</v>
      </c>
      <c r="AA160" s="10" t="s">
        <v>98</v>
      </c>
      <c r="AB160" s="90">
        <f t="shared" ref="AB160" si="57">W160-V160</f>
        <v>10</v>
      </c>
      <c r="AC160" s="91">
        <f t="shared" ref="AC160" si="58">AB160*5000</f>
        <v>50000</v>
      </c>
      <c r="AD160" s="90"/>
    </row>
    <row r="161" spans="1:30" ht="109.2" customHeight="1" x14ac:dyDescent="0.3">
      <c r="A161" s="102">
        <v>2</v>
      </c>
      <c r="B161" s="86" t="s">
        <v>727</v>
      </c>
      <c r="C161" s="313" t="s">
        <v>736</v>
      </c>
      <c r="D161" s="87" t="s">
        <v>683</v>
      </c>
      <c r="E161" s="102" t="s">
        <v>72</v>
      </c>
      <c r="F161" s="102"/>
      <c r="G161" s="102">
        <v>5</v>
      </c>
      <c r="H161" s="102"/>
      <c r="I161" s="155">
        <f t="shared" si="46"/>
        <v>5</v>
      </c>
      <c r="J161" s="102" t="s">
        <v>72</v>
      </c>
      <c r="K161" s="102"/>
      <c r="L161" s="85" t="s">
        <v>491</v>
      </c>
      <c r="M161" s="152" t="s">
        <v>33</v>
      </c>
      <c r="N161" s="10" t="s">
        <v>177</v>
      </c>
      <c r="O161" s="90" t="s">
        <v>26</v>
      </c>
      <c r="P161" s="90">
        <v>5</v>
      </c>
      <c r="Q161" s="90"/>
      <c r="R161" s="90"/>
      <c r="S161" s="90"/>
      <c r="T161" s="90"/>
      <c r="U161" s="90"/>
      <c r="V161" s="90"/>
      <c r="W161" s="90">
        <f t="shared" ref="W161:W176" si="59">SUM(P161:V161)</f>
        <v>5</v>
      </c>
      <c r="X161" s="91">
        <f>SUMIFS('Đơn giá'!C:C,'Đơn giá'!B:B,XUẤT!O161)</f>
        <v>98000</v>
      </c>
      <c r="Y161" s="92">
        <f t="shared" ref="Y161:Y164" si="60">X161*P161</f>
        <v>490000</v>
      </c>
      <c r="Z161" s="232"/>
      <c r="AA161" s="85" t="s">
        <v>715</v>
      </c>
      <c r="AB161" s="90">
        <f t="shared" si="34"/>
        <v>5</v>
      </c>
      <c r="AC161" s="91">
        <f t="shared" si="25"/>
        <v>25000</v>
      </c>
      <c r="AD161" s="90"/>
    </row>
    <row r="162" spans="1:30" ht="109.2" hidden="1" customHeight="1" x14ac:dyDescent="0.3">
      <c r="A162" s="102">
        <v>3</v>
      </c>
      <c r="B162" s="86" t="s">
        <v>727</v>
      </c>
      <c r="C162" s="313" t="s">
        <v>755</v>
      </c>
      <c r="D162" s="87" t="s">
        <v>683</v>
      </c>
      <c r="E162" s="87" t="s">
        <v>543</v>
      </c>
      <c r="F162" s="102"/>
      <c r="G162" s="102">
        <v>22</v>
      </c>
      <c r="H162" s="102"/>
      <c r="I162" s="155">
        <f t="shared" si="46"/>
        <v>22</v>
      </c>
      <c r="J162" s="102" t="s">
        <v>98</v>
      </c>
      <c r="K162" s="102"/>
      <c r="L162" s="85" t="s">
        <v>491</v>
      </c>
      <c r="M162" s="85" t="s">
        <v>46</v>
      </c>
      <c r="N162" s="150"/>
      <c r="O162" s="90" t="s">
        <v>26</v>
      </c>
      <c r="P162" s="90">
        <v>20</v>
      </c>
      <c r="Q162" s="90"/>
      <c r="R162" s="90"/>
      <c r="S162" s="90"/>
      <c r="T162" s="90"/>
      <c r="U162" s="90"/>
      <c r="V162" s="90">
        <v>2</v>
      </c>
      <c r="W162" s="90">
        <f t="shared" si="59"/>
        <v>22</v>
      </c>
      <c r="X162" s="91">
        <f>SUMIFS('Đơn giá'!C:C,'Đơn giá'!B:B,XUẤT!O162)</f>
        <v>98000</v>
      </c>
      <c r="Y162" s="92">
        <f t="shared" si="60"/>
        <v>1960000</v>
      </c>
      <c r="Z162" s="232"/>
      <c r="AA162" s="85" t="s">
        <v>98</v>
      </c>
      <c r="AB162" s="90">
        <f t="shared" si="34"/>
        <v>20</v>
      </c>
      <c r="AC162" s="91">
        <f t="shared" si="25"/>
        <v>100000</v>
      </c>
      <c r="AD162" s="90"/>
    </row>
    <row r="163" spans="1:30" ht="73.8" customHeight="1" x14ac:dyDescent="0.3">
      <c r="A163" s="102">
        <v>5</v>
      </c>
      <c r="B163" s="86" t="s">
        <v>727</v>
      </c>
      <c r="C163" s="313" t="s">
        <v>655</v>
      </c>
      <c r="D163" s="87" t="s">
        <v>683</v>
      </c>
      <c r="E163" s="87" t="s">
        <v>90</v>
      </c>
      <c r="F163" s="102"/>
      <c r="G163" s="102">
        <v>1</v>
      </c>
      <c r="H163" s="102"/>
      <c r="I163" s="155">
        <f t="shared" si="46"/>
        <v>1</v>
      </c>
      <c r="J163" s="10" t="s">
        <v>139</v>
      </c>
      <c r="K163" s="102"/>
      <c r="L163" s="85" t="s">
        <v>491</v>
      </c>
      <c r="M163" s="152" t="s">
        <v>33</v>
      </c>
      <c r="N163" s="10" t="s">
        <v>139</v>
      </c>
      <c r="O163" s="90" t="s">
        <v>26</v>
      </c>
      <c r="P163" s="90">
        <v>1</v>
      </c>
      <c r="Q163" s="90"/>
      <c r="R163" s="90"/>
      <c r="S163" s="90"/>
      <c r="T163" s="90"/>
      <c r="U163" s="90"/>
      <c r="V163" s="90"/>
      <c r="W163" s="90">
        <f t="shared" si="59"/>
        <v>1</v>
      </c>
      <c r="X163" s="91">
        <f>SUMIFS('Đơn giá'!C:C,'Đơn giá'!B:B,XUẤT!O163)</f>
        <v>98000</v>
      </c>
      <c r="Y163" s="92">
        <f t="shared" si="60"/>
        <v>98000</v>
      </c>
      <c r="Z163" s="232"/>
      <c r="AA163" s="10" t="s">
        <v>139</v>
      </c>
      <c r="AB163" s="90">
        <f t="shared" si="34"/>
        <v>1</v>
      </c>
      <c r="AC163" s="91">
        <f t="shared" si="25"/>
        <v>5000</v>
      </c>
      <c r="AD163" s="90"/>
    </row>
    <row r="164" spans="1:30" ht="109.2" customHeight="1" x14ac:dyDescent="0.3">
      <c r="A164" s="102">
        <v>1</v>
      </c>
      <c r="B164" s="86" t="s">
        <v>737</v>
      </c>
      <c r="C164" s="316" t="s">
        <v>746</v>
      </c>
      <c r="D164" s="155" t="s">
        <v>30</v>
      </c>
      <c r="E164" s="162" t="s">
        <v>224</v>
      </c>
      <c r="F164" s="162"/>
      <c r="G164" s="162">
        <v>11</v>
      </c>
      <c r="H164" s="162"/>
      <c r="I164" s="155">
        <f>F164+G164+H164</f>
        <v>11</v>
      </c>
      <c r="J164" s="102" t="s">
        <v>745</v>
      </c>
      <c r="K164" s="102"/>
      <c r="L164" s="90" t="s">
        <v>491</v>
      </c>
      <c r="M164" s="152" t="s">
        <v>33</v>
      </c>
      <c r="N164" s="10" t="s">
        <v>230</v>
      </c>
      <c r="O164" s="90" t="s">
        <v>26</v>
      </c>
      <c r="P164" s="90">
        <v>10</v>
      </c>
      <c r="Q164" s="90"/>
      <c r="R164" s="90"/>
      <c r="S164" s="90"/>
      <c r="T164" s="90"/>
      <c r="U164" s="90"/>
      <c r="V164" s="90">
        <v>1</v>
      </c>
      <c r="W164" s="90">
        <f t="shared" si="59"/>
        <v>11</v>
      </c>
      <c r="X164" s="91">
        <f>SUMIFS('Đơn giá'!C:C,'Đơn giá'!B:B,XUẤT!O164)</f>
        <v>98000</v>
      </c>
      <c r="Y164" s="92">
        <f t="shared" si="60"/>
        <v>980000</v>
      </c>
      <c r="Z164" s="232" t="s">
        <v>911</v>
      </c>
      <c r="AA164" s="85" t="s">
        <v>738</v>
      </c>
      <c r="AB164" s="90">
        <f t="shared" si="34"/>
        <v>10</v>
      </c>
      <c r="AC164" s="91">
        <f t="shared" si="25"/>
        <v>50000</v>
      </c>
      <c r="AD164" s="90"/>
    </row>
    <row r="165" spans="1:30" ht="151.19999999999999" hidden="1" customHeight="1" x14ac:dyDescent="0.3">
      <c r="A165" s="85">
        <v>2</v>
      </c>
      <c r="B165" s="85" t="s">
        <v>737</v>
      </c>
      <c r="C165" s="313" t="s">
        <v>748</v>
      </c>
      <c r="D165" s="102" t="s">
        <v>668</v>
      </c>
      <c r="E165" s="102" t="s">
        <v>72</v>
      </c>
      <c r="F165" s="102"/>
      <c r="G165" s="102"/>
      <c r="H165" s="102">
        <v>16</v>
      </c>
      <c r="I165" s="155">
        <f t="shared" ref="I165:I223" si="61">F165+G165+H165</f>
        <v>16</v>
      </c>
      <c r="J165" s="85" t="s">
        <v>523</v>
      </c>
      <c r="K165" s="85" t="s">
        <v>744</v>
      </c>
      <c r="L165" s="90" t="s">
        <v>491</v>
      </c>
      <c r="M165" s="85" t="s">
        <v>72</v>
      </c>
      <c r="N165" s="150"/>
      <c r="O165" s="90"/>
      <c r="P165" s="90"/>
      <c r="Q165" s="90"/>
      <c r="R165" s="90"/>
      <c r="S165" s="90"/>
      <c r="T165" s="90"/>
      <c r="U165" s="90"/>
      <c r="V165" s="90"/>
      <c r="W165" s="90">
        <f t="shared" ref="W165:W172" si="62">SUM(P165:V165)</f>
        <v>0</v>
      </c>
      <c r="X165" s="91">
        <f>SUMIFS('Đơn giá'!C:C,'Đơn giá'!B:B,XUẤT!O165)</f>
        <v>0</v>
      </c>
      <c r="Y165" s="92">
        <f t="shared" ref="Y165:Y166" si="63">X165*P165</f>
        <v>0</v>
      </c>
      <c r="Z165" s="232"/>
      <c r="AA165" s="85"/>
      <c r="AB165" s="85"/>
      <c r="AC165" s="91">
        <f t="shared" ref="AC165:AC177" si="64">AB165*5000</f>
        <v>0</v>
      </c>
      <c r="AD165" s="90"/>
    </row>
    <row r="166" spans="1:30" s="160" customFormat="1" ht="136.80000000000001" hidden="1" x14ac:dyDescent="0.3">
      <c r="A166" s="152">
        <v>3</v>
      </c>
      <c r="B166" s="152" t="s">
        <v>737</v>
      </c>
      <c r="C166" s="316" t="s">
        <v>777</v>
      </c>
      <c r="D166" s="155" t="s">
        <v>30</v>
      </c>
      <c r="E166" s="162" t="s">
        <v>224</v>
      </c>
      <c r="F166" s="162"/>
      <c r="G166" s="162">
        <v>33</v>
      </c>
      <c r="H166" s="162"/>
      <c r="I166" s="155">
        <f t="shared" si="61"/>
        <v>33</v>
      </c>
      <c r="J166" s="152" t="s">
        <v>782</v>
      </c>
      <c r="K166" s="152" t="s">
        <v>248</v>
      </c>
      <c r="L166" s="157" t="s">
        <v>491</v>
      </c>
      <c r="M166" s="152" t="s">
        <v>568</v>
      </c>
      <c r="N166" s="163" t="s">
        <v>747</v>
      </c>
      <c r="O166" s="157" t="s">
        <v>26</v>
      </c>
      <c r="P166" s="157">
        <v>30</v>
      </c>
      <c r="Q166" s="157"/>
      <c r="R166" s="157"/>
      <c r="S166" s="157"/>
      <c r="T166" s="157"/>
      <c r="U166" s="157"/>
      <c r="V166" s="157">
        <v>3</v>
      </c>
      <c r="W166" s="157">
        <f t="shared" si="62"/>
        <v>33</v>
      </c>
      <c r="X166" s="158">
        <f>SUMIFS('Đơn giá'!C:C,'Đơn giá'!B:B,XUẤT!O166)</f>
        <v>98000</v>
      </c>
      <c r="Y166" s="159">
        <f t="shared" si="63"/>
        <v>2940000</v>
      </c>
      <c r="Z166" s="152" t="s">
        <v>786</v>
      </c>
      <c r="AA166" s="152" t="s">
        <v>749</v>
      </c>
      <c r="AB166" s="152">
        <v>30</v>
      </c>
      <c r="AC166" s="158">
        <f t="shared" si="64"/>
        <v>150000</v>
      </c>
      <c r="AD166" s="157"/>
    </row>
    <row r="167" spans="1:30" s="160" customFormat="1" ht="58.8" customHeight="1" x14ac:dyDescent="0.3">
      <c r="A167" s="152">
        <v>4</v>
      </c>
      <c r="B167" s="152" t="s">
        <v>737</v>
      </c>
      <c r="C167" s="316" t="s">
        <v>750</v>
      </c>
      <c r="D167" s="162" t="s">
        <v>30</v>
      </c>
      <c r="E167" s="162" t="s">
        <v>543</v>
      </c>
      <c r="F167" s="162"/>
      <c r="G167" s="162"/>
      <c r="H167" s="162">
        <v>2</v>
      </c>
      <c r="I167" s="155">
        <f t="shared" si="61"/>
        <v>2</v>
      </c>
      <c r="J167" s="36" t="s">
        <v>213</v>
      </c>
      <c r="K167" s="152"/>
      <c r="L167" s="157" t="s">
        <v>491</v>
      </c>
      <c r="M167" s="152" t="s">
        <v>33</v>
      </c>
      <c r="N167" s="10" t="s">
        <v>213</v>
      </c>
      <c r="O167" s="157" t="s">
        <v>39</v>
      </c>
      <c r="P167" s="157"/>
      <c r="Q167" s="157"/>
      <c r="R167" s="157"/>
      <c r="S167" s="157"/>
      <c r="T167" s="157">
        <v>2</v>
      </c>
      <c r="U167" s="157"/>
      <c r="V167" s="157"/>
      <c r="W167" s="157">
        <f t="shared" si="62"/>
        <v>2</v>
      </c>
      <c r="X167" s="158">
        <f>SUMIFS('Đơn giá'!C:C,'Đơn giá'!B:B,XUẤT!O167)</f>
        <v>52000</v>
      </c>
      <c r="Y167" s="159">
        <f>X167*T167</f>
        <v>104000</v>
      </c>
      <c r="Z167" s="152" t="s">
        <v>751</v>
      </c>
      <c r="AA167" s="10" t="s">
        <v>213</v>
      </c>
      <c r="AB167" s="90">
        <f t="shared" ref="AB167" si="65">W167-V167</f>
        <v>2</v>
      </c>
      <c r="AC167" s="91">
        <f t="shared" si="64"/>
        <v>10000</v>
      </c>
      <c r="AD167" s="157"/>
    </row>
    <row r="168" spans="1:30" ht="45.6" hidden="1" x14ac:dyDescent="0.3">
      <c r="A168" s="85">
        <v>5</v>
      </c>
      <c r="B168" s="85" t="s">
        <v>737</v>
      </c>
      <c r="C168" s="313" t="s">
        <v>752</v>
      </c>
      <c r="D168" s="102" t="s">
        <v>30</v>
      </c>
      <c r="E168" s="102" t="s">
        <v>90</v>
      </c>
      <c r="F168" s="102"/>
      <c r="G168" s="102">
        <v>11</v>
      </c>
      <c r="H168" s="102"/>
      <c r="I168" s="155">
        <f t="shared" si="61"/>
        <v>11</v>
      </c>
      <c r="J168" s="85" t="s">
        <v>753</v>
      </c>
      <c r="K168" s="85"/>
      <c r="L168" s="90" t="s">
        <v>491</v>
      </c>
      <c r="M168" s="85" t="s">
        <v>72</v>
      </c>
      <c r="N168" s="150" t="s">
        <v>754</v>
      </c>
      <c r="O168" s="90" t="s">
        <v>26</v>
      </c>
      <c r="P168" s="90">
        <v>10</v>
      </c>
      <c r="Q168" s="90"/>
      <c r="R168" s="90"/>
      <c r="S168" s="90"/>
      <c r="T168" s="90"/>
      <c r="U168" s="90"/>
      <c r="V168" s="90">
        <v>1</v>
      </c>
      <c r="W168" s="90">
        <f t="shared" si="62"/>
        <v>11</v>
      </c>
      <c r="X168" s="91">
        <f>SUMIFS('Đơn giá'!C:C,'Đơn giá'!B:B,XUẤT!O168)</f>
        <v>98000</v>
      </c>
      <c r="Y168" s="92">
        <f t="shared" ref="Y168" si="66">X168*P168</f>
        <v>980000</v>
      </c>
      <c r="Z168" s="232"/>
      <c r="AA168" s="85" t="s">
        <v>761</v>
      </c>
      <c r="AB168" s="85">
        <v>10</v>
      </c>
      <c r="AC168" s="91">
        <f t="shared" si="64"/>
        <v>50000</v>
      </c>
      <c r="AD168" s="90"/>
    </row>
    <row r="169" spans="1:30" ht="148.80000000000001" hidden="1" customHeight="1" x14ac:dyDescent="0.3">
      <c r="A169" s="85">
        <v>6</v>
      </c>
      <c r="B169" s="85" t="s">
        <v>737</v>
      </c>
      <c r="C169" s="319" t="s">
        <v>773</v>
      </c>
      <c r="D169" s="162" t="s">
        <v>30</v>
      </c>
      <c r="E169" s="162" t="s">
        <v>224</v>
      </c>
      <c r="F169" s="162"/>
      <c r="G169" s="162"/>
      <c r="H169" s="162">
        <v>2</v>
      </c>
      <c r="I169" s="155">
        <f t="shared" si="61"/>
        <v>2</v>
      </c>
      <c r="J169" s="85"/>
      <c r="K169" s="85"/>
      <c r="L169" s="90" t="s">
        <v>491</v>
      </c>
      <c r="M169" s="85" t="s">
        <v>46</v>
      </c>
      <c r="N169" s="150" t="s">
        <v>77</v>
      </c>
      <c r="O169" s="90" t="s">
        <v>42</v>
      </c>
      <c r="P169" s="90"/>
      <c r="Q169" s="90"/>
      <c r="R169" s="90"/>
      <c r="S169" s="90"/>
      <c r="T169" s="90"/>
      <c r="U169" s="90">
        <v>2</v>
      </c>
      <c r="V169" s="90"/>
      <c r="W169" s="90">
        <f t="shared" si="62"/>
        <v>2</v>
      </c>
      <c r="X169" s="91">
        <f>SUMIFS('Đơn giá'!C:C,'Đơn giá'!B:B,XUẤT!O169)</f>
        <v>48000</v>
      </c>
      <c r="Y169" s="339">
        <f>X169*U169</f>
        <v>96000</v>
      </c>
      <c r="Z169" s="232" t="s">
        <v>800</v>
      </c>
      <c r="AA169" s="85" t="s">
        <v>37</v>
      </c>
      <c r="AB169" s="90">
        <f t="shared" ref="AB169" si="67">W169-V169</f>
        <v>2</v>
      </c>
      <c r="AC169" s="91">
        <f t="shared" si="64"/>
        <v>10000</v>
      </c>
      <c r="AD169" s="90"/>
    </row>
    <row r="170" spans="1:30" s="160" customFormat="1" ht="88.8" hidden="1" customHeight="1" x14ac:dyDescent="0.3">
      <c r="A170" s="152">
        <v>8</v>
      </c>
      <c r="B170" s="152" t="s">
        <v>737</v>
      </c>
      <c r="C170" s="316" t="s">
        <v>759</v>
      </c>
      <c r="D170" s="162" t="s">
        <v>668</v>
      </c>
      <c r="E170" s="162" t="s">
        <v>543</v>
      </c>
      <c r="F170" s="162"/>
      <c r="G170" s="162"/>
      <c r="H170" s="162">
        <v>3</v>
      </c>
      <c r="I170" s="155">
        <f t="shared" si="61"/>
        <v>3</v>
      </c>
      <c r="J170" s="152" t="s">
        <v>395</v>
      </c>
      <c r="K170" s="152"/>
      <c r="L170" s="157" t="s">
        <v>491</v>
      </c>
      <c r="M170" s="152" t="s">
        <v>657</v>
      </c>
      <c r="N170" s="163" t="s">
        <v>657</v>
      </c>
      <c r="O170" s="157" t="s">
        <v>39</v>
      </c>
      <c r="P170" s="157"/>
      <c r="Q170" s="157"/>
      <c r="R170" s="157"/>
      <c r="S170" s="157"/>
      <c r="T170" s="157">
        <v>3</v>
      </c>
      <c r="U170" s="157"/>
      <c r="V170" s="157"/>
      <c r="W170" s="157">
        <f t="shared" si="62"/>
        <v>3</v>
      </c>
      <c r="X170" s="158">
        <f>SUMIFS('Đơn giá'!C:C,'Đơn giá'!B:B,XUẤT!O170)</f>
        <v>52000</v>
      </c>
      <c r="Y170" s="159">
        <f t="shared" ref="Y170" si="68">X170*U170</f>
        <v>0</v>
      </c>
      <c r="Z170" s="152"/>
      <c r="AA170" s="152"/>
      <c r="AB170" s="152"/>
      <c r="AC170" s="158">
        <f t="shared" si="64"/>
        <v>0</v>
      </c>
      <c r="AD170" s="157"/>
    </row>
    <row r="171" spans="1:30" s="160" customFormat="1" ht="148.80000000000001" hidden="1" customHeight="1" x14ac:dyDescent="0.3">
      <c r="A171" s="152">
        <v>9</v>
      </c>
      <c r="B171" s="152" t="s">
        <v>737</v>
      </c>
      <c r="C171" s="316" t="s">
        <v>762</v>
      </c>
      <c r="D171" s="162" t="s">
        <v>683</v>
      </c>
      <c r="E171" s="162" t="s">
        <v>543</v>
      </c>
      <c r="F171" s="162"/>
      <c r="G171" s="162"/>
      <c r="H171" s="162">
        <v>2</v>
      </c>
      <c r="I171" s="155">
        <f t="shared" si="61"/>
        <v>2</v>
      </c>
      <c r="J171" s="152" t="s">
        <v>56</v>
      </c>
      <c r="K171" s="152"/>
      <c r="L171" s="157" t="s">
        <v>491</v>
      </c>
      <c r="M171" s="152" t="s">
        <v>46</v>
      </c>
      <c r="N171" s="163" t="s">
        <v>763</v>
      </c>
      <c r="O171" s="157" t="s">
        <v>39</v>
      </c>
      <c r="P171" s="157"/>
      <c r="Q171" s="157"/>
      <c r="R171" s="157"/>
      <c r="S171" s="157"/>
      <c r="T171" s="157">
        <v>2</v>
      </c>
      <c r="U171" s="157"/>
      <c r="V171" s="157"/>
      <c r="W171" s="157">
        <f t="shared" si="62"/>
        <v>2</v>
      </c>
      <c r="X171" s="158">
        <f>SUMIFS('Đơn giá'!C:C,'Đơn giá'!B:B,XUẤT!O171)</f>
        <v>52000</v>
      </c>
      <c r="Y171" s="159">
        <f>X171*T171</f>
        <v>104000</v>
      </c>
      <c r="Z171" s="152" t="s">
        <v>756</v>
      </c>
      <c r="AA171" s="10" t="s">
        <v>57</v>
      </c>
      <c r="AB171" s="152">
        <v>2</v>
      </c>
      <c r="AC171" s="158">
        <f t="shared" si="64"/>
        <v>10000</v>
      </c>
      <c r="AD171" s="157"/>
    </row>
    <row r="172" spans="1:30" s="160" customFormat="1" ht="72.599999999999994" hidden="1" customHeight="1" x14ac:dyDescent="0.3">
      <c r="A172" s="152">
        <v>10</v>
      </c>
      <c r="B172" s="152" t="s">
        <v>737</v>
      </c>
      <c r="C172" s="316" t="s">
        <v>765</v>
      </c>
      <c r="D172" s="162" t="s">
        <v>683</v>
      </c>
      <c r="E172" s="162" t="s">
        <v>543</v>
      </c>
      <c r="F172" s="162"/>
      <c r="G172" s="162"/>
      <c r="H172" s="162">
        <v>2</v>
      </c>
      <c r="I172" s="155">
        <f t="shared" si="61"/>
        <v>2</v>
      </c>
      <c r="J172" s="269" t="s">
        <v>162</v>
      </c>
      <c r="K172" s="152"/>
      <c r="L172" s="157" t="s">
        <v>491</v>
      </c>
      <c r="M172" s="152" t="s">
        <v>764</v>
      </c>
      <c r="N172" s="152" t="s">
        <v>764</v>
      </c>
      <c r="O172" s="157" t="s">
        <v>39</v>
      </c>
      <c r="P172" s="157"/>
      <c r="Q172" s="157"/>
      <c r="R172" s="157"/>
      <c r="S172" s="157"/>
      <c r="T172" s="157">
        <v>2</v>
      </c>
      <c r="U172" s="157"/>
      <c r="V172" s="157"/>
      <c r="W172" s="157">
        <f t="shared" si="62"/>
        <v>2</v>
      </c>
      <c r="X172" s="158">
        <f>SUMIFS('Đơn giá'!C:C,'Đơn giá'!B:B,XUẤT!O172)</f>
        <v>52000</v>
      </c>
      <c r="Y172" s="159">
        <f>X172*T172</f>
        <v>104000</v>
      </c>
      <c r="Z172" s="152" t="s">
        <v>751</v>
      </c>
      <c r="AA172" s="222" t="s">
        <v>162</v>
      </c>
      <c r="AB172" s="152">
        <v>2</v>
      </c>
      <c r="AC172" s="158">
        <f t="shared" si="64"/>
        <v>10000</v>
      </c>
      <c r="AD172" s="157"/>
    </row>
    <row r="173" spans="1:30" ht="109.2" hidden="1" customHeight="1" x14ac:dyDescent="0.3">
      <c r="A173" s="102">
        <v>11</v>
      </c>
      <c r="B173" s="85" t="s">
        <v>737</v>
      </c>
      <c r="C173" s="313" t="s">
        <v>766</v>
      </c>
      <c r="D173" s="87" t="s">
        <v>668</v>
      </c>
      <c r="E173" s="102" t="s">
        <v>767</v>
      </c>
      <c r="F173" s="102"/>
      <c r="G173" s="102">
        <v>10</v>
      </c>
      <c r="H173" s="102"/>
      <c r="I173" s="155">
        <f t="shared" si="61"/>
        <v>10</v>
      </c>
      <c r="J173" s="102" t="s">
        <v>56</v>
      </c>
      <c r="K173" s="102"/>
      <c r="L173" s="90" t="s">
        <v>491</v>
      </c>
      <c r="M173" s="85" t="s">
        <v>657</v>
      </c>
      <c r="N173" s="85" t="s">
        <v>657</v>
      </c>
      <c r="O173" s="90"/>
      <c r="P173" s="90"/>
      <c r="Q173" s="90"/>
      <c r="R173" s="90"/>
      <c r="S173" s="90"/>
      <c r="T173" s="90"/>
      <c r="U173" s="90"/>
      <c r="V173" s="90"/>
      <c r="W173" s="90">
        <f t="shared" si="59"/>
        <v>0</v>
      </c>
      <c r="X173" s="91">
        <f>SUMIFS('Đơn giá'!C:C,'Đơn giá'!B:B,XUẤT!O173)</f>
        <v>0</v>
      </c>
      <c r="Y173" s="92">
        <f t="shared" ref="Y173" si="69">X173*T173</f>
        <v>0</v>
      </c>
      <c r="Z173" s="232"/>
      <c r="AA173" s="85"/>
      <c r="AB173" s="90">
        <f t="shared" si="34"/>
        <v>0</v>
      </c>
      <c r="AC173" s="91">
        <f t="shared" si="64"/>
        <v>0</v>
      </c>
      <c r="AD173" s="90"/>
    </row>
    <row r="174" spans="1:30" ht="85.8" customHeight="1" x14ac:dyDescent="0.3">
      <c r="A174" s="102">
        <v>13</v>
      </c>
      <c r="B174" s="85" t="s">
        <v>737</v>
      </c>
      <c r="C174" s="316" t="s">
        <v>770</v>
      </c>
      <c r="D174" s="162" t="s">
        <v>683</v>
      </c>
      <c r="E174" s="162" t="s">
        <v>224</v>
      </c>
      <c r="F174" s="162"/>
      <c r="G174" s="162">
        <v>22</v>
      </c>
      <c r="H174" s="102"/>
      <c r="I174" s="155">
        <f t="shared" si="61"/>
        <v>22</v>
      </c>
      <c r="J174" s="36" t="s">
        <v>244</v>
      </c>
      <c r="K174" s="102"/>
      <c r="L174" s="90" t="s">
        <v>491</v>
      </c>
      <c r="M174" s="152" t="s">
        <v>33</v>
      </c>
      <c r="N174" s="36" t="s">
        <v>244</v>
      </c>
      <c r="O174" s="90" t="s">
        <v>26</v>
      </c>
      <c r="P174" s="90">
        <v>20</v>
      </c>
      <c r="Q174" s="90"/>
      <c r="R174" s="90"/>
      <c r="S174" s="90"/>
      <c r="T174" s="90"/>
      <c r="U174" s="90"/>
      <c r="V174" s="90">
        <v>2</v>
      </c>
      <c r="W174" s="90">
        <f t="shared" si="59"/>
        <v>22</v>
      </c>
      <c r="X174" s="91">
        <f>SUMIFS('Đơn giá'!C:C,'Đơn giá'!B:B,XUẤT!O174)</f>
        <v>98000</v>
      </c>
      <c r="Y174" s="92">
        <f>X174*P174</f>
        <v>1960000</v>
      </c>
      <c r="Z174" s="232"/>
      <c r="AA174" s="10" t="s">
        <v>244</v>
      </c>
      <c r="AB174" s="90">
        <f t="shared" si="34"/>
        <v>20</v>
      </c>
      <c r="AC174" s="91">
        <f t="shared" si="64"/>
        <v>100000</v>
      </c>
      <c r="AD174" s="90"/>
    </row>
    <row r="175" spans="1:30" ht="102.6" hidden="1" customHeight="1" x14ac:dyDescent="0.3">
      <c r="A175" s="102">
        <v>13</v>
      </c>
      <c r="B175" s="85" t="s">
        <v>737</v>
      </c>
      <c r="C175" s="313" t="s">
        <v>774</v>
      </c>
      <c r="D175" s="102" t="s">
        <v>683</v>
      </c>
      <c r="E175" s="102" t="s">
        <v>90</v>
      </c>
      <c r="F175" s="102"/>
      <c r="G175" s="102">
        <v>3</v>
      </c>
      <c r="H175" s="102"/>
      <c r="I175" s="155">
        <f t="shared" si="61"/>
        <v>3</v>
      </c>
      <c r="J175" s="102" t="s">
        <v>775</v>
      </c>
      <c r="K175" s="102"/>
      <c r="L175" s="90" t="s">
        <v>491</v>
      </c>
      <c r="M175" s="85" t="s">
        <v>46</v>
      </c>
      <c r="N175" s="85" t="s">
        <v>776</v>
      </c>
      <c r="O175" s="90" t="s">
        <v>26</v>
      </c>
      <c r="P175" s="90">
        <v>3</v>
      </c>
      <c r="Q175" s="90"/>
      <c r="R175" s="90"/>
      <c r="S175" s="90"/>
      <c r="T175" s="90"/>
      <c r="U175" s="90"/>
      <c r="V175" s="90"/>
      <c r="W175" s="90">
        <f t="shared" si="59"/>
        <v>3</v>
      </c>
      <c r="X175" s="91">
        <f>SUMIFS('Đơn giá'!C:C,'Đơn giá'!B:B,XUẤT!O175)</f>
        <v>98000</v>
      </c>
      <c r="Y175" s="92">
        <f>X175*P175</f>
        <v>294000</v>
      </c>
      <c r="Z175" s="232"/>
      <c r="AA175" s="36" t="s">
        <v>140</v>
      </c>
      <c r="AB175" s="90">
        <f t="shared" si="34"/>
        <v>3</v>
      </c>
      <c r="AC175" s="91">
        <f t="shared" si="64"/>
        <v>15000</v>
      </c>
      <c r="AD175" s="90"/>
    </row>
    <row r="176" spans="1:30" s="160" customFormat="1" ht="61.8" customHeight="1" x14ac:dyDescent="0.3">
      <c r="A176" s="162">
        <v>14</v>
      </c>
      <c r="B176" s="152" t="s">
        <v>737</v>
      </c>
      <c r="C176" s="316" t="s">
        <v>779</v>
      </c>
      <c r="D176" s="162" t="s">
        <v>683</v>
      </c>
      <c r="E176" s="162" t="s">
        <v>543</v>
      </c>
      <c r="F176" s="162"/>
      <c r="G176" s="162">
        <v>1</v>
      </c>
      <c r="H176" s="162"/>
      <c r="I176" s="155">
        <f t="shared" si="61"/>
        <v>1</v>
      </c>
      <c r="J176" s="229" t="s">
        <v>98</v>
      </c>
      <c r="K176" s="162"/>
      <c r="L176" s="157" t="s">
        <v>491</v>
      </c>
      <c r="M176" s="152" t="s">
        <v>33</v>
      </c>
      <c r="N176" s="36" t="s">
        <v>98</v>
      </c>
      <c r="O176" s="157" t="s">
        <v>29</v>
      </c>
      <c r="P176" s="157"/>
      <c r="Q176" s="157">
        <v>1</v>
      </c>
      <c r="R176" s="157"/>
      <c r="S176" s="157"/>
      <c r="T176" s="157"/>
      <c r="U176" s="157"/>
      <c r="V176" s="157"/>
      <c r="W176" s="157">
        <f t="shared" si="59"/>
        <v>1</v>
      </c>
      <c r="X176" s="158">
        <f>SUMIFS('Đơn giá'!C:C,'Đơn giá'!B:B,XUẤT!O176)</f>
        <v>85000</v>
      </c>
      <c r="Y176" s="159">
        <f>X176*Q176</f>
        <v>85000</v>
      </c>
      <c r="Z176" s="152" t="s">
        <v>757</v>
      </c>
      <c r="AA176" s="36" t="s">
        <v>98</v>
      </c>
      <c r="AB176" s="157">
        <f t="shared" si="34"/>
        <v>1</v>
      </c>
      <c r="AC176" s="158">
        <f t="shared" si="64"/>
        <v>5000</v>
      </c>
      <c r="AD176" s="157"/>
    </row>
    <row r="177" spans="1:30" s="160" customFormat="1" ht="58.8" customHeight="1" x14ac:dyDescent="0.3">
      <c r="A177" s="162">
        <v>15</v>
      </c>
      <c r="B177" s="152" t="s">
        <v>737</v>
      </c>
      <c r="C177" s="316" t="s">
        <v>783</v>
      </c>
      <c r="D177" s="162" t="s">
        <v>683</v>
      </c>
      <c r="E177" s="162" t="s">
        <v>543</v>
      </c>
      <c r="F177" s="162"/>
      <c r="G177" s="162">
        <v>5</v>
      </c>
      <c r="H177" s="162"/>
      <c r="I177" s="155">
        <f t="shared" si="61"/>
        <v>5</v>
      </c>
      <c r="J177" s="229" t="s">
        <v>238</v>
      </c>
      <c r="K177" s="162"/>
      <c r="L177" s="157" t="s">
        <v>491</v>
      </c>
      <c r="M177" s="152" t="s">
        <v>33</v>
      </c>
      <c r="N177" s="36" t="s">
        <v>238</v>
      </c>
      <c r="O177" s="157" t="s">
        <v>29</v>
      </c>
      <c r="P177" s="157"/>
      <c r="Q177" s="157">
        <v>5</v>
      </c>
      <c r="R177" s="157"/>
      <c r="S177" s="157"/>
      <c r="T177" s="157"/>
      <c r="U177" s="157"/>
      <c r="V177" s="157"/>
      <c r="W177" s="157">
        <f t="shared" ref="W177" si="70">SUM(P177:V177)</f>
        <v>5</v>
      </c>
      <c r="X177" s="158">
        <f>SUMIFS('Đơn giá'!C:C,'Đơn giá'!B:B,XUẤT!O177)</f>
        <v>85000</v>
      </c>
      <c r="Y177" s="159">
        <f t="shared" ref="Y177" si="71">X177*Q177</f>
        <v>425000</v>
      </c>
      <c r="Z177" s="152"/>
      <c r="AA177" s="10" t="s">
        <v>238</v>
      </c>
      <c r="AB177" s="157">
        <f t="shared" si="34"/>
        <v>5</v>
      </c>
      <c r="AC177" s="158">
        <f t="shared" si="64"/>
        <v>25000</v>
      </c>
      <c r="AD177" s="157"/>
    </row>
    <row r="178" spans="1:30" ht="138" hidden="1" customHeight="1" x14ac:dyDescent="0.3">
      <c r="A178" s="102">
        <v>1</v>
      </c>
      <c r="B178" s="86" t="s">
        <v>787</v>
      </c>
      <c r="C178" s="322" t="s">
        <v>788</v>
      </c>
      <c r="D178" s="162" t="s">
        <v>683</v>
      </c>
      <c r="E178" s="102" t="s">
        <v>224</v>
      </c>
      <c r="F178" s="102"/>
      <c r="G178" s="102"/>
      <c r="H178" s="102">
        <v>5</v>
      </c>
      <c r="I178" s="155">
        <f t="shared" si="61"/>
        <v>5</v>
      </c>
      <c r="J178" s="102" t="s">
        <v>789</v>
      </c>
      <c r="K178" s="102"/>
      <c r="L178" s="90"/>
      <c r="M178" s="150" t="s">
        <v>72</v>
      </c>
      <c r="N178" s="150"/>
      <c r="O178" s="90" t="s">
        <v>39</v>
      </c>
      <c r="P178" s="90"/>
      <c r="Q178" s="90"/>
      <c r="R178" s="90"/>
      <c r="S178" s="90"/>
      <c r="T178" s="90">
        <v>5</v>
      </c>
      <c r="U178" s="90"/>
      <c r="V178" s="90"/>
      <c r="W178" s="157">
        <f t="shared" ref="W178:W181" si="72">SUM(P178:V178)</f>
        <v>5</v>
      </c>
      <c r="X178" s="158">
        <f>SUMIFS('Đơn giá'!C:C,'Đơn giá'!B:B,XUẤT!O178)</f>
        <v>52000</v>
      </c>
      <c r="Y178" s="159">
        <f>X178*T178</f>
        <v>260000</v>
      </c>
      <c r="Z178" s="232"/>
      <c r="AA178" s="85" t="s">
        <v>789</v>
      </c>
      <c r="AB178" s="157">
        <f t="shared" ref="AB178" si="73">W178-V178</f>
        <v>5</v>
      </c>
      <c r="AC178" s="158">
        <f t="shared" ref="AC178" si="74">AB178*5000</f>
        <v>25000</v>
      </c>
      <c r="AD178" s="90"/>
    </row>
    <row r="179" spans="1:30" ht="76.8" customHeight="1" x14ac:dyDescent="0.3">
      <c r="A179" s="102">
        <v>2</v>
      </c>
      <c r="B179" s="86" t="s">
        <v>787</v>
      </c>
      <c r="C179" s="313" t="s">
        <v>790</v>
      </c>
      <c r="D179" s="162" t="s">
        <v>683</v>
      </c>
      <c r="E179" s="102" t="s">
        <v>90</v>
      </c>
      <c r="F179" s="102"/>
      <c r="G179" s="102">
        <v>2</v>
      </c>
      <c r="H179" s="102"/>
      <c r="I179" s="155">
        <f t="shared" si="61"/>
        <v>2</v>
      </c>
      <c r="J179" s="10" t="s">
        <v>106</v>
      </c>
      <c r="K179" s="102"/>
      <c r="L179" s="90" t="s">
        <v>491</v>
      </c>
      <c r="M179" s="152" t="s">
        <v>33</v>
      </c>
      <c r="N179" s="10" t="s">
        <v>106</v>
      </c>
      <c r="O179" s="90" t="s">
        <v>26</v>
      </c>
      <c r="P179" s="90">
        <v>2</v>
      </c>
      <c r="Q179" s="90"/>
      <c r="R179" s="90"/>
      <c r="S179" s="90"/>
      <c r="T179" s="90"/>
      <c r="U179" s="90"/>
      <c r="V179" s="90"/>
      <c r="W179" s="157">
        <f t="shared" si="72"/>
        <v>2</v>
      </c>
      <c r="X179" s="158">
        <f>SUMIFS('Đơn giá'!C:C,'Đơn giá'!B:B,XUẤT!O179)</f>
        <v>98000</v>
      </c>
      <c r="Y179" s="159">
        <f>X179*P179</f>
        <v>196000</v>
      </c>
      <c r="Z179" s="232"/>
      <c r="AA179" s="10" t="s">
        <v>106</v>
      </c>
      <c r="AB179" s="157">
        <f t="shared" ref="AB179:AB180" si="75">W179-V179</f>
        <v>2</v>
      </c>
      <c r="AC179" s="158">
        <f t="shared" ref="AC179:AC180" si="76">AB179*5000</f>
        <v>10000</v>
      </c>
      <c r="AD179" s="90"/>
    </row>
    <row r="180" spans="1:30" ht="102.6" hidden="1" customHeight="1" x14ac:dyDescent="0.3">
      <c r="A180" s="102">
        <v>3</v>
      </c>
      <c r="B180" s="86" t="s">
        <v>787</v>
      </c>
      <c r="C180" s="313" t="s">
        <v>813</v>
      </c>
      <c r="D180" s="162" t="s">
        <v>683</v>
      </c>
      <c r="E180" s="102" t="s">
        <v>224</v>
      </c>
      <c r="F180" s="102"/>
      <c r="G180" s="102"/>
      <c r="H180" s="102">
        <v>11</v>
      </c>
      <c r="I180" s="155">
        <f t="shared" si="61"/>
        <v>11</v>
      </c>
      <c r="J180" s="102" t="s">
        <v>789</v>
      </c>
      <c r="K180" s="102" t="s">
        <v>524</v>
      </c>
      <c r="L180" s="90" t="s">
        <v>491</v>
      </c>
      <c r="M180" s="85" t="s">
        <v>46</v>
      </c>
      <c r="N180" s="150" t="s">
        <v>791</v>
      </c>
      <c r="O180" s="90" t="s">
        <v>42</v>
      </c>
      <c r="P180" s="90"/>
      <c r="Q180" s="90"/>
      <c r="R180" s="90"/>
      <c r="S180" s="90"/>
      <c r="T180" s="90">
        <v>10</v>
      </c>
      <c r="U180" s="90"/>
      <c r="V180" s="90">
        <v>1</v>
      </c>
      <c r="W180" s="157">
        <f t="shared" si="72"/>
        <v>11</v>
      </c>
      <c r="X180" s="158">
        <f>SUMIFS('Đơn giá'!C:C,'Đơn giá'!B:B,XUẤT!O180)</f>
        <v>48000</v>
      </c>
      <c r="Y180" s="159">
        <f t="shared" ref="Y180" si="77">X180*T180</f>
        <v>480000</v>
      </c>
      <c r="Z180" s="232"/>
      <c r="AA180" s="85" t="s">
        <v>789</v>
      </c>
      <c r="AB180" s="157">
        <f t="shared" si="75"/>
        <v>10</v>
      </c>
      <c r="AC180" s="158">
        <f t="shared" si="76"/>
        <v>50000</v>
      </c>
      <c r="AD180" s="90"/>
    </row>
    <row r="181" spans="1:30" ht="138" hidden="1" customHeight="1" x14ac:dyDescent="0.3">
      <c r="A181" s="102">
        <v>4</v>
      </c>
      <c r="B181" s="85" t="s">
        <v>787</v>
      </c>
      <c r="C181" s="313" t="s">
        <v>778</v>
      </c>
      <c r="D181" s="102" t="s">
        <v>683</v>
      </c>
      <c r="E181" s="102" t="s">
        <v>90</v>
      </c>
      <c r="F181" s="102"/>
      <c r="G181" s="102"/>
      <c r="H181" s="102">
        <v>44</v>
      </c>
      <c r="I181" s="155">
        <f t="shared" si="61"/>
        <v>44</v>
      </c>
      <c r="J181" s="102" t="s">
        <v>801</v>
      </c>
      <c r="K181" s="102" t="s">
        <v>524</v>
      </c>
      <c r="L181" s="90" t="s">
        <v>491</v>
      </c>
      <c r="M181" s="85" t="s">
        <v>46</v>
      </c>
      <c r="N181" s="150"/>
      <c r="O181" s="90" t="s">
        <v>42</v>
      </c>
      <c r="P181" s="90"/>
      <c r="Q181" s="90"/>
      <c r="R181" s="90"/>
      <c r="S181" s="90"/>
      <c r="T181" s="90"/>
      <c r="U181" s="90">
        <v>40</v>
      </c>
      <c r="V181" s="90">
        <v>4</v>
      </c>
      <c r="W181" s="157">
        <f t="shared" si="72"/>
        <v>44</v>
      </c>
      <c r="X181" s="91">
        <f>SUMIFS('Đơn giá'!C:C,'Đơn giá'!B:B,XUẤT!O181)</f>
        <v>48000</v>
      </c>
      <c r="Y181" s="92">
        <f>X181*U181</f>
        <v>1920000</v>
      </c>
      <c r="Z181" s="232"/>
      <c r="AA181" s="222" t="s">
        <v>201</v>
      </c>
      <c r="AB181" s="90">
        <f t="shared" ref="AB181" si="78">W181-V181</f>
        <v>40</v>
      </c>
      <c r="AC181" s="91">
        <f t="shared" ref="AC181" si="79">AB181*5000</f>
        <v>200000</v>
      </c>
      <c r="AD181" s="90"/>
    </row>
    <row r="182" spans="1:30" ht="138" hidden="1" customHeight="1" x14ac:dyDescent="0.3">
      <c r="A182" s="102">
        <v>6</v>
      </c>
      <c r="B182" s="232" t="s">
        <v>787</v>
      </c>
      <c r="C182" s="321" t="s">
        <v>795</v>
      </c>
      <c r="D182" s="210" t="s">
        <v>683</v>
      </c>
      <c r="E182" s="210" t="s">
        <v>224</v>
      </c>
      <c r="F182" s="210"/>
      <c r="G182" s="210"/>
      <c r="H182" s="210">
        <v>11</v>
      </c>
      <c r="I182" s="253">
        <f t="shared" si="61"/>
        <v>11</v>
      </c>
      <c r="J182" s="102" t="s">
        <v>792</v>
      </c>
      <c r="K182" s="102"/>
      <c r="L182" s="90" t="s">
        <v>491</v>
      </c>
      <c r="M182" s="85" t="s">
        <v>46</v>
      </c>
      <c r="N182" s="150"/>
      <c r="O182" s="90" t="s">
        <v>39</v>
      </c>
      <c r="P182" s="90"/>
      <c r="Q182" s="90"/>
      <c r="R182" s="90"/>
      <c r="S182" s="90"/>
      <c r="T182" s="90">
        <v>10</v>
      </c>
      <c r="U182" s="90"/>
      <c r="V182" s="90">
        <v>1</v>
      </c>
      <c r="W182" s="157">
        <f t="shared" ref="W182:W184" si="80">SUM(P182:V182)</f>
        <v>11</v>
      </c>
      <c r="X182" s="91">
        <f>SUMIFS('Đơn giá'!C:C,'Đơn giá'!B:B,XUẤT!O182)</f>
        <v>52000</v>
      </c>
      <c r="Y182" s="92">
        <f>X182*T182</f>
        <v>520000</v>
      </c>
      <c r="Z182" s="232"/>
      <c r="AA182" s="85" t="s">
        <v>789</v>
      </c>
      <c r="AB182" s="90">
        <f t="shared" ref="AB182:AB189" si="81">W182-V182</f>
        <v>10</v>
      </c>
      <c r="AC182" s="91">
        <f t="shared" ref="AC182:AC189" si="82">AB182*5000</f>
        <v>50000</v>
      </c>
      <c r="AD182" s="90" t="s">
        <v>824</v>
      </c>
    </row>
    <row r="183" spans="1:30" ht="72.599999999999994" customHeight="1" x14ac:dyDescent="0.3">
      <c r="A183" s="102">
        <v>7</v>
      </c>
      <c r="B183" s="232" t="s">
        <v>787</v>
      </c>
      <c r="C183" s="321" t="s">
        <v>793</v>
      </c>
      <c r="D183" s="210" t="s">
        <v>683</v>
      </c>
      <c r="E183" s="210" t="s">
        <v>224</v>
      </c>
      <c r="F183" s="210"/>
      <c r="G183" s="210">
        <v>55</v>
      </c>
      <c r="H183" s="210"/>
      <c r="I183" s="253">
        <f t="shared" si="61"/>
        <v>55</v>
      </c>
      <c r="J183" s="102" t="s">
        <v>792</v>
      </c>
      <c r="K183" s="102" t="s">
        <v>794</v>
      </c>
      <c r="L183" s="90" t="s">
        <v>491</v>
      </c>
      <c r="M183" s="152" t="s">
        <v>33</v>
      </c>
      <c r="N183" s="318" t="s">
        <v>88</v>
      </c>
      <c r="O183" s="90" t="s">
        <v>26</v>
      </c>
      <c r="P183" s="90">
        <v>50</v>
      </c>
      <c r="Q183" s="90"/>
      <c r="R183" s="90"/>
      <c r="S183" s="90"/>
      <c r="T183" s="90"/>
      <c r="U183" s="90"/>
      <c r="V183" s="90">
        <v>5</v>
      </c>
      <c r="W183" s="157">
        <f t="shared" si="80"/>
        <v>55</v>
      </c>
      <c r="X183" s="91">
        <f>SUMIFS('Đơn giá'!C:C,'Đơn giá'!B:B,XUẤT!O183)</f>
        <v>98000</v>
      </c>
      <c r="Y183" s="92">
        <f t="shared" ref="Y183:Y184" si="83">X183*P183</f>
        <v>4900000</v>
      </c>
      <c r="Z183" s="232"/>
      <c r="AA183" s="269" t="s">
        <v>181</v>
      </c>
      <c r="AB183" s="90">
        <f t="shared" si="81"/>
        <v>50</v>
      </c>
      <c r="AC183" s="91">
        <f t="shared" si="82"/>
        <v>250000</v>
      </c>
      <c r="AD183" s="90"/>
    </row>
    <row r="184" spans="1:30" ht="72.599999999999994" hidden="1" customHeight="1" x14ac:dyDescent="0.3">
      <c r="A184" s="102">
        <v>8</v>
      </c>
      <c r="B184" s="85" t="s">
        <v>787</v>
      </c>
      <c r="C184" s="317" t="s">
        <v>796</v>
      </c>
      <c r="D184" s="102" t="s">
        <v>683</v>
      </c>
      <c r="E184" s="102" t="s">
        <v>90</v>
      </c>
      <c r="F184" s="102"/>
      <c r="G184" s="102">
        <v>5</v>
      </c>
      <c r="H184" s="102"/>
      <c r="I184" s="155">
        <f t="shared" si="61"/>
        <v>5</v>
      </c>
      <c r="J184" s="10" t="s">
        <v>211</v>
      </c>
      <c r="K184" s="102"/>
      <c r="L184" s="90" t="s">
        <v>491</v>
      </c>
      <c r="M184" s="85" t="s">
        <v>46</v>
      </c>
      <c r="N184" s="150" t="s">
        <v>797</v>
      </c>
      <c r="O184" s="90" t="s">
        <v>26</v>
      </c>
      <c r="P184" s="90">
        <v>5</v>
      </c>
      <c r="Q184" s="90"/>
      <c r="R184" s="90"/>
      <c r="S184" s="90"/>
      <c r="T184" s="90"/>
      <c r="U184" s="90"/>
      <c r="V184" s="90"/>
      <c r="W184" s="157">
        <f t="shared" si="80"/>
        <v>5</v>
      </c>
      <c r="X184" s="91">
        <f>SUMIFS('Đơn giá'!C:C,'Đơn giá'!B:B,XUẤT!O184)</f>
        <v>98000</v>
      </c>
      <c r="Y184" s="92">
        <f t="shared" si="83"/>
        <v>490000</v>
      </c>
      <c r="Z184" s="232" t="s">
        <v>981</v>
      </c>
      <c r="AA184" s="36" t="s">
        <v>211</v>
      </c>
      <c r="AB184" s="90">
        <f t="shared" si="81"/>
        <v>5</v>
      </c>
      <c r="AC184" s="91">
        <f t="shared" si="82"/>
        <v>25000</v>
      </c>
      <c r="AD184" s="90"/>
    </row>
    <row r="185" spans="1:30" ht="148.80000000000001" hidden="1" customHeight="1" x14ac:dyDescent="0.3">
      <c r="A185" s="102">
        <v>9</v>
      </c>
      <c r="B185" s="85" t="s">
        <v>787</v>
      </c>
      <c r="C185" s="317" t="s">
        <v>802</v>
      </c>
      <c r="D185" s="102" t="s">
        <v>683</v>
      </c>
      <c r="E185" s="102" t="s">
        <v>543</v>
      </c>
      <c r="F185" s="102"/>
      <c r="G185" s="102"/>
      <c r="H185" s="102">
        <v>7</v>
      </c>
      <c r="I185" s="155">
        <f t="shared" si="61"/>
        <v>7</v>
      </c>
      <c r="J185" s="102"/>
      <c r="K185" s="102"/>
      <c r="L185" s="90" t="s">
        <v>491</v>
      </c>
      <c r="M185" s="85" t="s">
        <v>50</v>
      </c>
      <c r="N185" s="150" t="s">
        <v>799</v>
      </c>
      <c r="O185" s="90" t="s">
        <v>39</v>
      </c>
      <c r="P185" s="90"/>
      <c r="Q185" s="90"/>
      <c r="R185" s="90"/>
      <c r="S185" s="90"/>
      <c r="T185" s="90">
        <v>7</v>
      </c>
      <c r="U185" s="90"/>
      <c r="V185" s="90"/>
      <c r="W185" s="157">
        <f t="shared" ref="W185:W190" si="84">SUM(P185:V185)</f>
        <v>7</v>
      </c>
      <c r="X185" s="91">
        <f>SUMIFS('Đơn giá'!C:C,'Đơn giá'!B:B,XUẤT!O185)</f>
        <v>52000</v>
      </c>
      <c r="Y185" s="92">
        <f>X185*T185</f>
        <v>364000</v>
      </c>
      <c r="Z185" s="232"/>
      <c r="AA185" s="85" t="s">
        <v>792</v>
      </c>
      <c r="AB185" s="90">
        <f t="shared" si="81"/>
        <v>7</v>
      </c>
      <c r="AC185" s="91">
        <f t="shared" si="82"/>
        <v>35000</v>
      </c>
      <c r="AD185" s="90"/>
    </row>
    <row r="186" spans="1:30" ht="110.4" customHeight="1" x14ac:dyDescent="0.3">
      <c r="A186" s="102">
        <v>10</v>
      </c>
      <c r="B186" s="85" t="s">
        <v>787</v>
      </c>
      <c r="C186" s="317" t="s">
        <v>803</v>
      </c>
      <c r="D186" s="102" t="s">
        <v>683</v>
      </c>
      <c r="E186" s="102" t="s">
        <v>543</v>
      </c>
      <c r="F186" s="102"/>
      <c r="G186" s="102"/>
      <c r="H186" s="102">
        <v>2</v>
      </c>
      <c r="I186" s="155">
        <f t="shared" si="61"/>
        <v>2</v>
      </c>
      <c r="J186" s="102"/>
      <c r="K186" s="102"/>
      <c r="L186" s="90" t="s">
        <v>804</v>
      </c>
      <c r="M186" s="152" t="s">
        <v>33</v>
      </c>
      <c r="N186" s="211" t="s">
        <v>978</v>
      </c>
      <c r="O186" s="90" t="s">
        <v>39</v>
      </c>
      <c r="P186" s="90"/>
      <c r="Q186" s="90"/>
      <c r="R186" s="90"/>
      <c r="S186" s="90"/>
      <c r="T186" s="90">
        <v>2</v>
      </c>
      <c r="U186" s="90"/>
      <c r="V186" s="157"/>
      <c r="W186" s="157">
        <f t="shared" si="84"/>
        <v>2</v>
      </c>
      <c r="X186" s="158">
        <f>SUMIFS('Đơn giá'!C:C,'Đơn giá'!B:B,XUẤT!O186)</f>
        <v>52000</v>
      </c>
      <c r="Y186" s="92">
        <f>X186*T186</f>
        <v>104000</v>
      </c>
      <c r="Z186" s="85" t="s">
        <v>806</v>
      </c>
      <c r="AA186" s="85" t="s">
        <v>789</v>
      </c>
      <c r="AB186" s="90">
        <f t="shared" si="81"/>
        <v>2</v>
      </c>
      <c r="AC186" s="91">
        <f t="shared" si="82"/>
        <v>10000</v>
      </c>
      <c r="AD186"/>
    </row>
    <row r="187" spans="1:30" ht="75" customHeight="1" x14ac:dyDescent="0.3">
      <c r="A187" s="102">
        <v>11</v>
      </c>
      <c r="B187" s="85" t="s">
        <v>787</v>
      </c>
      <c r="C187" s="384" t="s">
        <v>805</v>
      </c>
      <c r="D187" s="102" t="s">
        <v>683</v>
      </c>
      <c r="E187" s="102" t="s">
        <v>90</v>
      </c>
      <c r="F187" s="102"/>
      <c r="G187" s="102"/>
      <c r="H187" s="102">
        <v>20</v>
      </c>
      <c r="I187" s="155">
        <f t="shared" si="61"/>
        <v>20</v>
      </c>
      <c r="J187" s="102"/>
      <c r="K187" s="102" t="s">
        <v>524</v>
      </c>
      <c r="L187" s="90"/>
      <c r="M187" s="152" t="s">
        <v>33</v>
      </c>
      <c r="N187" s="10" t="s">
        <v>43</v>
      </c>
      <c r="O187" s="90" t="s">
        <v>42</v>
      </c>
      <c r="P187" s="90"/>
      <c r="Q187" s="90"/>
      <c r="R187" s="90"/>
      <c r="S187" s="90"/>
      <c r="T187" s="90"/>
      <c r="U187" s="90">
        <v>20</v>
      </c>
      <c r="V187" s="157">
        <v>2</v>
      </c>
      <c r="W187" s="157">
        <f t="shared" ref="W187:W188" si="85">SUM(P187:V187)</f>
        <v>22</v>
      </c>
      <c r="X187" s="91">
        <f>SUMIFS('Đơn giá'!C:C,'Đơn giá'!B:B,XUẤT!O187)</f>
        <v>48000</v>
      </c>
      <c r="Y187" s="92">
        <f>X187*U187</f>
        <v>960000</v>
      </c>
      <c r="Z187" s="85"/>
      <c r="AA187" s="222" t="s">
        <v>201</v>
      </c>
      <c r="AB187" s="90">
        <f t="shared" si="81"/>
        <v>20</v>
      </c>
      <c r="AC187" s="91">
        <f t="shared" si="82"/>
        <v>100000</v>
      </c>
      <c r="AD187"/>
    </row>
    <row r="188" spans="1:30" s="160" customFormat="1" ht="110.4" customHeight="1" x14ac:dyDescent="0.3">
      <c r="A188" s="162">
        <v>13</v>
      </c>
      <c r="B188" s="152" t="s">
        <v>787</v>
      </c>
      <c r="C188" s="324" t="s">
        <v>808</v>
      </c>
      <c r="D188" s="162" t="s">
        <v>683</v>
      </c>
      <c r="E188" s="162" t="s">
        <v>543</v>
      </c>
      <c r="F188" s="162"/>
      <c r="G188" s="162"/>
      <c r="H188" s="162">
        <v>11</v>
      </c>
      <c r="I188" s="155">
        <f t="shared" si="61"/>
        <v>11</v>
      </c>
      <c r="J188" s="162"/>
      <c r="K188" s="162"/>
      <c r="L188" s="157"/>
      <c r="M188" s="152" t="s">
        <v>33</v>
      </c>
      <c r="N188" s="10" t="s">
        <v>41</v>
      </c>
      <c r="O188" s="157" t="s">
        <v>39</v>
      </c>
      <c r="P188" s="157"/>
      <c r="Q188" s="157"/>
      <c r="R188" s="157"/>
      <c r="S188" s="157"/>
      <c r="T188" s="157">
        <v>10</v>
      </c>
      <c r="U188" s="157"/>
      <c r="V188" s="157">
        <v>1</v>
      </c>
      <c r="W188" s="157">
        <f t="shared" si="85"/>
        <v>11</v>
      </c>
      <c r="X188" s="158">
        <f>SUMIFS('Đơn giá'!C:C,'Đơn giá'!B:B,XUẤT!O188)</f>
        <v>52000</v>
      </c>
      <c r="Y188" s="159">
        <f>X188*T188</f>
        <v>520000</v>
      </c>
      <c r="Z188" s="152"/>
      <c r="AA188" s="10" t="s">
        <v>41</v>
      </c>
      <c r="AB188" s="90">
        <f t="shared" si="81"/>
        <v>10</v>
      </c>
      <c r="AC188" s="91">
        <f t="shared" si="82"/>
        <v>50000</v>
      </c>
    </row>
    <row r="189" spans="1:30" s="160" customFormat="1" ht="72.599999999999994" customHeight="1" x14ac:dyDescent="0.3">
      <c r="A189" s="162">
        <v>14</v>
      </c>
      <c r="B189" s="152" t="s">
        <v>787</v>
      </c>
      <c r="C189" s="384" t="s">
        <v>809</v>
      </c>
      <c r="D189" s="162" t="s">
        <v>683</v>
      </c>
      <c r="E189" s="162" t="s">
        <v>543</v>
      </c>
      <c r="F189" s="162"/>
      <c r="G189" s="162">
        <v>11</v>
      </c>
      <c r="H189" s="162"/>
      <c r="I189" s="155">
        <f t="shared" si="61"/>
        <v>11</v>
      </c>
      <c r="J189" s="162"/>
      <c r="K189" s="162"/>
      <c r="L189" s="157"/>
      <c r="M189" s="152" t="s">
        <v>33</v>
      </c>
      <c r="N189" s="10" t="s">
        <v>37</v>
      </c>
      <c r="O189" s="157" t="s">
        <v>26</v>
      </c>
      <c r="P189" s="157">
        <v>10</v>
      </c>
      <c r="Q189" s="157"/>
      <c r="R189" s="157"/>
      <c r="S189" s="157"/>
      <c r="T189" s="157"/>
      <c r="U189" s="157"/>
      <c r="V189" s="157">
        <v>1</v>
      </c>
      <c r="W189" s="157">
        <f t="shared" si="84"/>
        <v>11</v>
      </c>
      <c r="X189" s="158">
        <f>SUMIFS('Đơn giá'!C:C,'Đơn giá'!B:B,XUẤT!O189)</f>
        <v>98000</v>
      </c>
      <c r="Y189" s="159">
        <f>X189*P189</f>
        <v>980000</v>
      </c>
      <c r="Z189" s="152"/>
      <c r="AA189" s="10" t="s">
        <v>37</v>
      </c>
      <c r="AB189" s="157">
        <f t="shared" si="81"/>
        <v>10</v>
      </c>
      <c r="AC189" s="158">
        <f t="shared" si="82"/>
        <v>50000</v>
      </c>
    </row>
    <row r="190" spans="1:30" s="160" customFormat="1" ht="72.599999999999994" hidden="1" customHeight="1" x14ac:dyDescent="0.3">
      <c r="A190" s="162"/>
      <c r="B190" s="152" t="s">
        <v>787</v>
      </c>
      <c r="C190" s="323" t="s">
        <v>810</v>
      </c>
      <c r="D190" s="162" t="s">
        <v>683</v>
      </c>
      <c r="E190" s="162" t="s">
        <v>90</v>
      </c>
      <c r="F190" s="162"/>
      <c r="G190" s="162">
        <v>2</v>
      </c>
      <c r="H190" s="162"/>
      <c r="I190" s="155">
        <f t="shared" si="61"/>
        <v>2</v>
      </c>
      <c r="J190" s="162" t="s">
        <v>101</v>
      </c>
      <c r="K190" s="162"/>
      <c r="L190" s="157"/>
      <c r="M190" s="163" t="s">
        <v>46</v>
      </c>
      <c r="N190" s="157"/>
      <c r="O190" s="157" t="s">
        <v>26</v>
      </c>
      <c r="P190" s="157">
        <v>2</v>
      </c>
      <c r="Q190" s="157"/>
      <c r="R190" s="157"/>
      <c r="S190" s="157"/>
      <c r="T190" s="157"/>
      <c r="U190" s="157"/>
      <c r="V190" s="157"/>
      <c r="W190" s="157">
        <f t="shared" si="84"/>
        <v>2</v>
      </c>
      <c r="X190" s="158">
        <f>SUMIFS('Đơn giá'!C:C,'Đơn giá'!B:B,XUẤT!O190)</f>
        <v>98000</v>
      </c>
      <c r="Y190" s="159">
        <f t="shared" ref="Y190" si="86">X190*P190</f>
        <v>196000</v>
      </c>
      <c r="Z190" s="152" t="s">
        <v>806</v>
      </c>
      <c r="AA190" s="10" t="s">
        <v>101</v>
      </c>
      <c r="AB190" s="157">
        <f t="shared" ref="AB190" si="87">W190-V190</f>
        <v>2</v>
      </c>
      <c r="AC190" s="158">
        <f t="shared" ref="AC190" si="88">AB190*5000</f>
        <v>10000</v>
      </c>
    </row>
    <row r="191" spans="1:30" s="160" customFormat="1" ht="72.599999999999994" customHeight="1" x14ac:dyDescent="0.3">
      <c r="A191" s="162"/>
      <c r="B191" s="152" t="s">
        <v>787</v>
      </c>
      <c r="C191" s="324" t="s">
        <v>814</v>
      </c>
      <c r="D191" s="162" t="s">
        <v>683</v>
      </c>
      <c r="E191" s="162" t="s">
        <v>224</v>
      </c>
      <c r="F191" s="162"/>
      <c r="G191" s="162">
        <v>85</v>
      </c>
      <c r="H191" s="162"/>
      <c r="I191" s="155">
        <f t="shared" si="61"/>
        <v>85</v>
      </c>
      <c r="J191" s="162"/>
      <c r="K191" s="162"/>
      <c r="L191" s="157"/>
      <c r="M191" s="152" t="s">
        <v>33</v>
      </c>
      <c r="N191" s="222" t="s">
        <v>49</v>
      </c>
      <c r="O191" s="157" t="s">
        <v>26</v>
      </c>
      <c r="P191" s="157">
        <v>85</v>
      </c>
      <c r="Q191" s="157"/>
      <c r="R191" s="157"/>
      <c r="S191" s="157"/>
      <c r="T191" s="157"/>
      <c r="U191" s="157"/>
      <c r="V191" s="157"/>
      <c r="W191" s="157">
        <f t="shared" ref="W191:W201" si="89">SUM(P191:V191)</f>
        <v>85</v>
      </c>
      <c r="X191" s="158">
        <f>SUMIFS('Đơn giá'!C:C,'Đơn giá'!B:B,XUẤT!O191)</f>
        <v>98000</v>
      </c>
      <c r="Y191" s="159">
        <f t="shared" ref="Y191:Y192" si="90">X191*P191</f>
        <v>8330000</v>
      </c>
      <c r="Z191" s="152"/>
      <c r="AA191" s="222" t="s">
        <v>49</v>
      </c>
      <c r="AB191" s="157">
        <f t="shared" ref="AB191" si="91">W191-V191</f>
        <v>85</v>
      </c>
      <c r="AC191" s="158">
        <f t="shared" ref="AC191" si="92">AB191*5000</f>
        <v>425000</v>
      </c>
    </row>
    <row r="192" spans="1:30" s="160" customFormat="1" ht="72.599999999999994" customHeight="1" x14ac:dyDescent="0.3">
      <c r="A192" s="162">
        <v>1</v>
      </c>
      <c r="B192" s="152" t="s">
        <v>811</v>
      </c>
      <c r="C192" s="324" t="s">
        <v>812</v>
      </c>
      <c r="D192" s="162" t="s">
        <v>683</v>
      </c>
      <c r="E192" s="162" t="s">
        <v>543</v>
      </c>
      <c r="F192" s="162"/>
      <c r="G192" s="162">
        <v>30</v>
      </c>
      <c r="H192" s="162"/>
      <c r="I192" s="155">
        <f t="shared" si="61"/>
        <v>30</v>
      </c>
      <c r="J192" s="162" t="s">
        <v>792</v>
      </c>
      <c r="K192" s="162"/>
      <c r="L192" s="157" t="s">
        <v>491</v>
      </c>
      <c r="M192" s="152" t="s">
        <v>33</v>
      </c>
      <c r="N192" s="10" t="s">
        <v>219</v>
      </c>
      <c r="O192" s="157" t="s">
        <v>26</v>
      </c>
      <c r="P192" s="157">
        <v>30</v>
      </c>
      <c r="Q192" s="157"/>
      <c r="R192" s="157"/>
      <c r="S192" s="157"/>
      <c r="T192" s="157"/>
      <c r="U192" s="157"/>
      <c r="V192" s="157"/>
      <c r="W192" s="157">
        <f t="shared" si="89"/>
        <v>30</v>
      </c>
      <c r="X192" s="158">
        <f>SUMIFS('Đơn giá'!C:C,'Đơn giá'!B:B,XUẤT!O192)</f>
        <v>98000</v>
      </c>
      <c r="Y192" s="159">
        <f t="shared" si="90"/>
        <v>2940000</v>
      </c>
      <c r="Z192" s="152"/>
      <c r="AA192" s="85" t="s">
        <v>789</v>
      </c>
      <c r="AB192" s="157">
        <f t="shared" ref="AB192:AB193" si="93">W192-V192</f>
        <v>30</v>
      </c>
      <c r="AC192" s="158">
        <f t="shared" ref="AC192:AC194" si="94">AB192*5000</f>
        <v>150000</v>
      </c>
    </row>
    <row r="193" spans="1:29" s="160" customFormat="1" ht="94.2" hidden="1" customHeight="1" x14ac:dyDescent="0.3">
      <c r="A193" s="162">
        <v>2</v>
      </c>
      <c r="B193" s="152" t="s">
        <v>811</v>
      </c>
      <c r="C193" s="317" t="s">
        <v>807</v>
      </c>
      <c r="D193" s="162" t="s">
        <v>683</v>
      </c>
      <c r="E193" s="162" t="s">
        <v>224</v>
      </c>
      <c r="F193" s="162"/>
      <c r="G193" s="162"/>
      <c r="H193" s="162"/>
      <c r="I193" s="155">
        <f t="shared" si="61"/>
        <v>0</v>
      </c>
      <c r="J193" s="36" t="s">
        <v>37</v>
      </c>
      <c r="K193" s="162"/>
      <c r="L193" s="157"/>
      <c r="M193" s="163" t="s">
        <v>72</v>
      </c>
      <c r="N193" s="157"/>
      <c r="O193" s="157" t="s">
        <v>29</v>
      </c>
      <c r="P193" s="157"/>
      <c r="Q193" s="157"/>
      <c r="R193" s="157"/>
      <c r="S193" s="157"/>
      <c r="T193" s="157"/>
      <c r="U193" s="157"/>
      <c r="V193" s="157"/>
      <c r="W193" s="157"/>
      <c r="X193" s="158">
        <f>SUMIFS('Đơn giá'!C:C,'Đơn giá'!B:B,XUẤT!O193)</f>
        <v>85000</v>
      </c>
      <c r="Y193" s="159">
        <f>X193*Q193</f>
        <v>0</v>
      </c>
      <c r="Z193" s="152"/>
      <c r="AA193" s="10" t="s">
        <v>37</v>
      </c>
      <c r="AB193" s="157">
        <f t="shared" si="93"/>
        <v>0</v>
      </c>
      <c r="AC193" s="158">
        <f t="shared" si="94"/>
        <v>0</v>
      </c>
    </row>
    <row r="194" spans="1:29" s="160" customFormat="1" ht="110.4" hidden="1" customHeight="1" x14ac:dyDescent="0.3">
      <c r="A194" s="162">
        <v>3</v>
      </c>
      <c r="B194" s="152" t="s">
        <v>811</v>
      </c>
      <c r="C194" s="317" t="s">
        <v>815</v>
      </c>
      <c r="D194" s="162" t="s">
        <v>683</v>
      </c>
      <c r="E194" s="162" t="s">
        <v>543</v>
      </c>
      <c r="F194" s="162"/>
      <c r="G194" s="162">
        <v>11</v>
      </c>
      <c r="H194" s="162"/>
      <c r="I194" s="155">
        <f t="shared" si="61"/>
        <v>11</v>
      </c>
      <c r="J194" s="162" t="s">
        <v>792</v>
      </c>
      <c r="K194" s="162"/>
      <c r="L194" s="157" t="s">
        <v>491</v>
      </c>
      <c r="M194" s="163" t="s">
        <v>46</v>
      </c>
      <c r="N194" s="7" t="s">
        <v>816</v>
      </c>
      <c r="O194" s="157" t="s">
        <v>26</v>
      </c>
      <c r="P194" s="157">
        <v>10</v>
      </c>
      <c r="Q194" s="157"/>
      <c r="R194" s="157"/>
      <c r="S194" s="157"/>
      <c r="T194" s="157"/>
      <c r="U194" s="157"/>
      <c r="V194" s="157">
        <v>1</v>
      </c>
      <c r="W194" s="157">
        <f t="shared" si="89"/>
        <v>11</v>
      </c>
      <c r="X194" s="158">
        <f>SUMIFS('Đơn giá'!C:C,'Đơn giá'!B:B,XUẤT!O194)</f>
        <v>98000</v>
      </c>
      <c r="Y194" s="159">
        <f t="shared" ref="Y194" si="95">X194*P194</f>
        <v>980000</v>
      </c>
      <c r="Z194" s="152" t="s">
        <v>825</v>
      </c>
      <c r="AA194" s="85" t="s">
        <v>789</v>
      </c>
      <c r="AB194" s="157">
        <f>W194-V194</f>
        <v>10</v>
      </c>
      <c r="AC194" s="158">
        <f t="shared" si="94"/>
        <v>50000</v>
      </c>
    </row>
    <row r="195" spans="1:29" s="160" customFormat="1" ht="110.4" hidden="1" customHeight="1" x14ac:dyDescent="0.3">
      <c r="A195" s="162">
        <v>4</v>
      </c>
      <c r="B195" s="152" t="s">
        <v>811</v>
      </c>
      <c r="C195" s="317" t="s">
        <v>818</v>
      </c>
      <c r="D195" s="162" t="s">
        <v>683</v>
      </c>
      <c r="E195" s="162" t="s">
        <v>543</v>
      </c>
      <c r="F195" s="162"/>
      <c r="G195" s="162">
        <v>11</v>
      </c>
      <c r="H195" s="162"/>
      <c r="I195" s="155">
        <f t="shared" si="61"/>
        <v>11</v>
      </c>
      <c r="J195" s="162" t="s">
        <v>792</v>
      </c>
      <c r="K195" s="162"/>
      <c r="L195" s="157"/>
      <c r="M195" s="163" t="s">
        <v>46</v>
      </c>
      <c r="N195" s="218" t="s">
        <v>817</v>
      </c>
      <c r="O195" s="157" t="s">
        <v>26</v>
      </c>
      <c r="P195" s="157">
        <v>10</v>
      </c>
      <c r="Q195" s="157"/>
      <c r="R195" s="157"/>
      <c r="S195" s="157"/>
      <c r="T195" s="157"/>
      <c r="U195" s="157"/>
      <c r="V195" s="157">
        <v>1</v>
      </c>
      <c r="W195" s="157">
        <f t="shared" si="89"/>
        <v>11</v>
      </c>
      <c r="X195" s="158">
        <f>SUMIFS('Đơn giá'!C:C,'Đơn giá'!B:B,XUẤT!O195)</f>
        <v>98000</v>
      </c>
      <c r="Y195" s="159">
        <f t="shared" ref="Y195:Y196" si="96">X195*P195</f>
        <v>980000</v>
      </c>
      <c r="Z195" s="152" t="s">
        <v>825</v>
      </c>
      <c r="AA195" s="85" t="s">
        <v>789</v>
      </c>
      <c r="AB195" s="157">
        <f>W195-V195</f>
        <v>10</v>
      </c>
      <c r="AC195" s="158">
        <f t="shared" ref="AC195" si="97">AB195*5000</f>
        <v>50000</v>
      </c>
    </row>
    <row r="196" spans="1:29" s="160" customFormat="1" ht="110.4" customHeight="1" x14ac:dyDescent="0.3">
      <c r="A196" s="162">
        <v>5</v>
      </c>
      <c r="B196" s="152" t="s">
        <v>811</v>
      </c>
      <c r="C196" s="324" t="s">
        <v>819</v>
      </c>
      <c r="D196" s="162" t="s">
        <v>683</v>
      </c>
      <c r="E196" s="162" t="s">
        <v>72</v>
      </c>
      <c r="F196" s="162"/>
      <c r="G196" s="162">
        <v>22</v>
      </c>
      <c r="H196" s="162"/>
      <c r="I196" s="155">
        <f t="shared" si="61"/>
        <v>22</v>
      </c>
      <c r="J196" s="162" t="s">
        <v>72</v>
      </c>
      <c r="K196" s="162"/>
      <c r="L196" s="157"/>
      <c r="M196" s="152" t="s">
        <v>33</v>
      </c>
      <c r="N196" s="7" t="s">
        <v>132</v>
      </c>
      <c r="O196" s="157" t="s">
        <v>26</v>
      </c>
      <c r="P196" s="157">
        <v>20</v>
      </c>
      <c r="Q196" s="157"/>
      <c r="R196" s="157"/>
      <c r="S196" s="157"/>
      <c r="T196" s="157"/>
      <c r="U196" s="157"/>
      <c r="V196" s="157">
        <v>2</v>
      </c>
      <c r="W196" s="157">
        <f t="shared" si="89"/>
        <v>22</v>
      </c>
      <c r="X196" s="158">
        <f>SUMIFS('Đơn giá'!C:C,'Đơn giá'!B:B,XUẤT!O196)</f>
        <v>98000</v>
      </c>
      <c r="Y196" s="159">
        <f t="shared" si="96"/>
        <v>1960000</v>
      </c>
      <c r="Z196" s="152"/>
      <c r="AA196" s="218" t="s">
        <v>715</v>
      </c>
      <c r="AB196" s="157">
        <f>W196-V196</f>
        <v>20</v>
      </c>
      <c r="AC196" s="158">
        <f t="shared" ref="AC196" si="98">AB196*5000</f>
        <v>100000</v>
      </c>
    </row>
    <row r="197" spans="1:29" s="160" customFormat="1" ht="63" hidden="1" customHeight="1" x14ac:dyDescent="0.3">
      <c r="A197" s="162">
        <v>6</v>
      </c>
      <c r="B197" s="152" t="s">
        <v>811</v>
      </c>
      <c r="C197" s="317" t="s">
        <v>821</v>
      </c>
      <c r="D197" s="162" t="s">
        <v>683</v>
      </c>
      <c r="E197" s="162" t="s">
        <v>543</v>
      </c>
      <c r="F197" s="162"/>
      <c r="G197" s="162">
        <v>11</v>
      </c>
      <c r="H197" s="162"/>
      <c r="I197" s="155">
        <f t="shared" si="61"/>
        <v>11</v>
      </c>
      <c r="J197" s="162" t="s">
        <v>792</v>
      </c>
      <c r="K197" s="162"/>
      <c r="L197" s="157"/>
      <c r="M197" s="163" t="s">
        <v>822</v>
      </c>
      <c r="N197" s="207" t="s">
        <v>823</v>
      </c>
      <c r="O197" s="157" t="s">
        <v>29</v>
      </c>
      <c r="P197" s="157"/>
      <c r="Q197" s="157">
        <v>10</v>
      </c>
      <c r="R197" s="157"/>
      <c r="S197" s="157"/>
      <c r="T197" s="157"/>
      <c r="U197" s="157"/>
      <c r="V197" s="157">
        <v>1</v>
      </c>
      <c r="W197" s="157">
        <f t="shared" ref="W197:W198" si="99">SUM(P197:V197)</f>
        <v>11</v>
      </c>
      <c r="X197" s="158">
        <f>SUMIFS('Đơn giá'!C:C,'Đơn giá'!B:B,XUẤT!O197)</f>
        <v>85000</v>
      </c>
      <c r="Y197" s="159">
        <f>X197*Q197</f>
        <v>850000</v>
      </c>
      <c r="Z197" s="152"/>
      <c r="AA197" s="218" t="s">
        <v>792</v>
      </c>
      <c r="AB197" s="157">
        <f t="shared" ref="AB197:AB201" si="100">W197-V197</f>
        <v>10</v>
      </c>
      <c r="AC197" s="158">
        <f t="shared" ref="AC197:AC201" si="101">AB197*5000</f>
        <v>50000</v>
      </c>
    </row>
    <row r="198" spans="1:29" s="160" customFormat="1" ht="262.2" hidden="1" customHeight="1" x14ac:dyDescent="0.3">
      <c r="A198" s="400">
        <v>7</v>
      </c>
      <c r="B198" s="152" t="s">
        <v>811</v>
      </c>
      <c r="C198" s="402" t="s">
        <v>828</v>
      </c>
      <c r="D198" s="162" t="s">
        <v>683</v>
      </c>
      <c r="E198" s="162" t="s">
        <v>224</v>
      </c>
      <c r="F198" s="162"/>
      <c r="G198" s="162">
        <v>22</v>
      </c>
      <c r="H198" s="162">
        <v>5</v>
      </c>
      <c r="I198" s="155">
        <f t="shared" si="61"/>
        <v>27</v>
      </c>
      <c r="J198" s="162" t="s">
        <v>792</v>
      </c>
      <c r="K198" s="162"/>
      <c r="L198" s="157"/>
      <c r="M198" s="163" t="s">
        <v>46</v>
      </c>
      <c r="N198" s="7" t="s">
        <v>829</v>
      </c>
      <c r="O198" s="157" t="s">
        <v>26</v>
      </c>
      <c r="P198" s="157">
        <v>20</v>
      </c>
      <c r="Q198" s="157"/>
      <c r="R198" s="157"/>
      <c r="S198" s="157"/>
      <c r="T198" s="157"/>
      <c r="U198" s="157"/>
      <c r="V198" s="157">
        <v>2</v>
      </c>
      <c r="W198" s="157">
        <f t="shared" si="99"/>
        <v>22</v>
      </c>
      <c r="X198" s="158">
        <f>SUMIFS('Đơn giá'!C:C,'Đơn giá'!B:B,XUẤT!O198)</f>
        <v>98000</v>
      </c>
      <c r="Y198" s="159">
        <f t="shared" ref="Y198" si="102">X198*P198</f>
        <v>1960000</v>
      </c>
      <c r="Z198" s="152" t="s">
        <v>832</v>
      </c>
      <c r="AA198" s="85" t="s">
        <v>789</v>
      </c>
      <c r="AB198" s="157">
        <f t="shared" si="100"/>
        <v>20</v>
      </c>
      <c r="AC198" s="158">
        <f t="shared" si="101"/>
        <v>100000</v>
      </c>
    </row>
    <row r="199" spans="1:29" s="160" customFormat="1" ht="36.6" hidden="1" customHeight="1" x14ac:dyDescent="0.3">
      <c r="A199" s="401"/>
      <c r="B199" s="152" t="s">
        <v>811</v>
      </c>
      <c r="C199" s="403"/>
      <c r="D199" s="162" t="s">
        <v>683</v>
      </c>
      <c r="E199" s="162"/>
      <c r="F199" s="162"/>
      <c r="G199" s="162"/>
      <c r="H199" s="162">
        <v>5</v>
      </c>
      <c r="I199" s="155">
        <f t="shared" si="61"/>
        <v>5</v>
      </c>
      <c r="J199" s="162" t="s">
        <v>792</v>
      </c>
      <c r="K199" s="162"/>
      <c r="L199" s="157"/>
      <c r="M199" s="163" t="s">
        <v>46</v>
      </c>
      <c r="N199" s="7" t="s">
        <v>829</v>
      </c>
      <c r="O199" s="157" t="s">
        <v>39</v>
      </c>
      <c r="P199" s="157"/>
      <c r="Q199" s="157"/>
      <c r="R199" s="157"/>
      <c r="S199" s="157"/>
      <c r="T199" s="157">
        <v>5</v>
      </c>
      <c r="U199" s="157"/>
      <c r="V199" s="157"/>
      <c r="W199" s="157">
        <f t="shared" si="89"/>
        <v>5</v>
      </c>
      <c r="X199" s="158">
        <f>SUMIFS('Đơn giá'!C:C,'Đơn giá'!B:B,XUẤT!O199)</f>
        <v>52000</v>
      </c>
      <c r="Y199" s="159">
        <f>X199*T199</f>
        <v>260000</v>
      </c>
      <c r="Z199" s="152" t="s">
        <v>832</v>
      </c>
      <c r="AA199" s="85" t="s">
        <v>789</v>
      </c>
      <c r="AB199" s="157">
        <f t="shared" si="100"/>
        <v>5</v>
      </c>
      <c r="AC199" s="158">
        <f t="shared" si="101"/>
        <v>25000</v>
      </c>
    </row>
    <row r="200" spans="1:29" s="160" customFormat="1" ht="111.6" customHeight="1" x14ac:dyDescent="0.3">
      <c r="A200" s="320">
        <v>8</v>
      </c>
      <c r="B200" s="152" t="s">
        <v>811</v>
      </c>
      <c r="C200" s="331" t="s">
        <v>942</v>
      </c>
      <c r="D200" s="162" t="s">
        <v>683</v>
      </c>
      <c r="E200" s="162" t="s">
        <v>224</v>
      </c>
      <c r="F200" s="162"/>
      <c r="G200" s="162"/>
      <c r="H200" s="162">
        <v>11</v>
      </c>
      <c r="I200" s="155">
        <f t="shared" si="61"/>
        <v>11</v>
      </c>
      <c r="J200" s="162" t="s">
        <v>830</v>
      </c>
      <c r="K200" s="162"/>
      <c r="L200" s="157"/>
      <c r="M200" s="152" t="s">
        <v>33</v>
      </c>
      <c r="N200" s="211" t="s">
        <v>59</v>
      </c>
      <c r="O200" s="157" t="s">
        <v>39</v>
      </c>
      <c r="P200" s="157"/>
      <c r="Q200" s="157"/>
      <c r="R200" s="157"/>
      <c r="S200" s="157"/>
      <c r="T200" s="157">
        <v>10</v>
      </c>
      <c r="U200" s="157"/>
      <c r="V200" s="157">
        <v>1</v>
      </c>
      <c r="W200" s="157">
        <f t="shared" si="89"/>
        <v>11</v>
      </c>
      <c r="X200" s="158">
        <f>SUMIFS('Đơn giá'!C:C,'Đơn giá'!B:B,XUẤT!O200)</f>
        <v>52000</v>
      </c>
      <c r="Y200" s="159">
        <f>X200*T200</f>
        <v>520000</v>
      </c>
      <c r="Z200" s="162" t="s">
        <v>945</v>
      </c>
      <c r="AA200" s="218" t="s">
        <v>830</v>
      </c>
      <c r="AB200" s="90">
        <f t="shared" si="100"/>
        <v>10</v>
      </c>
      <c r="AC200" s="91">
        <f t="shared" si="101"/>
        <v>50000</v>
      </c>
    </row>
    <row r="201" spans="1:29" s="160" customFormat="1" ht="210.6" customHeight="1" x14ac:dyDescent="0.3">
      <c r="A201" s="320">
        <v>9</v>
      </c>
      <c r="B201" s="152" t="s">
        <v>811</v>
      </c>
      <c r="C201" s="331" t="s">
        <v>833</v>
      </c>
      <c r="D201" s="162" t="s">
        <v>683</v>
      </c>
      <c r="E201" s="162" t="s">
        <v>543</v>
      </c>
      <c r="F201" s="162"/>
      <c r="G201" s="162"/>
      <c r="H201" s="162">
        <v>5</v>
      </c>
      <c r="I201" s="155">
        <f t="shared" si="61"/>
        <v>5</v>
      </c>
      <c r="J201" s="162" t="s">
        <v>834</v>
      </c>
      <c r="K201" s="162"/>
      <c r="L201" s="157"/>
      <c r="M201" s="152" t="s">
        <v>33</v>
      </c>
      <c r="N201" s="211" t="s">
        <v>978</v>
      </c>
      <c r="O201" s="157" t="s">
        <v>39</v>
      </c>
      <c r="P201" s="157"/>
      <c r="Q201" s="157"/>
      <c r="R201" s="157"/>
      <c r="S201" s="157"/>
      <c r="T201" s="157">
        <v>5</v>
      </c>
      <c r="U201" s="157"/>
      <c r="V201" s="157"/>
      <c r="W201" s="157">
        <f t="shared" si="89"/>
        <v>5</v>
      </c>
      <c r="X201" s="158">
        <f>SUMIFS('Đơn giá'!C:C,'Đơn giá'!B:B,XUẤT!O201)</f>
        <v>52000</v>
      </c>
      <c r="Y201" s="159">
        <f t="shared" ref="Y201" si="103">X201*T201</f>
        <v>260000</v>
      </c>
      <c r="Z201" s="152" t="s">
        <v>847</v>
      </c>
      <c r="AA201" s="10" t="s">
        <v>57</v>
      </c>
      <c r="AB201" s="90">
        <f t="shared" si="100"/>
        <v>5</v>
      </c>
      <c r="AC201" s="91">
        <f t="shared" si="101"/>
        <v>25000</v>
      </c>
    </row>
    <row r="202" spans="1:29" s="160" customFormat="1" ht="48.6" hidden="1" customHeight="1" x14ac:dyDescent="0.3">
      <c r="A202" s="320"/>
      <c r="B202" s="152" t="s">
        <v>811</v>
      </c>
      <c r="C202" s="326" t="s">
        <v>844</v>
      </c>
      <c r="D202" s="162"/>
      <c r="E202" s="162" t="s">
        <v>543</v>
      </c>
      <c r="F202" s="162"/>
      <c r="G202" s="162">
        <v>3</v>
      </c>
      <c r="H202" s="162"/>
      <c r="I202" s="155">
        <f t="shared" si="61"/>
        <v>3</v>
      </c>
      <c r="J202" s="10" t="s">
        <v>219</v>
      </c>
      <c r="K202" s="162"/>
      <c r="L202" s="157"/>
      <c r="M202" s="10" t="s">
        <v>219</v>
      </c>
      <c r="N202" s="218"/>
      <c r="O202" s="157" t="s">
        <v>26</v>
      </c>
      <c r="P202" s="157"/>
      <c r="Q202" s="157"/>
      <c r="R202" s="157"/>
      <c r="S202" s="157"/>
      <c r="T202" s="157"/>
      <c r="U202" s="157"/>
      <c r="V202" s="157">
        <v>3</v>
      </c>
      <c r="W202" s="157">
        <f t="shared" ref="W202" si="104">SUM(P202:V202)</f>
        <v>3</v>
      </c>
      <c r="X202" s="158">
        <f>SUMIFS('Đơn giá'!C:C,'Đơn giá'!B:B,XUẤT!O202)</f>
        <v>98000</v>
      </c>
      <c r="Y202" s="159">
        <f t="shared" ref="Y202" si="105">X202*T202</f>
        <v>0</v>
      </c>
      <c r="Z202" s="152"/>
      <c r="AA202" s="10" t="s">
        <v>219</v>
      </c>
      <c r="AB202" s="157">
        <f t="shared" ref="AB202" si="106">W202-V202</f>
        <v>0</v>
      </c>
      <c r="AC202" s="158">
        <f t="shared" ref="AC202" si="107">AB202*5000</f>
        <v>0</v>
      </c>
    </row>
    <row r="203" spans="1:29" s="160" customFormat="1" ht="59.4" customHeight="1" x14ac:dyDescent="0.3">
      <c r="A203" s="320">
        <v>10</v>
      </c>
      <c r="B203" s="152" t="s">
        <v>811</v>
      </c>
      <c r="C203" s="326" t="s">
        <v>838</v>
      </c>
      <c r="D203" s="162" t="s">
        <v>683</v>
      </c>
      <c r="E203" s="162" t="s">
        <v>90</v>
      </c>
      <c r="F203" s="162"/>
      <c r="G203" s="162">
        <v>1</v>
      </c>
      <c r="H203" s="162"/>
      <c r="I203" s="155">
        <f t="shared" si="61"/>
        <v>1</v>
      </c>
      <c r="J203" s="10" t="s">
        <v>140</v>
      </c>
      <c r="K203" s="162"/>
      <c r="L203" s="157"/>
      <c r="M203" s="152" t="s">
        <v>33</v>
      </c>
      <c r="N203" s="10" t="s">
        <v>140</v>
      </c>
      <c r="O203" s="157" t="s">
        <v>26</v>
      </c>
      <c r="P203" s="157">
        <v>1</v>
      </c>
      <c r="Q203" s="157"/>
      <c r="R203" s="157"/>
      <c r="S203" s="157"/>
      <c r="T203" s="157"/>
      <c r="U203" s="157"/>
      <c r="V203" s="157"/>
      <c r="W203" s="157">
        <f t="shared" ref="W203:W208" si="108">SUM(P203:V203)</f>
        <v>1</v>
      </c>
      <c r="X203" s="158">
        <f>SUMIFS('Đơn giá'!C:C,'Đơn giá'!B:B,XUẤT!O203)</f>
        <v>98000</v>
      </c>
      <c r="Y203" s="159">
        <f>X203*P203</f>
        <v>98000</v>
      </c>
      <c r="Z203" s="152"/>
      <c r="AA203" s="10" t="s">
        <v>140</v>
      </c>
      <c r="AB203" s="157">
        <f t="shared" ref="AB203:AB204" si="109">W203-V203</f>
        <v>1</v>
      </c>
      <c r="AC203" s="158">
        <f t="shared" ref="AC203:AC204" si="110">AB203*5000</f>
        <v>5000</v>
      </c>
    </row>
    <row r="204" spans="1:29" s="160" customFormat="1" ht="65.400000000000006" customHeight="1" x14ac:dyDescent="0.3">
      <c r="A204" s="320"/>
      <c r="B204" s="152" t="s">
        <v>811</v>
      </c>
      <c r="C204" s="326" t="s">
        <v>839</v>
      </c>
      <c r="D204" s="162" t="s">
        <v>683</v>
      </c>
      <c r="E204" s="162" t="s">
        <v>90</v>
      </c>
      <c r="F204" s="162"/>
      <c r="G204" s="162">
        <v>1</v>
      </c>
      <c r="H204" s="162"/>
      <c r="I204" s="155">
        <f t="shared" si="61"/>
        <v>1</v>
      </c>
      <c r="J204" s="10" t="s">
        <v>118</v>
      </c>
      <c r="K204" s="162"/>
      <c r="L204" s="157"/>
      <c r="M204" s="152" t="s">
        <v>33</v>
      </c>
      <c r="N204" s="10" t="s">
        <v>118</v>
      </c>
      <c r="O204" s="157" t="s">
        <v>26</v>
      </c>
      <c r="P204" s="157">
        <v>1</v>
      </c>
      <c r="Q204" s="157"/>
      <c r="R204" s="157"/>
      <c r="S204" s="157"/>
      <c r="T204" s="157"/>
      <c r="U204" s="157"/>
      <c r="V204" s="157"/>
      <c r="W204" s="157">
        <f t="shared" si="108"/>
        <v>1</v>
      </c>
      <c r="X204" s="158">
        <f>SUMIFS('Đơn giá'!C:C,'Đơn giá'!B:B,XUẤT!O204)</f>
        <v>98000</v>
      </c>
      <c r="Y204" s="159">
        <f>X204*P204</f>
        <v>98000</v>
      </c>
      <c r="Z204" s="152"/>
      <c r="AA204" s="10" t="s">
        <v>118</v>
      </c>
      <c r="AB204" s="157">
        <f t="shared" si="109"/>
        <v>1</v>
      </c>
      <c r="AC204" s="158">
        <f t="shared" si="110"/>
        <v>5000</v>
      </c>
    </row>
    <row r="205" spans="1:29" s="160" customFormat="1" ht="36.6" customHeight="1" x14ac:dyDescent="0.3">
      <c r="A205" s="320"/>
      <c r="B205" s="152" t="s">
        <v>811</v>
      </c>
      <c r="C205" s="326" t="s">
        <v>840</v>
      </c>
      <c r="D205" s="162" t="s">
        <v>683</v>
      </c>
      <c r="E205" s="162" t="s">
        <v>90</v>
      </c>
      <c r="F205" s="162"/>
      <c r="G205" s="162">
        <v>2</v>
      </c>
      <c r="H205" s="162"/>
      <c r="I205" s="155">
        <f t="shared" si="61"/>
        <v>2</v>
      </c>
      <c r="J205" s="10" t="s">
        <v>132</v>
      </c>
      <c r="K205" s="162"/>
      <c r="L205" s="157"/>
      <c r="M205" s="152" t="s">
        <v>33</v>
      </c>
      <c r="N205" s="10" t="s">
        <v>132</v>
      </c>
      <c r="O205" s="157" t="s">
        <v>26</v>
      </c>
      <c r="P205" s="157">
        <v>2</v>
      </c>
      <c r="Q205" s="157"/>
      <c r="R205" s="157"/>
      <c r="S205" s="157"/>
      <c r="T205" s="157"/>
      <c r="U205" s="157"/>
      <c r="V205" s="157"/>
      <c r="W205" s="157">
        <f t="shared" si="108"/>
        <v>2</v>
      </c>
      <c r="X205" s="158">
        <f>SUMIFS('Đơn giá'!C:C,'Đơn giá'!B:B,XUẤT!O205)</f>
        <v>98000</v>
      </c>
      <c r="Y205" s="159">
        <f t="shared" ref="Y205:Y206" si="111">X205*P205</f>
        <v>196000</v>
      </c>
      <c r="Z205" s="152"/>
      <c r="AA205" s="10" t="s">
        <v>132</v>
      </c>
      <c r="AB205" s="157">
        <f t="shared" ref="AB205:AB211" si="112">W205-V205</f>
        <v>2</v>
      </c>
      <c r="AC205" s="158">
        <f t="shared" ref="AC205:AC211" si="113">AB205*5000</f>
        <v>10000</v>
      </c>
    </row>
    <row r="206" spans="1:29" s="160" customFormat="1" ht="36.6" customHeight="1" x14ac:dyDescent="0.3">
      <c r="A206" s="320"/>
      <c r="B206" s="152" t="s">
        <v>811</v>
      </c>
      <c r="C206" s="317" t="s">
        <v>841</v>
      </c>
      <c r="D206" s="162" t="s">
        <v>683</v>
      </c>
      <c r="E206" s="162" t="s">
        <v>90</v>
      </c>
      <c r="F206" s="162"/>
      <c r="G206" s="162">
        <v>6</v>
      </c>
      <c r="H206" s="162"/>
      <c r="I206" s="155">
        <f t="shared" si="61"/>
        <v>6</v>
      </c>
      <c r="J206" s="10" t="s">
        <v>34</v>
      </c>
      <c r="K206" s="162"/>
      <c r="L206" s="157"/>
      <c r="M206" s="152" t="s">
        <v>33</v>
      </c>
      <c r="N206" s="10" t="s">
        <v>34</v>
      </c>
      <c r="O206" s="157" t="s">
        <v>26</v>
      </c>
      <c r="P206" s="157">
        <v>6</v>
      </c>
      <c r="Q206" s="157"/>
      <c r="R206" s="157"/>
      <c r="S206" s="157"/>
      <c r="T206" s="157"/>
      <c r="U206" s="157"/>
      <c r="V206" s="157"/>
      <c r="W206" s="157">
        <f t="shared" si="108"/>
        <v>6</v>
      </c>
      <c r="X206" s="158">
        <f>SUMIFS('Đơn giá'!C:C,'Đơn giá'!B:B,XUẤT!O206)</f>
        <v>98000</v>
      </c>
      <c r="Y206" s="159">
        <f t="shared" si="111"/>
        <v>588000</v>
      </c>
      <c r="Z206" s="152"/>
      <c r="AA206" s="10" t="s">
        <v>34</v>
      </c>
      <c r="AB206" s="157">
        <f t="shared" si="112"/>
        <v>6</v>
      </c>
      <c r="AC206" s="158">
        <f t="shared" si="113"/>
        <v>30000</v>
      </c>
    </row>
    <row r="207" spans="1:29" s="160" customFormat="1" ht="36.6" customHeight="1" x14ac:dyDescent="0.3">
      <c r="A207" s="320"/>
      <c r="B207" s="152" t="s">
        <v>811</v>
      </c>
      <c r="C207" s="331" t="s">
        <v>842</v>
      </c>
      <c r="D207" s="162" t="s">
        <v>683</v>
      </c>
      <c r="E207" s="162" t="s">
        <v>543</v>
      </c>
      <c r="F207" s="162"/>
      <c r="G207" s="162"/>
      <c r="H207" s="162">
        <v>16</v>
      </c>
      <c r="I207" s="155">
        <f t="shared" si="61"/>
        <v>16</v>
      </c>
      <c r="J207" s="218" t="s">
        <v>843</v>
      </c>
      <c r="K207" s="162"/>
      <c r="L207" s="157" t="s">
        <v>491</v>
      </c>
      <c r="M207" s="152" t="s">
        <v>33</v>
      </c>
      <c r="N207" s="10" t="s">
        <v>98</v>
      </c>
      <c r="O207" s="157" t="s">
        <v>39</v>
      </c>
      <c r="P207" s="157"/>
      <c r="Q207" s="157"/>
      <c r="R207" s="157"/>
      <c r="S207" s="157"/>
      <c r="T207" s="157">
        <v>15</v>
      </c>
      <c r="U207" s="157"/>
      <c r="V207" s="157">
        <v>1</v>
      </c>
      <c r="W207" s="157">
        <f t="shared" si="108"/>
        <v>16</v>
      </c>
      <c r="X207" s="158">
        <f>SUMIFS('Đơn giá'!C:C,'Đơn giá'!B:B,XUẤT!O207)</f>
        <v>52000</v>
      </c>
      <c r="Y207" s="159">
        <f>X207*T207</f>
        <v>780000</v>
      </c>
      <c r="Z207" s="152"/>
      <c r="AA207" s="10" t="s">
        <v>98</v>
      </c>
      <c r="AB207" s="90">
        <f t="shared" si="112"/>
        <v>15</v>
      </c>
      <c r="AC207" s="91">
        <f t="shared" si="113"/>
        <v>75000</v>
      </c>
    </row>
    <row r="208" spans="1:29" s="160" customFormat="1" ht="36.6" customHeight="1" x14ac:dyDescent="0.3">
      <c r="A208" s="320"/>
      <c r="B208" s="152" t="s">
        <v>811</v>
      </c>
      <c r="C208" s="326" t="s">
        <v>845</v>
      </c>
      <c r="D208" s="162" t="s">
        <v>683</v>
      </c>
      <c r="E208" s="162" t="s">
        <v>543</v>
      </c>
      <c r="F208" s="162"/>
      <c r="G208" s="162"/>
      <c r="H208" s="162">
        <v>1</v>
      </c>
      <c r="I208" s="155">
        <f t="shared" si="61"/>
        <v>1</v>
      </c>
      <c r="J208" s="10" t="s">
        <v>211</v>
      </c>
      <c r="K208" s="162"/>
      <c r="L208" s="157"/>
      <c r="M208" s="152" t="s">
        <v>33</v>
      </c>
      <c r="N208" s="10" t="s">
        <v>211</v>
      </c>
      <c r="O208" s="157" t="s">
        <v>39</v>
      </c>
      <c r="P208" s="157"/>
      <c r="Q208" s="157"/>
      <c r="R208" s="157"/>
      <c r="S208" s="157"/>
      <c r="T208" s="157">
        <v>1</v>
      </c>
      <c r="U208" s="157"/>
      <c r="V208" s="157"/>
      <c r="W208" s="157">
        <f t="shared" si="108"/>
        <v>1</v>
      </c>
      <c r="X208" s="158">
        <f>SUMIFS('Đơn giá'!C:C,'Đơn giá'!B:B,XUẤT!O208)</f>
        <v>52000</v>
      </c>
      <c r="Y208" s="159">
        <f>X208*T208</f>
        <v>52000</v>
      </c>
      <c r="Z208" s="232" t="s">
        <v>980</v>
      </c>
      <c r="AA208" s="10" t="s">
        <v>211</v>
      </c>
      <c r="AB208" s="90">
        <f t="shared" si="112"/>
        <v>1</v>
      </c>
      <c r="AC208" s="91">
        <f t="shared" si="113"/>
        <v>5000</v>
      </c>
    </row>
    <row r="209" spans="1:30" s="160" customFormat="1" ht="36.6" customHeight="1" x14ac:dyDescent="0.3">
      <c r="A209" s="320"/>
      <c r="B209" s="152" t="s">
        <v>811</v>
      </c>
      <c r="C209" s="331" t="s">
        <v>849</v>
      </c>
      <c r="D209" s="162" t="s">
        <v>683</v>
      </c>
      <c r="E209" s="162" t="s">
        <v>224</v>
      </c>
      <c r="F209" s="162"/>
      <c r="G209" s="162">
        <v>2</v>
      </c>
      <c r="H209" s="162"/>
      <c r="I209" s="155">
        <f t="shared" si="61"/>
        <v>2</v>
      </c>
      <c r="J209" s="10" t="s">
        <v>62</v>
      </c>
      <c r="K209" s="162"/>
      <c r="L209" s="157"/>
      <c r="M209" s="152" t="s">
        <v>33</v>
      </c>
      <c r="N209" s="10" t="s">
        <v>62</v>
      </c>
      <c r="O209" s="157" t="s">
        <v>26</v>
      </c>
      <c r="P209" s="157"/>
      <c r="Q209" s="157"/>
      <c r="R209" s="157"/>
      <c r="S209" s="157"/>
      <c r="T209" s="157"/>
      <c r="U209" s="157"/>
      <c r="V209" s="157">
        <v>2</v>
      </c>
      <c r="W209" s="157">
        <f t="shared" ref="W209:W210" si="114">SUM(P209:V209)</f>
        <v>2</v>
      </c>
      <c r="X209" s="158">
        <f>SUMIFS('Đơn giá'!C:C,'Đơn giá'!B:B,XUẤT!O209)</f>
        <v>98000</v>
      </c>
      <c r="Y209" s="159">
        <f>X209*P209</f>
        <v>0</v>
      </c>
      <c r="Z209" s="152"/>
      <c r="AA209" s="10" t="s">
        <v>62</v>
      </c>
      <c r="AB209" s="157">
        <f t="shared" ref="AB209:AB210" si="115">W209-V209</f>
        <v>0</v>
      </c>
      <c r="AC209" s="158">
        <f t="shared" ref="AC209:AC210" si="116">AB209*5000</f>
        <v>0</v>
      </c>
    </row>
    <row r="210" spans="1:30" s="160" customFormat="1" ht="36.6" customHeight="1" x14ac:dyDescent="0.3">
      <c r="A210" s="320"/>
      <c r="B210" s="152" t="s">
        <v>811</v>
      </c>
      <c r="C210" s="385" t="s">
        <v>846</v>
      </c>
      <c r="D210" s="162" t="s">
        <v>683</v>
      </c>
      <c r="E210" s="162" t="s">
        <v>224</v>
      </c>
      <c r="F210" s="162"/>
      <c r="G210" s="162"/>
      <c r="H210" s="162">
        <v>4</v>
      </c>
      <c r="I210" s="155">
        <f t="shared" si="61"/>
        <v>4</v>
      </c>
      <c r="J210" s="10" t="s">
        <v>37</v>
      </c>
      <c r="K210" s="162"/>
      <c r="L210" s="157"/>
      <c r="M210" s="152" t="s">
        <v>33</v>
      </c>
      <c r="N210" s="10" t="s">
        <v>37</v>
      </c>
      <c r="O210" s="157" t="s">
        <v>39</v>
      </c>
      <c r="P210" s="157"/>
      <c r="Q210" s="157"/>
      <c r="R210" s="157"/>
      <c r="S210" s="157"/>
      <c r="T210" s="157">
        <v>4</v>
      </c>
      <c r="U210" s="157"/>
      <c r="V210" s="157"/>
      <c r="W210" s="157">
        <f t="shared" si="114"/>
        <v>4</v>
      </c>
      <c r="X210" s="158">
        <f>SUMIFS('Đơn giá'!C:C,'Đơn giá'!B:B,XUẤT!O210)</f>
        <v>52000</v>
      </c>
      <c r="Y210" s="159">
        <f>X210*T210</f>
        <v>208000</v>
      </c>
      <c r="Z210" s="152"/>
      <c r="AA210" s="10" t="s">
        <v>37</v>
      </c>
      <c r="AB210" s="90">
        <f t="shared" si="115"/>
        <v>4</v>
      </c>
      <c r="AC210" s="91">
        <f t="shared" si="116"/>
        <v>20000</v>
      </c>
    </row>
    <row r="211" spans="1:30" s="160" customFormat="1" ht="193.8" hidden="1" customHeight="1" x14ac:dyDescent="0.3">
      <c r="A211" s="320">
        <v>1</v>
      </c>
      <c r="B211" s="152" t="s">
        <v>836</v>
      </c>
      <c r="C211" s="326" t="s">
        <v>867</v>
      </c>
      <c r="D211" s="162" t="s">
        <v>683</v>
      </c>
      <c r="E211" s="162" t="s">
        <v>543</v>
      </c>
      <c r="F211" s="162"/>
      <c r="G211" s="162">
        <v>24</v>
      </c>
      <c r="H211" s="162"/>
      <c r="I211" s="155">
        <f t="shared" si="61"/>
        <v>24</v>
      </c>
      <c r="J211" s="85" t="s">
        <v>792</v>
      </c>
      <c r="K211" s="162"/>
      <c r="L211" s="157"/>
      <c r="M211" s="163" t="s">
        <v>46</v>
      </c>
      <c r="N211" s="7" t="s">
        <v>851</v>
      </c>
      <c r="O211" s="157" t="s">
        <v>26</v>
      </c>
      <c r="P211" s="157">
        <v>22</v>
      </c>
      <c r="Q211" s="157"/>
      <c r="R211" s="157"/>
      <c r="S211" s="157"/>
      <c r="T211" s="157"/>
      <c r="U211" s="157"/>
      <c r="V211" s="157">
        <v>2</v>
      </c>
      <c r="W211" s="157">
        <f t="shared" ref="W211" si="117">SUM(P211:V211)</f>
        <v>24</v>
      </c>
      <c r="X211" s="158">
        <f>SUMIFS('Đơn giá'!C:C,'Đơn giá'!B:B,XUẤT!O211)</f>
        <v>98000</v>
      </c>
      <c r="Y211" s="159">
        <f>X211*P211</f>
        <v>2156000</v>
      </c>
      <c r="Z211" s="152"/>
      <c r="AA211" s="85" t="s">
        <v>789</v>
      </c>
      <c r="AB211" s="157">
        <f t="shared" si="112"/>
        <v>22</v>
      </c>
      <c r="AC211" s="158">
        <f t="shared" si="113"/>
        <v>110000</v>
      </c>
    </row>
    <row r="212" spans="1:30" ht="108.6" customHeight="1" x14ac:dyDescent="0.3">
      <c r="A212" s="404">
        <v>2</v>
      </c>
      <c r="B212" s="152" t="s">
        <v>836</v>
      </c>
      <c r="C212" s="402" t="s">
        <v>857</v>
      </c>
      <c r="D212" s="162" t="s">
        <v>683</v>
      </c>
      <c r="E212" s="102" t="s">
        <v>224</v>
      </c>
      <c r="F212" s="102"/>
      <c r="G212" s="102">
        <v>2</v>
      </c>
      <c r="H212" s="102"/>
      <c r="I212" s="155">
        <f t="shared" si="61"/>
        <v>2</v>
      </c>
      <c r="J212" s="85" t="s">
        <v>792</v>
      </c>
      <c r="K212" s="85"/>
      <c r="L212" s="90" t="s">
        <v>491</v>
      </c>
      <c r="M212" s="152" t="s">
        <v>33</v>
      </c>
      <c r="N212" s="10" t="s">
        <v>150</v>
      </c>
      <c r="O212" s="157" t="s">
        <v>26</v>
      </c>
      <c r="P212" s="90">
        <v>2</v>
      </c>
      <c r="Q212" s="90"/>
      <c r="R212" s="90"/>
      <c r="S212" s="90"/>
      <c r="T212" s="90"/>
      <c r="U212" s="90"/>
      <c r="V212" s="90"/>
      <c r="W212" s="157">
        <f t="shared" ref="W212:W214" si="118">SUM(P212:V212)</f>
        <v>2</v>
      </c>
      <c r="X212" s="158">
        <f>SUMIFS('Đơn giá'!C:C,'Đơn giá'!B:B,XUẤT!O212)</f>
        <v>98000</v>
      </c>
      <c r="Y212" s="159">
        <f>X212*P212</f>
        <v>196000</v>
      </c>
      <c r="Z212" s="232" t="s">
        <v>984</v>
      </c>
      <c r="AA212" s="10" t="s">
        <v>37</v>
      </c>
      <c r="AB212" s="157">
        <f t="shared" ref="AB212:AB214" si="119">W212-V212</f>
        <v>2</v>
      </c>
      <c r="AC212" s="158">
        <f t="shared" ref="AC212:AC214" si="120">AB212*5000</f>
        <v>10000</v>
      </c>
    </row>
    <row r="213" spans="1:30" ht="32.4" customHeight="1" x14ac:dyDescent="0.3">
      <c r="A213" s="405"/>
      <c r="B213" s="152" t="s">
        <v>836</v>
      </c>
      <c r="C213" s="403"/>
      <c r="D213" s="162" t="s">
        <v>683</v>
      </c>
      <c r="E213" s="102" t="s">
        <v>543</v>
      </c>
      <c r="F213" s="102"/>
      <c r="G213" s="102"/>
      <c r="H213" s="102">
        <v>5</v>
      </c>
      <c r="I213" s="155">
        <f t="shared" si="61"/>
        <v>5</v>
      </c>
      <c r="J213" s="85" t="s">
        <v>792</v>
      </c>
      <c r="K213" s="85"/>
      <c r="L213" s="90" t="s">
        <v>491</v>
      </c>
      <c r="M213" s="152" t="s">
        <v>33</v>
      </c>
      <c r="N213" s="10" t="s">
        <v>150</v>
      </c>
      <c r="O213" s="157" t="s">
        <v>39</v>
      </c>
      <c r="P213" s="90"/>
      <c r="Q213" s="90"/>
      <c r="R213" s="90"/>
      <c r="S213" s="90"/>
      <c r="T213" s="90">
        <v>5</v>
      </c>
      <c r="U213" s="90"/>
      <c r="V213" s="90"/>
      <c r="W213" s="157">
        <f t="shared" si="118"/>
        <v>5</v>
      </c>
      <c r="X213" s="158">
        <f>SUMIFS('Đơn giá'!C:C,'Đơn giá'!B:B,XUẤT!O213)</f>
        <v>52000</v>
      </c>
      <c r="Y213" s="159">
        <f t="shared" ref="Y213" si="121">X213*T213</f>
        <v>260000</v>
      </c>
      <c r="Z213" s="232" t="s">
        <v>984</v>
      </c>
      <c r="AA213" s="10" t="s">
        <v>37</v>
      </c>
      <c r="AB213" s="90">
        <f t="shared" si="119"/>
        <v>5</v>
      </c>
      <c r="AC213" s="91">
        <f t="shared" si="120"/>
        <v>25000</v>
      </c>
    </row>
    <row r="214" spans="1:30" ht="69" customHeight="1" x14ac:dyDescent="0.3">
      <c r="A214" s="85">
        <v>3</v>
      </c>
      <c r="B214" s="152" t="s">
        <v>836</v>
      </c>
      <c r="C214" s="385" t="s">
        <v>852</v>
      </c>
      <c r="D214" s="162" t="s">
        <v>683</v>
      </c>
      <c r="E214" s="102" t="s">
        <v>543</v>
      </c>
      <c r="F214" s="102"/>
      <c r="G214" s="102"/>
      <c r="H214" s="102">
        <v>10</v>
      </c>
      <c r="I214" s="155">
        <f t="shared" si="61"/>
        <v>10</v>
      </c>
      <c r="J214" s="85" t="s">
        <v>853</v>
      </c>
      <c r="K214" s="85"/>
      <c r="L214" s="90" t="s">
        <v>491</v>
      </c>
      <c r="M214" s="152" t="s">
        <v>33</v>
      </c>
      <c r="N214" s="10" t="s">
        <v>43</v>
      </c>
      <c r="O214" s="157" t="s">
        <v>39</v>
      </c>
      <c r="P214" s="90"/>
      <c r="Q214" s="90"/>
      <c r="R214" s="90"/>
      <c r="S214" s="90"/>
      <c r="T214" s="90">
        <v>10</v>
      </c>
      <c r="U214" s="90"/>
      <c r="V214" s="90">
        <v>1</v>
      </c>
      <c r="W214" s="157">
        <f t="shared" si="118"/>
        <v>11</v>
      </c>
      <c r="X214" s="158">
        <f>SUMIFS('Đơn giá'!C:C,'Đơn giá'!B:B,XUẤT!O214)</f>
        <v>52000</v>
      </c>
      <c r="Y214" s="159">
        <f>X214*T214</f>
        <v>520000</v>
      </c>
      <c r="Z214" s="232"/>
      <c r="AA214" s="10" t="s">
        <v>57</v>
      </c>
      <c r="AB214" s="157">
        <f t="shared" si="119"/>
        <v>10</v>
      </c>
      <c r="AC214" s="158">
        <f t="shared" si="120"/>
        <v>50000</v>
      </c>
    </row>
    <row r="215" spans="1:30" ht="85.2" customHeight="1" x14ac:dyDescent="0.3">
      <c r="A215" s="85">
        <v>4</v>
      </c>
      <c r="B215" s="152" t="s">
        <v>836</v>
      </c>
      <c r="C215" s="385" t="s">
        <v>854</v>
      </c>
      <c r="D215" s="162" t="s">
        <v>683</v>
      </c>
      <c r="E215" s="102" t="s">
        <v>224</v>
      </c>
      <c r="F215" s="102"/>
      <c r="G215" s="102">
        <v>22</v>
      </c>
      <c r="H215" s="102"/>
      <c r="I215" s="155">
        <f t="shared" si="61"/>
        <v>22</v>
      </c>
      <c r="J215" s="85" t="s">
        <v>792</v>
      </c>
      <c r="K215" s="85"/>
      <c r="L215" s="90" t="s">
        <v>491</v>
      </c>
      <c r="M215" s="152" t="s">
        <v>33</v>
      </c>
      <c r="N215" s="10" t="s">
        <v>37</v>
      </c>
      <c r="O215" s="157" t="s">
        <v>26</v>
      </c>
      <c r="P215" s="90">
        <v>20</v>
      </c>
      <c r="Q215" s="90"/>
      <c r="R215" s="90"/>
      <c r="S215" s="90"/>
      <c r="T215" s="90"/>
      <c r="U215" s="90"/>
      <c r="V215" s="90">
        <v>2</v>
      </c>
      <c r="W215" s="157">
        <f t="shared" ref="V215:W217" si="122">SUM(P215:V215)</f>
        <v>22</v>
      </c>
      <c r="X215" s="158">
        <f>SUMIFS('Đơn giá'!C:C,'Đơn giá'!B:B,XUẤT!O215)</f>
        <v>98000</v>
      </c>
      <c r="Y215" s="159">
        <f>X215*P215</f>
        <v>1960000</v>
      </c>
      <c r="Z215" s="232"/>
      <c r="AA215" s="85" t="s">
        <v>789</v>
      </c>
      <c r="AB215" s="157">
        <f t="shared" ref="AB215" si="123">W215-V215</f>
        <v>20</v>
      </c>
      <c r="AC215" s="158">
        <f t="shared" ref="AC215" si="124">AB215*5000</f>
        <v>100000</v>
      </c>
    </row>
    <row r="216" spans="1:30" ht="106.2" hidden="1" customHeight="1" x14ac:dyDescent="0.3">
      <c r="A216" s="85">
        <v>5</v>
      </c>
      <c r="B216" s="152" t="s">
        <v>856</v>
      </c>
      <c r="C216" s="331" t="s">
        <v>855</v>
      </c>
      <c r="D216" s="162" t="s">
        <v>683</v>
      </c>
      <c r="E216" s="102" t="s">
        <v>224</v>
      </c>
      <c r="F216" s="102"/>
      <c r="G216" s="102"/>
      <c r="H216" s="102">
        <v>5</v>
      </c>
      <c r="I216" s="155">
        <f t="shared" si="61"/>
        <v>5</v>
      </c>
      <c r="J216" s="85" t="s">
        <v>792</v>
      </c>
      <c r="K216" s="85"/>
      <c r="L216" s="90" t="s">
        <v>491</v>
      </c>
      <c r="M216" s="85" t="s">
        <v>46</v>
      </c>
      <c r="N216" s="150" t="s">
        <v>858</v>
      </c>
      <c r="O216" s="157" t="s">
        <v>39</v>
      </c>
      <c r="P216" s="90"/>
      <c r="Q216" s="90"/>
      <c r="R216" s="90"/>
      <c r="S216" s="90"/>
      <c r="T216" s="90">
        <v>5</v>
      </c>
      <c r="U216" s="90"/>
      <c r="V216" s="90"/>
      <c r="W216" s="157">
        <f t="shared" si="122"/>
        <v>5</v>
      </c>
      <c r="X216" s="158">
        <f>SUMIFS('Đơn giá'!C:C,'Đơn giá'!B:B,XUẤT!O216)</f>
        <v>52000</v>
      </c>
      <c r="Y216" s="159">
        <f>X216*T216</f>
        <v>260000</v>
      </c>
      <c r="Z216" s="232" t="s">
        <v>861</v>
      </c>
      <c r="AA216" s="85" t="s">
        <v>789</v>
      </c>
      <c r="AB216" s="157">
        <f t="shared" ref="AB216" si="125">W216-V216</f>
        <v>5</v>
      </c>
      <c r="AC216" s="158">
        <f t="shared" ref="AC216" si="126">AB216*5000</f>
        <v>25000</v>
      </c>
    </row>
    <row r="217" spans="1:30" ht="177" hidden="1" customHeight="1" x14ac:dyDescent="0.3">
      <c r="A217" s="85">
        <v>6</v>
      </c>
      <c r="B217" s="152" t="s">
        <v>856</v>
      </c>
      <c r="C217" s="402" t="s">
        <v>859</v>
      </c>
      <c r="D217" s="162" t="s">
        <v>683</v>
      </c>
      <c r="E217" s="102" t="s">
        <v>224</v>
      </c>
      <c r="F217" s="102"/>
      <c r="G217" s="102">
        <v>3</v>
      </c>
      <c r="H217" s="102"/>
      <c r="I217" s="155">
        <f t="shared" si="61"/>
        <v>3</v>
      </c>
      <c r="J217" s="85" t="s">
        <v>792</v>
      </c>
      <c r="K217" s="85"/>
      <c r="L217" s="90" t="s">
        <v>491</v>
      </c>
      <c r="M217" s="85" t="s">
        <v>72</v>
      </c>
      <c r="N217" s="85" t="s">
        <v>72</v>
      </c>
      <c r="O217" s="157" t="s">
        <v>39</v>
      </c>
      <c r="P217" s="90"/>
      <c r="Q217" s="90"/>
      <c r="R217" s="90"/>
      <c r="S217" s="90"/>
      <c r="T217" s="90">
        <v>2</v>
      </c>
      <c r="U217" s="90"/>
      <c r="V217" s="157">
        <f t="shared" si="122"/>
        <v>2</v>
      </c>
      <c r="W217" s="157">
        <f t="shared" ref="W217:W218" si="127">SUM(P217:V217)</f>
        <v>4</v>
      </c>
      <c r="X217" s="158">
        <f>SUMIFS('Đơn giá'!C:C,'Đơn giá'!B:B,XUẤT!O217)</f>
        <v>52000</v>
      </c>
      <c r="Y217" s="159">
        <f t="shared" ref="Y217" si="128">X217*T217</f>
        <v>104000</v>
      </c>
      <c r="Z217" s="85"/>
      <c r="AA217" s="85" t="s">
        <v>792</v>
      </c>
      <c r="AB217" s="157">
        <f t="shared" ref="AB217:AB219" si="129">W217-V217</f>
        <v>2</v>
      </c>
      <c r="AC217" s="158">
        <f t="shared" ref="AC217:AC219" si="130">AB217*5000</f>
        <v>10000</v>
      </c>
      <c r="AD217"/>
    </row>
    <row r="218" spans="1:30" ht="30.6" hidden="1" customHeight="1" x14ac:dyDescent="0.3">
      <c r="A218" s="85">
        <v>7</v>
      </c>
      <c r="B218" s="152" t="s">
        <v>856</v>
      </c>
      <c r="C218" s="403"/>
      <c r="D218" s="162" t="s">
        <v>683</v>
      </c>
      <c r="E218" s="102" t="s">
        <v>224</v>
      </c>
      <c r="F218" s="102"/>
      <c r="G218" s="102"/>
      <c r="H218" s="102">
        <v>2</v>
      </c>
      <c r="I218" s="155">
        <f t="shared" si="61"/>
        <v>2</v>
      </c>
      <c r="J218" s="85" t="s">
        <v>792</v>
      </c>
      <c r="K218" s="85"/>
      <c r="L218" s="90" t="s">
        <v>491</v>
      </c>
      <c r="M218" s="85" t="s">
        <v>72</v>
      </c>
      <c r="N218" s="85" t="s">
        <v>72</v>
      </c>
      <c r="O218" s="157" t="s">
        <v>26</v>
      </c>
      <c r="P218" s="90">
        <v>3</v>
      </c>
      <c r="Q218" s="90"/>
      <c r="R218" s="90"/>
      <c r="S218" s="90"/>
      <c r="T218" s="90"/>
      <c r="U218" s="90"/>
      <c r="V218" s="90"/>
      <c r="W218" s="157">
        <f t="shared" si="127"/>
        <v>3</v>
      </c>
      <c r="X218" s="158">
        <f>SUMIFS('Đơn giá'!C:C,'Đơn giá'!B:B,XUẤT!O218)</f>
        <v>98000</v>
      </c>
      <c r="Y218" s="159">
        <f>X218*P218</f>
        <v>294000</v>
      </c>
      <c r="Z218" s="85"/>
      <c r="AA218" s="85" t="s">
        <v>792</v>
      </c>
      <c r="AB218" s="157">
        <f t="shared" si="129"/>
        <v>3</v>
      </c>
      <c r="AC218" s="158">
        <f t="shared" si="130"/>
        <v>15000</v>
      </c>
      <c r="AD218"/>
    </row>
    <row r="219" spans="1:30" ht="85.2" customHeight="1" x14ac:dyDescent="0.3">
      <c r="A219" s="85">
        <v>8</v>
      </c>
      <c r="B219" s="152" t="s">
        <v>856</v>
      </c>
      <c r="C219" s="362" t="s">
        <v>862</v>
      </c>
      <c r="D219" s="162" t="s">
        <v>683</v>
      </c>
      <c r="E219" s="102" t="s">
        <v>543</v>
      </c>
      <c r="F219" s="102"/>
      <c r="G219" s="102">
        <v>11</v>
      </c>
      <c r="H219" s="102"/>
      <c r="I219" s="155">
        <f t="shared" si="61"/>
        <v>11</v>
      </c>
      <c r="J219" s="85" t="s">
        <v>792</v>
      </c>
      <c r="K219" s="85"/>
      <c r="L219" s="90" t="s">
        <v>491</v>
      </c>
      <c r="M219" s="152" t="s">
        <v>33</v>
      </c>
      <c r="N219" s="10" t="s">
        <v>58</v>
      </c>
      <c r="O219" s="157" t="s">
        <v>26</v>
      </c>
      <c r="P219" s="90">
        <v>10</v>
      </c>
      <c r="Q219" s="90"/>
      <c r="R219" s="90"/>
      <c r="S219" s="90"/>
      <c r="T219" s="90"/>
      <c r="U219" s="90"/>
      <c r="V219" s="90">
        <v>1</v>
      </c>
      <c r="W219" s="157">
        <f t="shared" ref="W219" si="131">SUM(P219:V219)</f>
        <v>11</v>
      </c>
      <c r="X219" s="158">
        <f>SUMIFS('Đơn giá'!C:C,'Đơn giá'!B:B,XUẤT!O219)</f>
        <v>98000</v>
      </c>
      <c r="Y219" s="159">
        <f>X219*P219</f>
        <v>980000</v>
      </c>
      <c r="Z219" s="85"/>
      <c r="AA219" s="85" t="s">
        <v>789</v>
      </c>
      <c r="AB219" s="157">
        <f t="shared" si="129"/>
        <v>10</v>
      </c>
      <c r="AC219" s="158">
        <f t="shared" si="130"/>
        <v>50000</v>
      </c>
      <c r="AD219"/>
    </row>
    <row r="220" spans="1:30" ht="85.2" hidden="1" customHeight="1" x14ac:dyDescent="0.3">
      <c r="A220" s="85">
        <v>9</v>
      </c>
      <c r="B220" s="152" t="s">
        <v>856</v>
      </c>
      <c r="C220" s="325" t="s">
        <v>864</v>
      </c>
      <c r="D220" s="162" t="s">
        <v>683</v>
      </c>
      <c r="E220" s="162" t="s">
        <v>543</v>
      </c>
      <c r="F220" s="102"/>
      <c r="G220" s="102">
        <v>11</v>
      </c>
      <c r="H220" s="102"/>
      <c r="I220" s="155">
        <f t="shared" si="61"/>
        <v>11</v>
      </c>
      <c r="J220" s="85" t="s">
        <v>792</v>
      </c>
      <c r="K220" s="85"/>
      <c r="L220" s="90" t="s">
        <v>491</v>
      </c>
      <c r="M220" s="85" t="s">
        <v>46</v>
      </c>
      <c r="N220" s="150" t="s">
        <v>865</v>
      </c>
      <c r="O220" s="157" t="s">
        <v>26</v>
      </c>
      <c r="P220" s="90">
        <v>10</v>
      </c>
      <c r="Q220" s="90"/>
      <c r="R220" s="90"/>
      <c r="S220" s="90"/>
      <c r="T220" s="90"/>
      <c r="U220" s="90"/>
      <c r="V220" s="90">
        <v>1</v>
      </c>
      <c r="W220" s="157">
        <f t="shared" ref="W220:W223" si="132">SUM(P220:V220)</f>
        <v>11</v>
      </c>
      <c r="X220" s="158">
        <f>SUMIFS('Đơn giá'!C:C,'Đơn giá'!B:B,XUẤT!O220)</f>
        <v>98000</v>
      </c>
      <c r="Y220" s="159">
        <f t="shared" ref="Y220:Y223" si="133">X220*P220</f>
        <v>980000</v>
      </c>
      <c r="Z220" s="232" t="s">
        <v>941</v>
      </c>
      <c r="AA220" s="85" t="s">
        <v>789</v>
      </c>
      <c r="AB220" s="157">
        <f t="shared" ref="AB220:AB226" si="134">W220-V220</f>
        <v>10</v>
      </c>
      <c r="AC220" s="158">
        <f t="shared" ref="AC220:AC226" si="135">AB220*5000</f>
        <v>50000</v>
      </c>
    </row>
    <row r="221" spans="1:30" ht="85.2" customHeight="1" x14ac:dyDescent="0.3">
      <c r="A221" s="85">
        <v>10</v>
      </c>
      <c r="B221" s="152" t="s">
        <v>856</v>
      </c>
      <c r="C221" s="325" t="s">
        <v>869</v>
      </c>
      <c r="D221" s="162" t="s">
        <v>683</v>
      </c>
      <c r="E221" s="102" t="s">
        <v>543</v>
      </c>
      <c r="F221" s="102"/>
      <c r="G221" s="102">
        <v>11</v>
      </c>
      <c r="H221" s="102"/>
      <c r="I221" s="155">
        <f t="shared" si="61"/>
        <v>11</v>
      </c>
      <c r="J221" s="85" t="s">
        <v>792</v>
      </c>
      <c r="K221" s="85"/>
      <c r="L221" s="90"/>
      <c r="M221" s="152" t="s">
        <v>33</v>
      </c>
      <c r="N221" s="10" t="s">
        <v>155</v>
      </c>
      <c r="O221" s="157" t="s">
        <v>26</v>
      </c>
      <c r="P221" s="90">
        <v>10</v>
      </c>
      <c r="Q221" s="90"/>
      <c r="R221" s="90"/>
      <c r="S221" s="90"/>
      <c r="T221" s="90"/>
      <c r="U221" s="90"/>
      <c r="V221" s="90">
        <v>1</v>
      </c>
      <c r="W221" s="157">
        <f t="shared" si="132"/>
        <v>11</v>
      </c>
      <c r="X221" s="158">
        <f>SUMIFS('Đơn giá'!C:C,'Đơn giá'!B:B,XUẤT!O221)</f>
        <v>98000</v>
      </c>
      <c r="Y221" s="159">
        <f t="shared" si="133"/>
        <v>980000</v>
      </c>
      <c r="Z221" s="232"/>
      <c r="AA221" s="85" t="s">
        <v>789</v>
      </c>
      <c r="AB221" s="157">
        <f t="shared" si="134"/>
        <v>10</v>
      </c>
      <c r="AC221" s="158">
        <f t="shared" si="135"/>
        <v>50000</v>
      </c>
    </row>
    <row r="222" spans="1:30" ht="85.2" hidden="1" customHeight="1" x14ac:dyDescent="0.3">
      <c r="A222" s="85">
        <v>11</v>
      </c>
      <c r="B222" s="152" t="s">
        <v>856</v>
      </c>
      <c r="C222" s="325" t="s">
        <v>870</v>
      </c>
      <c r="D222" s="162" t="s">
        <v>683</v>
      </c>
      <c r="E222" s="102" t="s">
        <v>543</v>
      </c>
      <c r="F222" s="102"/>
      <c r="G222" s="102">
        <v>11</v>
      </c>
      <c r="H222" s="102"/>
      <c r="I222" s="155">
        <f t="shared" si="61"/>
        <v>11</v>
      </c>
      <c r="J222" s="211" t="s">
        <v>873</v>
      </c>
      <c r="K222" s="85" t="s">
        <v>524</v>
      </c>
      <c r="L222" s="90" t="s">
        <v>491</v>
      </c>
      <c r="M222" s="85" t="s">
        <v>72</v>
      </c>
      <c r="N222" s="85" t="s">
        <v>72</v>
      </c>
      <c r="O222" s="157" t="s">
        <v>26</v>
      </c>
      <c r="P222" s="90">
        <v>10</v>
      </c>
      <c r="Q222" s="90"/>
      <c r="R222" s="90"/>
      <c r="S222" s="90"/>
      <c r="T222" s="90"/>
      <c r="U222" s="90"/>
      <c r="V222" s="90">
        <v>1</v>
      </c>
      <c r="W222" s="157">
        <f t="shared" si="132"/>
        <v>11</v>
      </c>
      <c r="X222" s="158">
        <f>SUMIFS('Đơn giá'!C:C,'Đơn giá'!B:B,XUẤT!O222)</f>
        <v>98000</v>
      </c>
      <c r="Y222" s="159">
        <f t="shared" si="133"/>
        <v>980000</v>
      </c>
      <c r="Z222" s="232"/>
      <c r="AA222" s="10" t="s">
        <v>57</v>
      </c>
      <c r="AB222" s="157">
        <f t="shared" si="134"/>
        <v>10</v>
      </c>
      <c r="AC222" s="158">
        <f t="shared" si="135"/>
        <v>50000</v>
      </c>
    </row>
    <row r="223" spans="1:30" ht="85.2" customHeight="1" x14ac:dyDescent="0.3">
      <c r="A223" s="85"/>
      <c r="B223" s="152" t="s">
        <v>856</v>
      </c>
      <c r="C223" s="303" t="s">
        <v>874</v>
      </c>
      <c r="D223" s="162" t="s">
        <v>683</v>
      </c>
      <c r="E223" s="102" t="s">
        <v>543</v>
      </c>
      <c r="F223" s="102"/>
      <c r="G223" s="102">
        <v>99</v>
      </c>
      <c r="H223" s="102"/>
      <c r="I223" s="155">
        <f t="shared" si="61"/>
        <v>99</v>
      </c>
      <c r="J223" s="335" t="s">
        <v>162</v>
      </c>
      <c r="K223" s="85" t="s">
        <v>744</v>
      </c>
      <c r="L223" s="90" t="s">
        <v>491</v>
      </c>
      <c r="M223" s="152" t="s">
        <v>33</v>
      </c>
      <c r="N223" s="335" t="s">
        <v>162</v>
      </c>
      <c r="O223" s="157" t="s">
        <v>26</v>
      </c>
      <c r="P223" s="90">
        <v>90</v>
      </c>
      <c r="Q223" s="90"/>
      <c r="R223" s="90"/>
      <c r="S223" s="90"/>
      <c r="T223" s="90"/>
      <c r="U223" s="90"/>
      <c r="V223" s="90">
        <v>9</v>
      </c>
      <c r="W223" s="157">
        <f t="shared" si="132"/>
        <v>99</v>
      </c>
      <c r="X223" s="158">
        <f>SUMIFS('Đơn giá'!C:C,'Đơn giá'!B:B,XUẤT!O223)</f>
        <v>98000</v>
      </c>
      <c r="Y223" s="159">
        <f t="shared" si="133"/>
        <v>8820000</v>
      </c>
      <c r="Z223" s="232"/>
      <c r="AA223" s="335" t="s">
        <v>162</v>
      </c>
      <c r="AB223" s="157">
        <f t="shared" si="134"/>
        <v>90</v>
      </c>
      <c r="AC223" s="158">
        <f t="shared" si="135"/>
        <v>450000</v>
      </c>
    </row>
    <row r="224" spans="1:30" ht="116.4" hidden="1" customHeight="1" x14ac:dyDescent="0.3">
      <c r="A224" s="404">
        <v>1</v>
      </c>
      <c r="B224" s="152" t="s">
        <v>868</v>
      </c>
      <c r="C224" s="331" t="s">
        <v>875</v>
      </c>
      <c r="D224" s="162" t="s">
        <v>683</v>
      </c>
      <c r="E224" s="102" t="s">
        <v>224</v>
      </c>
      <c r="F224" s="102"/>
      <c r="G224" s="102"/>
      <c r="H224" s="102">
        <v>16</v>
      </c>
      <c r="I224" s="155">
        <f t="shared" ref="I224:I225" si="136">F224+G224+H224</f>
        <v>16</v>
      </c>
      <c r="J224" s="85" t="s">
        <v>866</v>
      </c>
      <c r="K224" s="85" t="s">
        <v>571</v>
      </c>
      <c r="L224" s="90"/>
      <c r="M224" s="85" t="s">
        <v>46</v>
      </c>
      <c r="N224" s="150" t="s">
        <v>863</v>
      </c>
      <c r="O224" s="157" t="s">
        <v>42</v>
      </c>
      <c r="P224" s="90"/>
      <c r="Q224" s="90"/>
      <c r="R224" s="90"/>
      <c r="S224" s="90"/>
      <c r="T224" s="90"/>
      <c r="U224" s="90">
        <v>15</v>
      </c>
      <c r="V224" s="90">
        <v>1</v>
      </c>
      <c r="W224" s="157">
        <f t="shared" ref="W224:W225" si="137">SUM(P224:V224)</f>
        <v>16</v>
      </c>
      <c r="X224" s="158">
        <f>SUMIFS('Đơn giá'!C:C,'Đơn giá'!B:B,XUẤT!O224)</f>
        <v>48000</v>
      </c>
      <c r="Y224" s="159">
        <f>X224*U224</f>
        <v>720000</v>
      </c>
      <c r="Z224" s="232"/>
      <c r="AA224" s="85" t="s">
        <v>789</v>
      </c>
      <c r="AB224" s="157">
        <f t="shared" si="134"/>
        <v>15</v>
      </c>
      <c r="AC224" s="158">
        <f t="shared" si="135"/>
        <v>75000</v>
      </c>
    </row>
    <row r="225" spans="1:30" ht="32.4" hidden="1" customHeight="1" x14ac:dyDescent="0.3">
      <c r="A225" s="405"/>
      <c r="B225" s="152" t="s">
        <v>868</v>
      </c>
      <c r="C225" s="331" t="s">
        <v>875</v>
      </c>
      <c r="D225" s="162" t="s">
        <v>683</v>
      </c>
      <c r="E225" s="102" t="s">
        <v>224</v>
      </c>
      <c r="F225" s="102"/>
      <c r="G225" s="102">
        <v>8</v>
      </c>
      <c r="H225" s="102"/>
      <c r="I225" s="155">
        <f t="shared" si="136"/>
        <v>8</v>
      </c>
      <c r="J225" s="85"/>
      <c r="K225" s="85"/>
      <c r="L225" s="90"/>
      <c r="M225" s="85" t="s">
        <v>46</v>
      </c>
      <c r="N225" s="150" t="s">
        <v>863</v>
      </c>
      <c r="O225" s="157" t="s">
        <v>29</v>
      </c>
      <c r="P225" s="90"/>
      <c r="Q225" s="90">
        <v>8</v>
      </c>
      <c r="R225" s="90"/>
      <c r="S225" s="90"/>
      <c r="T225" s="90"/>
      <c r="U225" s="90"/>
      <c r="V225" s="90"/>
      <c r="W225" s="157">
        <f t="shared" si="137"/>
        <v>8</v>
      </c>
      <c r="X225" s="158">
        <f>SUMIFS('Đơn giá'!C:C,'Đơn giá'!B:B,XUẤT!O225)</f>
        <v>85000</v>
      </c>
      <c r="Y225" s="159">
        <f>X225*Q225</f>
        <v>680000</v>
      </c>
      <c r="Z225" s="232"/>
      <c r="AA225" s="85" t="s">
        <v>789</v>
      </c>
      <c r="AB225" s="157">
        <f t="shared" si="134"/>
        <v>8</v>
      </c>
      <c r="AC225" s="158">
        <f t="shared" si="135"/>
        <v>40000</v>
      </c>
    </row>
    <row r="226" spans="1:30" ht="85.2" customHeight="1" x14ac:dyDescent="0.3">
      <c r="A226" s="85">
        <v>2</v>
      </c>
      <c r="B226" s="152" t="s">
        <v>868</v>
      </c>
      <c r="C226" s="336" t="s">
        <v>876</v>
      </c>
      <c r="D226" s="162" t="s">
        <v>683</v>
      </c>
      <c r="E226" s="102" t="s">
        <v>90</v>
      </c>
      <c r="F226" s="102"/>
      <c r="G226" s="102">
        <v>2</v>
      </c>
      <c r="H226" s="102"/>
      <c r="I226" s="155">
        <f t="shared" ref="I226:I258" si="138">F226+G226+H226</f>
        <v>2</v>
      </c>
      <c r="J226" s="85" t="s">
        <v>56</v>
      </c>
      <c r="K226" s="85"/>
      <c r="L226" s="90" t="s">
        <v>491</v>
      </c>
      <c r="M226" s="152" t="s">
        <v>33</v>
      </c>
      <c r="N226" s="10" t="s">
        <v>95</v>
      </c>
      <c r="O226" s="157" t="s">
        <v>26</v>
      </c>
      <c r="P226" s="90">
        <v>2</v>
      </c>
      <c r="Q226" s="90"/>
      <c r="R226" s="90"/>
      <c r="S226" s="90"/>
      <c r="T226" s="90"/>
      <c r="U226" s="90"/>
      <c r="V226" s="90"/>
      <c r="W226" s="157">
        <f t="shared" ref="W226:W248" si="139">SUM(P226:V226)</f>
        <v>2</v>
      </c>
      <c r="X226" s="158">
        <f>SUMIFS('Đơn giá'!C:C,'Đơn giá'!B:B,XUẤT!O226)</f>
        <v>98000</v>
      </c>
      <c r="Y226" s="159">
        <f>X226*P226</f>
        <v>196000</v>
      </c>
      <c r="Z226" s="232" t="s">
        <v>877</v>
      </c>
      <c r="AA226" s="10" t="s">
        <v>57</v>
      </c>
      <c r="AB226" s="157">
        <f t="shared" si="134"/>
        <v>2</v>
      </c>
      <c r="AC226" s="158">
        <f t="shared" si="135"/>
        <v>10000</v>
      </c>
    </row>
    <row r="227" spans="1:30" s="160" customFormat="1" ht="85.2" hidden="1" customHeight="1" x14ac:dyDescent="0.3">
      <c r="A227" s="398">
        <v>3</v>
      </c>
      <c r="B227" s="152" t="s">
        <v>868</v>
      </c>
      <c r="C227" s="444" t="s">
        <v>878</v>
      </c>
      <c r="D227" s="162" t="s">
        <v>683</v>
      </c>
      <c r="E227" s="162" t="s">
        <v>543</v>
      </c>
      <c r="F227" s="162"/>
      <c r="G227" s="162">
        <v>3</v>
      </c>
      <c r="H227" s="162"/>
      <c r="I227" s="155">
        <f t="shared" si="138"/>
        <v>3</v>
      </c>
      <c r="J227" s="152" t="s">
        <v>775</v>
      </c>
      <c r="K227" s="152"/>
      <c r="L227" s="157" t="s">
        <v>491</v>
      </c>
      <c r="M227" s="152" t="s">
        <v>46</v>
      </c>
      <c r="N227" s="163" t="s">
        <v>879</v>
      </c>
      <c r="O227" s="157" t="s">
        <v>26</v>
      </c>
      <c r="P227" s="157">
        <v>2</v>
      </c>
      <c r="Q227" s="157"/>
      <c r="R227" s="157"/>
      <c r="S227" s="157"/>
      <c r="T227" s="157"/>
      <c r="U227" s="157"/>
      <c r="V227" s="157"/>
      <c r="W227" s="157">
        <f t="shared" si="139"/>
        <v>2</v>
      </c>
      <c r="X227" s="158">
        <f>SUMIFS('Đơn giá'!C:C,'Đơn giá'!B:B,XUẤT!O227)</f>
        <v>98000</v>
      </c>
      <c r="Y227" s="159">
        <f>X227*P227</f>
        <v>196000</v>
      </c>
      <c r="Z227" s="152"/>
      <c r="AA227" s="10" t="s">
        <v>140</v>
      </c>
      <c r="AB227" s="157">
        <f t="shared" ref="AB227:AB230" si="140">W227-V227</f>
        <v>2</v>
      </c>
      <c r="AC227" s="158">
        <f t="shared" ref="AC227:AC230" si="141">AB227*5000</f>
        <v>10000</v>
      </c>
      <c r="AD227" s="337"/>
    </row>
    <row r="228" spans="1:30" s="160" customFormat="1" ht="39" hidden="1" customHeight="1" x14ac:dyDescent="0.3">
      <c r="A228" s="399"/>
      <c r="B228" s="152" t="s">
        <v>868</v>
      </c>
      <c r="C228" s="445"/>
      <c r="D228" s="162" t="s">
        <v>683</v>
      </c>
      <c r="E228" s="162" t="s">
        <v>543</v>
      </c>
      <c r="F228" s="162"/>
      <c r="G228" s="162"/>
      <c r="H228" s="162"/>
      <c r="I228" s="155">
        <f t="shared" si="138"/>
        <v>0</v>
      </c>
      <c r="J228" s="152" t="s">
        <v>775</v>
      </c>
      <c r="K228" s="152"/>
      <c r="L228" s="157" t="s">
        <v>491</v>
      </c>
      <c r="M228" s="152" t="s">
        <v>46</v>
      </c>
      <c r="N228" s="163" t="s">
        <v>879</v>
      </c>
      <c r="O228" s="157" t="s">
        <v>29</v>
      </c>
      <c r="P228" s="157"/>
      <c r="Q228" s="157">
        <v>1</v>
      </c>
      <c r="R228" s="157"/>
      <c r="S228" s="157"/>
      <c r="T228" s="157"/>
      <c r="U228" s="157"/>
      <c r="V228" s="157"/>
      <c r="W228" s="157">
        <f t="shared" si="139"/>
        <v>1</v>
      </c>
      <c r="X228" s="158">
        <f>SUMIFS('Đơn giá'!C:C,'Đơn giá'!B:B,XUẤT!O228)</f>
        <v>85000</v>
      </c>
      <c r="Y228" s="159">
        <f t="shared" ref="Y228:Y231" si="142">X228*Q228</f>
        <v>85000</v>
      </c>
      <c r="Z228" s="152"/>
      <c r="AA228" s="10" t="s">
        <v>140</v>
      </c>
      <c r="AB228" s="157">
        <f t="shared" si="140"/>
        <v>1</v>
      </c>
      <c r="AC228" s="158">
        <f t="shared" si="141"/>
        <v>5000</v>
      </c>
      <c r="AD228" s="337"/>
    </row>
    <row r="229" spans="1:30" s="160" customFormat="1" ht="85.2" customHeight="1" x14ac:dyDescent="0.3">
      <c r="A229" s="152">
        <v>4</v>
      </c>
      <c r="B229" s="152" t="s">
        <v>868</v>
      </c>
      <c r="C229" s="338" t="s">
        <v>880</v>
      </c>
      <c r="D229" s="162" t="s">
        <v>683</v>
      </c>
      <c r="E229" s="162" t="s">
        <v>543</v>
      </c>
      <c r="F229" s="162"/>
      <c r="G229" s="162"/>
      <c r="H229" s="162">
        <v>10</v>
      </c>
      <c r="I229" s="155">
        <f t="shared" si="138"/>
        <v>10</v>
      </c>
      <c r="J229" s="152" t="s">
        <v>881</v>
      </c>
      <c r="K229" s="152"/>
      <c r="L229" s="157" t="s">
        <v>491</v>
      </c>
      <c r="M229" s="152" t="s">
        <v>33</v>
      </c>
      <c r="N229" s="10" t="s">
        <v>219</v>
      </c>
      <c r="O229" s="157" t="s">
        <v>42</v>
      </c>
      <c r="P229" s="157"/>
      <c r="Q229" s="157"/>
      <c r="R229" s="157"/>
      <c r="S229" s="157"/>
      <c r="T229" s="157"/>
      <c r="U229" s="157">
        <v>10</v>
      </c>
      <c r="V229" s="157"/>
      <c r="W229" s="157">
        <f t="shared" si="139"/>
        <v>10</v>
      </c>
      <c r="X229" s="158">
        <f>SUMIFS('Đơn giá'!C:C,'Đơn giá'!B:B,XUẤT!O229)</f>
        <v>48000</v>
      </c>
      <c r="Y229" s="159">
        <f>X229*U229</f>
        <v>480000</v>
      </c>
      <c r="Z229" s="152"/>
      <c r="AA229" s="85" t="s">
        <v>789</v>
      </c>
      <c r="AB229" s="157">
        <f t="shared" si="140"/>
        <v>10</v>
      </c>
      <c r="AC229" s="158">
        <f t="shared" si="141"/>
        <v>50000</v>
      </c>
      <c r="AD229" s="337"/>
    </row>
    <row r="230" spans="1:30" ht="85.2" hidden="1" customHeight="1" x14ac:dyDescent="0.3">
      <c r="A230" s="85">
        <v>5</v>
      </c>
      <c r="B230" s="152" t="s">
        <v>868</v>
      </c>
      <c r="C230" s="336" t="s">
        <v>882</v>
      </c>
      <c r="D230" s="162" t="s">
        <v>683</v>
      </c>
      <c r="E230" s="102" t="s">
        <v>543</v>
      </c>
      <c r="F230" s="102"/>
      <c r="G230" s="102"/>
      <c r="H230" s="102"/>
      <c r="I230" s="155">
        <f t="shared" si="138"/>
        <v>0</v>
      </c>
      <c r="J230" s="152" t="s">
        <v>792</v>
      </c>
      <c r="K230" s="85"/>
      <c r="L230" s="157" t="s">
        <v>491</v>
      </c>
      <c r="M230" s="85" t="s">
        <v>46</v>
      </c>
      <c r="N230" s="150" t="s">
        <v>884</v>
      </c>
      <c r="O230" s="157" t="s">
        <v>26</v>
      </c>
      <c r="P230" s="90">
        <v>2</v>
      </c>
      <c r="Q230" s="90"/>
      <c r="R230" s="90"/>
      <c r="S230" s="90"/>
      <c r="T230" s="90"/>
      <c r="U230" s="90"/>
      <c r="V230" s="90"/>
      <c r="W230" s="157">
        <f t="shared" si="139"/>
        <v>2</v>
      </c>
      <c r="X230" s="158">
        <f>SUMIFS('Đơn giá'!C:C,'Đơn giá'!B:B,XUẤT!O230)</f>
        <v>98000</v>
      </c>
      <c r="Y230" s="159">
        <f>X230*P230</f>
        <v>196000</v>
      </c>
      <c r="Z230" s="232" t="s">
        <v>890</v>
      </c>
      <c r="AA230" s="85" t="s">
        <v>789</v>
      </c>
      <c r="AB230" s="157">
        <f t="shared" si="140"/>
        <v>2</v>
      </c>
      <c r="AC230" s="158">
        <f t="shared" si="141"/>
        <v>10000</v>
      </c>
    </row>
    <row r="231" spans="1:30" s="160" customFormat="1" ht="85.2" hidden="1" customHeight="1" x14ac:dyDescent="0.3">
      <c r="A231" s="152">
        <v>6</v>
      </c>
      <c r="B231" s="152" t="s">
        <v>868</v>
      </c>
      <c r="C231" s="164" t="s">
        <v>883</v>
      </c>
      <c r="D231" s="162" t="s">
        <v>683</v>
      </c>
      <c r="E231" s="162" t="s">
        <v>543</v>
      </c>
      <c r="F231" s="162"/>
      <c r="G231" s="162">
        <v>2</v>
      </c>
      <c r="H231" s="162"/>
      <c r="I231" s="155">
        <f t="shared" si="138"/>
        <v>2</v>
      </c>
      <c r="J231" s="152" t="s">
        <v>792</v>
      </c>
      <c r="K231" s="152"/>
      <c r="L231" s="157" t="s">
        <v>491</v>
      </c>
      <c r="M231" s="152" t="s">
        <v>46</v>
      </c>
      <c r="N231" s="163" t="s">
        <v>884</v>
      </c>
      <c r="O231" s="157" t="s">
        <v>29</v>
      </c>
      <c r="P231" s="157"/>
      <c r="Q231" s="157">
        <v>2</v>
      </c>
      <c r="R231" s="157"/>
      <c r="S231" s="157"/>
      <c r="T231" s="157"/>
      <c r="U231" s="157"/>
      <c r="V231" s="157"/>
      <c r="W231" s="157">
        <f t="shared" si="139"/>
        <v>2</v>
      </c>
      <c r="X231" s="158">
        <f>SUMIFS('Đơn giá'!C:C,'Đơn giá'!B:B,XUẤT!O231)</f>
        <v>85000</v>
      </c>
      <c r="Y231" s="159">
        <f t="shared" si="142"/>
        <v>170000</v>
      </c>
      <c r="Z231" s="152"/>
      <c r="AA231" s="85" t="s">
        <v>789</v>
      </c>
      <c r="AB231" s="157">
        <f t="shared" ref="AB231:AB232" si="143">W231-V231</f>
        <v>2</v>
      </c>
      <c r="AC231" s="158">
        <f t="shared" ref="AC231:AC232" si="144">AB231*5000</f>
        <v>10000</v>
      </c>
      <c r="AD231" s="337"/>
    </row>
    <row r="232" spans="1:30" s="160" customFormat="1" ht="85.2" customHeight="1" x14ac:dyDescent="0.3">
      <c r="A232" s="152">
        <v>7</v>
      </c>
      <c r="B232" s="152" t="s">
        <v>868</v>
      </c>
      <c r="C232" s="164" t="s">
        <v>889</v>
      </c>
      <c r="D232" s="162" t="s">
        <v>683</v>
      </c>
      <c r="E232" s="162" t="s">
        <v>90</v>
      </c>
      <c r="F232" s="162"/>
      <c r="G232" s="162">
        <v>2</v>
      </c>
      <c r="H232" s="162"/>
      <c r="I232" s="155">
        <f t="shared" si="138"/>
        <v>2</v>
      </c>
      <c r="J232" s="10" t="s">
        <v>139</v>
      </c>
      <c r="K232" s="152"/>
      <c r="L232" s="157" t="s">
        <v>491</v>
      </c>
      <c r="M232" s="152" t="s">
        <v>33</v>
      </c>
      <c r="N232" s="10" t="s">
        <v>139</v>
      </c>
      <c r="O232" s="157" t="s">
        <v>26</v>
      </c>
      <c r="P232" s="157">
        <v>2</v>
      </c>
      <c r="Q232" s="157"/>
      <c r="R232" s="157"/>
      <c r="S232" s="157"/>
      <c r="T232" s="157"/>
      <c r="U232" s="157"/>
      <c r="V232" s="157"/>
      <c r="W232" s="157">
        <f t="shared" si="139"/>
        <v>2</v>
      </c>
      <c r="X232" s="158">
        <f>SUMIFS('Đơn giá'!C:C,'Đơn giá'!B:B,XUẤT!O232)</f>
        <v>98000</v>
      </c>
      <c r="Y232" s="159">
        <f>X232*P232</f>
        <v>196000</v>
      </c>
      <c r="Z232" s="152"/>
      <c r="AA232" s="10" t="s">
        <v>139</v>
      </c>
      <c r="AB232" s="157">
        <f t="shared" si="143"/>
        <v>2</v>
      </c>
      <c r="AC232" s="158">
        <f t="shared" si="144"/>
        <v>10000</v>
      </c>
      <c r="AD232" s="337"/>
    </row>
    <row r="233" spans="1:30" ht="85.2" customHeight="1" x14ac:dyDescent="0.3">
      <c r="A233" s="85">
        <v>1</v>
      </c>
      <c r="B233" s="85" t="s">
        <v>892</v>
      </c>
      <c r="C233" s="164" t="s">
        <v>891</v>
      </c>
      <c r="D233" s="162" t="s">
        <v>683</v>
      </c>
      <c r="E233" s="162" t="s">
        <v>543</v>
      </c>
      <c r="F233" s="102"/>
      <c r="G233" s="102">
        <v>2</v>
      </c>
      <c r="H233" s="102"/>
      <c r="I233" s="155">
        <f t="shared" si="138"/>
        <v>2</v>
      </c>
      <c r="J233" s="85" t="s">
        <v>98</v>
      </c>
      <c r="K233" s="85"/>
      <c r="L233" s="90" t="s">
        <v>491</v>
      </c>
      <c r="M233" s="152" t="s">
        <v>33</v>
      </c>
      <c r="N233" s="10" t="s">
        <v>127</v>
      </c>
      <c r="O233" s="157" t="s">
        <v>29</v>
      </c>
      <c r="P233" s="90"/>
      <c r="Q233" s="90">
        <v>2</v>
      </c>
      <c r="R233" s="90"/>
      <c r="S233" s="90"/>
      <c r="T233" s="90"/>
      <c r="U233" s="90"/>
      <c r="V233" s="90"/>
      <c r="W233" s="157">
        <f t="shared" si="139"/>
        <v>2</v>
      </c>
      <c r="X233" s="158">
        <f>SUMIFS('Đơn giá'!C:C,'Đơn giá'!B:B,XUẤT!O233)</f>
        <v>85000</v>
      </c>
      <c r="Y233" s="159">
        <f>X233*Q233</f>
        <v>170000</v>
      </c>
      <c r="Z233" s="232"/>
      <c r="AA233" s="85" t="s">
        <v>98</v>
      </c>
      <c r="AB233" s="157">
        <f t="shared" ref="AB233" si="145">W233-V233</f>
        <v>2</v>
      </c>
      <c r="AC233" s="158">
        <f t="shared" ref="AC233" si="146">AB233*5000</f>
        <v>10000</v>
      </c>
    </row>
    <row r="234" spans="1:30" ht="85.2" customHeight="1" x14ac:dyDescent="0.3">
      <c r="A234" s="85">
        <v>2</v>
      </c>
      <c r="B234" s="85" t="s">
        <v>892</v>
      </c>
      <c r="C234" s="164" t="s">
        <v>893</v>
      </c>
      <c r="D234" s="162" t="s">
        <v>683</v>
      </c>
      <c r="E234" s="102" t="s">
        <v>743</v>
      </c>
      <c r="F234" s="102"/>
      <c r="G234" s="102">
        <v>12</v>
      </c>
      <c r="H234" s="102"/>
      <c r="I234" s="155">
        <f t="shared" si="138"/>
        <v>12</v>
      </c>
      <c r="J234" s="85" t="s">
        <v>792</v>
      </c>
      <c r="K234" s="85"/>
      <c r="L234" s="90" t="s">
        <v>491</v>
      </c>
      <c r="M234" s="152" t="s">
        <v>33</v>
      </c>
      <c r="N234" s="10" t="s">
        <v>235</v>
      </c>
      <c r="O234" s="157" t="s">
        <v>26</v>
      </c>
      <c r="P234" s="90">
        <v>11</v>
      </c>
      <c r="Q234" s="90"/>
      <c r="R234" s="90"/>
      <c r="S234" s="90"/>
      <c r="T234" s="90"/>
      <c r="U234" s="90"/>
      <c r="V234" s="90">
        <v>1</v>
      </c>
      <c r="W234" s="157">
        <f t="shared" si="139"/>
        <v>12</v>
      </c>
      <c r="X234" s="158">
        <f>SUMIFS('Đơn giá'!C:C,'Đơn giá'!B:B,XUẤT!O234)</f>
        <v>98000</v>
      </c>
      <c r="Y234" s="159">
        <f t="shared" ref="Y234:Y237" si="147">X234*P234</f>
        <v>1078000</v>
      </c>
      <c r="Z234" s="232" t="s">
        <v>900</v>
      </c>
      <c r="AA234" s="85" t="s">
        <v>789</v>
      </c>
      <c r="AB234" s="157">
        <f t="shared" ref="AB234:AB244" si="148">W234-V234</f>
        <v>11</v>
      </c>
      <c r="AC234" s="158">
        <f t="shared" ref="AC234" si="149">AB234*5000</f>
        <v>55000</v>
      </c>
    </row>
    <row r="235" spans="1:30" ht="85.2" hidden="1" customHeight="1" x14ac:dyDescent="0.3">
      <c r="A235" s="85">
        <v>3</v>
      </c>
      <c r="B235" s="85" t="s">
        <v>892</v>
      </c>
      <c r="C235" s="325" t="s">
        <v>895</v>
      </c>
      <c r="D235" s="162" t="s">
        <v>683</v>
      </c>
      <c r="E235" s="102" t="s">
        <v>224</v>
      </c>
      <c r="F235" s="102"/>
      <c r="G235" s="102">
        <v>10</v>
      </c>
      <c r="H235" s="102"/>
      <c r="I235" s="155">
        <f t="shared" si="138"/>
        <v>10</v>
      </c>
      <c r="J235" s="85" t="s">
        <v>792</v>
      </c>
      <c r="K235" s="85"/>
      <c r="L235" s="90" t="s">
        <v>491</v>
      </c>
      <c r="M235" s="85"/>
      <c r="N235" s="150"/>
      <c r="O235" s="90"/>
      <c r="P235" s="90"/>
      <c r="Q235" s="90"/>
      <c r="R235" s="90"/>
      <c r="S235" s="90"/>
      <c r="T235" s="90"/>
      <c r="U235" s="90"/>
      <c r="V235" s="90"/>
      <c r="W235" s="157">
        <f t="shared" si="139"/>
        <v>0</v>
      </c>
      <c r="X235" s="158">
        <f>SUMIFS('Đơn giá'!C:C,'Đơn giá'!B:B,XUẤT!O235)</f>
        <v>0</v>
      </c>
      <c r="Y235" s="159">
        <f t="shared" si="147"/>
        <v>0</v>
      </c>
      <c r="Z235" s="232"/>
      <c r="AA235" s="85"/>
      <c r="AB235" s="157">
        <f t="shared" ref="AB235:AB240" si="150">W235-V235</f>
        <v>0</v>
      </c>
      <c r="AC235" s="158">
        <f t="shared" ref="AC235:AC244" si="151">AB235*5000</f>
        <v>0</v>
      </c>
    </row>
    <row r="236" spans="1:30" ht="85.2" customHeight="1" x14ac:dyDescent="0.3">
      <c r="A236" s="85">
        <v>2</v>
      </c>
      <c r="B236" s="85" t="s">
        <v>892</v>
      </c>
      <c r="C236" s="325" t="s">
        <v>896</v>
      </c>
      <c r="D236" s="162" t="s">
        <v>683</v>
      </c>
      <c r="E236" s="102" t="s">
        <v>224</v>
      </c>
      <c r="F236" s="102"/>
      <c r="G236" s="102">
        <v>1</v>
      </c>
      <c r="H236" s="102"/>
      <c r="I236" s="155">
        <f t="shared" ref="I236:I237" si="152">F236+G236+H236</f>
        <v>1</v>
      </c>
      <c r="J236" s="85" t="s">
        <v>792</v>
      </c>
      <c r="K236" s="85"/>
      <c r="L236" s="90" t="s">
        <v>491</v>
      </c>
      <c r="M236" s="152" t="s">
        <v>33</v>
      </c>
      <c r="N236" s="10" t="s">
        <v>235</v>
      </c>
      <c r="O236" s="157" t="s">
        <v>26</v>
      </c>
      <c r="P236" s="90">
        <v>11</v>
      </c>
      <c r="Q236" s="90"/>
      <c r="R236" s="90"/>
      <c r="S236" s="90"/>
      <c r="T236" s="90"/>
      <c r="U236" s="90"/>
      <c r="V236" s="157">
        <v>1</v>
      </c>
      <c r="W236" s="157">
        <f t="shared" si="139"/>
        <v>12</v>
      </c>
      <c r="X236" s="158">
        <f>SUMIFS('Đơn giá'!C:C,'Đơn giá'!B:B,XUẤT!O236)</f>
        <v>98000</v>
      </c>
      <c r="Y236" s="159">
        <f t="shared" si="147"/>
        <v>1078000</v>
      </c>
      <c r="Z236" s="85" t="s">
        <v>897</v>
      </c>
      <c r="AA236" s="85" t="s">
        <v>789</v>
      </c>
      <c r="AB236" s="159">
        <f>W236-V236</f>
        <v>11</v>
      </c>
      <c r="AC236" s="158">
        <f t="shared" si="151"/>
        <v>55000</v>
      </c>
      <c r="AD236"/>
    </row>
    <row r="237" spans="1:30" ht="40.200000000000003" customHeight="1" x14ac:dyDescent="0.3">
      <c r="A237" s="85"/>
      <c r="B237" s="85" t="s">
        <v>892</v>
      </c>
      <c r="C237" s="325"/>
      <c r="D237" s="162" t="s">
        <v>683</v>
      </c>
      <c r="E237" s="102" t="s">
        <v>743</v>
      </c>
      <c r="F237" s="102"/>
      <c r="G237" s="102">
        <v>10</v>
      </c>
      <c r="H237" s="102"/>
      <c r="I237" s="155">
        <f t="shared" si="152"/>
        <v>10</v>
      </c>
      <c r="J237" s="85" t="s">
        <v>792</v>
      </c>
      <c r="K237" s="85"/>
      <c r="L237" s="90" t="s">
        <v>491</v>
      </c>
      <c r="M237" s="152" t="s">
        <v>33</v>
      </c>
      <c r="N237" s="10" t="s">
        <v>235</v>
      </c>
      <c r="O237" s="157" t="s">
        <v>26</v>
      </c>
      <c r="P237" s="90">
        <v>1</v>
      </c>
      <c r="Q237" s="90"/>
      <c r="R237" s="90"/>
      <c r="S237" s="90"/>
      <c r="T237" s="90"/>
      <c r="U237" s="90"/>
      <c r="V237" s="157"/>
      <c r="W237" s="157">
        <f t="shared" si="139"/>
        <v>1</v>
      </c>
      <c r="X237" s="158">
        <f>SUMIFS('Đơn giá'!C:C,'Đơn giá'!B:B,XUẤT!O237)</f>
        <v>98000</v>
      </c>
      <c r="Y237" s="159">
        <f t="shared" si="147"/>
        <v>98000</v>
      </c>
      <c r="Z237" s="85" t="s">
        <v>897</v>
      </c>
      <c r="AA237" s="85" t="s">
        <v>789</v>
      </c>
      <c r="AB237" s="159">
        <f>W237-V237</f>
        <v>1</v>
      </c>
      <c r="AC237" s="158">
        <f t="shared" ref="AC237" si="153">AB237*5000</f>
        <v>5000</v>
      </c>
      <c r="AD237"/>
    </row>
    <row r="238" spans="1:30" ht="85.2" customHeight="1" x14ac:dyDescent="0.3">
      <c r="A238" s="85">
        <v>2</v>
      </c>
      <c r="B238" s="85" t="s">
        <v>892</v>
      </c>
      <c r="C238" s="325" t="s">
        <v>898</v>
      </c>
      <c r="D238" s="162" t="s">
        <v>683</v>
      </c>
      <c r="E238" s="102" t="s">
        <v>543</v>
      </c>
      <c r="F238" s="102"/>
      <c r="G238" s="102"/>
      <c r="H238" s="102">
        <v>3</v>
      </c>
      <c r="I238" s="155">
        <f t="shared" ref="I238" si="154">F238+G238+H238</f>
        <v>3</v>
      </c>
      <c r="J238" s="10" t="s">
        <v>211</v>
      </c>
      <c r="K238" s="85"/>
      <c r="L238" s="90" t="s">
        <v>491</v>
      </c>
      <c r="M238" s="152" t="s">
        <v>33</v>
      </c>
      <c r="N238" s="10" t="s">
        <v>211</v>
      </c>
      <c r="O238" s="157" t="s">
        <v>39</v>
      </c>
      <c r="P238" s="90"/>
      <c r="Q238" s="90"/>
      <c r="R238" s="90"/>
      <c r="S238" s="90"/>
      <c r="T238" s="90">
        <v>3</v>
      </c>
      <c r="U238" s="90"/>
      <c r="V238" s="157"/>
      <c r="W238" s="157">
        <f t="shared" si="139"/>
        <v>3</v>
      </c>
      <c r="X238" s="158">
        <f>SUMIFS('Đơn giá'!C:C,'Đơn giá'!B:B,XUẤT!O238)</f>
        <v>52000</v>
      </c>
      <c r="Y238" s="159">
        <f>X238*T238</f>
        <v>156000</v>
      </c>
      <c r="Z238" s="232" t="s">
        <v>980</v>
      </c>
      <c r="AA238" s="10" t="s">
        <v>211</v>
      </c>
      <c r="AB238" s="157">
        <f t="shared" si="150"/>
        <v>3</v>
      </c>
      <c r="AC238" s="158">
        <f t="shared" si="151"/>
        <v>15000</v>
      </c>
      <c r="AD238"/>
    </row>
    <row r="239" spans="1:30" ht="85.2" hidden="1" customHeight="1" x14ac:dyDescent="0.3">
      <c r="A239" s="85">
        <v>1</v>
      </c>
      <c r="B239" s="85" t="s">
        <v>894</v>
      </c>
      <c r="C239" s="303" t="s">
        <v>950</v>
      </c>
      <c r="D239" s="162" t="s">
        <v>683</v>
      </c>
      <c r="E239" s="102" t="s">
        <v>543</v>
      </c>
      <c r="F239" s="102"/>
      <c r="G239" s="102"/>
      <c r="H239" s="102">
        <v>11</v>
      </c>
      <c r="I239" s="155">
        <f t="shared" ref="I239" si="155">F239+G239+H239</f>
        <v>11</v>
      </c>
      <c r="J239" s="85" t="s">
        <v>792</v>
      </c>
      <c r="K239" s="85"/>
      <c r="L239" s="90" t="s">
        <v>491</v>
      </c>
      <c r="M239" s="85" t="s">
        <v>46</v>
      </c>
      <c r="N239" s="150" t="s">
        <v>914</v>
      </c>
      <c r="O239" s="157" t="s">
        <v>42</v>
      </c>
      <c r="P239" s="90"/>
      <c r="Q239" s="90"/>
      <c r="R239" s="90"/>
      <c r="S239" s="90"/>
      <c r="T239" s="90"/>
      <c r="U239" s="90">
        <v>10</v>
      </c>
      <c r="V239" s="157">
        <v>1</v>
      </c>
      <c r="W239" s="157">
        <f t="shared" ref="W239" si="156">SUM(P239:V239)</f>
        <v>11</v>
      </c>
      <c r="X239" s="158">
        <f>SUMIFS('Đơn giá'!C:C,'Đơn giá'!B:B,XUẤT!O239)</f>
        <v>48000</v>
      </c>
      <c r="Y239" s="159">
        <f>X239*U239</f>
        <v>480000</v>
      </c>
      <c r="Z239" s="85"/>
      <c r="AA239" s="85" t="s">
        <v>789</v>
      </c>
      <c r="AB239" s="157">
        <f t="shared" ref="AB239" si="157">W239-V239</f>
        <v>10</v>
      </c>
      <c r="AC239" s="158">
        <f t="shared" ref="AC239" si="158">AB239*5000</f>
        <v>50000</v>
      </c>
      <c r="AD239"/>
    </row>
    <row r="240" spans="1:30" ht="85.2" hidden="1" customHeight="1" x14ac:dyDescent="0.3">
      <c r="A240" s="85">
        <v>2</v>
      </c>
      <c r="B240" s="85" t="s">
        <v>894</v>
      </c>
      <c r="C240" s="303" t="s">
        <v>901</v>
      </c>
      <c r="D240" s="162" t="s">
        <v>683</v>
      </c>
      <c r="E240" s="102" t="s">
        <v>767</v>
      </c>
      <c r="F240" s="102"/>
      <c r="G240" s="102"/>
      <c r="H240" s="102">
        <v>33</v>
      </c>
      <c r="I240" s="155">
        <f t="shared" si="138"/>
        <v>33</v>
      </c>
      <c r="J240" s="85" t="s">
        <v>695</v>
      </c>
      <c r="K240" s="85" t="s">
        <v>695</v>
      </c>
      <c r="L240" s="90" t="s">
        <v>491</v>
      </c>
      <c r="M240" s="85" t="s">
        <v>46</v>
      </c>
      <c r="N240" s="150" t="s">
        <v>694</v>
      </c>
      <c r="O240" s="157" t="s">
        <v>39</v>
      </c>
      <c r="P240" s="90"/>
      <c r="Q240" s="90"/>
      <c r="R240" s="90"/>
      <c r="S240" s="90"/>
      <c r="T240" s="90">
        <v>30</v>
      </c>
      <c r="U240" s="90"/>
      <c r="V240" s="90">
        <v>3</v>
      </c>
      <c r="W240" s="157">
        <f t="shared" si="139"/>
        <v>33</v>
      </c>
      <c r="X240" s="158">
        <f>SUMIFS('Đơn giá'!C:C,'Đơn giá'!B:B,XUẤT!O240)</f>
        <v>52000</v>
      </c>
      <c r="Y240" s="159">
        <f>X240*T240</f>
        <v>1560000</v>
      </c>
      <c r="Z240" s="85"/>
      <c r="AA240" s="34" t="s">
        <v>53</v>
      </c>
      <c r="AB240" s="157">
        <f t="shared" si="150"/>
        <v>30</v>
      </c>
      <c r="AC240" s="158">
        <f t="shared" si="151"/>
        <v>150000</v>
      </c>
      <c r="AD240"/>
    </row>
    <row r="241" spans="1:30" ht="85.2" customHeight="1" x14ac:dyDescent="0.3">
      <c r="A241" s="85">
        <v>3</v>
      </c>
      <c r="B241" s="85" t="s">
        <v>894</v>
      </c>
      <c r="C241" s="325" t="s">
        <v>902</v>
      </c>
      <c r="D241" s="162" t="s">
        <v>683</v>
      </c>
      <c r="E241" s="102" t="s">
        <v>543</v>
      </c>
      <c r="F241" s="102"/>
      <c r="G241" s="102"/>
      <c r="H241" s="102">
        <v>2</v>
      </c>
      <c r="I241" s="155">
        <f t="shared" si="138"/>
        <v>2</v>
      </c>
      <c r="J241" s="10" t="s">
        <v>220</v>
      </c>
      <c r="K241" s="85"/>
      <c r="L241" s="90" t="s">
        <v>491</v>
      </c>
      <c r="M241" s="152" t="s">
        <v>33</v>
      </c>
      <c r="N241" s="10" t="s">
        <v>220</v>
      </c>
      <c r="O241" s="157" t="s">
        <v>42</v>
      </c>
      <c r="P241" s="90"/>
      <c r="Q241" s="90"/>
      <c r="R241" s="90"/>
      <c r="S241" s="90"/>
      <c r="T241" s="90"/>
      <c r="U241" s="90">
        <v>2</v>
      </c>
      <c r="V241" s="90"/>
      <c r="W241" s="157">
        <f t="shared" si="139"/>
        <v>2</v>
      </c>
      <c r="X241" s="158">
        <f>SUMIFS('Đơn giá'!C:C,'Đơn giá'!B:B,XUẤT!O241)</f>
        <v>48000</v>
      </c>
      <c r="Y241" s="159">
        <f>X241*U241</f>
        <v>96000</v>
      </c>
      <c r="Z241" s="85" t="s">
        <v>911</v>
      </c>
      <c r="AA241" s="10" t="s">
        <v>220</v>
      </c>
      <c r="AB241" s="157">
        <f t="shared" si="148"/>
        <v>2</v>
      </c>
      <c r="AC241" s="158">
        <f t="shared" si="151"/>
        <v>10000</v>
      </c>
      <c r="AD241"/>
    </row>
    <row r="242" spans="1:30" ht="81" hidden="1" customHeight="1" x14ac:dyDescent="0.3">
      <c r="A242" s="85">
        <v>4</v>
      </c>
      <c r="B242" s="85" t="s">
        <v>894</v>
      </c>
      <c r="C242" s="303" t="s">
        <v>913</v>
      </c>
      <c r="D242" s="162" t="s">
        <v>683</v>
      </c>
      <c r="E242" s="102" t="s">
        <v>543</v>
      </c>
      <c r="F242" s="102"/>
      <c r="G242" s="102">
        <v>22</v>
      </c>
      <c r="H242" s="102"/>
      <c r="I242" s="155">
        <f t="shared" si="138"/>
        <v>22</v>
      </c>
      <c r="J242" s="85" t="s">
        <v>792</v>
      </c>
      <c r="K242" s="85"/>
      <c r="L242" s="90" t="s">
        <v>491</v>
      </c>
      <c r="M242" s="85" t="s">
        <v>46</v>
      </c>
      <c r="N242" s="150" t="s">
        <v>903</v>
      </c>
      <c r="O242" s="157" t="s">
        <v>29</v>
      </c>
      <c r="P242" s="90"/>
      <c r="Q242" s="90">
        <v>20</v>
      </c>
      <c r="R242" s="90"/>
      <c r="S242" s="90"/>
      <c r="T242" s="90"/>
      <c r="U242" s="90"/>
      <c r="V242" s="90">
        <v>2</v>
      </c>
      <c r="W242" s="157">
        <f t="shared" si="139"/>
        <v>22</v>
      </c>
      <c r="X242" s="158">
        <f>SUMIFS('Đơn giá'!C:C,'Đơn giá'!B:B,XUẤT!O242)</f>
        <v>85000</v>
      </c>
      <c r="Y242" s="159">
        <f>X242*Q242</f>
        <v>1700000</v>
      </c>
      <c r="Z242" s="85" t="s">
        <v>911</v>
      </c>
      <c r="AA242" s="85" t="s">
        <v>789</v>
      </c>
      <c r="AB242" s="157">
        <f>W242-V242</f>
        <v>20</v>
      </c>
      <c r="AC242" s="158">
        <f t="shared" si="151"/>
        <v>100000</v>
      </c>
      <c r="AD242"/>
    </row>
    <row r="243" spans="1:30" ht="61.8" customHeight="1" x14ac:dyDescent="0.3">
      <c r="A243" s="85">
        <v>5</v>
      </c>
      <c r="B243" s="85" t="s">
        <v>894</v>
      </c>
      <c r="C243" s="325" t="s">
        <v>904</v>
      </c>
      <c r="D243" s="162" t="s">
        <v>683</v>
      </c>
      <c r="E243" s="102" t="s">
        <v>543</v>
      </c>
      <c r="F243" s="102"/>
      <c r="G243" s="102"/>
      <c r="H243" s="102">
        <v>1</v>
      </c>
      <c r="I243" s="155">
        <f t="shared" si="138"/>
        <v>1</v>
      </c>
      <c r="J243" s="85" t="s">
        <v>98</v>
      </c>
      <c r="K243" s="85"/>
      <c r="L243" s="90" t="s">
        <v>491</v>
      </c>
      <c r="M243" s="152" t="s">
        <v>33</v>
      </c>
      <c r="N243" s="150" t="s">
        <v>98</v>
      </c>
      <c r="O243" s="157" t="s">
        <v>42</v>
      </c>
      <c r="P243" s="90"/>
      <c r="Q243" s="90"/>
      <c r="R243" s="90"/>
      <c r="S243" s="90"/>
      <c r="T243" s="90"/>
      <c r="U243" s="90">
        <v>1</v>
      </c>
      <c r="V243" s="90"/>
      <c r="W243" s="157">
        <f t="shared" si="139"/>
        <v>1</v>
      </c>
      <c r="X243" s="158">
        <f>SUMIFS('Đơn giá'!C:C,'Đơn giá'!B:B,XUẤT!O243)</f>
        <v>48000</v>
      </c>
      <c r="Y243" s="159">
        <f>X243*U243</f>
        <v>48000</v>
      </c>
      <c r="Z243" s="85" t="s">
        <v>905</v>
      </c>
      <c r="AA243" s="85" t="s">
        <v>98</v>
      </c>
      <c r="AB243" s="157">
        <f t="shared" si="148"/>
        <v>1</v>
      </c>
      <c r="AC243" s="158">
        <f t="shared" si="151"/>
        <v>5000</v>
      </c>
      <c r="AD243"/>
    </row>
    <row r="244" spans="1:30" ht="85.2" customHeight="1" x14ac:dyDescent="0.3">
      <c r="A244" s="85">
        <v>6</v>
      </c>
      <c r="B244" s="85" t="s">
        <v>894</v>
      </c>
      <c r="C244" s="386" t="s">
        <v>923</v>
      </c>
      <c r="D244" s="162" t="s">
        <v>683</v>
      </c>
      <c r="E244" s="102" t="s">
        <v>224</v>
      </c>
      <c r="F244" s="102"/>
      <c r="G244" s="102">
        <v>15</v>
      </c>
      <c r="H244" s="102"/>
      <c r="I244" s="155">
        <f t="shared" si="138"/>
        <v>15</v>
      </c>
      <c r="J244" s="85" t="s">
        <v>792</v>
      </c>
      <c r="K244" s="85"/>
      <c r="L244" s="90"/>
      <c r="M244" s="152" t="s">
        <v>33</v>
      </c>
      <c r="N244" s="10" t="s">
        <v>232</v>
      </c>
      <c r="O244" s="157" t="s">
        <v>26</v>
      </c>
      <c r="P244" s="90">
        <v>15</v>
      </c>
      <c r="Q244" s="90"/>
      <c r="R244" s="90"/>
      <c r="S244" s="90"/>
      <c r="T244" s="90"/>
      <c r="U244" s="90"/>
      <c r="V244" s="90">
        <v>1</v>
      </c>
      <c r="W244" s="157">
        <f t="shared" si="139"/>
        <v>16</v>
      </c>
      <c r="X244" s="158">
        <f>SUMIFS('Đơn giá'!C:C,'Đơn giá'!B:B,XUẤT!O244)</f>
        <v>98000</v>
      </c>
      <c r="Y244" s="159">
        <f>X244*P244</f>
        <v>1470000</v>
      </c>
      <c r="Z244" s="85" t="s">
        <v>985</v>
      </c>
      <c r="AA244" s="10" t="s">
        <v>232</v>
      </c>
      <c r="AB244" s="157">
        <f t="shared" si="148"/>
        <v>15</v>
      </c>
      <c r="AC244" s="158">
        <f t="shared" si="151"/>
        <v>75000</v>
      </c>
      <c r="AD244"/>
    </row>
    <row r="245" spans="1:30" ht="36" customHeight="1" x14ac:dyDescent="0.3">
      <c r="A245" s="85"/>
      <c r="B245" s="85"/>
      <c r="C245" s="325"/>
      <c r="D245" s="162"/>
      <c r="E245" s="102" t="s">
        <v>224</v>
      </c>
      <c r="F245" s="102"/>
      <c r="G245" s="102">
        <v>5</v>
      </c>
      <c r="H245" s="102"/>
      <c r="I245" s="155">
        <f t="shared" si="138"/>
        <v>5</v>
      </c>
      <c r="J245" s="85" t="s">
        <v>792</v>
      </c>
      <c r="K245" s="85"/>
      <c r="L245" s="90"/>
      <c r="M245" s="152" t="s">
        <v>33</v>
      </c>
      <c r="N245" s="10" t="s">
        <v>232</v>
      </c>
      <c r="O245" s="157" t="s">
        <v>29</v>
      </c>
      <c r="P245" s="90"/>
      <c r="Q245" s="90">
        <v>5</v>
      </c>
      <c r="R245" s="90"/>
      <c r="S245" s="90"/>
      <c r="T245" s="90"/>
      <c r="U245" s="90"/>
      <c r="V245" s="90">
        <v>1</v>
      </c>
      <c r="W245" s="157">
        <f t="shared" si="139"/>
        <v>6</v>
      </c>
      <c r="X245" s="158">
        <f>SUMIFS('Đơn giá'!C:C,'Đơn giá'!B:B,XUẤT!O245)</f>
        <v>85000</v>
      </c>
      <c r="Y245" s="159">
        <f>X245*Q245</f>
        <v>425000</v>
      </c>
      <c r="Z245" s="85" t="s">
        <v>985</v>
      </c>
      <c r="AA245" s="10" t="s">
        <v>232</v>
      </c>
      <c r="AB245" s="157">
        <f t="shared" ref="AB245:AB246" si="159">W245-V245</f>
        <v>5</v>
      </c>
      <c r="AC245" s="158">
        <f t="shared" ref="AC245:AC246" si="160">AB245*5000</f>
        <v>25000</v>
      </c>
      <c r="AD245"/>
    </row>
    <row r="246" spans="1:30" ht="85.2" hidden="1" customHeight="1" x14ac:dyDescent="0.3">
      <c r="A246" s="85">
        <v>7</v>
      </c>
      <c r="B246" s="85" t="s">
        <v>894</v>
      </c>
      <c r="C246" s="325" t="s">
        <v>906</v>
      </c>
      <c r="D246" s="162" t="s">
        <v>683</v>
      </c>
      <c r="E246" s="102" t="s">
        <v>543</v>
      </c>
      <c r="F246" s="102"/>
      <c r="G246" s="102">
        <v>16</v>
      </c>
      <c r="H246" s="102"/>
      <c r="I246" s="155">
        <f t="shared" si="138"/>
        <v>16</v>
      </c>
      <c r="J246" s="85" t="s">
        <v>792</v>
      </c>
      <c r="K246" s="85"/>
      <c r="L246" s="90" t="s">
        <v>491</v>
      </c>
      <c r="M246" s="85" t="s">
        <v>46</v>
      </c>
      <c r="N246" s="150" t="s">
        <v>908</v>
      </c>
      <c r="O246" s="157" t="s">
        <v>26</v>
      </c>
      <c r="P246" s="90">
        <v>15</v>
      </c>
      <c r="Q246" s="90"/>
      <c r="R246" s="90"/>
      <c r="S246" s="90"/>
      <c r="T246" s="90"/>
      <c r="U246" s="90"/>
      <c r="V246" s="90">
        <v>1</v>
      </c>
      <c r="W246" s="157">
        <f t="shared" si="139"/>
        <v>16</v>
      </c>
      <c r="X246" s="158">
        <f>SUMIFS('Đơn giá'!C:C,'Đơn giá'!B:B,XUẤT!O246)</f>
        <v>98000</v>
      </c>
      <c r="Y246" s="159">
        <f>X246*P246</f>
        <v>1470000</v>
      </c>
      <c r="Z246" s="85" t="s">
        <v>911</v>
      </c>
      <c r="AA246" s="85" t="s">
        <v>789</v>
      </c>
      <c r="AB246" s="157">
        <f t="shared" si="159"/>
        <v>15</v>
      </c>
      <c r="AC246" s="158">
        <f t="shared" si="160"/>
        <v>75000</v>
      </c>
      <c r="AD246"/>
    </row>
    <row r="247" spans="1:30" ht="85.2" hidden="1" customHeight="1" x14ac:dyDescent="0.3">
      <c r="A247" s="85">
        <v>8</v>
      </c>
      <c r="B247" s="85" t="s">
        <v>894</v>
      </c>
      <c r="C247" s="325" t="s">
        <v>907</v>
      </c>
      <c r="D247" s="162" t="s">
        <v>683</v>
      </c>
      <c r="E247" s="102" t="s">
        <v>224</v>
      </c>
      <c r="F247" s="102"/>
      <c r="G247" s="102"/>
      <c r="H247" s="102">
        <v>6</v>
      </c>
      <c r="I247" s="155">
        <f t="shared" si="138"/>
        <v>6</v>
      </c>
      <c r="J247" s="85" t="s">
        <v>792</v>
      </c>
      <c r="K247" s="85"/>
      <c r="L247" s="90"/>
      <c r="M247" s="85" t="s">
        <v>46</v>
      </c>
      <c r="N247" s="150" t="s">
        <v>851</v>
      </c>
      <c r="O247" s="157" t="s">
        <v>39</v>
      </c>
      <c r="P247" s="90"/>
      <c r="Q247" s="90"/>
      <c r="R247" s="90"/>
      <c r="S247" s="90"/>
      <c r="T247" s="90">
        <v>6</v>
      </c>
      <c r="U247" s="90"/>
      <c r="V247" s="90"/>
      <c r="W247" s="157">
        <f t="shared" si="139"/>
        <v>6</v>
      </c>
      <c r="X247" s="158">
        <f>SUMIFS('Đơn giá'!C:C,'Đơn giá'!B:B,XUẤT!O247)</f>
        <v>52000</v>
      </c>
      <c r="Y247" s="159">
        <f>X247*T247</f>
        <v>312000</v>
      </c>
      <c r="Z247" s="85" t="s">
        <v>912</v>
      </c>
      <c r="AA247" s="85" t="s">
        <v>789</v>
      </c>
      <c r="AB247" s="157">
        <f t="shared" ref="AB247:AB257" si="161">W247-V247</f>
        <v>6</v>
      </c>
      <c r="AC247" s="158">
        <f t="shared" ref="AC247:AC257" si="162">AB247*5000</f>
        <v>30000</v>
      </c>
      <c r="AD247"/>
    </row>
    <row r="248" spans="1:30" ht="51" customHeight="1" x14ac:dyDescent="0.3">
      <c r="A248" s="85">
        <v>9</v>
      </c>
      <c r="B248" s="85" t="s">
        <v>894</v>
      </c>
      <c r="C248" s="303" t="s">
        <v>909</v>
      </c>
      <c r="D248" s="162" t="s">
        <v>683</v>
      </c>
      <c r="E248" s="102" t="s">
        <v>224</v>
      </c>
      <c r="F248" s="102"/>
      <c r="G248" s="102">
        <v>11</v>
      </c>
      <c r="H248" s="102"/>
      <c r="I248" s="155">
        <f t="shared" si="138"/>
        <v>11</v>
      </c>
      <c r="J248" s="85" t="s">
        <v>792</v>
      </c>
      <c r="K248" s="85"/>
      <c r="L248" s="90"/>
      <c r="M248" s="152" t="s">
        <v>33</v>
      </c>
      <c r="N248" s="7" t="s">
        <v>125</v>
      </c>
      <c r="O248" s="157" t="s">
        <v>29</v>
      </c>
      <c r="P248" s="90"/>
      <c r="Q248" s="90">
        <v>10</v>
      </c>
      <c r="R248" s="90"/>
      <c r="S248" s="90"/>
      <c r="T248" s="90"/>
      <c r="U248" s="90"/>
      <c r="V248" s="90">
        <v>1</v>
      </c>
      <c r="W248" s="157">
        <f t="shared" si="139"/>
        <v>11</v>
      </c>
      <c r="X248" s="158">
        <f>SUMIFS('Đơn giá'!C:C,'Đơn giá'!B:B,XUẤT!O248)</f>
        <v>85000</v>
      </c>
      <c r="Y248" s="159">
        <f>X248*Q248</f>
        <v>850000</v>
      </c>
      <c r="Z248" s="85"/>
      <c r="AA248" s="85" t="s">
        <v>789</v>
      </c>
      <c r="AB248" s="157">
        <f t="shared" si="161"/>
        <v>10</v>
      </c>
      <c r="AC248" s="158">
        <f t="shared" si="162"/>
        <v>50000</v>
      </c>
      <c r="AD248"/>
    </row>
    <row r="249" spans="1:30" ht="58.2" customHeight="1" x14ac:dyDescent="0.3">
      <c r="A249" s="85">
        <v>10</v>
      </c>
      <c r="B249" s="85" t="s">
        <v>894</v>
      </c>
      <c r="C249" s="325" t="s">
        <v>910</v>
      </c>
      <c r="D249" s="162" t="s">
        <v>683</v>
      </c>
      <c r="E249" s="102" t="s">
        <v>543</v>
      </c>
      <c r="F249" s="102"/>
      <c r="G249" s="102"/>
      <c r="H249" s="102">
        <v>2</v>
      </c>
      <c r="I249" s="155">
        <f t="shared" si="138"/>
        <v>2</v>
      </c>
      <c r="J249" s="85" t="s">
        <v>98</v>
      </c>
      <c r="K249" s="85"/>
      <c r="L249" s="90"/>
      <c r="M249" s="152" t="s">
        <v>33</v>
      </c>
      <c r="N249" s="10" t="s">
        <v>98</v>
      </c>
      <c r="O249" s="157" t="s">
        <v>39</v>
      </c>
      <c r="P249" s="90"/>
      <c r="Q249" s="90"/>
      <c r="R249" s="90"/>
      <c r="S249" s="90"/>
      <c r="T249" s="90">
        <v>2</v>
      </c>
      <c r="U249" s="90"/>
      <c r="V249" s="90"/>
      <c r="W249" s="157">
        <f t="shared" ref="W249:W250" si="163">SUM(P249:V249)</f>
        <v>2</v>
      </c>
      <c r="X249" s="158">
        <f>SUMIFS('Đơn giá'!C:C,'Đơn giá'!B:B,XUẤT!O249)</f>
        <v>52000</v>
      </c>
      <c r="Y249" s="159">
        <f>X249*T249</f>
        <v>104000</v>
      </c>
      <c r="Z249" s="85" t="s">
        <v>911</v>
      </c>
      <c r="AA249" s="85" t="s">
        <v>98</v>
      </c>
      <c r="AB249" s="157">
        <f t="shared" si="161"/>
        <v>2</v>
      </c>
      <c r="AC249" s="158">
        <f t="shared" si="162"/>
        <v>10000</v>
      </c>
      <c r="AD249"/>
    </row>
    <row r="250" spans="1:30" ht="85.2" customHeight="1" x14ac:dyDescent="0.3">
      <c r="A250" s="85">
        <v>11</v>
      </c>
      <c r="B250" s="152" t="s">
        <v>894</v>
      </c>
      <c r="C250" s="363" t="s">
        <v>949</v>
      </c>
      <c r="D250" s="162" t="s">
        <v>683</v>
      </c>
      <c r="E250" s="102" t="s">
        <v>224</v>
      </c>
      <c r="F250" s="102"/>
      <c r="G250" s="102">
        <v>11</v>
      </c>
      <c r="H250" s="102"/>
      <c r="I250" s="155">
        <f t="shared" si="138"/>
        <v>11</v>
      </c>
      <c r="J250" s="85" t="s">
        <v>792</v>
      </c>
      <c r="K250" s="85"/>
      <c r="L250" s="90" t="s">
        <v>491</v>
      </c>
      <c r="M250" s="152" t="s">
        <v>33</v>
      </c>
      <c r="N250" s="10" t="s">
        <v>58</v>
      </c>
      <c r="O250" s="157" t="s">
        <v>26</v>
      </c>
      <c r="P250" s="90">
        <v>10</v>
      </c>
      <c r="Q250" s="90"/>
      <c r="R250" s="90"/>
      <c r="S250" s="90"/>
      <c r="T250" s="90"/>
      <c r="U250" s="90"/>
      <c r="V250" s="90">
        <v>1</v>
      </c>
      <c r="W250" s="157">
        <f t="shared" si="163"/>
        <v>11</v>
      </c>
      <c r="X250" s="158">
        <f>SUMIFS('Đơn giá'!C:C,'Đơn giá'!B:B,XUẤT!O250)</f>
        <v>98000</v>
      </c>
      <c r="Y250" s="159">
        <f>X250*P250</f>
        <v>980000</v>
      </c>
      <c r="Z250" s="232"/>
      <c r="AA250" s="85" t="s">
        <v>789</v>
      </c>
      <c r="AB250" s="157">
        <f t="shared" si="161"/>
        <v>10</v>
      </c>
      <c r="AC250" s="158">
        <f t="shared" si="162"/>
        <v>50000</v>
      </c>
    </row>
    <row r="251" spans="1:30" ht="85.2" hidden="1" customHeight="1" x14ac:dyDescent="0.3">
      <c r="A251" s="85">
        <v>12</v>
      </c>
      <c r="B251" s="85" t="s">
        <v>894</v>
      </c>
      <c r="C251" s="303" t="s">
        <v>920</v>
      </c>
      <c r="D251" s="162" t="s">
        <v>683</v>
      </c>
      <c r="E251" s="102" t="s">
        <v>224</v>
      </c>
      <c r="F251" s="102"/>
      <c r="G251" s="102"/>
      <c r="H251" s="102">
        <v>10</v>
      </c>
      <c r="I251" s="155">
        <f t="shared" si="138"/>
        <v>10</v>
      </c>
      <c r="J251" s="85" t="s">
        <v>792</v>
      </c>
      <c r="K251" s="85" t="s">
        <v>918</v>
      </c>
      <c r="L251" s="90" t="s">
        <v>491</v>
      </c>
      <c r="M251" s="85" t="s">
        <v>46</v>
      </c>
      <c r="N251" s="150" t="s">
        <v>919</v>
      </c>
      <c r="O251" s="157" t="s">
        <v>42</v>
      </c>
      <c r="P251" s="90"/>
      <c r="Q251" s="90"/>
      <c r="R251" s="90"/>
      <c r="S251" s="90"/>
      <c r="T251" s="90"/>
      <c r="U251" s="90">
        <v>10</v>
      </c>
      <c r="V251" s="90">
        <v>1</v>
      </c>
      <c r="W251" s="157">
        <f t="shared" ref="W251:W257" si="164">SUM(P251:V251)</f>
        <v>11</v>
      </c>
      <c r="X251" s="158">
        <f>SUMIFS('Đơn giá'!C:C,'Đơn giá'!B:B,XUẤT!O251)</f>
        <v>48000</v>
      </c>
      <c r="Y251" s="159">
        <f t="shared" ref="Y251:Y256" si="165">X251*P251</f>
        <v>0</v>
      </c>
      <c r="Z251" s="232"/>
      <c r="AA251" s="85" t="s">
        <v>789</v>
      </c>
      <c r="AB251" s="157">
        <f t="shared" si="161"/>
        <v>10</v>
      </c>
      <c r="AC251" s="158">
        <f t="shared" si="162"/>
        <v>50000</v>
      </c>
    </row>
    <row r="252" spans="1:30" ht="85.2" hidden="1" customHeight="1" x14ac:dyDescent="0.3">
      <c r="A252" s="85">
        <v>13</v>
      </c>
      <c r="B252" s="85" t="s">
        <v>894</v>
      </c>
      <c r="C252" s="325" t="s">
        <v>917</v>
      </c>
      <c r="D252" s="162" t="s">
        <v>683</v>
      </c>
      <c r="E252" s="102" t="s">
        <v>543</v>
      </c>
      <c r="F252" s="102"/>
      <c r="G252" s="102"/>
      <c r="H252" s="102">
        <v>1</v>
      </c>
      <c r="I252" s="155">
        <f t="shared" si="138"/>
        <v>1</v>
      </c>
      <c r="J252" s="85" t="s">
        <v>792</v>
      </c>
      <c r="K252" s="85"/>
      <c r="L252" s="90"/>
      <c r="M252" s="85" t="s">
        <v>46</v>
      </c>
      <c r="N252" s="150" t="s">
        <v>77</v>
      </c>
      <c r="O252" s="90"/>
      <c r="P252" s="90"/>
      <c r="Q252" s="90"/>
      <c r="R252" s="90"/>
      <c r="S252" s="90"/>
      <c r="T252" s="90"/>
      <c r="U252" s="90"/>
      <c r="V252" s="90"/>
      <c r="W252" s="157">
        <f t="shared" si="164"/>
        <v>0</v>
      </c>
      <c r="X252" s="158">
        <f>SUMIFS('Đơn giá'!C:C,'Đơn giá'!B:B,XUẤT!O252)</f>
        <v>0</v>
      </c>
      <c r="Y252" s="159">
        <f t="shared" si="165"/>
        <v>0</v>
      </c>
      <c r="Z252" s="232"/>
      <c r="AA252" s="85" t="s">
        <v>789</v>
      </c>
      <c r="AB252" s="157">
        <f t="shared" si="161"/>
        <v>0</v>
      </c>
      <c r="AC252" s="158">
        <f t="shared" si="162"/>
        <v>0</v>
      </c>
    </row>
    <row r="253" spans="1:30" ht="64.8" customHeight="1" x14ac:dyDescent="0.3">
      <c r="A253" s="85">
        <v>14</v>
      </c>
      <c r="B253" s="85" t="s">
        <v>894</v>
      </c>
      <c r="C253" s="325" t="s">
        <v>922</v>
      </c>
      <c r="D253" s="162" t="s">
        <v>683</v>
      </c>
      <c r="E253" s="102" t="s">
        <v>543</v>
      </c>
      <c r="F253" s="102"/>
      <c r="G253" s="102"/>
      <c r="H253" s="102">
        <v>5</v>
      </c>
      <c r="I253" s="155">
        <f t="shared" si="138"/>
        <v>5</v>
      </c>
      <c r="J253" s="85" t="s">
        <v>792</v>
      </c>
      <c r="K253" s="85"/>
      <c r="L253" s="90"/>
      <c r="M253" s="152" t="s">
        <v>33</v>
      </c>
      <c r="N253" s="10" t="s">
        <v>59</v>
      </c>
      <c r="O253" s="157" t="s">
        <v>42</v>
      </c>
      <c r="P253" s="90"/>
      <c r="Q253" s="90"/>
      <c r="R253" s="90"/>
      <c r="S253" s="90"/>
      <c r="T253" s="90"/>
      <c r="U253" s="90">
        <v>5</v>
      </c>
      <c r="V253" s="90"/>
      <c r="W253" s="157">
        <f t="shared" si="164"/>
        <v>5</v>
      </c>
      <c r="X253" s="158">
        <f>SUMIFS('Đơn giá'!C:C,'Đơn giá'!B:B,XUẤT!O253)</f>
        <v>48000</v>
      </c>
      <c r="Y253" s="159">
        <f>U253*X253</f>
        <v>240000</v>
      </c>
      <c r="Z253" s="232"/>
      <c r="AA253" s="85" t="s">
        <v>789</v>
      </c>
      <c r="AB253" s="157">
        <f t="shared" si="161"/>
        <v>5</v>
      </c>
      <c r="AC253" s="158">
        <f t="shared" si="162"/>
        <v>25000</v>
      </c>
    </row>
    <row r="254" spans="1:30" ht="85.2" customHeight="1" x14ac:dyDescent="0.3">
      <c r="A254" s="85"/>
      <c r="B254" s="85" t="s">
        <v>894</v>
      </c>
      <c r="C254" s="325" t="s">
        <v>921</v>
      </c>
      <c r="D254" s="162" t="s">
        <v>683</v>
      </c>
      <c r="E254" s="102" t="s">
        <v>543</v>
      </c>
      <c r="F254" s="102"/>
      <c r="G254" s="102">
        <v>6</v>
      </c>
      <c r="H254" s="102"/>
      <c r="I254" s="155">
        <f t="shared" si="138"/>
        <v>6</v>
      </c>
      <c r="J254" s="10" t="s">
        <v>137</v>
      </c>
      <c r="K254" s="85"/>
      <c r="L254" s="90" t="s">
        <v>491</v>
      </c>
      <c r="M254" s="152" t="s">
        <v>33</v>
      </c>
      <c r="N254" s="10" t="s">
        <v>238</v>
      </c>
      <c r="O254" s="157" t="s">
        <v>29</v>
      </c>
      <c r="P254" s="90"/>
      <c r="Q254" s="90">
        <v>5</v>
      </c>
      <c r="R254" s="90"/>
      <c r="S254" s="90"/>
      <c r="T254" s="90"/>
      <c r="U254" s="90"/>
      <c r="V254" s="90">
        <v>1</v>
      </c>
      <c r="W254" s="157">
        <f t="shared" si="164"/>
        <v>6</v>
      </c>
      <c r="X254" s="158">
        <f>SUMIFS('Đơn giá'!C:C,'Đơn giá'!B:B,XUẤT!O254)</f>
        <v>85000</v>
      </c>
      <c r="Y254" s="159">
        <f>X254*Q254</f>
        <v>425000</v>
      </c>
      <c r="Z254" s="232"/>
      <c r="AA254" s="10" t="s">
        <v>137</v>
      </c>
      <c r="AB254" s="157">
        <f t="shared" si="161"/>
        <v>5</v>
      </c>
      <c r="AC254" s="158">
        <f t="shared" si="162"/>
        <v>25000</v>
      </c>
    </row>
    <row r="255" spans="1:30" ht="85.2" customHeight="1" x14ac:dyDescent="0.3">
      <c r="A255" s="85">
        <v>13</v>
      </c>
      <c r="B255" s="85" t="s">
        <v>894</v>
      </c>
      <c r="C255" s="303" t="s">
        <v>571</v>
      </c>
      <c r="D255" s="162" t="s">
        <v>683</v>
      </c>
      <c r="E255" s="102" t="s">
        <v>224</v>
      </c>
      <c r="F255" s="102"/>
      <c r="G255" s="102">
        <v>36</v>
      </c>
      <c r="H255" s="102"/>
      <c r="I255" s="155">
        <f t="shared" si="138"/>
        <v>36</v>
      </c>
      <c r="J255" s="85" t="s">
        <v>49</v>
      </c>
      <c r="K255" s="85"/>
      <c r="L255" s="90" t="s">
        <v>491</v>
      </c>
      <c r="M255" s="152" t="s">
        <v>33</v>
      </c>
      <c r="N255" s="85" t="s">
        <v>49</v>
      </c>
      <c r="O255" s="157" t="s">
        <v>26</v>
      </c>
      <c r="P255" s="90">
        <v>36</v>
      </c>
      <c r="Q255" s="90"/>
      <c r="R255" s="90"/>
      <c r="S255" s="90"/>
      <c r="T255" s="90"/>
      <c r="U255" s="90"/>
      <c r="V255" s="90"/>
      <c r="W255" s="157">
        <f t="shared" si="164"/>
        <v>36</v>
      </c>
      <c r="X255" s="158">
        <f>SUMIFS('Đơn giá'!C:C,'Đơn giá'!B:B,XUẤT!O255)</f>
        <v>98000</v>
      </c>
      <c r="Y255" s="159">
        <f t="shared" si="165"/>
        <v>3528000</v>
      </c>
      <c r="Z255" s="232"/>
      <c r="AA255" s="85" t="s">
        <v>49</v>
      </c>
      <c r="AB255" s="157">
        <f t="shared" si="161"/>
        <v>36</v>
      </c>
      <c r="AC255" s="158">
        <f t="shared" si="162"/>
        <v>180000</v>
      </c>
    </row>
    <row r="256" spans="1:30" ht="85.2" customHeight="1" x14ac:dyDescent="0.3">
      <c r="A256" s="85">
        <v>14</v>
      </c>
      <c r="B256" s="85" t="s">
        <v>894</v>
      </c>
      <c r="C256" s="325" t="s">
        <v>924</v>
      </c>
      <c r="D256" s="162" t="s">
        <v>683</v>
      </c>
      <c r="E256" s="102" t="s">
        <v>90</v>
      </c>
      <c r="F256" s="102"/>
      <c r="G256" s="102">
        <v>1</v>
      </c>
      <c r="H256" s="102"/>
      <c r="I256" s="155">
        <f t="shared" si="138"/>
        <v>1</v>
      </c>
      <c r="J256" s="85" t="s">
        <v>139</v>
      </c>
      <c r="K256" s="85"/>
      <c r="L256" s="90" t="s">
        <v>491</v>
      </c>
      <c r="M256" s="152" t="s">
        <v>33</v>
      </c>
      <c r="N256" s="85" t="s">
        <v>139</v>
      </c>
      <c r="O256" s="157" t="s">
        <v>26</v>
      </c>
      <c r="P256" s="90">
        <v>1</v>
      </c>
      <c r="Q256" s="90"/>
      <c r="R256" s="90"/>
      <c r="S256" s="90"/>
      <c r="T256" s="90"/>
      <c r="U256" s="90"/>
      <c r="V256" s="90"/>
      <c r="W256" s="157">
        <f t="shared" si="164"/>
        <v>1</v>
      </c>
      <c r="X256" s="158">
        <f>SUMIFS('Đơn giá'!C:C,'Đơn giá'!B:B,XUẤT!O256)</f>
        <v>98000</v>
      </c>
      <c r="Y256" s="159">
        <f t="shared" si="165"/>
        <v>98000</v>
      </c>
      <c r="Z256" s="232"/>
      <c r="AA256" s="85" t="s">
        <v>139</v>
      </c>
      <c r="AB256" s="157">
        <f t="shared" si="161"/>
        <v>1</v>
      </c>
      <c r="AC256" s="158">
        <f t="shared" si="162"/>
        <v>5000</v>
      </c>
    </row>
    <row r="257" spans="1:29" ht="85.2" hidden="1" customHeight="1" x14ac:dyDescent="0.3">
      <c r="A257" s="85">
        <v>2</v>
      </c>
      <c r="B257" s="85" t="s">
        <v>925</v>
      </c>
      <c r="C257" s="325" t="s">
        <v>938</v>
      </c>
      <c r="D257" s="162" t="s">
        <v>683</v>
      </c>
      <c r="E257" s="102" t="s">
        <v>224</v>
      </c>
      <c r="F257" s="102"/>
      <c r="G257" s="102">
        <v>11</v>
      </c>
      <c r="H257" s="102"/>
      <c r="I257" s="155">
        <f t="shared" si="138"/>
        <v>11</v>
      </c>
      <c r="J257" s="85" t="s">
        <v>792</v>
      </c>
      <c r="K257" s="85"/>
      <c r="L257" s="90" t="s">
        <v>491</v>
      </c>
      <c r="M257" s="85" t="s">
        <v>50</v>
      </c>
      <c r="N257" s="150" t="s">
        <v>939</v>
      </c>
      <c r="O257" s="157" t="s">
        <v>29</v>
      </c>
      <c r="P257" s="90"/>
      <c r="Q257" s="90">
        <v>10</v>
      </c>
      <c r="R257" s="90"/>
      <c r="S257" s="90"/>
      <c r="T257" s="90"/>
      <c r="U257" s="90"/>
      <c r="V257" s="90">
        <v>1</v>
      </c>
      <c r="W257" s="157">
        <f t="shared" si="164"/>
        <v>11</v>
      </c>
      <c r="X257" s="158">
        <f>SUMIFS('Đơn giá'!C:C,'Đơn giá'!B:B,XUẤT!O257)</f>
        <v>85000</v>
      </c>
      <c r="Y257" s="159">
        <f>X257*Q257</f>
        <v>850000</v>
      </c>
      <c r="Z257" s="232"/>
      <c r="AA257" s="85" t="s">
        <v>792</v>
      </c>
      <c r="AB257" s="157">
        <f t="shared" si="161"/>
        <v>10</v>
      </c>
      <c r="AC257" s="158">
        <f t="shared" si="162"/>
        <v>50000</v>
      </c>
    </row>
    <row r="258" spans="1:29" ht="61.8" hidden="1" customHeight="1" x14ac:dyDescent="0.3">
      <c r="A258" s="85">
        <v>7</v>
      </c>
      <c r="B258" s="85" t="s">
        <v>955</v>
      </c>
      <c r="C258" s="325" t="s">
        <v>965</v>
      </c>
      <c r="D258" s="162" t="s">
        <v>683</v>
      </c>
      <c r="E258" s="102" t="s">
        <v>224</v>
      </c>
      <c r="F258" s="102"/>
      <c r="G258" s="102">
        <v>5</v>
      </c>
      <c r="H258" s="102"/>
      <c r="I258" s="102">
        <f t="shared" si="138"/>
        <v>5</v>
      </c>
      <c r="J258" s="85" t="s">
        <v>792</v>
      </c>
      <c r="K258" s="85"/>
      <c r="L258" s="90"/>
      <c r="M258" s="85" t="s">
        <v>966</v>
      </c>
      <c r="N258" s="150" t="s">
        <v>967</v>
      </c>
      <c r="O258" s="157" t="s">
        <v>26</v>
      </c>
      <c r="P258" s="90">
        <v>5</v>
      </c>
      <c r="Q258" s="90"/>
      <c r="R258" s="90"/>
      <c r="S258" s="90"/>
      <c r="T258" s="90"/>
      <c r="U258" s="90"/>
      <c r="V258" s="90"/>
      <c r="W258" s="157">
        <f t="shared" ref="W258" si="166">SUM(P258:V258)</f>
        <v>5</v>
      </c>
      <c r="X258" s="158">
        <f>SUMIFS('Đơn giá'!C:C,'Đơn giá'!B:B,XUẤT!O258)</f>
        <v>98000</v>
      </c>
      <c r="Y258" s="159">
        <f>P258*X258</f>
        <v>490000</v>
      </c>
      <c r="Z258" s="232"/>
      <c r="AA258" s="85" t="s">
        <v>792</v>
      </c>
      <c r="AB258" s="157">
        <f t="shared" ref="AB258" si="167">W258-V258</f>
        <v>5</v>
      </c>
      <c r="AC258" s="158">
        <f t="shared" ref="AC258" si="168">AB258*5000</f>
        <v>25000</v>
      </c>
    </row>
    <row r="259" spans="1:29" ht="78" hidden="1" customHeight="1" x14ac:dyDescent="0.3">
      <c r="A259" s="105">
        <v>8</v>
      </c>
      <c r="B259" s="390" t="s">
        <v>969</v>
      </c>
      <c r="C259" s="104" t="s">
        <v>968</v>
      </c>
    </row>
    <row r="260" spans="1:29" ht="30" customHeight="1" x14ac:dyDescent="0.3"/>
    <row r="261" spans="1:29" ht="30" customHeight="1" x14ac:dyDescent="0.3"/>
    <row r="262" spans="1:29" ht="30" customHeight="1" x14ac:dyDescent="0.3"/>
    <row r="263" spans="1:29" ht="30" customHeight="1" x14ac:dyDescent="0.3"/>
    <row r="270" spans="1:29" ht="85.2" customHeight="1" x14ac:dyDescent="0.3">
      <c r="A270" s="85">
        <v>1</v>
      </c>
      <c r="B270" s="85" t="s">
        <v>925</v>
      </c>
      <c r="C270" s="303" t="s">
        <v>931</v>
      </c>
      <c r="D270" s="162" t="s">
        <v>683</v>
      </c>
      <c r="E270" s="102" t="s">
        <v>543</v>
      </c>
      <c r="F270" s="102"/>
      <c r="G270" s="102"/>
      <c r="H270" s="102"/>
      <c r="I270" s="155">
        <v>0</v>
      </c>
      <c r="J270" s="85" t="s">
        <v>952</v>
      </c>
      <c r="K270" s="85"/>
      <c r="L270" s="90" t="s">
        <v>491</v>
      </c>
      <c r="M270" s="152" t="s">
        <v>33</v>
      </c>
      <c r="N270" s="142" t="s">
        <v>217</v>
      </c>
      <c r="O270" s="157" t="s">
        <v>42</v>
      </c>
      <c r="P270" s="90"/>
      <c r="Q270" s="90"/>
      <c r="R270" s="90"/>
      <c r="S270" s="90"/>
      <c r="T270" s="90"/>
      <c r="U270" s="90">
        <v>30</v>
      </c>
      <c r="V270" s="90">
        <v>3</v>
      </c>
      <c r="W270" s="157">
        <v>33</v>
      </c>
      <c r="X270" s="158">
        <v>48000</v>
      </c>
      <c r="Y270" s="159">
        <v>1440000</v>
      </c>
      <c r="Z270" s="232"/>
      <c r="AA270" s="85" t="s">
        <v>792</v>
      </c>
      <c r="AB270" s="157">
        <v>30</v>
      </c>
      <c r="AC270" s="158">
        <v>150000</v>
      </c>
    </row>
    <row r="271" spans="1:29" ht="85.2" customHeight="1" x14ac:dyDescent="0.3">
      <c r="A271" s="85">
        <v>2</v>
      </c>
      <c r="B271" s="85" t="s">
        <v>955</v>
      </c>
      <c r="C271" s="325" t="s">
        <v>958</v>
      </c>
      <c r="D271" s="162" t="s">
        <v>683</v>
      </c>
      <c r="E271" s="102" t="s">
        <v>543</v>
      </c>
      <c r="F271" s="102"/>
      <c r="G271" s="102"/>
      <c r="H271" s="102">
        <v>5</v>
      </c>
      <c r="I271" s="155">
        <v>5</v>
      </c>
      <c r="J271" s="85" t="s">
        <v>792</v>
      </c>
      <c r="K271" s="85"/>
      <c r="L271" s="90"/>
      <c r="M271" s="152" t="s">
        <v>33</v>
      </c>
      <c r="N271" s="150" t="s">
        <v>960</v>
      </c>
      <c r="O271" s="157" t="s">
        <v>42</v>
      </c>
      <c r="P271" s="90"/>
      <c r="Q271" s="90"/>
      <c r="R271" s="90"/>
      <c r="S271" s="90"/>
      <c r="T271" s="90"/>
      <c r="U271" s="90">
        <v>5</v>
      </c>
      <c r="V271" s="90"/>
      <c r="W271" s="157">
        <v>5</v>
      </c>
      <c r="X271" s="158">
        <v>48000</v>
      </c>
      <c r="Y271" s="159">
        <v>240000</v>
      </c>
      <c r="Z271" s="232"/>
      <c r="AA271" s="85"/>
      <c r="AB271" s="157">
        <v>5</v>
      </c>
      <c r="AC271" s="158">
        <v>25000</v>
      </c>
    </row>
    <row r="272" spans="1:29" ht="85.2" customHeight="1" x14ac:dyDescent="0.3">
      <c r="A272" s="85">
        <v>3</v>
      </c>
      <c r="B272" s="85" t="s">
        <v>955</v>
      </c>
      <c r="C272" s="325" t="s">
        <v>959</v>
      </c>
      <c r="D272" s="162" t="s">
        <v>683</v>
      </c>
      <c r="E272" s="102"/>
      <c r="F272" s="102"/>
      <c r="G272" s="102">
        <v>11</v>
      </c>
      <c r="H272" s="102"/>
      <c r="I272" s="155">
        <v>11</v>
      </c>
      <c r="J272" s="85" t="s">
        <v>792</v>
      </c>
      <c r="K272" s="85"/>
      <c r="L272" s="90"/>
      <c r="M272" s="152" t="s">
        <v>33</v>
      </c>
      <c r="N272" s="10" t="s">
        <v>140</v>
      </c>
      <c r="O272" s="157" t="s">
        <v>26</v>
      </c>
      <c r="P272" s="90">
        <v>10</v>
      </c>
      <c r="Q272" s="90"/>
      <c r="R272" s="90"/>
      <c r="S272" s="90"/>
      <c r="T272" s="90"/>
      <c r="U272" s="90"/>
      <c r="V272" s="90">
        <v>1</v>
      </c>
      <c r="W272" s="157">
        <v>11</v>
      </c>
      <c r="X272" s="158">
        <v>98000</v>
      </c>
      <c r="Y272" s="159">
        <v>980000</v>
      </c>
      <c r="Z272" s="232"/>
      <c r="AA272" s="85" t="s">
        <v>792</v>
      </c>
      <c r="AB272" s="157">
        <v>10</v>
      </c>
      <c r="AC272" s="158">
        <v>50000</v>
      </c>
    </row>
    <row r="273" spans="1:29" ht="85.2" customHeight="1" x14ac:dyDescent="0.3">
      <c r="A273" s="85">
        <v>5</v>
      </c>
      <c r="B273" s="85" t="s">
        <v>955</v>
      </c>
      <c r="C273" s="325" t="s">
        <v>964</v>
      </c>
      <c r="D273" s="162" t="s">
        <v>683</v>
      </c>
      <c r="E273" s="102" t="s">
        <v>543</v>
      </c>
      <c r="F273" s="102"/>
      <c r="G273" s="102"/>
      <c r="H273" s="102">
        <v>11</v>
      </c>
      <c r="I273" s="155">
        <v>11</v>
      </c>
      <c r="J273" s="85" t="s">
        <v>963</v>
      </c>
      <c r="K273" s="85" t="s">
        <v>524</v>
      </c>
      <c r="L273" s="90"/>
      <c r="M273" s="152" t="s">
        <v>33</v>
      </c>
      <c r="N273" s="10" t="s">
        <v>43</v>
      </c>
      <c r="O273" s="157" t="s">
        <v>42</v>
      </c>
      <c r="P273" s="90"/>
      <c r="Q273" s="90"/>
      <c r="R273" s="90"/>
      <c r="S273" s="90"/>
      <c r="T273" s="90"/>
      <c r="U273" s="90">
        <v>10</v>
      </c>
      <c r="V273" s="90">
        <v>1</v>
      </c>
      <c r="W273" s="157">
        <v>11</v>
      </c>
      <c r="X273" s="158">
        <v>48000</v>
      </c>
      <c r="Y273" s="159">
        <v>480000</v>
      </c>
      <c r="Z273" s="232"/>
      <c r="AA273" s="85" t="s">
        <v>792</v>
      </c>
      <c r="AB273" s="157">
        <v>10</v>
      </c>
      <c r="AC273" s="158">
        <v>50000</v>
      </c>
    </row>
    <row r="274" spans="1:29" ht="51" customHeight="1" x14ac:dyDescent="0.3">
      <c r="A274" s="85">
        <v>6</v>
      </c>
      <c r="B274" s="85" t="s">
        <v>955</v>
      </c>
      <c r="C274" s="325" t="s">
        <v>974</v>
      </c>
      <c r="D274" s="162" t="s">
        <v>683</v>
      </c>
      <c r="E274" s="102" t="s">
        <v>224</v>
      </c>
      <c r="F274" s="102"/>
      <c r="G274" s="102">
        <v>2</v>
      </c>
      <c r="H274" s="102"/>
      <c r="I274" s="155">
        <v>2</v>
      </c>
      <c r="J274" s="85" t="s">
        <v>792</v>
      </c>
      <c r="K274" s="85"/>
      <c r="L274" s="90"/>
      <c r="M274" s="152" t="s">
        <v>33</v>
      </c>
      <c r="N274" s="150" t="s">
        <v>101</v>
      </c>
      <c r="O274" s="157" t="s">
        <v>29</v>
      </c>
      <c r="P274" s="90"/>
      <c r="Q274" s="90">
        <v>3</v>
      </c>
      <c r="R274" s="90"/>
      <c r="S274" s="90"/>
      <c r="T274" s="90"/>
      <c r="U274" s="90"/>
      <c r="V274" s="90"/>
      <c r="W274" s="157">
        <v>3</v>
      </c>
      <c r="X274" s="158">
        <v>85000</v>
      </c>
      <c r="Y274" s="159">
        <v>255000</v>
      </c>
      <c r="Z274" s="232" t="s">
        <v>975</v>
      </c>
      <c r="AA274" s="10" t="s">
        <v>37</v>
      </c>
      <c r="AB274" s="157">
        <v>3</v>
      </c>
      <c r="AC274" s="158">
        <v>15000</v>
      </c>
    </row>
    <row r="275" spans="1:29" ht="61.8" customHeight="1" x14ac:dyDescent="0.3">
      <c r="A275" s="85"/>
      <c r="B275" s="85" t="s">
        <v>955</v>
      </c>
      <c r="C275" s="325" t="s">
        <v>972</v>
      </c>
      <c r="D275" s="162" t="s">
        <v>683</v>
      </c>
      <c r="E275" s="102" t="s">
        <v>543</v>
      </c>
      <c r="F275" s="102"/>
      <c r="G275" s="102"/>
      <c r="H275" s="102">
        <v>1</v>
      </c>
      <c r="I275" s="102"/>
      <c r="J275" s="10" t="s">
        <v>252</v>
      </c>
      <c r="K275" s="85"/>
      <c r="L275" s="90"/>
      <c r="M275" s="152" t="s">
        <v>33</v>
      </c>
      <c r="N275" s="7" t="s">
        <v>252</v>
      </c>
      <c r="O275" s="157" t="s">
        <v>39</v>
      </c>
      <c r="P275" s="90"/>
      <c r="Q275" s="90"/>
      <c r="R275" s="90"/>
      <c r="S275" s="90"/>
      <c r="T275" s="90">
        <v>1</v>
      </c>
      <c r="U275" s="90"/>
      <c r="V275" s="90"/>
      <c r="W275" s="157">
        <v>1</v>
      </c>
      <c r="X275" s="158">
        <v>52000</v>
      </c>
      <c r="Y275" s="159">
        <v>52000</v>
      </c>
      <c r="Z275" s="232"/>
      <c r="AA275" s="10" t="s">
        <v>252</v>
      </c>
      <c r="AB275" s="157">
        <v>1</v>
      </c>
      <c r="AC275" s="158">
        <v>5000</v>
      </c>
    </row>
    <row r="276" spans="1:29" ht="61.8" customHeight="1" x14ac:dyDescent="0.3">
      <c r="A276" s="85"/>
      <c r="B276" s="85" t="s">
        <v>955</v>
      </c>
      <c r="C276" s="325" t="s">
        <v>976</v>
      </c>
      <c r="D276" s="162" t="s">
        <v>683</v>
      </c>
      <c r="E276" s="102" t="s">
        <v>224</v>
      </c>
      <c r="F276" s="102"/>
      <c r="G276" s="102">
        <v>5</v>
      </c>
      <c r="H276" s="102"/>
      <c r="I276" s="102"/>
      <c r="J276" s="10" t="s">
        <v>37</v>
      </c>
      <c r="K276" s="85"/>
      <c r="L276" s="90"/>
      <c r="M276" s="152" t="s">
        <v>33</v>
      </c>
      <c r="N276" s="7" t="s">
        <v>96</v>
      </c>
      <c r="O276" s="157" t="s">
        <v>29</v>
      </c>
      <c r="P276" s="90"/>
      <c r="Q276" s="90">
        <v>5</v>
      </c>
      <c r="R276" s="90"/>
      <c r="S276" s="90"/>
      <c r="T276" s="90"/>
      <c r="U276" s="90"/>
      <c r="V276" s="90"/>
      <c r="W276" s="157">
        <v>5</v>
      </c>
      <c r="X276" s="158">
        <v>85000</v>
      </c>
      <c r="Y276" s="159">
        <v>425000</v>
      </c>
      <c r="Z276" s="232"/>
      <c r="AA276" s="85" t="s">
        <v>37</v>
      </c>
      <c r="AB276" s="157">
        <v>5</v>
      </c>
      <c r="AC276" s="158">
        <v>25000</v>
      </c>
    </row>
    <row r="277" spans="1:29" ht="61.8" customHeight="1" x14ac:dyDescent="0.3">
      <c r="A277" s="85">
        <v>8</v>
      </c>
      <c r="B277" s="85" t="s">
        <v>955</v>
      </c>
      <c r="C277" s="325" t="s">
        <v>971</v>
      </c>
      <c r="D277" s="162" t="s">
        <v>683</v>
      </c>
      <c r="E277" s="102" t="s">
        <v>543</v>
      </c>
      <c r="F277" s="102"/>
      <c r="G277" s="102"/>
      <c r="H277" s="102">
        <v>3</v>
      </c>
      <c r="I277" s="102"/>
      <c r="J277" s="10" t="s">
        <v>41</v>
      </c>
      <c r="K277" s="85"/>
      <c r="L277" s="90" t="s">
        <v>491</v>
      </c>
      <c r="M277" s="152" t="s">
        <v>33</v>
      </c>
      <c r="N277" s="7" t="s">
        <v>41</v>
      </c>
      <c r="O277" s="157" t="s">
        <v>39</v>
      </c>
      <c r="P277" s="90"/>
      <c r="Q277" s="90"/>
      <c r="R277" s="90"/>
      <c r="S277" s="90"/>
      <c r="T277" s="90">
        <v>3</v>
      </c>
      <c r="U277" s="90"/>
      <c r="V277" s="90"/>
      <c r="W277" s="157">
        <v>3</v>
      </c>
      <c r="X277" s="158">
        <v>52000</v>
      </c>
      <c r="Y277" s="159">
        <v>156000</v>
      </c>
      <c r="Z277" s="232"/>
      <c r="AA277" s="10" t="s">
        <v>41</v>
      </c>
      <c r="AB277" s="157">
        <v>3</v>
      </c>
      <c r="AC277" s="158">
        <v>15000</v>
      </c>
    </row>
    <row r="278" spans="1:29" ht="85.2" customHeight="1" x14ac:dyDescent="0.3">
      <c r="A278" s="85">
        <v>3</v>
      </c>
      <c r="B278" s="85" t="s">
        <v>925</v>
      </c>
      <c r="C278" s="325" t="s">
        <v>940</v>
      </c>
      <c r="D278" s="162" t="s">
        <v>683</v>
      </c>
      <c r="E278" s="102" t="s">
        <v>543</v>
      </c>
      <c r="F278" s="102"/>
      <c r="G278" s="102">
        <v>11</v>
      </c>
      <c r="H278" s="102"/>
      <c r="I278" s="155">
        <f t="shared" ref="I278:I282" si="169">F278+G278+H278</f>
        <v>11</v>
      </c>
      <c r="J278" s="85" t="s">
        <v>792</v>
      </c>
      <c r="K278" s="85"/>
      <c r="L278" s="90" t="s">
        <v>491</v>
      </c>
      <c r="M278" s="85" t="s">
        <v>46</v>
      </c>
      <c r="N278" s="150" t="s">
        <v>642</v>
      </c>
      <c r="O278" s="157" t="s">
        <v>26</v>
      </c>
      <c r="P278" s="90">
        <v>10</v>
      </c>
      <c r="Q278" s="90"/>
      <c r="R278" s="90"/>
      <c r="S278" s="90"/>
      <c r="T278" s="90"/>
      <c r="U278" s="90"/>
      <c r="V278" s="90">
        <v>1</v>
      </c>
      <c r="W278" s="157">
        <f t="shared" ref="W278:W282" si="170">SUM(P278:V278)</f>
        <v>11</v>
      </c>
      <c r="X278" s="158">
        <f>SUMIFS('Đơn giá'!C:C,'Đơn giá'!B:B,XUẤT!O278)</f>
        <v>98000</v>
      </c>
      <c r="Y278" s="159">
        <f t="shared" ref="Y278:Y280" si="171">X278*P278</f>
        <v>980000</v>
      </c>
      <c r="Z278" s="232" t="s">
        <v>941</v>
      </c>
      <c r="AA278" s="85" t="s">
        <v>789</v>
      </c>
      <c r="AB278" s="157">
        <f t="shared" ref="AB278:AB282" si="172">W278-V278</f>
        <v>10</v>
      </c>
      <c r="AC278" s="158">
        <f t="shared" ref="AC278:AC282" si="173">AB278*5000</f>
        <v>50000</v>
      </c>
    </row>
    <row r="279" spans="1:29" ht="85.2" customHeight="1" x14ac:dyDescent="0.3">
      <c r="A279" s="85">
        <v>4</v>
      </c>
      <c r="B279" s="85" t="s">
        <v>925</v>
      </c>
      <c r="C279" s="325" t="s">
        <v>944</v>
      </c>
      <c r="D279" s="162" t="s">
        <v>683</v>
      </c>
      <c r="E279" s="102" t="s">
        <v>248</v>
      </c>
      <c r="F279" s="102"/>
      <c r="G279" s="102">
        <v>11</v>
      </c>
      <c r="H279" s="102"/>
      <c r="I279" s="155">
        <f t="shared" si="169"/>
        <v>11</v>
      </c>
      <c r="J279" s="85" t="s">
        <v>792</v>
      </c>
      <c r="K279" s="85"/>
      <c r="L279" s="90" t="s">
        <v>491</v>
      </c>
      <c r="M279" s="85" t="s">
        <v>46</v>
      </c>
      <c r="N279" s="150" t="s">
        <v>943</v>
      </c>
      <c r="O279" s="157" t="s">
        <v>29</v>
      </c>
      <c r="P279" s="90"/>
      <c r="Q279" s="90">
        <v>10</v>
      </c>
      <c r="R279" s="90"/>
      <c r="S279" s="90"/>
      <c r="T279" s="90"/>
      <c r="U279" s="90"/>
      <c r="V279" s="90">
        <v>1</v>
      </c>
      <c r="W279" s="157">
        <f t="shared" si="170"/>
        <v>11</v>
      </c>
      <c r="X279" s="158">
        <f>SUMIFS('Đơn giá'!C:C,'Đơn giá'!B:B,XUẤT!O279)</f>
        <v>85000</v>
      </c>
      <c r="Y279" s="159">
        <f>X279*Q279</f>
        <v>850000</v>
      </c>
      <c r="Z279" s="232"/>
      <c r="AA279" s="85" t="s">
        <v>789</v>
      </c>
      <c r="AB279" s="157">
        <f t="shared" si="172"/>
        <v>10</v>
      </c>
      <c r="AC279" s="158">
        <f t="shared" si="173"/>
        <v>50000</v>
      </c>
    </row>
    <row r="280" spans="1:29" ht="85.2" customHeight="1" x14ac:dyDescent="0.3">
      <c r="A280" s="85">
        <v>5</v>
      </c>
      <c r="B280" s="85" t="s">
        <v>925</v>
      </c>
      <c r="C280" s="325" t="s">
        <v>946</v>
      </c>
      <c r="D280" s="162" t="s">
        <v>683</v>
      </c>
      <c r="E280" s="102" t="s">
        <v>224</v>
      </c>
      <c r="F280" s="102"/>
      <c r="G280" s="102">
        <v>11</v>
      </c>
      <c r="H280" s="102"/>
      <c r="I280" s="155">
        <f t="shared" si="169"/>
        <v>11</v>
      </c>
      <c r="J280" s="85" t="s">
        <v>792</v>
      </c>
      <c r="K280" s="85"/>
      <c r="L280" s="90" t="s">
        <v>491</v>
      </c>
      <c r="M280" s="85" t="s">
        <v>46</v>
      </c>
      <c r="N280" s="150" t="s">
        <v>947</v>
      </c>
      <c r="O280" s="157" t="s">
        <v>26</v>
      </c>
      <c r="P280" s="90">
        <v>10</v>
      </c>
      <c r="Q280" s="90"/>
      <c r="R280" s="90"/>
      <c r="S280" s="90"/>
      <c r="T280" s="90"/>
      <c r="U280" s="90"/>
      <c r="V280" s="90">
        <v>1</v>
      </c>
      <c r="W280" s="157">
        <f t="shared" si="170"/>
        <v>11</v>
      </c>
      <c r="X280" s="158">
        <f>SUMIFS('Đơn giá'!C:C,'Đơn giá'!B:B,XUẤT!O280)</f>
        <v>98000</v>
      </c>
      <c r="Y280" s="159">
        <f t="shared" ref="Y280:Y282" si="174">X280*P280</f>
        <v>980000</v>
      </c>
      <c r="Z280" s="232"/>
      <c r="AA280" s="85" t="s">
        <v>789</v>
      </c>
      <c r="AB280" s="157">
        <f t="shared" si="172"/>
        <v>10</v>
      </c>
      <c r="AC280" s="158">
        <f t="shared" si="173"/>
        <v>50000</v>
      </c>
    </row>
    <row r="281" spans="1:29" ht="85.2" customHeight="1" x14ac:dyDescent="0.3">
      <c r="A281" s="85">
        <v>1</v>
      </c>
      <c r="B281" s="85" t="s">
        <v>955</v>
      </c>
      <c r="C281" s="325" t="s">
        <v>957</v>
      </c>
      <c r="D281" s="162" t="s">
        <v>683</v>
      </c>
      <c r="E281" s="102" t="s">
        <v>224</v>
      </c>
      <c r="F281" s="102"/>
      <c r="G281" s="102">
        <v>16</v>
      </c>
      <c r="H281" s="102"/>
      <c r="I281" s="155">
        <f t="shared" si="169"/>
        <v>16</v>
      </c>
      <c r="J281" s="85" t="s">
        <v>792</v>
      </c>
      <c r="K281" s="85"/>
      <c r="L281" s="90"/>
      <c r="M281" s="85" t="s">
        <v>46</v>
      </c>
      <c r="N281" s="150" t="s">
        <v>956</v>
      </c>
      <c r="O281" s="157" t="s">
        <v>29</v>
      </c>
      <c r="P281" s="90"/>
      <c r="Q281" s="90">
        <v>15</v>
      </c>
      <c r="R281" s="90"/>
      <c r="S281" s="90"/>
      <c r="T281" s="90"/>
      <c r="U281" s="90"/>
      <c r="V281" s="90">
        <v>1</v>
      </c>
      <c r="W281" s="157">
        <f t="shared" si="170"/>
        <v>16</v>
      </c>
      <c r="X281" s="158">
        <f>SUMIFS('Đơn giá'!C:C,'Đơn giá'!B:B,XUẤT!O281)</f>
        <v>85000</v>
      </c>
      <c r="Y281" s="159">
        <f>X281*Q281</f>
        <v>1275000</v>
      </c>
      <c r="Z281" s="232"/>
      <c r="AA281" s="85" t="s">
        <v>789</v>
      </c>
      <c r="AB281" s="157">
        <f t="shared" si="172"/>
        <v>15</v>
      </c>
      <c r="AC281" s="158">
        <f t="shared" si="173"/>
        <v>75000</v>
      </c>
    </row>
    <row r="282" spans="1:29" ht="85.2" customHeight="1" x14ac:dyDescent="0.3">
      <c r="A282" s="85">
        <v>4</v>
      </c>
      <c r="B282" s="85" t="s">
        <v>955</v>
      </c>
      <c r="C282" s="325" t="s">
        <v>961</v>
      </c>
      <c r="D282" s="102"/>
      <c r="E282" s="102" t="s">
        <v>543</v>
      </c>
      <c r="F282" s="102"/>
      <c r="G282" s="102">
        <v>5</v>
      </c>
      <c r="H282" s="102"/>
      <c r="I282" s="155">
        <f t="shared" si="169"/>
        <v>5</v>
      </c>
      <c r="J282" s="85" t="s">
        <v>792</v>
      </c>
      <c r="K282" s="85"/>
      <c r="L282" s="90"/>
      <c r="M282" s="85" t="s">
        <v>46</v>
      </c>
      <c r="N282" s="150" t="s">
        <v>962</v>
      </c>
      <c r="O282" s="157" t="s">
        <v>26</v>
      </c>
      <c r="P282" s="90">
        <v>5</v>
      </c>
      <c r="Q282" s="90"/>
      <c r="R282" s="90"/>
      <c r="S282" s="90"/>
      <c r="T282" s="90"/>
      <c r="U282" s="90"/>
      <c r="V282" s="90"/>
      <c r="W282" s="157">
        <f t="shared" si="170"/>
        <v>5</v>
      </c>
      <c r="X282" s="158">
        <f>SUMIFS('Đơn giá'!C:C,'Đơn giá'!B:B,XUẤT!O282)</f>
        <v>98000</v>
      </c>
      <c r="Y282" s="159">
        <f t="shared" ref="Y282" si="175">X282*P282</f>
        <v>490000</v>
      </c>
      <c r="Z282" s="232" t="s">
        <v>977</v>
      </c>
      <c r="AA282" s="85"/>
      <c r="AB282" s="157">
        <f t="shared" si="172"/>
        <v>5</v>
      </c>
      <c r="AC282" s="158">
        <f t="shared" si="173"/>
        <v>25000</v>
      </c>
    </row>
  </sheetData>
  <autoFilter ref="A5:AE259" xr:uid="{00000000-0001-0000-0000-000000000000}">
    <filterColumn colId="12">
      <filters>
        <filter val="Xí nghiệp"/>
      </filters>
    </filterColumn>
  </autoFilter>
  <mergeCells count="58">
    <mergeCell ref="P3:W3"/>
    <mergeCell ref="L37:L38"/>
    <mergeCell ref="L3:L4"/>
    <mergeCell ref="A119:A121"/>
    <mergeCell ref="B119:B121"/>
    <mergeCell ref="C119:C121"/>
    <mergeCell ref="D119:D121"/>
    <mergeCell ref="E119:E121"/>
    <mergeCell ref="C95:C96"/>
    <mergeCell ref="B95:B96"/>
    <mergeCell ref="A95:A96"/>
    <mergeCell ref="A37:A38"/>
    <mergeCell ref="J3:J4"/>
    <mergeCell ref="K3:K4"/>
    <mergeCell ref="A3:A4"/>
    <mergeCell ref="B3:B4"/>
    <mergeCell ref="C3:C4"/>
    <mergeCell ref="D3:D4"/>
    <mergeCell ref="E3:E4"/>
    <mergeCell ref="D37:D38"/>
    <mergeCell ref="F3:I3"/>
    <mergeCell ref="C37:C38"/>
    <mergeCell ref="B37:B38"/>
    <mergeCell ref="D55:D56"/>
    <mergeCell ref="A55:A56"/>
    <mergeCell ref="N47:N48"/>
    <mergeCell ref="C63:C64"/>
    <mergeCell ref="B63:B64"/>
    <mergeCell ref="A63:A64"/>
    <mergeCell ref="B47:B48"/>
    <mergeCell ref="C47:C48"/>
    <mergeCell ref="C55:C56"/>
    <mergeCell ref="B55:B56"/>
    <mergeCell ref="C89:C90"/>
    <mergeCell ref="B89:B90"/>
    <mergeCell ref="A89:A90"/>
    <mergeCell ref="D89:D90"/>
    <mergeCell ref="E89:E90"/>
    <mergeCell ref="D107:D108"/>
    <mergeCell ref="C97:C98"/>
    <mergeCell ref="B97:B98"/>
    <mergeCell ref="A97:A98"/>
    <mergeCell ref="B99:B100"/>
    <mergeCell ref="C99:C100"/>
    <mergeCell ref="A99:A100"/>
    <mergeCell ref="C107:C108"/>
    <mergeCell ref="B107:B108"/>
    <mergeCell ref="C227:C228"/>
    <mergeCell ref="A227:A228"/>
    <mergeCell ref="C198:C199"/>
    <mergeCell ref="A198:A199"/>
    <mergeCell ref="C155:C156"/>
    <mergeCell ref="B155:B156"/>
    <mergeCell ref="A155:A156"/>
    <mergeCell ref="C212:C213"/>
    <mergeCell ref="A212:A213"/>
    <mergeCell ref="C217:C218"/>
    <mergeCell ref="A224:A225"/>
  </mergeCells>
  <phoneticPr fontId="50" type="noConversion"/>
  <conditionalFormatting sqref="C57">
    <cfRule type="duplicateValues" dxfId="674" priority="351"/>
  </conditionalFormatting>
  <conditionalFormatting sqref="C58:C60">
    <cfRule type="duplicateValues" dxfId="673" priority="350"/>
  </conditionalFormatting>
  <conditionalFormatting sqref="J45">
    <cfRule type="duplicateValues" dxfId="672" priority="379"/>
  </conditionalFormatting>
  <conditionalFormatting sqref="J49">
    <cfRule type="duplicateValues" dxfId="671" priority="373"/>
  </conditionalFormatting>
  <conditionalFormatting sqref="J50">
    <cfRule type="duplicateValues" dxfId="670" priority="367"/>
  </conditionalFormatting>
  <conditionalFormatting sqref="J51">
    <cfRule type="duplicateValues" dxfId="669" priority="363"/>
  </conditionalFormatting>
  <conditionalFormatting sqref="J53:J54">
    <cfRule type="duplicateValues" dxfId="668" priority="360"/>
  </conditionalFormatting>
  <conditionalFormatting sqref="J55">
    <cfRule type="duplicateValues" dxfId="667" priority="356"/>
  </conditionalFormatting>
  <conditionalFormatting sqref="J56:J57">
    <cfRule type="duplicateValues" dxfId="666" priority="355"/>
  </conditionalFormatting>
  <conditionalFormatting sqref="J59">
    <cfRule type="duplicateValues" dxfId="665" priority="346"/>
  </conditionalFormatting>
  <conditionalFormatting sqref="J60">
    <cfRule type="duplicateValues" dxfId="664" priority="342"/>
  </conditionalFormatting>
  <conditionalFormatting sqref="J65">
    <cfRule type="duplicateValues" dxfId="663" priority="336"/>
  </conditionalFormatting>
  <conditionalFormatting sqref="J66">
    <cfRule type="duplicateValues" dxfId="662" priority="333"/>
  </conditionalFormatting>
  <conditionalFormatting sqref="J69">
    <cfRule type="duplicateValues" dxfId="661" priority="330"/>
  </conditionalFormatting>
  <conditionalFormatting sqref="J70">
    <cfRule type="duplicateValues" dxfId="660" priority="329"/>
  </conditionalFormatting>
  <conditionalFormatting sqref="J72">
    <cfRule type="duplicateValues" dxfId="659" priority="325"/>
  </conditionalFormatting>
  <conditionalFormatting sqref="J74">
    <cfRule type="duplicateValues" dxfId="658" priority="320"/>
  </conditionalFormatting>
  <conditionalFormatting sqref="J75">
    <cfRule type="duplicateValues" dxfId="657" priority="311"/>
  </conditionalFormatting>
  <conditionalFormatting sqref="J76">
    <cfRule type="duplicateValues" dxfId="656" priority="316"/>
  </conditionalFormatting>
  <conditionalFormatting sqref="J77:J81">
    <cfRule type="duplicateValues" dxfId="655" priority="421"/>
  </conditionalFormatting>
  <conditionalFormatting sqref="J85">
    <cfRule type="duplicateValues" dxfId="654" priority="305"/>
  </conditionalFormatting>
  <conditionalFormatting sqref="J103">
    <cfRule type="duplicateValues" dxfId="653" priority="286"/>
  </conditionalFormatting>
  <conditionalFormatting sqref="J116:J118">
    <cfRule type="duplicateValues" dxfId="652" priority="263"/>
  </conditionalFormatting>
  <conditionalFormatting sqref="J128">
    <cfRule type="duplicateValues" dxfId="651" priority="217"/>
  </conditionalFormatting>
  <conditionalFormatting sqref="J130">
    <cfRule type="duplicateValues" dxfId="650" priority="214"/>
  </conditionalFormatting>
  <conditionalFormatting sqref="J131">
    <cfRule type="duplicateValues" dxfId="649" priority="211"/>
  </conditionalFormatting>
  <conditionalFormatting sqref="J132">
    <cfRule type="duplicateValues" dxfId="648" priority="205"/>
  </conditionalFormatting>
  <conditionalFormatting sqref="J140">
    <cfRule type="duplicateValues" dxfId="647" priority="197"/>
  </conditionalFormatting>
  <conditionalFormatting sqref="J147">
    <cfRule type="duplicateValues" dxfId="646" priority="186"/>
  </conditionalFormatting>
  <conditionalFormatting sqref="J155">
    <cfRule type="duplicateValues" dxfId="645" priority="183"/>
  </conditionalFormatting>
  <conditionalFormatting sqref="J156">
    <cfRule type="duplicateValues" dxfId="644" priority="182"/>
  </conditionalFormatting>
  <conditionalFormatting sqref="J163">
    <cfRule type="duplicateValues" dxfId="643" priority="163"/>
  </conditionalFormatting>
  <conditionalFormatting sqref="J167">
    <cfRule type="duplicateValues" dxfId="642" priority="170"/>
  </conditionalFormatting>
  <conditionalFormatting sqref="J172">
    <cfRule type="duplicateValues" dxfId="641" priority="159"/>
  </conditionalFormatting>
  <conditionalFormatting sqref="J174">
    <cfRule type="duplicateValues" dxfId="640" priority="153"/>
  </conditionalFormatting>
  <conditionalFormatting sqref="J176">
    <cfRule type="duplicateValues" dxfId="639" priority="149"/>
  </conditionalFormatting>
  <conditionalFormatting sqref="J177">
    <cfRule type="duplicateValues" dxfId="638" priority="145"/>
  </conditionalFormatting>
  <conditionalFormatting sqref="J179">
    <cfRule type="duplicateValues" dxfId="637" priority="136"/>
  </conditionalFormatting>
  <conditionalFormatting sqref="J184">
    <cfRule type="duplicateValues" dxfId="636" priority="134"/>
  </conditionalFormatting>
  <conditionalFormatting sqref="J193">
    <cfRule type="duplicateValues" dxfId="635" priority="114"/>
  </conditionalFormatting>
  <conditionalFormatting sqref="J202">
    <cfRule type="duplicateValues" dxfId="634" priority="83"/>
  </conditionalFormatting>
  <conditionalFormatting sqref="J203">
    <cfRule type="duplicateValues" dxfId="633" priority="106"/>
  </conditionalFormatting>
  <conditionalFormatting sqref="J204">
    <cfRule type="duplicateValues" dxfId="632" priority="103"/>
  </conditionalFormatting>
  <conditionalFormatting sqref="J205">
    <cfRule type="duplicateValues" dxfId="631" priority="100"/>
  </conditionalFormatting>
  <conditionalFormatting sqref="J206:J207">
    <cfRule type="duplicateValues" dxfId="630" priority="97"/>
  </conditionalFormatting>
  <conditionalFormatting sqref="J208">
    <cfRule type="duplicateValues" dxfId="629" priority="92"/>
  </conditionalFormatting>
  <conditionalFormatting sqref="J209">
    <cfRule type="duplicateValues" dxfId="628" priority="89"/>
  </conditionalFormatting>
  <conditionalFormatting sqref="J210">
    <cfRule type="duplicateValues" dxfId="627" priority="86"/>
  </conditionalFormatting>
  <conditionalFormatting sqref="J222">
    <cfRule type="duplicateValues" dxfId="626" priority="66"/>
  </conditionalFormatting>
  <conditionalFormatting sqref="J223">
    <cfRule type="duplicateValues" dxfId="625" priority="64"/>
  </conditionalFormatting>
  <conditionalFormatting sqref="J232">
    <cfRule type="duplicateValues" dxfId="624" priority="55"/>
  </conditionalFormatting>
  <conditionalFormatting sqref="J238">
    <cfRule type="duplicateValues" dxfId="623" priority="49"/>
  </conditionalFormatting>
  <conditionalFormatting sqref="J241">
    <cfRule type="duplicateValues" dxfId="622" priority="46"/>
  </conditionalFormatting>
  <conditionalFormatting sqref="J254">
    <cfRule type="duplicateValues" dxfId="621" priority="37"/>
  </conditionalFormatting>
  <conditionalFormatting sqref="M202">
    <cfRule type="duplicateValues" dxfId="620" priority="82"/>
  </conditionalFormatting>
  <conditionalFormatting sqref="N13">
    <cfRule type="duplicateValues" dxfId="619" priority="404"/>
  </conditionalFormatting>
  <conditionalFormatting sqref="N14">
    <cfRule type="duplicateValues" dxfId="618" priority="403"/>
  </conditionalFormatting>
  <conditionalFormatting sqref="N16">
    <cfRule type="duplicateValues" dxfId="617" priority="399"/>
  </conditionalFormatting>
  <conditionalFormatting sqref="N17">
    <cfRule type="duplicateValues" dxfId="616" priority="32"/>
  </conditionalFormatting>
  <conditionalFormatting sqref="N22">
    <cfRule type="duplicateValues" dxfId="615" priority="396"/>
  </conditionalFormatting>
  <conditionalFormatting sqref="N23">
    <cfRule type="duplicateValues" dxfId="614" priority="395"/>
  </conditionalFormatting>
  <conditionalFormatting sqref="N24">
    <cfRule type="duplicateValues" dxfId="613" priority="407"/>
  </conditionalFormatting>
  <conditionalFormatting sqref="N25:N26">
    <cfRule type="duplicateValues" dxfId="612" priority="397"/>
  </conditionalFormatting>
  <conditionalFormatting sqref="N27">
    <cfRule type="duplicateValues" dxfId="611" priority="406"/>
  </conditionalFormatting>
  <conditionalFormatting sqref="N28">
    <cfRule type="duplicateValues" dxfId="610" priority="401"/>
  </conditionalFormatting>
  <conditionalFormatting sqref="N29">
    <cfRule type="duplicateValues" dxfId="609" priority="174"/>
  </conditionalFormatting>
  <conditionalFormatting sqref="N30">
    <cfRule type="duplicateValues" dxfId="608" priority="402"/>
  </conditionalFormatting>
  <conditionalFormatting sqref="N32">
    <cfRule type="duplicateValues" dxfId="607" priority="400"/>
  </conditionalFormatting>
  <conditionalFormatting sqref="N34">
    <cfRule type="duplicateValues" dxfId="606" priority="394"/>
  </conditionalFormatting>
  <conditionalFormatting sqref="N35">
    <cfRule type="duplicateValues" dxfId="605" priority="390"/>
  </conditionalFormatting>
  <conditionalFormatting sqref="N36">
    <cfRule type="duplicateValues" dxfId="604" priority="388"/>
  </conditionalFormatting>
  <conditionalFormatting sqref="N37:N38">
    <cfRule type="duplicateValues" dxfId="603" priority="386"/>
  </conditionalFormatting>
  <conditionalFormatting sqref="N39">
    <cfRule type="duplicateValues" dxfId="602" priority="383"/>
  </conditionalFormatting>
  <conditionalFormatting sqref="N41">
    <cfRule type="duplicateValues" dxfId="601" priority="380"/>
  </conditionalFormatting>
  <conditionalFormatting sqref="N45">
    <cfRule type="duplicateValues" dxfId="600" priority="378"/>
  </conditionalFormatting>
  <conditionalFormatting sqref="N46">
    <cfRule type="duplicateValues" dxfId="599" priority="376"/>
  </conditionalFormatting>
  <conditionalFormatting sqref="N49">
    <cfRule type="duplicateValues" dxfId="598" priority="372"/>
  </conditionalFormatting>
  <conditionalFormatting sqref="N50">
    <cfRule type="duplicateValues" dxfId="597" priority="366"/>
  </conditionalFormatting>
  <conditionalFormatting sqref="N51">
    <cfRule type="duplicateValues" dxfId="596" priority="362"/>
  </conditionalFormatting>
  <conditionalFormatting sqref="N52">
    <cfRule type="duplicateValues" dxfId="595" priority="364"/>
  </conditionalFormatting>
  <conditionalFormatting sqref="N54">
    <cfRule type="duplicateValues" dxfId="594" priority="358"/>
  </conditionalFormatting>
  <conditionalFormatting sqref="N58">
    <cfRule type="duplicateValues" dxfId="593" priority="349"/>
  </conditionalFormatting>
  <conditionalFormatting sqref="N59">
    <cfRule type="duplicateValues" dxfId="592" priority="345"/>
  </conditionalFormatting>
  <conditionalFormatting sqref="N60">
    <cfRule type="duplicateValues" dxfId="591" priority="341"/>
  </conditionalFormatting>
  <conditionalFormatting sqref="N61">
    <cfRule type="duplicateValues" dxfId="590" priority="221"/>
  </conditionalFormatting>
  <conditionalFormatting sqref="N62">
    <cfRule type="duplicateValues" dxfId="589" priority="218"/>
  </conditionalFormatting>
  <conditionalFormatting sqref="N63:N64">
    <cfRule type="duplicateValues" dxfId="588" priority="339"/>
  </conditionalFormatting>
  <conditionalFormatting sqref="N65">
    <cfRule type="duplicateValues" dxfId="587" priority="335"/>
  </conditionalFormatting>
  <conditionalFormatting sqref="N66">
    <cfRule type="duplicateValues" dxfId="586" priority="332"/>
  </conditionalFormatting>
  <conditionalFormatting sqref="N67">
    <cfRule type="duplicateValues" dxfId="585" priority="232"/>
  </conditionalFormatting>
  <conditionalFormatting sqref="N69">
    <cfRule type="duplicateValues" dxfId="584" priority="328"/>
  </conditionalFormatting>
  <conditionalFormatting sqref="N72">
    <cfRule type="duplicateValues" dxfId="583" priority="324"/>
  </conditionalFormatting>
  <conditionalFormatting sqref="N73">
    <cfRule type="duplicateValues" dxfId="582" priority="322"/>
  </conditionalFormatting>
  <conditionalFormatting sqref="N74">
    <cfRule type="duplicateValues" dxfId="581" priority="319"/>
  </conditionalFormatting>
  <conditionalFormatting sqref="N75">
    <cfRule type="duplicateValues" dxfId="580" priority="302"/>
  </conditionalFormatting>
  <conditionalFormatting sqref="N76">
    <cfRule type="duplicateValues" dxfId="579" priority="317"/>
  </conditionalFormatting>
  <conditionalFormatting sqref="N77">
    <cfRule type="duplicateValues" dxfId="578" priority="314"/>
  </conditionalFormatting>
  <conditionalFormatting sqref="N78">
    <cfRule type="duplicateValues" dxfId="577" priority="31"/>
  </conditionalFormatting>
  <conditionalFormatting sqref="N79">
    <cfRule type="duplicateValues" dxfId="576" priority="309"/>
  </conditionalFormatting>
  <conditionalFormatting sqref="N80">
    <cfRule type="duplicateValues" dxfId="575" priority="308"/>
  </conditionalFormatting>
  <conditionalFormatting sqref="N81">
    <cfRule type="duplicateValues" dxfId="574" priority="295"/>
  </conditionalFormatting>
  <conditionalFormatting sqref="N85">
    <cfRule type="duplicateValues" dxfId="573" priority="304"/>
  </conditionalFormatting>
  <conditionalFormatting sqref="N87">
    <cfRule type="duplicateValues" dxfId="572" priority="299"/>
  </conditionalFormatting>
  <conditionalFormatting sqref="N92">
    <cfRule type="duplicateValues" dxfId="571" priority="57"/>
  </conditionalFormatting>
  <conditionalFormatting sqref="N93">
    <cfRule type="duplicateValues" dxfId="570" priority="297"/>
  </conditionalFormatting>
  <conditionalFormatting sqref="N95:N96">
    <cfRule type="duplicateValues" dxfId="569" priority="235"/>
  </conditionalFormatting>
  <conditionalFormatting sqref="N97">
    <cfRule type="duplicateValues" dxfId="568" priority="288"/>
  </conditionalFormatting>
  <conditionalFormatting sqref="N98">
    <cfRule type="duplicateValues" dxfId="567" priority="287"/>
  </conditionalFormatting>
  <conditionalFormatting sqref="N99">
    <cfRule type="duplicateValues" dxfId="566" priority="281"/>
  </conditionalFormatting>
  <conditionalFormatting sqref="N100">
    <cfRule type="duplicateValues" dxfId="565" priority="280"/>
  </conditionalFormatting>
  <conditionalFormatting sqref="N102">
    <cfRule type="duplicateValues" dxfId="564" priority="292"/>
  </conditionalFormatting>
  <conditionalFormatting sqref="N103">
    <cfRule type="duplicateValues" dxfId="563" priority="285"/>
  </conditionalFormatting>
  <conditionalFormatting sqref="N104">
    <cfRule type="duplicateValues" dxfId="562" priority="283"/>
  </conditionalFormatting>
  <conditionalFormatting sqref="N106">
    <cfRule type="duplicateValues" dxfId="561" priority="277"/>
  </conditionalFormatting>
  <conditionalFormatting sqref="N107:N108">
    <cfRule type="duplicateValues" dxfId="560" priority="276"/>
  </conditionalFormatting>
  <conditionalFormatting sqref="N109">
    <cfRule type="duplicateValues" dxfId="559" priority="108"/>
  </conditionalFormatting>
  <conditionalFormatting sqref="N112">
    <cfRule type="duplicateValues" dxfId="558" priority="267"/>
  </conditionalFormatting>
  <conditionalFormatting sqref="N113">
    <cfRule type="duplicateValues" dxfId="557" priority="233"/>
  </conditionalFormatting>
  <conditionalFormatting sqref="N114">
    <cfRule type="duplicateValues" dxfId="556" priority="265"/>
  </conditionalFormatting>
  <conditionalFormatting sqref="N115">
    <cfRule type="duplicateValues" dxfId="555" priority="264"/>
  </conditionalFormatting>
  <conditionalFormatting sqref="N116">
    <cfRule type="duplicateValues" dxfId="554" priority="262"/>
  </conditionalFormatting>
  <conditionalFormatting sqref="N117">
    <cfRule type="duplicateValues" dxfId="553" priority="258"/>
  </conditionalFormatting>
  <conditionalFormatting sqref="N118">
    <cfRule type="duplicateValues" dxfId="552" priority="256"/>
  </conditionalFormatting>
  <conditionalFormatting sqref="N119:N121">
    <cfRule type="duplicateValues" dxfId="551" priority="271"/>
  </conditionalFormatting>
  <conditionalFormatting sqref="N122">
    <cfRule type="duplicateValues" dxfId="550" priority="268"/>
  </conditionalFormatting>
  <conditionalFormatting sqref="N126">
    <cfRule type="duplicateValues" dxfId="549" priority="254"/>
  </conditionalFormatting>
  <conditionalFormatting sqref="N128:N129">
    <cfRule type="duplicateValues" dxfId="548" priority="234"/>
  </conditionalFormatting>
  <conditionalFormatting sqref="N130">
    <cfRule type="duplicateValues" dxfId="547" priority="213"/>
  </conditionalFormatting>
  <conditionalFormatting sqref="N131">
    <cfRule type="duplicateValues" dxfId="546" priority="210"/>
  </conditionalFormatting>
  <conditionalFormatting sqref="N132">
    <cfRule type="duplicateValues" dxfId="545" priority="204"/>
  </conditionalFormatting>
  <conditionalFormatting sqref="N134">
    <cfRule type="duplicateValues" dxfId="544" priority="206"/>
  </conditionalFormatting>
  <conditionalFormatting sqref="N135">
    <cfRule type="duplicateValues" dxfId="543" priority="201"/>
  </conditionalFormatting>
  <conditionalFormatting sqref="N136">
    <cfRule type="duplicateValues" dxfId="542" priority="199"/>
  </conditionalFormatting>
  <conditionalFormatting sqref="N145">
    <cfRule type="duplicateValues" dxfId="541" priority="195"/>
  </conditionalFormatting>
  <conditionalFormatting sqref="N146">
    <cfRule type="duplicateValues" dxfId="540" priority="194"/>
  </conditionalFormatting>
  <conditionalFormatting sqref="N147">
    <cfRule type="duplicateValues" dxfId="539" priority="187"/>
  </conditionalFormatting>
  <conditionalFormatting sqref="N148">
    <cfRule type="duplicateValues" dxfId="538" priority="69"/>
  </conditionalFormatting>
  <conditionalFormatting sqref="N151">
    <cfRule type="duplicateValues" dxfId="537" priority="189"/>
  </conditionalFormatting>
  <conditionalFormatting sqref="N152">
    <cfRule type="duplicateValues" dxfId="536" priority="184"/>
  </conditionalFormatting>
  <conditionalFormatting sqref="N153:N156 N15 N18:N21 N160">
    <cfRule type="duplicateValues" dxfId="535" priority="413"/>
  </conditionalFormatting>
  <conditionalFormatting sqref="N157">
    <cfRule type="duplicateValues" dxfId="534" priority="177"/>
  </conditionalFormatting>
  <conditionalFormatting sqref="N158">
    <cfRule type="duplicateValues" dxfId="533" priority="178"/>
  </conditionalFormatting>
  <conditionalFormatting sqref="N161">
    <cfRule type="duplicateValues" dxfId="532" priority="176"/>
  </conditionalFormatting>
  <conditionalFormatting sqref="N163">
    <cfRule type="duplicateValues" dxfId="531" priority="162"/>
  </conditionalFormatting>
  <conditionalFormatting sqref="N164">
    <cfRule type="duplicateValues" dxfId="530" priority="175"/>
  </conditionalFormatting>
  <conditionalFormatting sqref="N167">
    <cfRule type="duplicateValues" dxfId="529" priority="169"/>
  </conditionalFormatting>
  <conditionalFormatting sqref="N174">
    <cfRule type="duplicateValues" dxfId="528" priority="152"/>
  </conditionalFormatting>
  <conditionalFormatting sqref="N176">
    <cfRule type="duplicateValues" dxfId="527" priority="148"/>
  </conditionalFormatting>
  <conditionalFormatting sqref="N177">
    <cfRule type="duplicateValues" dxfId="526" priority="144"/>
  </conditionalFormatting>
  <conditionalFormatting sqref="N179">
    <cfRule type="duplicateValues" dxfId="525" priority="126"/>
  </conditionalFormatting>
  <conditionalFormatting sqref="N183">
    <cfRule type="duplicateValues" dxfId="524" priority="135"/>
  </conditionalFormatting>
  <conditionalFormatting sqref="N186">
    <cfRule type="duplicateValues" dxfId="523" priority="131"/>
  </conditionalFormatting>
  <conditionalFormatting sqref="N187">
    <cfRule type="duplicateValues" dxfId="522" priority="125"/>
  </conditionalFormatting>
  <conditionalFormatting sqref="N188">
    <cfRule type="duplicateValues" dxfId="521" priority="124"/>
  </conditionalFormatting>
  <conditionalFormatting sqref="N189">
    <cfRule type="duplicateValues" dxfId="520" priority="122"/>
  </conditionalFormatting>
  <conditionalFormatting sqref="N191">
    <cfRule type="duplicateValues" dxfId="519" priority="116"/>
  </conditionalFormatting>
  <conditionalFormatting sqref="N192">
    <cfRule type="duplicateValues" dxfId="518" priority="118"/>
  </conditionalFormatting>
  <conditionalFormatting sqref="N194:N195">
    <cfRule type="duplicateValues" dxfId="517" priority="112"/>
  </conditionalFormatting>
  <conditionalFormatting sqref="N196:N199">
    <cfRule type="duplicateValues" dxfId="516" priority="111"/>
  </conditionalFormatting>
  <conditionalFormatting sqref="N200 N202">
    <cfRule type="duplicateValues" dxfId="515" priority="109"/>
  </conditionalFormatting>
  <conditionalFormatting sqref="N201">
    <cfRule type="duplicateValues" dxfId="514" priority="19"/>
  </conditionalFormatting>
  <conditionalFormatting sqref="N203">
    <cfRule type="duplicateValues" dxfId="513" priority="105"/>
  </conditionalFormatting>
  <conditionalFormatting sqref="N204">
    <cfRule type="duplicateValues" dxfId="512" priority="102"/>
  </conditionalFormatting>
  <conditionalFormatting sqref="N205">
    <cfRule type="duplicateValues" dxfId="511" priority="99"/>
  </conditionalFormatting>
  <conditionalFormatting sqref="N206">
    <cfRule type="duplicateValues" dxfId="510" priority="96"/>
  </conditionalFormatting>
  <conditionalFormatting sqref="N207">
    <cfRule type="duplicateValues" dxfId="509" priority="94"/>
  </conditionalFormatting>
  <conditionalFormatting sqref="N208">
    <cfRule type="duplicateValues" dxfId="508" priority="91"/>
  </conditionalFormatting>
  <conditionalFormatting sqref="N209">
    <cfRule type="duplicateValues" dxfId="507" priority="88"/>
  </conditionalFormatting>
  <conditionalFormatting sqref="N210">
    <cfRule type="duplicateValues" dxfId="506" priority="85"/>
  </conditionalFormatting>
  <conditionalFormatting sqref="N211">
    <cfRule type="duplicateValues" dxfId="505" priority="107"/>
  </conditionalFormatting>
  <conditionalFormatting sqref="N212:N213">
    <cfRule type="duplicateValues" dxfId="504" priority="80"/>
  </conditionalFormatting>
  <conditionalFormatting sqref="N214">
    <cfRule type="duplicateValues" dxfId="503" priority="78"/>
  </conditionalFormatting>
  <conditionalFormatting sqref="N215">
    <cfRule type="duplicateValues" dxfId="502" priority="77"/>
  </conditionalFormatting>
  <conditionalFormatting sqref="N219">
    <cfRule type="duplicateValues" dxfId="501" priority="74"/>
  </conditionalFormatting>
  <conditionalFormatting sqref="N221">
    <cfRule type="duplicateValues" dxfId="500" priority="73"/>
  </conditionalFormatting>
  <conditionalFormatting sqref="N223">
    <cfRule type="duplicateValues" dxfId="499" priority="63"/>
  </conditionalFormatting>
  <conditionalFormatting sqref="N226">
    <cfRule type="duplicateValues" dxfId="498" priority="61"/>
  </conditionalFormatting>
  <conditionalFormatting sqref="N229">
    <cfRule type="duplicateValues" dxfId="497" priority="58"/>
  </conditionalFormatting>
  <conditionalFormatting sqref="N232">
    <cfRule type="duplicateValues" dxfId="496" priority="54"/>
  </conditionalFormatting>
  <conditionalFormatting sqref="N233">
    <cfRule type="duplicateValues" dxfId="495" priority="52"/>
  </conditionalFormatting>
  <conditionalFormatting sqref="N234">
    <cfRule type="duplicateValues" dxfId="494" priority="51"/>
  </conditionalFormatting>
  <conditionalFormatting sqref="N236:N237">
    <cfRule type="duplicateValues" dxfId="493" priority="50"/>
  </conditionalFormatting>
  <conditionalFormatting sqref="N238">
    <cfRule type="duplicateValues" dxfId="492" priority="48"/>
  </conditionalFormatting>
  <conditionalFormatting sqref="N241">
    <cfRule type="duplicateValues" dxfId="491" priority="39"/>
  </conditionalFormatting>
  <conditionalFormatting sqref="N244:N245">
    <cfRule type="duplicateValues" dxfId="490" priority="45"/>
  </conditionalFormatting>
  <conditionalFormatting sqref="N248">
    <cfRule type="duplicateValues" dxfId="489" priority="42"/>
  </conditionalFormatting>
  <conditionalFormatting sqref="N249">
    <cfRule type="duplicateValues" dxfId="488" priority="18"/>
  </conditionalFormatting>
  <conditionalFormatting sqref="N250">
    <cfRule type="duplicateValues" dxfId="487" priority="41"/>
  </conditionalFormatting>
  <conditionalFormatting sqref="N253">
    <cfRule type="duplicateValues" dxfId="486" priority="38"/>
  </conditionalFormatting>
  <conditionalFormatting sqref="N254">
    <cfRule type="duplicateValues" dxfId="485" priority="36"/>
  </conditionalFormatting>
  <conditionalFormatting sqref="AA10">
    <cfRule type="duplicateValues" dxfId="484" priority="410"/>
  </conditionalFormatting>
  <conditionalFormatting sqref="AA11">
    <cfRule type="duplicateValues" dxfId="483" priority="405"/>
  </conditionalFormatting>
  <conditionalFormatting sqref="AA12">
    <cfRule type="duplicateValues" dxfId="482" priority="33"/>
  </conditionalFormatting>
  <conditionalFormatting sqref="AA26">
    <cfRule type="duplicateValues" dxfId="481" priority="242"/>
  </conditionalFormatting>
  <conditionalFormatting sqref="AA27">
    <cfRule type="duplicateValues" dxfId="480" priority="243"/>
  </conditionalFormatting>
  <conditionalFormatting sqref="AA28">
    <cfRule type="duplicateValues" dxfId="479" priority="240"/>
  </conditionalFormatting>
  <conditionalFormatting sqref="AA29">
    <cfRule type="duplicateValues" dxfId="478" priority="70"/>
  </conditionalFormatting>
  <conditionalFormatting sqref="AA30">
    <cfRule type="duplicateValues" dxfId="477" priority="241"/>
  </conditionalFormatting>
  <conditionalFormatting sqref="AA31">
    <cfRule type="duplicateValues" dxfId="476" priority="236"/>
    <cfRule type="duplicateValues" dxfId="475" priority="237"/>
  </conditionalFormatting>
  <conditionalFormatting sqref="AA32">
    <cfRule type="duplicateValues" dxfId="474" priority="239"/>
  </conditionalFormatting>
  <conditionalFormatting sqref="AA33">
    <cfRule type="duplicateValues" dxfId="473" priority="238"/>
  </conditionalFormatting>
  <conditionalFormatting sqref="AA34">
    <cfRule type="duplicateValues" dxfId="472" priority="393"/>
  </conditionalFormatting>
  <conditionalFormatting sqref="AA35">
    <cfRule type="duplicateValues" dxfId="471" priority="389"/>
  </conditionalFormatting>
  <conditionalFormatting sqref="AA36">
    <cfRule type="duplicateValues" dxfId="470" priority="382"/>
  </conditionalFormatting>
  <conditionalFormatting sqref="AA37">
    <cfRule type="duplicateValues" dxfId="469" priority="251"/>
  </conditionalFormatting>
  <conditionalFormatting sqref="AA38">
    <cfRule type="duplicateValues" dxfId="468" priority="250"/>
  </conditionalFormatting>
  <conditionalFormatting sqref="AA39:AA41">
    <cfRule type="duplicateValues" dxfId="467" priority="381"/>
  </conditionalFormatting>
  <conditionalFormatting sqref="AA42">
    <cfRule type="duplicateValues" dxfId="466" priority="370"/>
  </conditionalFormatting>
  <conditionalFormatting sqref="AA43">
    <cfRule type="duplicateValues" dxfId="465" priority="369"/>
  </conditionalFormatting>
  <conditionalFormatting sqref="AA44">
    <cfRule type="duplicateValues" dxfId="464" priority="368"/>
  </conditionalFormatting>
  <conditionalFormatting sqref="AA45">
    <cfRule type="duplicateValues" dxfId="463" priority="377"/>
  </conditionalFormatting>
  <conditionalFormatting sqref="AA46">
    <cfRule type="duplicateValues" dxfId="462" priority="375"/>
  </conditionalFormatting>
  <conditionalFormatting sqref="AA47">
    <cfRule type="duplicateValues" dxfId="461" priority="374"/>
  </conditionalFormatting>
  <conditionalFormatting sqref="AA48">
    <cfRule type="duplicateValues" dxfId="460" priority="352"/>
  </conditionalFormatting>
  <conditionalFormatting sqref="AA49">
    <cfRule type="duplicateValues" dxfId="459" priority="371"/>
  </conditionalFormatting>
  <conditionalFormatting sqref="AA50">
    <cfRule type="duplicateValues" dxfId="458" priority="365"/>
  </conditionalFormatting>
  <conditionalFormatting sqref="AA51">
    <cfRule type="duplicateValues" dxfId="457" priority="361"/>
  </conditionalFormatting>
  <conditionalFormatting sqref="AA53">
    <cfRule type="duplicateValues" dxfId="456" priority="359"/>
  </conditionalFormatting>
  <conditionalFormatting sqref="AA54">
    <cfRule type="duplicateValues" dxfId="455" priority="357"/>
  </conditionalFormatting>
  <conditionalFormatting sqref="AA55">
    <cfRule type="duplicateValues" dxfId="454" priority="354"/>
  </conditionalFormatting>
  <conditionalFormatting sqref="AA56">
    <cfRule type="duplicateValues" dxfId="453" priority="353"/>
  </conditionalFormatting>
  <conditionalFormatting sqref="AA57">
    <cfRule type="duplicateValues" dxfId="452" priority="347"/>
  </conditionalFormatting>
  <conditionalFormatting sqref="AA58">
    <cfRule type="duplicateValues" dxfId="451" priority="343"/>
  </conditionalFormatting>
  <conditionalFormatting sqref="AA59">
    <cfRule type="duplicateValues" dxfId="450" priority="344"/>
  </conditionalFormatting>
  <conditionalFormatting sqref="AA60">
    <cfRule type="duplicateValues" dxfId="449" priority="340"/>
  </conditionalFormatting>
  <conditionalFormatting sqref="AA61">
    <cfRule type="duplicateValues" dxfId="448" priority="220"/>
  </conditionalFormatting>
  <conditionalFormatting sqref="AA62">
    <cfRule type="duplicateValues" dxfId="447" priority="219"/>
  </conditionalFormatting>
  <conditionalFormatting sqref="AA63">
    <cfRule type="duplicateValues" dxfId="446" priority="338"/>
  </conditionalFormatting>
  <conditionalFormatting sqref="AA64">
    <cfRule type="duplicateValues" dxfId="445" priority="337"/>
  </conditionalFormatting>
  <conditionalFormatting sqref="AA65">
    <cfRule type="duplicateValues" dxfId="444" priority="334"/>
  </conditionalFormatting>
  <conditionalFormatting sqref="AA66">
    <cfRule type="duplicateValues" dxfId="443" priority="331"/>
  </conditionalFormatting>
  <conditionalFormatting sqref="AA69">
    <cfRule type="duplicateValues" dxfId="442" priority="327"/>
  </conditionalFormatting>
  <conditionalFormatting sqref="AA71">
    <cfRule type="duplicateValues" dxfId="441" priority="110"/>
  </conditionalFormatting>
  <conditionalFormatting sqref="AA72">
    <cfRule type="duplicateValues" dxfId="440" priority="323"/>
  </conditionalFormatting>
  <conditionalFormatting sqref="AA73">
    <cfRule type="duplicateValues" dxfId="439" priority="215"/>
  </conditionalFormatting>
  <conditionalFormatting sqref="AA74">
    <cfRule type="duplicateValues" dxfId="438" priority="231"/>
  </conditionalFormatting>
  <conditionalFormatting sqref="AA75">
    <cfRule type="duplicateValues" dxfId="437" priority="301"/>
  </conditionalFormatting>
  <conditionalFormatting sqref="AA76">
    <cfRule type="duplicateValues" dxfId="436" priority="313"/>
  </conditionalFormatting>
  <conditionalFormatting sqref="AA77:AA81">
    <cfRule type="duplicateValues" dxfId="435" priority="312"/>
  </conditionalFormatting>
  <conditionalFormatting sqref="AA82">
    <cfRule type="duplicateValues" dxfId="434" priority="307"/>
  </conditionalFormatting>
  <conditionalFormatting sqref="AA85">
    <cfRule type="duplicateValues" dxfId="433" priority="303"/>
  </conditionalFormatting>
  <conditionalFormatting sqref="AA86">
    <cfRule type="duplicateValues" dxfId="432" priority="300"/>
  </conditionalFormatting>
  <conditionalFormatting sqref="AA91">
    <cfRule type="duplicateValues" dxfId="431" priority="298"/>
  </conditionalFormatting>
  <conditionalFormatting sqref="AA92">
    <cfRule type="duplicateValues" dxfId="430" priority="56"/>
  </conditionalFormatting>
  <conditionalFormatting sqref="AA93">
    <cfRule type="duplicateValues" dxfId="429" priority="296"/>
  </conditionalFormatting>
  <conditionalFormatting sqref="AA97">
    <cfRule type="duplicateValues" dxfId="428" priority="290"/>
  </conditionalFormatting>
  <conditionalFormatting sqref="AA98">
    <cfRule type="duplicateValues" dxfId="427" priority="289"/>
  </conditionalFormatting>
  <conditionalFormatting sqref="AA101:AA102">
    <cfRule type="duplicateValues" dxfId="426" priority="291"/>
  </conditionalFormatting>
  <conditionalFormatting sqref="AA103">
    <cfRule type="duplicateValues" dxfId="425" priority="284"/>
  </conditionalFormatting>
  <conditionalFormatting sqref="AA104">
    <cfRule type="duplicateValues" dxfId="424" priority="282"/>
  </conditionalFormatting>
  <conditionalFormatting sqref="AA107">
    <cfRule type="duplicateValues" dxfId="423" priority="226"/>
  </conditionalFormatting>
  <conditionalFormatting sqref="AA108">
    <cfRule type="duplicateValues" dxfId="422" priority="71"/>
  </conditionalFormatting>
  <conditionalFormatting sqref="AA109">
    <cfRule type="duplicateValues" dxfId="421" priority="224"/>
  </conditionalFormatting>
  <conditionalFormatting sqref="AA111">
    <cfRule type="duplicateValues" dxfId="420" priority="270"/>
  </conditionalFormatting>
  <conditionalFormatting sqref="AA112">
    <cfRule type="duplicateValues" dxfId="419" priority="266"/>
  </conditionalFormatting>
  <conditionalFormatting sqref="AA113">
    <cfRule type="duplicateValues" dxfId="418" priority="223"/>
  </conditionalFormatting>
  <conditionalFormatting sqref="AA114">
    <cfRule type="duplicateValues" dxfId="417" priority="222"/>
  </conditionalFormatting>
  <conditionalFormatting sqref="AA115">
    <cfRule type="duplicateValues" dxfId="416" priority="260"/>
  </conditionalFormatting>
  <conditionalFormatting sqref="AA116">
    <cfRule type="duplicateValues" dxfId="415" priority="261"/>
  </conditionalFormatting>
  <conditionalFormatting sqref="AA117:AA118">
    <cfRule type="duplicateValues" dxfId="414" priority="257"/>
  </conditionalFormatting>
  <conditionalFormatting sqref="AA128">
    <cfRule type="duplicateValues" dxfId="413" priority="216"/>
  </conditionalFormatting>
  <conditionalFormatting sqref="AA130">
    <cfRule type="duplicateValues" dxfId="412" priority="67"/>
  </conditionalFormatting>
  <conditionalFormatting sqref="AA131">
    <cfRule type="duplicateValues" dxfId="411" priority="202"/>
  </conditionalFormatting>
  <conditionalFormatting sqref="AA132">
    <cfRule type="duplicateValues" dxfId="410" priority="203"/>
  </conditionalFormatting>
  <conditionalFormatting sqref="AA142">
    <cfRule type="duplicateValues" dxfId="409" priority="196"/>
  </conditionalFormatting>
  <conditionalFormatting sqref="AA145">
    <cfRule type="duplicateValues" dxfId="408" priority="72"/>
  </conditionalFormatting>
  <conditionalFormatting sqref="AA146">
    <cfRule type="duplicateValues" dxfId="407" priority="193"/>
  </conditionalFormatting>
  <conditionalFormatting sqref="AA147">
    <cfRule type="duplicateValues" dxfId="406" priority="185"/>
  </conditionalFormatting>
  <conditionalFormatting sqref="AA155">
    <cfRule type="duplicateValues" dxfId="405" priority="181"/>
  </conditionalFormatting>
  <conditionalFormatting sqref="AA156">
    <cfRule type="duplicateValues" dxfId="404" priority="180"/>
  </conditionalFormatting>
  <conditionalFormatting sqref="AA157">
    <cfRule type="duplicateValues" dxfId="403" priority="179"/>
  </conditionalFormatting>
  <conditionalFormatting sqref="AA160">
    <cfRule type="duplicateValues" dxfId="402" priority="167"/>
  </conditionalFormatting>
  <conditionalFormatting sqref="AA163">
    <cfRule type="duplicateValues" dxfId="401" priority="161"/>
  </conditionalFormatting>
  <conditionalFormatting sqref="AA167">
    <cfRule type="duplicateValues" dxfId="400" priority="168"/>
  </conditionalFormatting>
  <conditionalFormatting sqref="AA171">
    <cfRule type="duplicateValues" dxfId="399" priority="160"/>
  </conditionalFormatting>
  <conditionalFormatting sqref="AA172">
    <cfRule type="duplicateValues" dxfId="398" priority="158"/>
  </conditionalFormatting>
  <conditionalFormatting sqref="AA174">
    <cfRule type="duplicateValues" dxfId="397" priority="151"/>
  </conditionalFormatting>
  <conditionalFormatting sqref="AA175">
    <cfRule type="duplicateValues" dxfId="396" priority="150"/>
  </conditionalFormatting>
  <conditionalFormatting sqref="AA176">
    <cfRule type="duplicateValues" dxfId="395" priority="147"/>
  </conditionalFormatting>
  <conditionalFormatting sqref="AA177">
    <cfRule type="duplicateValues" dxfId="394" priority="143"/>
  </conditionalFormatting>
  <conditionalFormatting sqref="AA179">
    <cfRule type="duplicateValues" dxfId="393" priority="129"/>
  </conditionalFormatting>
  <conditionalFormatting sqref="AA181">
    <cfRule type="duplicateValues" dxfId="392" priority="128"/>
  </conditionalFormatting>
  <conditionalFormatting sqref="AA183">
    <cfRule type="duplicateValues" dxfId="391" priority="132"/>
  </conditionalFormatting>
  <conditionalFormatting sqref="AA184">
    <cfRule type="duplicateValues" dxfId="390" priority="133"/>
  </conditionalFormatting>
  <conditionalFormatting sqref="AA187">
    <cfRule type="duplicateValues" dxfId="389" priority="127"/>
  </conditionalFormatting>
  <conditionalFormatting sqref="AA188">
    <cfRule type="duplicateValues" dxfId="388" priority="123"/>
  </conditionalFormatting>
  <conditionalFormatting sqref="AA189">
    <cfRule type="duplicateValues" dxfId="387" priority="121"/>
  </conditionalFormatting>
  <conditionalFormatting sqref="AA190 AA196:AA197 AA200">
    <cfRule type="duplicateValues" dxfId="386" priority="420"/>
  </conditionalFormatting>
  <conditionalFormatting sqref="AA191">
    <cfRule type="duplicateValues" dxfId="385" priority="115"/>
  </conditionalFormatting>
  <conditionalFormatting sqref="AA193">
    <cfRule type="duplicateValues" dxfId="384" priority="113"/>
  </conditionalFormatting>
  <conditionalFormatting sqref="AA202">
    <cfRule type="duplicateValues" dxfId="383" priority="81"/>
  </conditionalFormatting>
  <conditionalFormatting sqref="AA203">
    <cfRule type="duplicateValues" dxfId="382" priority="104"/>
  </conditionalFormatting>
  <conditionalFormatting sqref="AA204">
    <cfRule type="duplicateValues" dxfId="381" priority="101"/>
  </conditionalFormatting>
  <conditionalFormatting sqref="AA205">
    <cfRule type="duplicateValues" dxfId="380" priority="98"/>
  </conditionalFormatting>
  <conditionalFormatting sqref="AA206">
    <cfRule type="duplicateValues" dxfId="379" priority="95"/>
  </conditionalFormatting>
  <conditionalFormatting sqref="AA207">
    <cfRule type="duplicateValues" dxfId="378" priority="93"/>
  </conditionalFormatting>
  <conditionalFormatting sqref="AA208">
    <cfRule type="duplicateValues" dxfId="377" priority="90"/>
  </conditionalFormatting>
  <conditionalFormatting sqref="AA209">
    <cfRule type="duplicateValues" dxfId="376" priority="87"/>
  </conditionalFormatting>
  <conditionalFormatting sqref="AA210">
    <cfRule type="duplicateValues" dxfId="375" priority="84"/>
  </conditionalFormatting>
  <conditionalFormatting sqref="AA212:AA213">
    <cfRule type="duplicateValues" dxfId="374" priority="79"/>
  </conditionalFormatting>
  <conditionalFormatting sqref="AA214">
    <cfRule type="duplicateValues" dxfId="373" priority="76"/>
  </conditionalFormatting>
  <conditionalFormatting sqref="AA222">
    <cfRule type="duplicateValues" dxfId="372" priority="65"/>
  </conditionalFormatting>
  <conditionalFormatting sqref="AA223">
    <cfRule type="duplicateValues" dxfId="371" priority="62"/>
  </conditionalFormatting>
  <conditionalFormatting sqref="AA226">
    <cfRule type="duplicateValues" dxfId="370" priority="60"/>
  </conditionalFormatting>
  <conditionalFormatting sqref="AA227:AA228">
    <cfRule type="duplicateValues" dxfId="369" priority="59"/>
  </conditionalFormatting>
  <conditionalFormatting sqref="AA232">
    <cfRule type="duplicateValues" dxfId="368" priority="53"/>
  </conditionalFormatting>
  <conditionalFormatting sqref="AA238">
    <cfRule type="duplicateValues" dxfId="367" priority="47"/>
  </conditionalFormatting>
  <conditionalFormatting sqref="AA244">
    <cfRule type="duplicateValues" dxfId="366" priority="44"/>
  </conditionalFormatting>
  <conditionalFormatting sqref="AA245">
    <cfRule type="duplicateValues" dxfId="365" priority="43"/>
  </conditionalFormatting>
  <conditionalFormatting sqref="AA254">
    <cfRule type="duplicateValues" dxfId="364" priority="35"/>
  </conditionalFormatting>
  <conditionalFormatting sqref="AD82">
    <cfRule type="duplicateValues" dxfId="363" priority="306"/>
  </conditionalFormatting>
  <conditionalFormatting sqref="N270">
    <cfRule type="duplicateValues" dxfId="362" priority="17"/>
  </conditionalFormatting>
  <conditionalFormatting sqref="N272">
    <cfRule type="duplicateValues" dxfId="361" priority="16"/>
  </conditionalFormatting>
  <conditionalFormatting sqref="N273">
    <cfRule type="duplicateValues" dxfId="360" priority="15"/>
  </conditionalFormatting>
  <conditionalFormatting sqref="AA274">
    <cfRule type="duplicateValues" dxfId="359" priority="14"/>
  </conditionalFormatting>
  <conditionalFormatting sqref="J275:J276">
    <cfRule type="duplicateValues" dxfId="358" priority="11"/>
  </conditionalFormatting>
  <conditionalFormatting sqref="J277">
    <cfRule type="duplicateValues" dxfId="357" priority="13"/>
  </conditionalFormatting>
  <conditionalFormatting sqref="N275">
    <cfRule type="duplicateValues" dxfId="356" priority="10"/>
  </conditionalFormatting>
  <conditionalFormatting sqref="N276">
    <cfRule type="duplicateValues" dxfId="355" priority="9"/>
  </conditionalFormatting>
  <conditionalFormatting sqref="N277">
    <cfRule type="duplicateValues" dxfId="354" priority="12"/>
  </conditionalFormatting>
  <conditionalFormatting sqref="AA275">
    <cfRule type="duplicateValues" dxfId="353" priority="8"/>
  </conditionalFormatting>
  <conditionalFormatting sqref="AA277">
    <cfRule type="duplicateValues" dxfId="352" priority="7"/>
  </conditionalFormatting>
  <conditionalFormatting sqref="AA201">
    <cfRule type="duplicateValues" dxfId="351" priority="6"/>
  </conditionalFormatting>
  <conditionalFormatting sqref="AA21">
    <cfRule type="duplicateValues" dxfId="350" priority="5"/>
  </conditionalFormatting>
  <conditionalFormatting sqref="AA22">
    <cfRule type="duplicateValues" dxfId="349" priority="4"/>
  </conditionalFormatting>
  <conditionalFormatting sqref="AA23">
    <cfRule type="duplicateValues" dxfId="348" priority="3"/>
  </conditionalFormatting>
  <conditionalFormatting sqref="AA240">
    <cfRule type="duplicateValues" dxfId="347" priority="2"/>
  </conditionalFormatting>
  <conditionalFormatting sqref="AA241">
    <cfRule type="duplicateValues" dxfId="346" priority="1"/>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BC4BF4A5-AD76-4A62-AD76-3FF57B79CC26}">
          <x14:formula1>
            <xm:f>'Đơn giá'!$B$4:$B$9</xm:f>
          </x14:formula1>
          <xm:sqref>AA113 N113 N134:N136 N146 AA146 P148:P149 O134:O164 AA189 N189:N190 AA193 N107:N108 N192:N193 AA107:AA109 N119:N129 O236:O251 O12 O166:O234 O32:O132 O270:O282 O253:O258</xm:sqref>
        </x14:dataValidation>
        <x14:dataValidation type="list" allowBlank="1" showInputMessage="1" showErrorMessage="1" xr:uid="{BBEC7CF6-1194-4942-844A-DCCFA4D13B8F}">
          <x14:formula1>
            <xm:f>'Đơn giá'!$F$4:$F$5</xm:f>
          </x14:formula1>
          <xm:sqref>AA147 M140:M144 M149 M162 N147 N164 M160 M184 M180:M182 M153:M156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F7311-7EC1-4F69-933C-51BB32FFFE64}">
  <sheetPr filterMode="1">
    <tabColor rgb="FFFF0000"/>
  </sheetPr>
  <dimension ref="A1:AE260"/>
  <sheetViews>
    <sheetView zoomScale="55" zoomScaleNormal="55" workbookViewId="0">
      <pane xSplit="3" ySplit="5" topLeftCell="M6" activePane="bottomRight" state="frozen"/>
      <selection pane="topRight" activeCell="D1" sqref="D1"/>
      <selection pane="bottomLeft" activeCell="A6" sqref="A6"/>
      <selection pane="bottomRight" activeCell="S11" sqref="S11"/>
    </sheetView>
  </sheetViews>
  <sheetFormatPr defaultColWidth="9.109375" defaultRowHeight="18" x14ac:dyDescent="0.3"/>
  <cols>
    <col min="1" max="1" width="6.109375" style="105" customWidth="1"/>
    <col min="2" max="2" width="13.6640625" style="105" customWidth="1"/>
    <col min="3" max="3" width="64.109375" style="104" customWidth="1"/>
    <col min="4" max="4" width="15" style="103" customWidth="1"/>
    <col min="5" max="5" width="16" style="103" customWidth="1"/>
    <col min="6" max="6" width="9.44140625" style="103" customWidth="1"/>
    <col min="7" max="7" width="7.88671875" style="103" customWidth="1"/>
    <col min="8" max="8" width="16.88671875" style="103" customWidth="1"/>
    <col min="9" max="9" width="17.21875" style="103" customWidth="1"/>
    <col min="10" max="10" width="41.5546875" style="105" customWidth="1"/>
    <col min="11" max="11" width="23.5546875" style="105" customWidth="1"/>
    <col min="12" max="12" width="17.88671875" style="93" bestFit="1" customWidth="1"/>
    <col min="13" max="13" width="16.88671875" style="105" bestFit="1" customWidth="1"/>
    <col min="14" max="14" width="22.21875" style="149" customWidth="1"/>
    <col min="15" max="15" width="15.6640625" style="93" customWidth="1"/>
    <col min="16" max="16" width="12.109375" style="93" customWidth="1"/>
    <col min="17" max="17" width="12.5546875" style="93" customWidth="1"/>
    <col min="18" max="19" width="14.6640625" style="93" customWidth="1"/>
    <col min="20" max="20" width="13.109375" style="93" customWidth="1"/>
    <col min="21" max="21" width="11.88671875" style="93" customWidth="1"/>
    <col min="22" max="22" width="10.21875" style="93" customWidth="1"/>
    <col min="23" max="24" width="11.88671875" style="93" customWidth="1"/>
    <col min="25" max="25" width="17.5546875" style="337" customWidth="1"/>
    <col min="26" max="26" width="31.44140625" style="257" customWidth="1"/>
    <col min="27" max="27" width="34.109375" style="105" bestFit="1" customWidth="1"/>
    <col min="28" max="28" width="13.88671875" style="105" customWidth="1"/>
    <col min="29" max="29" width="19" style="93" bestFit="1" customWidth="1"/>
    <col min="30" max="30" width="37.33203125" style="93" bestFit="1" customWidth="1"/>
  </cols>
  <sheetData>
    <row r="1" spans="1:31" s="99" customFormat="1" ht="22.8" x14ac:dyDescent="0.3">
      <c r="A1" s="221" t="s">
        <v>0</v>
      </c>
      <c r="B1" s="98"/>
      <c r="C1" s="98"/>
      <c r="D1" s="98"/>
      <c r="E1" s="98"/>
      <c r="F1" s="98"/>
      <c r="G1" s="98"/>
      <c r="H1" s="98"/>
      <c r="I1" s="98"/>
      <c r="J1" s="221"/>
      <c r="K1" s="98"/>
      <c r="L1" s="98"/>
      <c r="M1" s="98" t="s">
        <v>1</v>
      </c>
      <c r="N1" s="148"/>
      <c r="Z1" s="256"/>
      <c r="AA1" s="225" t="s">
        <v>2</v>
      </c>
      <c r="AB1" s="225"/>
      <c r="AC1" s="100"/>
    </row>
    <row r="2" spans="1:31" x14ac:dyDescent="0.3">
      <c r="Y2" s="93"/>
    </row>
    <row r="3" spans="1:31" s="101" customFormat="1" ht="17.399999999999999" x14ac:dyDescent="0.3">
      <c r="A3" s="433" t="s">
        <v>3</v>
      </c>
      <c r="B3" s="433" t="s">
        <v>4</v>
      </c>
      <c r="C3" s="433" t="s">
        <v>5</v>
      </c>
      <c r="D3" s="438" t="s">
        <v>6</v>
      </c>
      <c r="E3" s="439" t="s">
        <v>487</v>
      </c>
      <c r="F3" s="441" t="s">
        <v>7</v>
      </c>
      <c r="G3" s="442"/>
      <c r="H3" s="442"/>
      <c r="I3" s="443"/>
      <c r="J3" s="433" t="s">
        <v>8</v>
      </c>
      <c r="K3" s="434" t="s">
        <v>9</v>
      </c>
      <c r="L3" s="433" t="s">
        <v>10</v>
      </c>
      <c r="M3" s="194" t="s">
        <v>11</v>
      </c>
      <c r="N3" s="194" t="s">
        <v>492</v>
      </c>
      <c r="O3" s="195" t="s">
        <v>12</v>
      </c>
      <c r="P3" s="435" t="s">
        <v>7</v>
      </c>
      <c r="Q3" s="436"/>
      <c r="R3" s="436"/>
      <c r="S3" s="436"/>
      <c r="T3" s="436"/>
      <c r="U3" s="436"/>
      <c r="V3" s="436"/>
      <c r="W3" s="437"/>
      <c r="X3" s="196" t="s">
        <v>13</v>
      </c>
      <c r="Y3" s="196" t="s">
        <v>14</v>
      </c>
      <c r="Z3" s="239" t="s">
        <v>15</v>
      </c>
      <c r="AA3" s="195" t="s">
        <v>16</v>
      </c>
      <c r="AB3" s="195" t="s">
        <v>7</v>
      </c>
      <c r="AC3" s="195" t="s">
        <v>17</v>
      </c>
      <c r="AD3" s="278" t="s">
        <v>18</v>
      </c>
    </row>
    <row r="4" spans="1:31" s="101" customFormat="1" x14ac:dyDescent="0.3">
      <c r="A4" s="433"/>
      <c r="B4" s="433"/>
      <c r="C4" s="433"/>
      <c r="D4" s="438"/>
      <c r="E4" s="440"/>
      <c r="F4" s="147" t="s">
        <v>490</v>
      </c>
      <c r="G4" s="147" t="s">
        <v>21</v>
      </c>
      <c r="H4" s="147" t="s">
        <v>22</v>
      </c>
      <c r="I4" s="147" t="s">
        <v>23</v>
      </c>
      <c r="J4" s="433"/>
      <c r="K4" s="433"/>
      <c r="L4" s="433"/>
      <c r="M4" s="195" t="s">
        <v>24</v>
      </c>
      <c r="N4" s="195" t="s">
        <v>25</v>
      </c>
      <c r="O4" s="197"/>
      <c r="P4" s="195" t="s">
        <v>26</v>
      </c>
      <c r="Q4" s="195" t="s">
        <v>27</v>
      </c>
      <c r="R4" s="198" t="s">
        <v>35</v>
      </c>
      <c r="S4" s="198" t="s">
        <v>38</v>
      </c>
      <c r="T4" s="198" t="s">
        <v>39</v>
      </c>
      <c r="U4" s="198" t="s">
        <v>42</v>
      </c>
      <c r="V4" s="195" t="s">
        <v>28</v>
      </c>
      <c r="W4" s="195" t="s">
        <v>23</v>
      </c>
      <c r="X4" s="196"/>
      <c r="Y4" s="196"/>
      <c r="Z4" s="239"/>
      <c r="AA4" s="195"/>
      <c r="AB4" s="195"/>
      <c r="AC4" s="195"/>
      <c r="AD4" s="278"/>
    </row>
    <row r="5" spans="1:31" s="177" customFormat="1" ht="54" customHeight="1" x14ac:dyDescent="0.3">
      <c r="A5" s="172"/>
      <c r="B5" s="172"/>
      <c r="C5" s="172"/>
      <c r="D5" s="173"/>
      <c r="E5" s="174"/>
      <c r="F5" s="173"/>
      <c r="G5" s="173"/>
      <c r="H5" s="173"/>
      <c r="I5" s="173"/>
      <c r="J5" s="172"/>
      <c r="K5" s="172"/>
      <c r="L5" s="172"/>
      <c r="M5" s="172"/>
      <c r="N5" s="172"/>
      <c r="O5" s="175"/>
      <c r="P5" s="172">
        <f>SUBTOTAL(9,P63:P247)</f>
        <v>1020</v>
      </c>
      <c r="Q5" s="172">
        <f t="shared" ref="Q5:W5" si="0">SUBTOTAL(9,Q63:Q247)</f>
        <v>73</v>
      </c>
      <c r="R5" s="172">
        <f t="shared" si="0"/>
        <v>0</v>
      </c>
      <c r="S5" s="172">
        <f t="shared" si="0"/>
        <v>8</v>
      </c>
      <c r="T5" s="172">
        <f t="shared" si="0"/>
        <v>191</v>
      </c>
      <c r="U5" s="172">
        <f t="shared" si="0"/>
        <v>162</v>
      </c>
      <c r="V5" s="172">
        <f t="shared" si="0"/>
        <v>100</v>
      </c>
      <c r="W5" s="172">
        <f t="shared" si="0"/>
        <v>1554</v>
      </c>
      <c r="X5" s="176"/>
      <c r="Y5" s="176"/>
      <c r="Z5" s="239"/>
      <c r="AA5" s="172"/>
      <c r="AB5" s="172">
        <f>SUBTOTAL(9,AB6:AB153)</f>
        <v>993</v>
      </c>
      <c r="AC5" s="282">
        <f>SUBTOTAL(9,AC6:AC153)</f>
        <v>4965000</v>
      </c>
      <c r="AD5" s="172"/>
    </row>
    <row r="6" spans="1:31" s="238" customFormat="1" ht="36" x14ac:dyDescent="0.3">
      <c r="A6" s="232">
        <v>17</v>
      </c>
      <c r="B6" s="233">
        <v>46273</v>
      </c>
      <c r="C6" s="382" t="s">
        <v>60</v>
      </c>
      <c r="D6" s="210" t="s">
        <v>30</v>
      </c>
      <c r="E6" s="210" t="s">
        <v>743</v>
      </c>
      <c r="F6" s="210"/>
      <c r="G6" s="210">
        <v>11</v>
      </c>
      <c r="H6" s="210"/>
      <c r="I6" s="210">
        <v>11</v>
      </c>
      <c r="J6" s="232" t="s">
        <v>31</v>
      </c>
      <c r="K6" s="232"/>
      <c r="L6" s="232" t="s">
        <v>32</v>
      </c>
      <c r="M6" s="232" t="s">
        <v>33</v>
      </c>
      <c r="N6" s="234" t="s">
        <v>301</v>
      </c>
      <c r="O6" s="84" t="s">
        <v>26</v>
      </c>
      <c r="P6" s="235">
        <v>10</v>
      </c>
      <c r="Q6" s="235"/>
      <c r="R6" s="235"/>
      <c r="S6" s="235"/>
      <c r="T6" s="235"/>
      <c r="U6" s="235"/>
      <c r="V6" s="235">
        <v>1</v>
      </c>
      <c r="W6" s="235">
        <f t="shared" ref="W6:W51" si="1">SUM(P6:V6)</f>
        <v>11</v>
      </c>
      <c r="X6" s="236">
        <f>SUMIFS('Đơn giá'!C:C,'Đơn giá'!B:B,'XUẤT (2)'!O6)</f>
        <v>98000</v>
      </c>
      <c r="Y6" s="237">
        <f t="shared" ref="Y6:Y29" si="2">X6*P6</f>
        <v>980000</v>
      </c>
      <c r="Z6" s="232" t="s">
        <v>603</v>
      </c>
      <c r="AA6" s="235" t="s">
        <v>37</v>
      </c>
      <c r="AB6" s="90">
        <f t="shared" ref="AB6:AB54" si="3">W6-V6</f>
        <v>10</v>
      </c>
      <c r="AC6" s="91">
        <f t="shared" ref="AC6:AC54" si="4">AB6*5000</f>
        <v>50000</v>
      </c>
      <c r="AD6" s="235"/>
      <c r="AE6" s="238" t="s">
        <v>609</v>
      </c>
    </row>
    <row r="7" spans="1:31" s="160" customFormat="1" ht="37.200000000000003" customHeight="1" x14ac:dyDescent="0.3">
      <c r="A7" s="85">
        <v>18</v>
      </c>
      <c r="B7" s="166">
        <v>46273</v>
      </c>
      <c r="C7" s="241" t="s">
        <v>396</v>
      </c>
      <c r="D7" s="155" t="s">
        <v>30</v>
      </c>
      <c r="E7" s="155" t="s">
        <v>488</v>
      </c>
      <c r="F7" s="155"/>
      <c r="G7" s="155">
        <v>11</v>
      </c>
      <c r="H7" s="155"/>
      <c r="I7" s="155">
        <v>11</v>
      </c>
      <c r="J7" s="152" t="s">
        <v>31</v>
      </c>
      <c r="K7" s="152"/>
      <c r="L7" s="152" t="s">
        <v>32</v>
      </c>
      <c r="M7" s="152" t="s">
        <v>33</v>
      </c>
      <c r="N7" s="5" t="s">
        <v>125</v>
      </c>
      <c r="O7" s="171" t="s">
        <v>29</v>
      </c>
      <c r="P7" s="157"/>
      <c r="Q7" s="157">
        <v>10</v>
      </c>
      <c r="R7" s="157"/>
      <c r="S7" s="157"/>
      <c r="T7" s="157"/>
      <c r="U7" s="157"/>
      <c r="V7" s="157">
        <v>1</v>
      </c>
      <c r="W7" s="157">
        <f t="shared" si="1"/>
        <v>11</v>
      </c>
      <c r="X7" s="158">
        <f>SUMIFS('Đơn giá'!C:C,'Đơn giá'!B:B,'XUẤT (2)'!O7)</f>
        <v>85000</v>
      </c>
      <c r="Y7" s="339">
        <f>X7*Q7</f>
        <v>850000</v>
      </c>
      <c r="Z7" s="232" t="s">
        <v>680</v>
      </c>
      <c r="AA7" s="157" t="s">
        <v>37</v>
      </c>
      <c r="AB7" s="90">
        <f t="shared" si="3"/>
        <v>10</v>
      </c>
      <c r="AC7" s="91">
        <f t="shared" si="4"/>
        <v>50000</v>
      </c>
      <c r="AD7" s="157"/>
    </row>
    <row r="8" spans="1:31" s="160" customFormat="1" ht="49.8" customHeight="1" x14ac:dyDescent="0.3">
      <c r="A8" s="152">
        <v>19</v>
      </c>
      <c r="B8" s="153">
        <v>46273</v>
      </c>
      <c r="C8" s="154" t="s">
        <v>61</v>
      </c>
      <c r="D8" s="155" t="s">
        <v>30</v>
      </c>
      <c r="E8" s="162" t="s">
        <v>488</v>
      </c>
      <c r="F8" s="155"/>
      <c r="G8" s="253">
        <v>22</v>
      </c>
      <c r="H8" s="155"/>
      <c r="I8" s="155">
        <v>22</v>
      </c>
      <c r="J8" s="152" t="s">
        <v>31</v>
      </c>
      <c r="K8" s="167"/>
      <c r="L8" s="152" t="s">
        <v>32</v>
      </c>
      <c r="M8" s="152" t="s">
        <v>33</v>
      </c>
      <c r="N8" s="156" t="s">
        <v>62</v>
      </c>
      <c r="O8" s="154" t="s">
        <v>26</v>
      </c>
      <c r="P8" s="235">
        <v>20</v>
      </c>
      <c r="Q8" s="157"/>
      <c r="R8" s="157"/>
      <c r="S8" s="157"/>
      <c r="T8" s="157"/>
      <c r="U8" s="157"/>
      <c r="V8" s="157">
        <v>2</v>
      </c>
      <c r="W8" s="157">
        <f t="shared" si="1"/>
        <v>22</v>
      </c>
      <c r="X8" s="158">
        <f>SUMIFS('Đơn giá'!C:C,'Đơn giá'!B:B,'XUẤT (2)'!O8)</f>
        <v>98000</v>
      </c>
      <c r="Y8" s="159">
        <f t="shared" si="2"/>
        <v>1960000</v>
      </c>
      <c r="Z8" s="232" t="s">
        <v>549</v>
      </c>
      <c r="AA8" s="157" t="s">
        <v>37</v>
      </c>
      <c r="AB8" s="90">
        <f t="shared" si="3"/>
        <v>20</v>
      </c>
      <c r="AC8" s="91">
        <f t="shared" si="4"/>
        <v>100000</v>
      </c>
      <c r="AD8" s="157" t="s">
        <v>390</v>
      </c>
      <c r="AE8" s="238" t="s">
        <v>609</v>
      </c>
    </row>
    <row r="9" spans="1:31" s="160" customFormat="1" ht="36.6" customHeight="1" x14ac:dyDescent="0.3">
      <c r="A9" s="85">
        <v>20</v>
      </c>
      <c r="B9" s="153">
        <v>46273</v>
      </c>
      <c r="C9" s="154" t="s">
        <v>63</v>
      </c>
      <c r="D9" s="155" t="s">
        <v>30</v>
      </c>
      <c r="E9" s="162" t="s">
        <v>488</v>
      </c>
      <c r="F9" s="155"/>
      <c r="G9" s="253">
        <v>22</v>
      </c>
      <c r="H9" s="155"/>
      <c r="I9" s="155">
        <v>22</v>
      </c>
      <c r="J9" s="152" t="s">
        <v>31</v>
      </c>
      <c r="K9" s="152"/>
      <c r="L9" s="152" t="s">
        <v>32</v>
      </c>
      <c r="M9" s="152" t="s">
        <v>33</v>
      </c>
      <c r="N9" s="7" t="s">
        <v>283</v>
      </c>
      <c r="O9" s="154" t="s">
        <v>26</v>
      </c>
      <c r="P9" s="235">
        <v>10</v>
      </c>
      <c r="Q9" s="157"/>
      <c r="R9" s="157"/>
      <c r="S9" s="157"/>
      <c r="T9" s="157"/>
      <c r="U9" s="157"/>
      <c r="V9" s="157">
        <v>1</v>
      </c>
      <c r="W9" s="157">
        <f t="shared" si="1"/>
        <v>11</v>
      </c>
      <c r="X9" s="158">
        <f>SUMIFS('Đơn giá'!C:C,'Đơn giá'!B:B,'XUẤT (2)'!O9)</f>
        <v>98000</v>
      </c>
      <c r="Y9" s="159">
        <f t="shared" si="2"/>
        <v>980000</v>
      </c>
      <c r="Z9" s="232" t="s">
        <v>549</v>
      </c>
      <c r="AA9" s="157" t="s">
        <v>37</v>
      </c>
      <c r="AB9" s="90">
        <f t="shared" si="3"/>
        <v>10</v>
      </c>
      <c r="AC9" s="91">
        <f t="shared" si="4"/>
        <v>50000</v>
      </c>
      <c r="AD9" s="157"/>
    </row>
    <row r="10" spans="1:31" s="160" customFormat="1" x14ac:dyDescent="0.3">
      <c r="A10" s="85">
        <v>21</v>
      </c>
      <c r="B10" s="153"/>
      <c r="C10" s="154"/>
      <c r="D10" s="155" t="s">
        <v>30</v>
      </c>
      <c r="E10" s="162" t="s">
        <v>488</v>
      </c>
      <c r="F10" s="155"/>
      <c r="G10" s="155"/>
      <c r="H10" s="155"/>
      <c r="I10" s="155"/>
      <c r="J10" s="152"/>
      <c r="K10" s="152"/>
      <c r="L10" s="152" t="s">
        <v>32</v>
      </c>
      <c r="M10" s="152" t="s">
        <v>33</v>
      </c>
      <c r="N10" s="10" t="s">
        <v>193</v>
      </c>
      <c r="O10" s="154" t="s">
        <v>26</v>
      </c>
      <c r="P10" s="235">
        <v>10</v>
      </c>
      <c r="Q10" s="157"/>
      <c r="R10" s="157"/>
      <c r="S10" s="157"/>
      <c r="T10" s="157"/>
      <c r="U10" s="157"/>
      <c r="V10" s="157">
        <v>1</v>
      </c>
      <c r="W10" s="157">
        <f t="shared" si="1"/>
        <v>11</v>
      </c>
      <c r="X10" s="158">
        <f>SUMIFS('Đơn giá'!C:C,'Đơn giá'!B:B,'XUẤT (2)'!O10)</f>
        <v>98000</v>
      </c>
      <c r="Y10" s="159">
        <f t="shared" si="2"/>
        <v>980000</v>
      </c>
      <c r="Z10" s="232" t="s">
        <v>549</v>
      </c>
      <c r="AA10" s="152" t="s">
        <v>37</v>
      </c>
      <c r="AB10" s="90">
        <f t="shared" si="3"/>
        <v>10</v>
      </c>
      <c r="AC10" s="91">
        <f t="shared" si="4"/>
        <v>50000</v>
      </c>
      <c r="AD10" s="157"/>
    </row>
    <row r="11" spans="1:31" s="160" customFormat="1" ht="87" customHeight="1" x14ac:dyDescent="0.3">
      <c r="A11" s="152">
        <v>22</v>
      </c>
      <c r="B11" s="153">
        <v>46273</v>
      </c>
      <c r="C11" s="154" t="s">
        <v>64</v>
      </c>
      <c r="D11" s="155" t="s">
        <v>30</v>
      </c>
      <c r="E11" s="155" t="s">
        <v>488</v>
      </c>
      <c r="F11" s="155"/>
      <c r="G11" s="155"/>
      <c r="H11" s="155">
        <v>4</v>
      </c>
      <c r="I11" s="155">
        <v>4</v>
      </c>
      <c r="J11" s="152" t="s">
        <v>31</v>
      </c>
      <c r="K11" s="152"/>
      <c r="L11" s="152" t="s">
        <v>32</v>
      </c>
      <c r="M11" s="152" t="s">
        <v>46</v>
      </c>
      <c r="N11" s="156" t="s">
        <v>65</v>
      </c>
      <c r="O11" s="154" t="s">
        <v>39</v>
      </c>
      <c r="P11" s="157"/>
      <c r="Q11" s="157"/>
      <c r="R11" s="157"/>
      <c r="S11" s="157"/>
      <c r="T11" s="157">
        <v>4</v>
      </c>
      <c r="U11" s="157"/>
      <c r="V11" s="157"/>
      <c r="W11" s="157">
        <f t="shared" si="1"/>
        <v>4</v>
      </c>
      <c r="X11" s="158">
        <f>SUMIFS('Đơn giá'!C:C,'Đơn giá'!B:B,'XUẤT (2)'!O11)</f>
        <v>52000</v>
      </c>
      <c r="Y11" s="159">
        <f>T11*X11</f>
        <v>208000</v>
      </c>
      <c r="Z11" s="232" t="s">
        <v>553</v>
      </c>
      <c r="AA11" s="157"/>
      <c r="AB11" s="90">
        <f t="shared" si="3"/>
        <v>4</v>
      </c>
      <c r="AC11" s="91">
        <f t="shared" si="4"/>
        <v>20000</v>
      </c>
      <c r="AD11" s="157"/>
    </row>
    <row r="12" spans="1:31" s="160" customFormat="1" ht="59.4" hidden="1" customHeight="1" x14ac:dyDescent="0.3">
      <c r="A12" s="85">
        <v>23</v>
      </c>
      <c r="B12" s="153">
        <v>46273</v>
      </c>
      <c r="C12" s="161" t="s">
        <v>70</v>
      </c>
      <c r="D12" s="155" t="s">
        <v>30</v>
      </c>
      <c r="E12" s="155"/>
      <c r="F12" s="155"/>
      <c r="G12" s="155">
        <v>6</v>
      </c>
      <c r="H12" s="155"/>
      <c r="I12" s="155">
        <v>6</v>
      </c>
      <c r="J12" s="152" t="s">
        <v>71</v>
      </c>
      <c r="K12" s="152"/>
      <c r="L12" s="152" t="s">
        <v>32</v>
      </c>
      <c r="M12" s="152" t="s">
        <v>72</v>
      </c>
      <c r="N12" s="156"/>
      <c r="O12" s="154" t="s">
        <v>26</v>
      </c>
      <c r="P12" s="157">
        <v>3</v>
      </c>
      <c r="Q12" s="157"/>
      <c r="R12" s="157"/>
      <c r="S12" s="157"/>
      <c r="T12" s="157"/>
      <c r="U12" s="157"/>
      <c r="V12" s="157"/>
      <c r="W12" s="157">
        <f t="shared" si="1"/>
        <v>3</v>
      </c>
      <c r="X12" s="158">
        <f>SUMIFS('Đơn giá'!C:C,'Đơn giá'!B:B,'XUẤT (2)'!O12)</f>
        <v>98000</v>
      </c>
      <c r="Y12" s="159">
        <f t="shared" si="2"/>
        <v>294000</v>
      </c>
      <c r="Z12" s="232" t="s">
        <v>579</v>
      </c>
      <c r="AA12" s="161" t="s">
        <v>41</v>
      </c>
      <c r="AB12" s="90">
        <f t="shared" si="3"/>
        <v>3</v>
      </c>
      <c r="AC12" s="91">
        <f t="shared" si="4"/>
        <v>15000</v>
      </c>
      <c r="AD12" s="152" t="s">
        <v>74</v>
      </c>
    </row>
    <row r="13" spans="1:31" s="160" customFormat="1" ht="27" hidden="1" customHeight="1" x14ac:dyDescent="0.3">
      <c r="A13" s="85"/>
      <c r="B13" s="153"/>
      <c r="C13" s="161"/>
      <c r="D13" s="155"/>
      <c r="E13" s="155"/>
      <c r="F13" s="155"/>
      <c r="G13" s="155"/>
      <c r="H13" s="155"/>
      <c r="I13" s="155"/>
      <c r="J13" s="152"/>
      <c r="K13" s="152"/>
      <c r="L13" s="152"/>
      <c r="M13" s="152" t="s">
        <v>72</v>
      </c>
      <c r="N13" s="156"/>
      <c r="O13" s="154" t="s">
        <v>27</v>
      </c>
      <c r="P13" s="157"/>
      <c r="Q13" s="157">
        <v>3</v>
      </c>
      <c r="R13" s="157"/>
      <c r="S13" s="157"/>
      <c r="T13" s="157"/>
      <c r="U13" s="157"/>
      <c r="V13" s="157"/>
      <c r="W13" s="157">
        <f t="shared" si="1"/>
        <v>3</v>
      </c>
      <c r="X13" s="158">
        <v>85000</v>
      </c>
      <c r="Y13" s="159">
        <f>Q13*X13</f>
        <v>255000</v>
      </c>
      <c r="Z13" s="232" t="s">
        <v>579</v>
      </c>
      <c r="AA13" s="226" t="s">
        <v>41</v>
      </c>
      <c r="AB13" s="90">
        <f t="shared" si="3"/>
        <v>3</v>
      </c>
      <c r="AC13" s="91">
        <f t="shared" si="4"/>
        <v>15000</v>
      </c>
      <c r="AD13" s="152"/>
    </row>
    <row r="14" spans="1:31" s="160" customFormat="1" ht="64.2" customHeight="1" x14ac:dyDescent="0.3">
      <c r="A14" s="152">
        <v>24</v>
      </c>
      <c r="B14" s="153">
        <v>46273</v>
      </c>
      <c r="C14" s="154" t="s">
        <v>75</v>
      </c>
      <c r="D14" s="155" t="s">
        <v>30</v>
      </c>
      <c r="E14" s="155" t="s">
        <v>488</v>
      </c>
      <c r="F14" s="155"/>
      <c r="G14" s="155">
        <v>22</v>
      </c>
      <c r="H14" s="155"/>
      <c r="I14" s="155">
        <v>22</v>
      </c>
      <c r="J14" s="152" t="s">
        <v>76</v>
      </c>
      <c r="K14" s="152"/>
      <c r="L14" s="152" t="s">
        <v>32</v>
      </c>
      <c r="M14" s="152" t="s">
        <v>46</v>
      </c>
      <c r="N14" s="156" t="s">
        <v>77</v>
      </c>
      <c r="O14" s="154" t="s">
        <v>27</v>
      </c>
      <c r="P14" s="157"/>
      <c r="Q14" s="157">
        <v>20</v>
      </c>
      <c r="R14" s="157"/>
      <c r="S14" s="157"/>
      <c r="T14" s="157"/>
      <c r="U14" s="157"/>
      <c r="V14" s="157">
        <v>2</v>
      </c>
      <c r="W14" s="157">
        <f t="shared" si="1"/>
        <v>22</v>
      </c>
      <c r="X14" s="158">
        <v>85000</v>
      </c>
      <c r="Y14" s="159">
        <f>Q14*X14</f>
        <v>1700000</v>
      </c>
      <c r="Z14" s="232" t="s">
        <v>553</v>
      </c>
      <c r="AA14" s="131" t="s">
        <v>340</v>
      </c>
      <c r="AB14" s="90">
        <f t="shared" si="3"/>
        <v>20</v>
      </c>
      <c r="AC14" s="91">
        <f t="shared" si="4"/>
        <v>100000</v>
      </c>
      <c r="AD14" s="152" t="s">
        <v>69</v>
      </c>
    </row>
    <row r="15" spans="1:31" s="160" customFormat="1" ht="36" x14ac:dyDescent="0.3">
      <c r="A15" s="85">
        <v>25</v>
      </c>
      <c r="B15" s="153">
        <v>46273</v>
      </c>
      <c r="C15" s="161" t="s">
        <v>78</v>
      </c>
      <c r="D15" s="155" t="s">
        <v>30</v>
      </c>
      <c r="E15" s="155" t="s">
        <v>224</v>
      </c>
      <c r="F15" s="155"/>
      <c r="G15" s="168">
        <v>2</v>
      </c>
      <c r="H15" s="168"/>
      <c r="I15" s="168">
        <v>2</v>
      </c>
      <c r="J15" s="169" t="s">
        <v>79</v>
      </c>
      <c r="K15" s="169"/>
      <c r="L15" s="152" t="s">
        <v>32</v>
      </c>
      <c r="M15" s="169" t="s">
        <v>33</v>
      </c>
      <c r="N15" s="7" t="s">
        <v>101</v>
      </c>
      <c r="O15" s="154" t="s">
        <v>26</v>
      </c>
      <c r="P15" s="157">
        <v>2</v>
      </c>
      <c r="Q15" s="157"/>
      <c r="R15" s="157"/>
      <c r="S15" s="157"/>
      <c r="T15" s="157"/>
      <c r="U15" s="157"/>
      <c r="V15" s="157"/>
      <c r="W15" s="157">
        <f t="shared" si="1"/>
        <v>2</v>
      </c>
      <c r="X15" s="158">
        <f>SUMIFS('Đơn giá'!C:C,'Đơn giá'!B:B,'XUẤT (2)'!O15)</f>
        <v>98000</v>
      </c>
      <c r="Y15" s="159">
        <f t="shared" si="2"/>
        <v>196000</v>
      </c>
      <c r="Z15" s="232" t="s">
        <v>549</v>
      </c>
      <c r="AA15" s="131" t="s">
        <v>340</v>
      </c>
      <c r="AB15" s="90">
        <f t="shared" si="3"/>
        <v>2</v>
      </c>
      <c r="AC15" s="91">
        <f t="shared" si="4"/>
        <v>10000</v>
      </c>
      <c r="AD15" s="157" t="s">
        <v>391</v>
      </c>
    </row>
    <row r="16" spans="1:31" s="160" customFormat="1" ht="48.6" customHeight="1" x14ac:dyDescent="0.3">
      <c r="A16" s="85">
        <v>26</v>
      </c>
      <c r="B16" s="153">
        <v>46273</v>
      </c>
      <c r="C16" s="156" t="s">
        <v>80</v>
      </c>
      <c r="D16" s="155" t="s">
        <v>30</v>
      </c>
      <c r="E16" s="155" t="s">
        <v>224</v>
      </c>
      <c r="F16" s="155"/>
      <c r="G16" s="168">
        <v>2</v>
      </c>
      <c r="H16" s="168"/>
      <c r="I16" s="168">
        <v>2</v>
      </c>
      <c r="J16" s="169" t="s">
        <v>79</v>
      </c>
      <c r="K16" s="169"/>
      <c r="L16" s="152" t="s">
        <v>32</v>
      </c>
      <c r="M16" s="169" t="s">
        <v>33</v>
      </c>
      <c r="N16" s="7" t="s">
        <v>101</v>
      </c>
      <c r="O16" s="154" t="s">
        <v>26</v>
      </c>
      <c r="P16" s="157">
        <v>2</v>
      </c>
      <c r="Q16" s="157"/>
      <c r="R16" s="157"/>
      <c r="S16" s="157"/>
      <c r="T16" s="157"/>
      <c r="U16" s="157"/>
      <c r="V16" s="157"/>
      <c r="W16" s="157">
        <f t="shared" si="1"/>
        <v>2</v>
      </c>
      <c r="X16" s="158">
        <f>SUMIFS('Đơn giá'!C:C,'Đơn giá'!B:B,'XUẤT (2)'!O16)</f>
        <v>98000</v>
      </c>
      <c r="Y16" s="159">
        <f t="shared" si="2"/>
        <v>196000</v>
      </c>
      <c r="Z16" s="232" t="s">
        <v>411</v>
      </c>
      <c r="AA16" s="131" t="s">
        <v>340</v>
      </c>
      <c r="AB16" s="90">
        <f t="shared" si="3"/>
        <v>2</v>
      </c>
      <c r="AC16" s="91">
        <f t="shared" si="4"/>
        <v>10000</v>
      </c>
      <c r="AD16" s="157" t="s">
        <v>392</v>
      </c>
    </row>
    <row r="17" spans="1:30" s="375" customFormat="1" ht="41.4" customHeight="1" x14ac:dyDescent="0.3">
      <c r="A17" s="364">
        <v>27</v>
      </c>
      <c r="B17" s="365">
        <v>46273</v>
      </c>
      <c r="C17" s="367" t="s">
        <v>81</v>
      </c>
      <c r="D17" s="369" t="s">
        <v>30</v>
      </c>
      <c r="E17" s="369"/>
      <c r="F17" s="369"/>
      <c r="G17" s="369">
        <v>11</v>
      </c>
      <c r="H17" s="369"/>
      <c r="I17" s="369">
        <v>11</v>
      </c>
      <c r="J17" s="364" t="s">
        <v>31</v>
      </c>
      <c r="K17" s="364"/>
      <c r="L17" s="364" t="s">
        <v>32</v>
      </c>
      <c r="M17" s="370" t="s">
        <v>33</v>
      </c>
      <c r="N17" s="377" t="s">
        <v>37</v>
      </c>
      <c r="O17" s="367" t="s">
        <v>26</v>
      </c>
      <c r="P17" s="371">
        <v>10</v>
      </c>
      <c r="Q17" s="371"/>
      <c r="R17" s="371"/>
      <c r="S17" s="371"/>
      <c r="T17" s="371"/>
      <c r="U17" s="371"/>
      <c r="V17" s="371">
        <v>1</v>
      </c>
      <c r="W17" s="371">
        <f t="shared" si="1"/>
        <v>11</v>
      </c>
      <c r="X17" s="372">
        <f>SUMIFS('Đơn giá'!C:C,'Đơn giá'!B:B,'XUẤT (2)'!O17)</f>
        <v>98000</v>
      </c>
      <c r="Y17" s="373">
        <f t="shared" si="2"/>
        <v>980000</v>
      </c>
      <c r="Z17" s="364" t="s">
        <v>951</v>
      </c>
      <c r="AA17" s="364" t="s">
        <v>31</v>
      </c>
      <c r="AB17" s="371">
        <f t="shared" si="3"/>
        <v>10</v>
      </c>
      <c r="AC17" s="372">
        <f t="shared" si="4"/>
        <v>50000</v>
      </c>
      <c r="AD17" s="371" t="s">
        <v>393</v>
      </c>
    </row>
    <row r="18" spans="1:30" s="160" customFormat="1" ht="41.4" customHeight="1" x14ac:dyDescent="0.3">
      <c r="A18" s="85">
        <v>28</v>
      </c>
      <c r="B18" s="153">
        <v>46273</v>
      </c>
      <c r="C18" s="154" t="s">
        <v>82</v>
      </c>
      <c r="D18" s="155" t="s">
        <v>30</v>
      </c>
      <c r="E18" s="155"/>
      <c r="F18" s="155"/>
      <c r="G18" s="155">
        <v>11</v>
      </c>
      <c r="H18" s="155"/>
      <c r="I18" s="155">
        <v>11</v>
      </c>
      <c r="J18" s="152" t="s">
        <v>31</v>
      </c>
      <c r="K18" s="152"/>
      <c r="L18" s="152" t="s">
        <v>32</v>
      </c>
      <c r="M18" s="169" t="s">
        <v>33</v>
      </c>
      <c r="N18" s="7" t="s">
        <v>235</v>
      </c>
      <c r="O18" s="154" t="s">
        <v>26</v>
      </c>
      <c r="P18" s="157">
        <v>10</v>
      </c>
      <c r="Q18" s="157"/>
      <c r="R18" s="157"/>
      <c r="S18" s="157"/>
      <c r="T18" s="157"/>
      <c r="U18" s="157"/>
      <c r="V18" s="157">
        <v>1</v>
      </c>
      <c r="W18" s="157">
        <f t="shared" si="1"/>
        <v>11</v>
      </c>
      <c r="X18" s="158">
        <f>SUMIFS('Đơn giá'!C:C,'Đơn giá'!B:B,'XUẤT (2)'!O18)</f>
        <v>98000</v>
      </c>
      <c r="Y18" s="159">
        <f t="shared" si="2"/>
        <v>980000</v>
      </c>
      <c r="Z18" s="232" t="s">
        <v>549</v>
      </c>
      <c r="AA18" s="152" t="s">
        <v>31</v>
      </c>
      <c r="AB18" s="90">
        <f t="shared" si="3"/>
        <v>10</v>
      </c>
      <c r="AC18" s="91">
        <f t="shared" si="4"/>
        <v>50000</v>
      </c>
      <c r="AD18" s="157" t="s">
        <v>393</v>
      </c>
    </row>
    <row r="19" spans="1:30" s="160" customFormat="1" ht="54" x14ac:dyDescent="0.3">
      <c r="A19" s="152">
        <v>29</v>
      </c>
      <c r="B19" s="153">
        <v>46273</v>
      </c>
      <c r="C19" s="154" t="s">
        <v>389</v>
      </c>
      <c r="D19" s="155" t="s">
        <v>30</v>
      </c>
      <c r="E19" s="155" t="s">
        <v>488</v>
      </c>
      <c r="F19" s="155"/>
      <c r="G19" s="155"/>
      <c r="H19" s="155">
        <v>3</v>
      </c>
      <c r="I19" s="155">
        <v>3</v>
      </c>
      <c r="J19" s="152" t="s">
        <v>387</v>
      </c>
      <c r="K19" s="152"/>
      <c r="L19" s="152" t="s">
        <v>32</v>
      </c>
      <c r="M19" s="169" t="s">
        <v>46</v>
      </c>
      <c r="N19" s="7" t="s">
        <v>77</v>
      </c>
      <c r="O19" s="154" t="s">
        <v>39</v>
      </c>
      <c r="P19" s="157"/>
      <c r="Q19" s="157"/>
      <c r="R19" s="157"/>
      <c r="S19" s="157"/>
      <c r="T19" s="157">
        <v>3</v>
      </c>
      <c r="U19" s="157"/>
      <c r="V19" s="157"/>
      <c r="W19" s="157">
        <f t="shared" si="1"/>
        <v>3</v>
      </c>
      <c r="X19" s="158">
        <f>SUMIFS('Đơn giá'!C:C,'Đơn giá'!B:B,'XUẤT (2)'!O19)</f>
        <v>52000</v>
      </c>
      <c r="Y19" s="159">
        <f>T19*X19</f>
        <v>156000</v>
      </c>
      <c r="Z19" s="232" t="s">
        <v>798</v>
      </c>
      <c r="AA19" s="10" t="s">
        <v>136</v>
      </c>
      <c r="AB19" s="90">
        <f t="shared" si="3"/>
        <v>3</v>
      </c>
      <c r="AC19" s="91">
        <f t="shared" si="4"/>
        <v>15000</v>
      </c>
      <c r="AD19" s="157" t="s">
        <v>388</v>
      </c>
    </row>
    <row r="20" spans="1:30" s="160" customFormat="1" ht="45" customHeight="1" x14ac:dyDescent="0.3">
      <c r="A20" s="85">
        <v>30</v>
      </c>
      <c r="B20" s="153">
        <v>46273</v>
      </c>
      <c r="C20" s="154" t="s">
        <v>394</v>
      </c>
      <c r="D20" s="155" t="s">
        <v>30</v>
      </c>
      <c r="E20" s="155" t="s">
        <v>224</v>
      </c>
      <c r="F20" s="155"/>
      <c r="G20" s="155">
        <v>3</v>
      </c>
      <c r="H20" s="155"/>
      <c r="I20" s="155"/>
      <c r="J20" s="152"/>
      <c r="K20" s="152"/>
      <c r="L20" s="152"/>
      <c r="M20" s="169" t="s">
        <v>33</v>
      </c>
      <c r="N20" s="5" t="s">
        <v>198</v>
      </c>
      <c r="O20" s="154" t="s">
        <v>26</v>
      </c>
      <c r="P20" s="157">
        <v>3</v>
      </c>
      <c r="Q20" s="157"/>
      <c r="R20" s="157"/>
      <c r="S20" s="157"/>
      <c r="T20" s="157"/>
      <c r="U20" s="157"/>
      <c r="V20" s="157"/>
      <c r="W20" s="157">
        <f t="shared" si="1"/>
        <v>3</v>
      </c>
      <c r="X20" s="158">
        <f>SUMIFS('Đơn giá'!C:C,'Đơn giá'!B:B,'XUẤT (2)'!O20)</f>
        <v>98000</v>
      </c>
      <c r="Y20" s="159">
        <f t="shared" si="2"/>
        <v>294000</v>
      </c>
      <c r="Z20" s="232"/>
      <c r="AA20" s="10" t="s">
        <v>198</v>
      </c>
      <c r="AB20" s="90">
        <f t="shared" si="3"/>
        <v>3</v>
      </c>
      <c r="AC20" s="91">
        <f t="shared" si="4"/>
        <v>15000</v>
      </c>
      <c r="AD20" s="157"/>
    </row>
    <row r="21" spans="1:30" s="160" customFormat="1" ht="45" customHeight="1" x14ac:dyDescent="0.3">
      <c r="A21" s="85">
        <v>31</v>
      </c>
      <c r="B21" s="153">
        <v>46273</v>
      </c>
      <c r="C21" s="154" t="s">
        <v>395</v>
      </c>
      <c r="D21" s="155" t="s">
        <v>30</v>
      </c>
      <c r="E21" s="155" t="s">
        <v>488</v>
      </c>
      <c r="F21" s="155"/>
      <c r="G21" s="155">
        <v>2</v>
      </c>
      <c r="H21" s="155"/>
      <c r="I21" s="155">
        <v>2</v>
      </c>
      <c r="J21" s="152"/>
      <c r="K21" s="152"/>
      <c r="L21" s="152" t="s">
        <v>32</v>
      </c>
      <c r="M21" s="169" t="s">
        <v>33</v>
      </c>
      <c r="N21" s="5" t="s">
        <v>98</v>
      </c>
      <c r="O21" s="154" t="s">
        <v>26</v>
      </c>
      <c r="P21" s="157">
        <v>2</v>
      </c>
      <c r="Q21" s="157"/>
      <c r="R21" s="157"/>
      <c r="S21" s="157"/>
      <c r="T21" s="157"/>
      <c r="U21" s="157"/>
      <c r="V21" s="157"/>
      <c r="W21" s="157">
        <f t="shared" si="1"/>
        <v>2</v>
      </c>
      <c r="X21" s="158">
        <f>SUMIFS('Đơn giá'!C:C,'Đơn giá'!B:B,'XUẤT (2)'!O21)</f>
        <v>98000</v>
      </c>
      <c r="Y21" s="159">
        <f t="shared" si="2"/>
        <v>196000</v>
      </c>
      <c r="Z21" s="240" t="s">
        <v>411</v>
      </c>
      <c r="AA21" s="36" t="s">
        <v>98</v>
      </c>
      <c r="AB21" s="90">
        <f t="shared" si="3"/>
        <v>2</v>
      </c>
      <c r="AC21" s="91">
        <f t="shared" si="4"/>
        <v>10000</v>
      </c>
      <c r="AD21" s="157"/>
    </row>
    <row r="22" spans="1:30" s="160" customFormat="1" ht="45" customHeight="1" x14ac:dyDescent="0.3">
      <c r="A22" s="152">
        <v>32</v>
      </c>
      <c r="B22" s="153">
        <v>46273</v>
      </c>
      <c r="C22" s="162" t="s">
        <v>397</v>
      </c>
      <c r="D22" s="155" t="s">
        <v>30</v>
      </c>
      <c r="E22" s="155" t="s">
        <v>488</v>
      </c>
      <c r="F22" s="155"/>
      <c r="G22" s="155">
        <v>4</v>
      </c>
      <c r="H22" s="155"/>
      <c r="I22" s="155">
        <v>4</v>
      </c>
      <c r="J22" s="152" t="s">
        <v>387</v>
      </c>
      <c r="K22" s="152"/>
      <c r="L22" s="152" t="s">
        <v>32</v>
      </c>
      <c r="M22" s="169" t="s">
        <v>33</v>
      </c>
      <c r="N22" s="5" t="s">
        <v>136</v>
      </c>
      <c r="O22" s="171" t="s">
        <v>26</v>
      </c>
      <c r="P22" s="157">
        <v>4</v>
      </c>
      <c r="Q22" s="157"/>
      <c r="R22" s="157"/>
      <c r="S22" s="157"/>
      <c r="T22" s="157"/>
      <c r="U22" s="157"/>
      <c r="V22" s="157"/>
      <c r="W22" s="157">
        <f t="shared" si="1"/>
        <v>4</v>
      </c>
      <c r="X22" s="158">
        <f>SUMIFS('Đơn giá'!C:C,'Đơn giá'!B:B,'XUẤT (2)'!O22)</f>
        <v>98000</v>
      </c>
      <c r="Y22" s="159">
        <f t="shared" si="2"/>
        <v>392000</v>
      </c>
      <c r="Z22" s="152" t="s">
        <v>798</v>
      </c>
      <c r="AA22" s="10" t="s">
        <v>136</v>
      </c>
      <c r="AB22" s="157">
        <f t="shared" si="3"/>
        <v>4</v>
      </c>
      <c r="AC22" s="158">
        <f t="shared" si="4"/>
        <v>20000</v>
      </c>
      <c r="AD22" s="157"/>
    </row>
    <row r="23" spans="1:30" s="160" customFormat="1" ht="45" customHeight="1" x14ac:dyDescent="0.3">
      <c r="A23" s="85">
        <v>33</v>
      </c>
      <c r="B23" s="153">
        <v>46274</v>
      </c>
      <c r="C23" s="154" t="s">
        <v>407</v>
      </c>
      <c r="D23" s="155" t="s">
        <v>30</v>
      </c>
      <c r="E23" s="155" t="s">
        <v>488</v>
      </c>
      <c r="F23" s="155">
        <v>11</v>
      </c>
      <c r="G23" s="155"/>
      <c r="H23" s="155"/>
      <c r="I23" s="155">
        <v>11</v>
      </c>
      <c r="J23" s="152" t="s">
        <v>73</v>
      </c>
      <c r="K23" s="152"/>
      <c r="L23" s="152"/>
      <c r="M23" s="169" t="s">
        <v>33</v>
      </c>
      <c r="N23" s="170" t="s">
        <v>108</v>
      </c>
      <c r="O23" s="8" t="s">
        <v>35</v>
      </c>
      <c r="P23" s="157"/>
      <c r="Q23" s="157"/>
      <c r="R23" s="157">
        <v>10</v>
      </c>
      <c r="S23" s="157"/>
      <c r="T23" s="157"/>
      <c r="U23" s="157"/>
      <c r="V23" s="157">
        <v>1</v>
      </c>
      <c r="W23" s="157">
        <f t="shared" si="1"/>
        <v>11</v>
      </c>
      <c r="X23" s="158">
        <f>SUMIFS('Đơn giá'!C:C,'Đơn giá'!B:B,'XUẤT (2)'!O23)</f>
        <v>106000</v>
      </c>
      <c r="Y23" s="159">
        <f>R23*X23</f>
        <v>1060000</v>
      </c>
      <c r="Z23" s="232" t="s">
        <v>551</v>
      </c>
      <c r="AA23" s="10" t="s">
        <v>41</v>
      </c>
      <c r="AB23" s="90">
        <f t="shared" si="3"/>
        <v>10</v>
      </c>
      <c r="AC23" s="91">
        <f t="shared" si="4"/>
        <v>50000</v>
      </c>
      <c r="AD23" s="157" t="s">
        <v>408</v>
      </c>
    </row>
    <row r="24" spans="1:30" s="160" customFormat="1" ht="45" customHeight="1" x14ac:dyDescent="0.3">
      <c r="A24" s="152">
        <v>34</v>
      </c>
      <c r="B24" s="153">
        <v>46274</v>
      </c>
      <c r="C24" s="154" t="s">
        <v>409</v>
      </c>
      <c r="D24" s="155" t="s">
        <v>30</v>
      </c>
      <c r="E24" s="155" t="s">
        <v>488</v>
      </c>
      <c r="F24" s="155"/>
      <c r="G24" s="155"/>
      <c r="H24" s="155">
        <v>1</v>
      </c>
      <c r="I24" s="155">
        <v>1</v>
      </c>
      <c r="J24" s="152" t="s">
        <v>395</v>
      </c>
      <c r="K24" s="152"/>
      <c r="L24" s="152" t="s">
        <v>491</v>
      </c>
      <c r="M24" s="152" t="s">
        <v>33</v>
      </c>
      <c r="N24" s="5" t="s">
        <v>98</v>
      </c>
      <c r="O24" s="154" t="s">
        <v>39</v>
      </c>
      <c r="P24" s="157"/>
      <c r="Q24" s="157"/>
      <c r="R24" s="157"/>
      <c r="S24" s="157"/>
      <c r="T24" s="157">
        <v>1</v>
      </c>
      <c r="U24" s="157"/>
      <c r="V24" s="157"/>
      <c r="W24" s="157">
        <f t="shared" si="1"/>
        <v>1</v>
      </c>
      <c r="X24" s="158">
        <f>SUMIFS('Đơn giá'!C:C,'Đơn giá'!B:B,'XUẤT (2)'!O24)</f>
        <v>52000</v>
      </c>
      <c r="Y24" s="159">
        <f>X24*T24</f>
        <v>52000</v>
      </c>
      <c r="Z24" s="240" t="s">
        <v>411</v>
      </c>
      <c r="AA24" s="36" t="s">
        <v>98</v>
      </c>
      <c r="AB24" s="90">
        <f t="shared" si="3"/>
        <v>1</v>
      </c>
      <c r="AC24" s="91">
        <f t="shared" si="4"/>
        <v>5000</v>
      </c>
      <c r="AD24" s="157" t="s">
        <v>410</v>
      </c>
    </row>
    <row r="25" spans="1:30" s="160" customFormat="1" ht="72" x14ac:dyDescent="0.3">
      <c r="A25" s="85">
        <v>35</v>
      </c>
      <c r="B25" s="153">
        <v>46274</v>
      </c>
      <c r="C25" s="154" t="s">
        <v>485</v>
      </c>
      <c r="D25" s="155" t="s">
        <v>486</v>
      </c>
      <c r="E25" s="155" t="s">
        <v>488</v>
      </c>
      <c r="F25" s="155"/>
      <c r="G25" s="155">
        <v>4</v>
      </c>
      <c r="H25" s="155"/>
      <c r="I25" s="155">
        <f>H25+G25</f>
        <v>4</v>
      </c>
      <c r="J25" s="152" t="s">
        <v>395</v>
      </c>
      <c r="K25" s="152"/>
      <c r="L25" s="152" t="s">
        <v>491</v>
      </c>
      <c r="M25" s="169" t="s">
        <v>46</v>
      </c>
      <c r="N25" s="163" t="s">
        <v>489</v>
      </c>
      <c r="O25" s="154" t="s">
        <v>39</v>
      </c>
      <c r="P25" s="157">
        <v>3</v>
      </c>
      <c r="Q25" s="157">
        <v>1</v>
      </c>
      <c r="R25" s="157"/>
      <c r="S25" s="157"/>
      <c r="T25" s="157"/>
      <c r="U25" s="157"/>
      <c r="V25" s="157"/>
      <c r="W25" s="157">
        <f t="shared" si="1"/>
        <v>4</v>
      </c>
      <c r="X25" s="158">
        <f>SUMIFS('Đơn giá'!C:C,'Đơn giá'!B:B,'XUẤT (2)'!O25)</f>
        <v>52000</v>
      </c>
      <c r="Y25" s="159">
        <f t="shared" si="2"/>
        <v>156000</v>
      </c>
      <c r="Z25" s="232" t="s">
        <v>718</v>
      </c>
      <c r="AA25" s="36" t="s">
        <v>98</v>
      </c>
      <c r="AB25" s="90">
        <f t="shared" si="3"/>
        <v>4</v>
      </c>
      <c r="AC25" s="91">
        <f t="shared" si="4"/>
        <v>20000</v>
      </c>
      <c r="AD25" s="157" t="s">
        <v>69</v>
      </c>
    </row>
    <row r="26" spans="1:30" s="160" customFormat="1" ht="40.799999999999997" customHeight="1" x14ac:dyDescent="0.3">
      <c r="A26" s="152"/>
      <c r="B26" s="153">
        <v>46274</v>
      </c>
      <c r="C26" s="154" t="s">
        <v>499</v>
      </c>
      <c r="D26" s="155"/>
      <c r="E26" s="155" t="s">
        <v>488</v>
      </c>
      <c r="F26" s="155"/>
      <c r="G26" s="155"/>
      <c r="H26" s="155">
        <v>2</v>
      </c>
      <c r="I26" s="155">
        <f>H26+G26</f>
        <v>2</v>
      </c>
      <c r="J26" s="152" t="s">
        <v>496</v>
      </c>
      <c r="K26" s="152"/>
      <c r="L26" s="152" t="s">
        <v>491</v>
      </c>
      <c r="M26" s="152" t="s">
        <v>33</v>
      </c>
      <c r="N26" s="10" t="s">
        <v>211</v>
      </c>
      <c r="O26" s="154" t="s">
        <v>39</v>
      </c>
      <c r="P26" s="157"/>
      <c r="Q26" s="157"/>
      <c r="R26" s="157"/>
      <c r="S26" s="157"/>
      <c r="T26" s="157">
        <v>2</v>
      </c>
      <c r="U26" s="157"/>
      <c r="V26" s="157"/>
      <c r="W26" s="157">
        <f t="shared" si="1"/>
        <v>2</v>
      </c>
      <c r="X26" s="158">
        <f>SUMIFS('Đơn giá'!C:C,'Đơn giá'!B:B,'XUẤT (2)'!O26)</f>
        <v>52000</v>
      </c>
      <c r="Y26" s="159">
        <f>T26*X26</f>
        <v>104000</v>
      </c>
      <c r="Z26" s="232"/>
      <c r="AA26" s="10" t="s">
        <v>211</v>
      </c>
      <c r="AB26" s="90">
        <f t="shared" si="3"/>
        <v>2</v>
      </c>
      <c r="AC26" s="91">
        <f t="shared" si="4"/>
        <v>10000</v>
      </c>
      <c r="AD26" s="157"/>
    </row>
    <row r="27" spans="1:30" s="160" customFormat="1" ht="40.799999999999997" customHeight="1" x14ac:dyDescent="0.3">
      <c r="A27" s="152"/>
      <c r="B27" s="153">
        <v>46274</v>
      </c>
      <c r="C27" s="154" t="s">
        <v>500</v>
      </c>
      <c r="D27" s="154"/>
      <c r="E27" s="155" t="s">
        <v>488</v>
      </c>
      <c r="F27" s="154"/>
      <c r="G27" s="154">
        <v>4</v>
      </c>
      <c r="H27" s="154"/>
      <c r="I27" s="155">
        <f t="shared" ref="I27:I90" si="5">H27+G27</f>
        <v>4</v>
      </c>
      <c r="J27" s="154" t="s">
        <v>500</v>
      </c>
      <c r="K27" s="154"/>
      <c r="L27" s="152" t="s">
        <v>491</v>
      </c>
      <c r="M27" s="169" t="s">
        <v>33</v>
      </c>
      <c r="N27" s="10" t="s">
        <v>41</v>
      </c>
      <c r="O27" s="154" t="s">
        <v>26</v>
      </c>
      <c r="P27" s="154">
        <v>4</v>
      </c>
      <c r="Q27" s="154"/>
      <c r="R27" s="157"/>
      <c r="S27" s="157"/>
      <c r="T27" s="157"/>
      <c r="U27" s="157"/>
      <c r="V27" s="157"/>
      <c r="W27" s="157">
        <f t="shared" si="1"/>
        <v>4</v>
      </c>
      <c r="X27" s="158">
        <f>SUMIFS('Đơn giá'!C:C,'Đơn giá'!B:B,'XUẤT (2)'!O27)</f>
        <v>98000</v>
      </c>
      <c r="Y27" s="159">
        <f>X27*P27</f>
        <v>392000</v>
      </c>
      <c r="Z27" s="387" t="s">
        <v>954</v>
      </c>
      <c r="AA27" s="10" t="s">
        <v>41</v>
      </c>
      <c r="AB27" s="90">
        <f t="shared" si="3"/>
        <v>4</v>
      </c>
      <c r="AC27" s="91">
        <f t="shared" si="4"/>
        <v>20000</v>
      </c>
      <c r="AD27" s="157"/>
    </row>
    <row r="28" spans="1:30" s="160" customFormat="1" ht="61.8" customHeight="1" x14ac:dyDescent="0.3">
      <c r="A28" s="152">
        <v>1</v>
      </c>
      <c r="B28" s="206" t="s">
        <v>498</v>
      </c>
      <c r="C28" s="154" t="s">
        <v>501</v>
      </c>
      <c r="D28" s="154" t="s">
        <v>30</v>
      </c>
      <c r="E28" s="162" t="s">
        <v>224</v>
      </c>
      <c r="F28" s="154"/>
      <c r="G28" s="162">
        <v>4</v>
      </c>
      <c r="H28" s="154"/>
      <c r="I28" s="155">
        <f t="shared" si="5"/>
        <v>4</v>
      </c>
      <c r="J28" s="154" t="s">
        <v>504</v>
      </c>
      <c r="K28" s="154"/>
      <c r="L28" s="154" t="s">
        <v>491</v>
      </c>
      <c r="M28" s="169" t="s">
        <v>33</v>
      </c>
      <c r="N28" s="10" t="s">
        <v>144</v>
      </c>
      <c r="O28" s="154" t="s">
        <v>26</v>
      </c>
      <c r="P28" s="154">
        <v>4</v>
      </c>
      <c r="Q28" s="154"/>
      <c r="R28" s="157"/>
      <c r="S28" s="157"/>
      <c r="T28" s="157"/>
      <c r="U28" s="157"/>
      <c r="V28" s="157"/>
      <c r="W28" s="157">
        <f t="shared" si="1"/>
        <v>4</v>
      </c>
      <c r="X28" s="158">
        <f>SUMIFS('Đơn giá'!C:C,'Đơn giá'!B:B,'XUẤT (2)'!O28)</f>
        <v>98000</v>
      </c>
      <c r="Y28" s="159">
        <f t="shared" si="2"/>
        <v>392000</v>
      </c>
      <c r="Z28" s="232" t="s">
        <v>951</v>
      </c>
      <c r="AA28" s="10" t="s">
        <v>37</v>
      </c>
      <c r="AB28" s="90">
        <f t="shared" si="3"/>
        <v>4</v>
      </c>
      <c r="AC28" s="91">
        <f t="shared" si="4"/>
        <v>20000</v>
      </c>
      <c r="AD28" s="157"/>
    </row>
    <row r="29" spans="1:30" s="160" customFormat="1" x14ac:dyDescent="0.3">
      <c r="A29" s="398">
        <v>2</v>
      </c>
      <c r="B29" s="427" t="s">
        <v>498</v>
      </c>
      <c r="C29" s="419" t="s">
        <v>502</v>
      </c>
      <c r="D29" s="400" t="s">
        <v>30</v>
      </c>
      <c r="E29" s="214" t="s">
        <v>488</v>
      </c>
      <c r="F29" s="154"/>
      <c r="G29" s="162">
        <v>11</v>
      </c>
      <c r="H29" s="154"/>
      <c r="I29" s="155">
        <f t="shared" si="5"/>
        <v>11</v>
      </c>
      <c r="J29" s="154" t="s">
        <v>504</v>
      </c>
      <c r="K29" s="154"/>
      <c r="L29" s="400"/>
      <c r="M29" s="169" t="s">
        <v>33</v>
      </c>
      <c r="N29" s="10" t="s">
        <v>200</v>
      </c>
      <c r="O29" s="154" t="s">
        <v>26</v>
      </c>
      <c r="P29" s="154">
        <v>10</v>
      </c>
      <c r="Q29" s="154"/>
      <c r="R29" s="157"/>
      <c r="S29" s="157"/>
      <c r="T29" s="157"/>
      <c r="U29" s="157"/>
      <c r="V29" s="157">
        <v>1</v>
      </c>
      <c r="W29" s="157">
        <f t="shared" si="1"/>
        <v>11</v>
      </c>
      <c r="X29" s="158">
        <f>SUMIFS('Đơn giá'!C:C,'Đơn giá'!B:B,'XUẤT (2)'!O29)</f>
        <v>98000</v>
      </c>
      <c r="Y29" s="159">
        <f t="shared" si="2"/>
        <v>980000</v>
      </c>
      <c r="Z29" s="232" t="s">
        <v>953</v>
      </c>
      <c r="AA29" s="208" t="s">
        <v>200</v>
      </c>
      <c r="AB29" s="90">
        <f t="shared" si="3"/>
        <v>10</v>
      </c>
      <c r="AC29" s="91">
        <f t="shared" si="4"/>
        <v>50000</v>
      </c>
      <c r="AD29" s="157"/>
    </row>
    <row r="30" spans="1:30" s="160" customFormat="1" ht="85.2" customHeight="1" x14ac:dyDescent="0.3">
      <c r="A30" s="399"/>
      <c r="B30" s="428"/>
      <c r="C30" s="420"/>
      <c r="D30" s="401"/>
      <c r="E30" s="214" t="s">
        <v>488</v>
      </c>
      <c r="F30" s="154"/>
      <c r="G30" s="162"/>
      <c r="H30" s="154">
        <v>8</v>
      </c>
      <c r="I30" s="155">
        <f t="shared" si="5"/>
        <v>8</v>
      </c>
      <c r="J30" s="154" t="s">
        <v>504</v>
      </c>
      <c r="K30" s="154"/>
      <c r="L30" s="401"/>
      <c r="M30" s="152" t="s">
        <v>33</v>
      </c>
      <c r="N30" s="10" t="s">
        <v>200</v>
      </c>
      <c r="O30" s="154" t="s">
        <v>39</v>
      </c>
      <c r="P30" s="154"/>
      <c r="Q30" s="154"/>
      <c r="R30" s="157"/>
      <c r="S30" s="157"/>
      <c r="T30" s="157">
        <v>7</v>
      </c>
      <c r="U30" s="157"/>
      <c r="V30" s="157">
        <v>1</v>
      </c>
      <c r="W30" s="157">
        <f t="shared" si="1"/>
        <v>8</v>
      </c>
      <c r="X30" s="158">
        <f>SUMIFS('Đơn giá'!C:C,'Đơn giá'!B:B,'XUẤT (2)'!O30)</f>
        <v>52000</v>
      </c>
      <c r="Y30" s="159">
        <f>T30*X30</f>
        <v>364000</v>
      </c>
      <c r="Z30" s="232" t="s">
        <v>953</v>
      </c>
      <c r="AA30" s="208" t="s">
        <v>200</v>
      </c>
      <c r="AB30" s="90">
        <f t="shared" si="3"/>
        <v>7</v>
      </c>
      <c r="AC30" s="91">
        <f t="shared" si="4"/>
        <v>35000</v>
      </c>
      <c r="AD30" s="157"/>
    </row>
    <row r="31" spans="1:30" s="160" customFormat="1" ht="63" customHeight="1" x14ac:dyDescent="0.3">
      <c r="A31" s="152">
        <v>3</v>
      </c>
      <c r="B31" s="206" t="s">
        <v>498</v>
      </c>
      <c r="C31" s="303" t="s">
        <v>503</v>
      </c>
      <c r="D31" s="154" t="s">
        <v>30</v>
      </c>
      <c r="E31" s="210" t="s">
        <v>488</v>
      </c>
      <c r="F31" s="154"/>
      <c r="G31" s="162"/>
      <c r="H31" s="154">
        <v>15</v>
      </c>
      <c r="I31" s="154">
        <f t="shared" si="5"/>
        <v>15</v>
      </c>
      <c r="J31" s="154" t="s">
        <v>505</v>
      </c>
      <c r="K31" s="154" t="s">
        <v>508</v>
      </c>
      <c r="L31" s="154" t="s">
        <v>491</v>
      </c>
      <c r="M31" s="152" t="s">
        <v>33</v>
      </c>
      <c r="N31" s="10" t="s">
        <v>219</v>
      </c>
      <c r="O31" s="154" t="s">
        <v>39</v>
      </c>
      <c r="P31" s="154"/>
      <c r="Q31" s="154"/>
      <c r="R31" s="157"/>
      <c r="S31" s="157"/>
      <c r="T31" s="157">
        <v>15</v>
      </c>
      <c r="U31" s="157"/>
      <c r="V31" s="157"/>
      <c r="W31" s="157">
        <f t="shared" si="1"/>
        <v>15</v>
      </c>
      <c r="X31" s="158">
        <f>SUMIFS('Đơn giá'!C:C,'Đơn giá'!B:B,'XUẤT (2)'!O31)</f>
        <v>52000</v>
      </c>
      <c r="Y31" s="159">
        <f>X31*T31</f>
        <v>780000</v>
      </c>
      <c r="Z31" s="232"/>
      <c r="AA31" s="212" t="s">
        <v>37</v>
      </c>
      <c r="AB31" s="90">
        <f t="shared" si="3"/>
        <v>15</v>
      </c>
      <c r="AC31" s="91">
        <f t="shared" si="4"/>
        <v>75000</v>
      </c>
      <c r="AD31" s="157"/>
    </row>
    <row r="32" spans="1:30" s="160" customFormat="1" ht="54" x14ac:dyDescent="0.3">
      <c r="A32" s="152">
        <v>4</v>
      </c>
      <c r="B32" s="206" t="s">
        <v>498</v>
      </c>
      <c r="C32" s="164" t="s">
        <v>506</v>
      </c>
      <c r="D32" s="154" t="s">
        <v>30</v>
      </c>
      <c r="E32" s="209" t="s">
        <v>488</v>
      </c>
      <c r="F32" s="154"/>
      <c r="G32" s="162">
        <v>11</v>
      </c>
      <c r="H32" s="154"/>
      <c r="I32" s="154">
        <f t="shared" si="5"/>
        <v>11</v>
      </c>
      <c r="J32" s="154" t="s">
        <v>505</v>
      </c>
      <c r="K32" s="154"/>
      <c r="L32" s="154" t="s">
        <v>491</v>
      </c>
      <c r="M32" s="154" t="s">
        <v>46</v>
      </c>
      <c r="N32" s="154" t="s">
        <v>507</v>
      </c>
      <c r="O32" s="154" t="s">
        <v>26</v>
      </c>
      <c r="P32" s="154">
        <v>10</v>
      </c>
      <c r="Q32" s="154"/>
      <c r="R32" s="157"/>
      <c r="S32" s="157"/>
      <c r="T32" s="157"/>
      <c r="U32" s="157"/>
      <c r="V32" s="157">
        <v>1</v>
      </c>
      <c r="W32" s="157">
        <f t="shared" si="1"/>
        <v>11</v>
      </c>
      <c r="X32" s="158">
        <f>SUMIFS('Đơn giá'!C:C,'Đơn giá'!B:B,'XUẤT (2)'!O32)</f>
        <v>98000</v>
      </c>
      <c r="Y32" s="159">
        <f t="shared" ref="Y32:Y91" si="6">X32*P32</f>
        <v>980000</v>
      </c>
      <c r="Z32" s="232" t="s">
        <v>553</v>
      </c>
      <c r="AA32" s="212" t="s">
        <v>37</v>
      </c>
      <c r="AB32" s="90">
        <f t="shared" si="3"/>
        <v>10</v>
      </c>
      <c r="AC32" s="91">
        <f t="shared" si="4"/>
        <v>50000</v>
      </c>
      <c r="AD32" s="157" t="s">
        <v>69</v>
      </c>
    </row>
    <row r="33" spans="1:30" s="375" customFormat="1" x14ac:dyDescent="0.3">
      <c r="A33" s="364">
        <v>5</v>
      </c>
      <c r="B33" s="378" t="s">
        <v>498</v>
      </c>
      <c r="C33" s="368" t="s">
        <v>510</v>
      </c>
      <c r="D33" s="367" t="s">
        <v>30</v>
      </c>
      <c r="E33" s="379" t="s">
        <v>224</v>
      </c>
      <c r="F33" s="367"/>
      <c r="G33" s="379">
        <v>33</v>
      </c>
      <c r="H33" s="367"/>
      <c r="I33" s="367">
        <f t="shared" si="5"/>
        <v>33</v>
      </c>
      <c r="J33" s="367" t="s">
        <v>505</v>
      </c>
      <c r="K33" s="367" t="s">
        <v>521</v>
      </c>
      <c r="L33" s="367" t="s">
        <v>491</v>
      </c>
      <c r="M33" s="370" t="s">
        <v>33</v>
      </c>
      <c r="N33" s="376" t="s">
        <v>37</v>
      </c>
      <c r="O33" s="367" t="s">
        <v>26</v>
      </c>
      <c r="P33" s="367">
        <v>30</v>
      </c>
      <c r="Q33" s="367"/>
      <c r="R33" s="371"/>
      <c r="S33" s="371"/>
      <c r="T33" s="371"/>
      <c r="U33" s="371"/>
      <c r="V33" s="371">
        <v>3</v>
      </c>
      <c r="W33" s="371">
        <f t="shared" si="1"/>
        <v>33</v>
      </c>
      <c r="X33" s="372">
        <f>SUMIFS('Đơn giá'!C:C,'Đơn giá'!B:B,'XUẤT (2)'!O33)</f>
        <v>98000</v>
      </c>
      <c r="Y33" s="373">
        <f t="shared" si="6"/>
        <v>2940000</v>
      </c>
      <c r="Z33" s="364" t="s">
        <v>951</v>
      </c>
      <c r="AA33" s="380" t="s">
        <v>37</v>
      </c>
      <c r="AB33" s="371">
        <f t="shared" si="3"/>
        <v>30</v>
      </c>
      <c r="AC33" s="372">
        <f t="shared" si="4"/>
        <v>150000</v>
      </c>
      <c r="AD33" s="371"/>
    </row>
    <row r="34" spans="1:30" s="160" customFormat="1" ht="36" hidden="1" x14ac:dyDescent="0.3">
      <c r="A34" s="152">
        <v>6</v>
      </c>
      <c r="B34" s="206" t="s">
        <v>498</v>
      </c>
      <c r="C34" s="164" t="s">
        <v>518</v>
      </c>
      <c r="D34" s="154" t="s">
        <v>30</v>
      </c>
      <c r="E34" s="162" t="s">
        <v>519</v>
      </c>
      <c r="F34" s="154"/>
      <c r="G34" s="154">
        <v>11</v>
      </c>
      <c r="H34" s="154"/>
      <c r="I34" s="154">
        <f t="shared" si="5"/>
        <v>11</v>
      </c>
      <c r="J34" s="154" t="s">
        <v>525</v>
      </c>
      <c r="K34" s="154" t="s">
        <v>524</v>
      </c>
      <c r="L34" s="154" t="s">
        <v>491</v>
      </c>
      <c r="M34" s="162" t="s">
        <v>520</v>
      </c>
      <c r="N34" s="154" t="s">
        <v>665</v>
      </c>
      <c r="O34" s="154" t="s">
        <v>26</v>
      </c>
      <c r="P34" s="154">
        <v>10</v>
      </c>
      <c r="Q34" s="154"/>
      <c r="R34" s="157"/>
      <c r="S34" s="157"/>
      <c r="T34" s="157"/>
      <c r="U34" s="157"/>
      <c r="V34" s="157">
        <v>1</v>
      </c>
      <c r="W34" s="157">
        <f t="shared" si="1"/>
        <v>11</v>
      </c>
      <c r="X34" s="158">
        <f>SUMIFS('Đơn giá'!C:C,'Đơn giá'!B:B,'XUẤT (2)'!O34)</f>
        <v>98000</v>
      </c>
      <c r="Y34" s="159">
        <f t="shared" si="6"/>
        <v>980000</v>
      </c>
      <c r="Z34" s="232"/>
      <c r="AA34" s="34" t="s">
        <v>49</v>
      </c>
      <c r="AB34" s="90">
        <f t="shared" si="3"/>
        <v>10</v>
      </c>
      <c r="AC34" s="91">
        <f t="shared" si="4"/>
        <v>50000</v>
      </c>
      <c r="AD34" s="157" t="s">
        <v>539</v>
      </c>
    </row>
    <row r="35" spans="1:30" s="160" customFormat="1" ht="64.8" customHeight="1" x14ac:dyDescent="0.3">
      <c r="A35" s="152">
        <v>7</v>
      </c>
      <c r="B35" s="206" t="s">
        <v>498</v>
      </c>
      <c r="C35" s="164" t="s">
        <v>522</v>
      </c>
      <c r="D35" s="154" t="s">
        <v>30</v>
      </c>
      <c r="E35" s="162" t="s">
        <v>488</v>
      </c>
      <c r="F35" s="154"/>
      <c r="G35" s="162">
        <v>11</v>
      </c>
      <c r="H35" s="154"/>
      <c r="I35" s="154">
        <f t="shared" si="5"/>
        <v>11</v>
      </c>
      <c r="J35" s="154" t="s">
        <v>523</v>
      </c>
      <c r="K35" s="154"/>
      <c r="L35" s="154" t="s">
        <v>491</v>
      </c>
      <c r="M35" s="154" t="s">
        <v>46</v>
      </c>
      <c r="N35" s="154" t="s">
        <v>77</v>
      </c>
      <c r="O35" s="154" t="s">
        <v>26</v>
      </c>
      <c r="P35" s="154">
        <v>5</v>
      </c>
      <c r="Q35" s="154"/>
      <c r="R35" s="157"/>
      <c r="S35" s="157"/>
      <c r="T35" s="157"/>
      <c r="U35" s="157"/>
      <c r="V35" s="157">
        <v>1</v>
      </c>
      <c r="W35" s="157">
        <f t="shared" si="1"/>
        <v>6</v>
      </c>
      <c r="X35" s="158">
        <f>SUMIFS('Đơn giá'!C:C,'Đơn giá'!B:B,'XUẤT (2)'!O35)</f>
        <v>98000</v>
      </c>
      <c r="Y35" s="159">
        <f t="shared" si="6"/>
        <v>490000</v>
      </c>
      <c r="Z35" s="232" t="s">
        <v>718</v>
      </c>
      <c r="AA35" s="10" t="s">
        <v>98</v>
      </c>
      <c r="AB35" s="90">
        <f t="shared" si="3"/>
        <v>5</v>
      </c>
      <c r="AC35" s="91">
        <f t="shared" si="4"/>
        <v>25000</v>
      </c>
      <c r="AD35" s="157" t="s">
        <v>69</v>
      </c>
    </row>
    <row r="36" spans="1:30" s="160" customFormat="1" ht="35.4" hidden="1" customHeight="1" x14ac:dyDescent="0.3">
      <c r="A36" s="152"/>
      <c r="B36" s="206"/>
      <c r="C36" s="164"/>
      <c r="D36" s="154"/>
      <c r="E36" s="162"/>
      <c r="F36" s="154"/>
      <c r="G36" s="162"/>
      <c r="H36" s="154"/>
      <c r="I36" s="154"/>
      <c r="J36" s="219"/>
      <c r="K36" s="154"/>
      <c r="L36" s="154"/>
      <c r="M36" s="154"/>
      <c r="N36" s="219"/>
      <c r="O36" s="154"/>
      <c r="P36" s="154">
        <v>5</v>
      </c>
      <c r="Q36" s="154"/>
      <c r="R36" s="157"/>
      <c r="S36" s="157"/>
      <c r="T36" s="157"/>
      <c r="U36" s="157"/>
      <c r="V36" s="157"/>
      <c r="W36" s="157">
        <f t="shared" si="1"/>
        <v>5</v>
      </c>
      <c r="X36" s="158">
        <v>98000</v>
      </c>
      <c r="Y36" s="159">
        <f t="shared" si="6"/>
        <v>490000</v>
      </c>
      <c r="Z36" s="232"/>
      <c r="AA36" s="10" t="s">
        <v>41</v>
      </c>
      <c r="AB36" s="90">
        <f t="shared" si="3"/>
        <v>5</v>
      </c>
      <c r="AC36" s="91">
        <f t="shared" si="4"/>
        <v>25000</v>
      </c>
      <c r="AD36" s="157"/>
    </row>
    <row r="37" spans="1:30" s="160" customFormat="1" ht="41.4" customHeight="1" x14ac:dyDescent="0.3">
      <c r="A37" s="152">
        <v>8</v>
      </c>
      <c r="B37" s="206" t="s">
        <v>498</v>
      </c>
      <c r="C37" s="164" t="s">
        <v>528</v>
      </c>
      <c r="D37" s="154" t="s">
        <v>30</v>
      </c>
      <c r="E37" s="154" t="s">
        <v>90</v>
      </c>
      <c r="F37" s="154"/>
      <c r="G37" s="154">
        <v>2</v>
      </c>
      <c r="H37" s="154"/>
      <c r="I37" s="154">
        <f t="shared" si="5"/>
        <v>2</v>
      </c>
      <c r="J37" s="10" t="s">
        <v>193</v>
      </c>
      <c r="K37" s="154"/>
      <c r="L37" s="154" t="s">
        <v>491</v>
      </c>
      <c r="M37" s="169" t="s">
        <v>33</v>
      </c>
      <c r="N37" s="10" t="s">
        <v>193</v>
      </c>
      <c r="O37" s="154" t="s">
        <v>26</v>
      </c>
      <c r="P37" s="154">
        <v>2</v>
      </c>
      <c r="Q37" s="154"/>
      <c r="R37" s="157"/>
      <c r="S37" s="157"/>
      <c r="T37" s="157"/>
      <c r="U37" s="157"/>
      <c r="V37" s="157"/>
      <c r="W37" s="157">
        <f t="shared" si="1"/>
        <v>2</v>
      </c>
      <c r="X37" s="158">
        <f>SUMIFS('Đơn giá'!C:C,'Đơn giá'!B:B,'XUẤT (2)'!O37)</f>
        <v>98000</v>
      </c>
      <c r="Y37" s="159">
        <f t="shared" si="6"/>
        <v>196000</v>
      </c>
      <c r="Z37" s="232" t="s">
        <v>941</v>
      </c>
      <c r="AA37" s="10" t="s">
        <v>193</v>
      </c>
      <c r="AB37" s="90">
        <f t="shared" si="3"/>
        <v>2</v>
      </c>
      <c r="AC37" s="91">
        <f t="shared" si="4"/>
        <v>10000</v>
      </c>
      <c r="AD37" s="157"/>
    </row>
    <row r="38" spans="1:30" s="160" customFormat="1" ht="49.8" customHeight="1" x14ac:dyDescent="0.3">
      <c r="A38" s="152">
        <v>9</v>
      </c>
      <c r="B38" s="206" t="s">
        <v>498</v>
      </c>
      <c r="C38" s="303" t="s">
        <v>529</v>
      </c>
      <c r="D38" s="154" t="s">
        <v>40</v>
      </c>
      <c r="E38" s="154" t="s">
        <v>657</v>
      </c>
      <c r="F38" s="154"/>
      <c r="G38" s="154"/>
      <c r="H38" s="154">
        <v>22</v>
      </c>
      <c r="I38" s="154">
        <f t="shared" si="5"/>
        <v>22</v>
      </c>
      <c r="J38" s="154" t="s">
        <v>530</v>
      </c>
      <c r="K38" s="154" t="s">
        <v>202</v>
      </c>
      <c r="L38" s="154" t="s">
        <v>491</v>
      </c>
      <c r="M38" s="154" t="s">
        <v>46</v>
      </c>
      <c r="N38" s="10" t="s">
        <v>211</v>
      </c>
      <c r="O38" s="154" t="s">
        <v>39</v>
      </c>
      <c r="P38" s="154"/>
      <c r="Q38" s="154"/>
      <c r="R38" s="157"/>
      <c r="S38" s="157"/>
      <c r="T38" s="157">
        <v>20</v>
      </c>
      <c r="U38" s="157"/>
      <c r="V38" s="157">
        <v>2</v>
      </c>
      <c r="W38" s="157">
        <f t="shared" si="1"/>
        <v>22</v>
      </c>
      <c r="X38" s="158">
        <f>SUMIFS('Đơn giá'!C:C,'Đơn giá'!B:B,'XUẤT (2)'!O38)</f>
        <v>52000</v>
      </c>
      <c r="Y38" s="159">
        <f>T38*X38</f>
        <v>1040000</v>
      </c>
      <c r="Z38" s="232"/>
      <c r="AA38" s="10" t="s">
        <v>211</v>
      </c>
      <c r="AB38" s="90">
        <f t="shared" si="3"/>
        <v>20</v>
      </c>
      <c r="AC38" s="91">
        <f t="shared" si="4"/>
        <v>100000</v>
      </c>
      <c r="AD38" s="157"/>
    </row>
    <row r="39" spans="1:30" s="160" customFormat="1" ht="52.2" customHeight="1" x14ac:dyDescent="0.3">
      <c r="A39" s="152">
        <v>10</v>
      </c>
      <c r="B39" s="427" t="s">
        <v>498</v>
      </c>
      <c r="C39" s="400" t="s">
        <v>531</v>
      </c>
      <c r="D39" s="154" t="s">
        <v>30</v>
      </c>
      <c r="E39" s="154" t="s">
        <v>224</v>
      </c>
      <c r="F39" s="154"/>
      <c r="G39" s="154">
        <v>22</v>
      </c>
      <c r="H39" s="154"/>
      <c r="I39" s="154">
        <f t="shared" si="5"/>
        <v>22</v>
      </c>
      <c r="J39" s="154" t="s">
        <v>504</v>
      </c>
      <c r="K39" s="154"/>
      <c r="L39" s="154" t="s">
        <v>491</v>
      </c>
      <c r="M39" s="154" t="s">
        <v>46</v>
      </c>
      <c r="N39" s="400" t="s">
        <v>77</v>
      </c>
      <c r="O39" s="154" t="s">
        <v>26</v>
      </c>
      <c r="P39" s="154"/>
      <c r="Q39" s="154">
        <v>10</v>
      </c>
      <c r="R39" s="157"/>
      <c r="S39" s="157"/>
      <c r="T39" s="157"/>
      <c r="U39" s="157"/>
      <c r="V39" s="157">
        <v>2</v>
      </c>
      <c r="W39" s="157">
        <f t="shared" si="1"/>
        <v>12</v>
      </c>
      <c r="X39" s="158">
        <v>85000</v>
      </c>
      <c r="Y39" s="159">
        <f>Q39*X39</f>
        <v>850000</v>
      </c>
      <c r="Z39" s="279" t="s">
        <v>547</v>
      </c>
      <c r="AA39" s="212" t="s">
        <v>37</v>
      </c>
      <c r="AB39" s="90">
        <f t="shared" si="3"/>
        <v>10</v>
      </c>
      <c r="AC39" s="91">
        <f t="shared" si="4"/>
        <v>50000</v>
      </c>
      <c r="AD39" s="157" t="s">
        <v>69</v>
      </c>
    </row>
    <row r="40" spans="1:30" s="160" customFormat="1" ht="43.8" customHeight="1" x14ac:dyDescent="0.3">
      <c r="A40" s="152"/>
      <c r="B40" s="428"/>
      <c r="C40" s="401"/>
      <c r="D40" s="154"/>
      <c r="E40" s="154"/>
      <c r="F40" s="154"/>
      <c r="G40" s="154"/>
      <c r="H40" s="154"/>
      <c r="I40" s="154"/>
      <c r="J40" s="219"/>
      <c r="K40" s="154"/>
      <c r="L40" s="154"/>
      <c r="M40" s="154" t="s">
        <v>46</v>
      </c>
      <c r="N40" s="429"/>
      <c r="O40" s="154" t="s">
        <v>26</v>
      </c>
      <c r="P40" s="154"/>
      <c r="Q40" s="154">
        <v>10</v>
      </c>
      <c r="R40" s="157"/>
      <c r="S40" s="157"/>
      <c r="T40" s="157"/>
      <c r="U40" s="157"/>
      <c r="V40" s="157"/>
      <c r="W40" s="157">
        <f t="shared" si="1"/>
        <v>10</v>
      </c>
      <c r="X40" s="158">
        <v>85000</v>
      </c>
      <c r="Y40" s="159">
        <f>Q40*X40</f>
        <v>850000</v>
      </c>
      <c r="Z40" s="279" t="s">
        <v>547</v>
      </c>
      <c r="AA40" s="10" t="s">
        <v>138</v>
      </c>
      <c r="AB40" s="90">
        <f t="shared" si="3"/>
        <v>10</v>
      </c>
      <c r="AC40" s="91">
        <f t="shared" si="4"/>
        <v>50000</v>
      </c>
      <c r="AD40" s="157"/>
    </row>
    <row r="41" spans="1:30" s="160" customFormat="1" ht="45.6" customHeight="1" x14ac:dyDescent="0.3">
      <c r="A41" s="152">
        <v>11</v>
      </c>
      <c r="B41" s="206" t="s">
        <v>498</v>
      </c>
      <c r="C41" s="303" t="s">
        <v>532</v>
      </c>
      <c r="D41" s="154" t="s">
        <v>30</v>
      </c>
      <c r="E41" s="154" t="s">
        <v>224</v>
      </c>
      <c r="F41" s="154"/>
      <c r="G41" s="154">
        <v>8</v>
      </c>
      <c r="H41" s="154"/>
      <c r="I41" s="154">
        <f t="shared" si="5"/>
        <v>8</v>
      </c>
      <c r="J41" s="10" t="s">
        <v>62</v>
      </c>
      <c r="K41" s="154"/>
      <c r="L41" s="154" t="s">
        <v>491</v>
      </c>
      <c r="M41" s="169" t="s">
        <v>33</v>
      </c>
      <c r="N41" s="10" t="s">
        <v>62</v>
      </c>
      <c r="O41" s="154" t="s">
        <v>26</v>
      </c>
      <c r="P41" s="154">
        <v>8</v>
      </c>
      <c r="Q41" s="154"/>
      <c r="R41" s="157"/>
      <c r="S41" s="157"/>
      <c r="T41" s="157"/>
      <c r="U41" s="157"/>
      <c r="V41" s="157"/>
      <c r="W41" s="157">
        <f t="shared" si="1"/>
        <v>8</v>
      </c>
      <c r="X41" s="158">
        <f>SUMIFS('Đơn giá'!C:C,'Đơn giá'!B:B,'XUẤT (2)'!O41)</f>
        <v>98000</v>
      </c>
      <c r="Y41" s="159">
        <f t="shared" si="6"/>
        <v>784000</v>
      </c>
      <c r="Z41" s="232" t="s">
        <v>850</v>
      </c>
      <c r="AA41" s="10" t="s">
        <v>62</v>
      </c>
      <c r="AB41" s="90">
        <f t="shared" si="3"/>
        <v>8</v>
      </c>
      <c r="AC41" s="91">
        <f t="shared" si="4"/>
        <v>40000</v>
      </c>
      <c r="AD41" s="157"/>
    </row>
    <row r="42" spans="1:30" s="160" customFormat="1" ht="45.6" customHeight="1" x14ac:dyDescent="0.3">
      <c r="A42" s="152">
        <v>12</v>
      </c>
      <c r="B42" s="206" t="s">
        <v>498</v>
      </c>
      <c r="C42" s="164" t="s">
        <v>535</v>
      </c>
      <c r="D42" s="154" t="s">
        <v>30</v>
      </c>
      <c r="E42" s="154" t="s">
        <v>224</v>
      </c>
      <c r="F42" s="154"/>
      <c r="G42" s="154">
        <v>2</v>
      </c>
      <c r="H42" s="154"/>
      <c r="I42" s="154">
        <f t="shared" si="5"/>
        <v>2</v>
      </c>
      <c r="J42" s="10" t="s">
        <v>239</v>
      </c>
      <c r="K42" s="154"/>
      <c r="L42" s="154" t="s">
        <v>491</v>
      </c>
      <c r="M42" s="169" t="s">
        <v>33</v>
      </c>
      <c r="N42" s="10" t="s">
        <v>239</v>
      </c>
      <c r="O42" s="154" t="s">
        <v>26</v>
      </c>
      <c r="P42" s="154">
        <v>2</v>
      </c>
      <c r="Q42" s="154"/>
      <c r="R42" s="157"/>
      <c r="S42" s="157"/>
      <c r="T42" s="157"/>
      <c r="U42" s="157"/>
      <c r="V42" s="157"/>
      <c r="W42" s="157">
        <f t="shared" si="1"/>
        <v>2</v>
      </c>
      <c r="X42" s="158">
        <f>SUMIFS('Đơn giá'!C:C,'Đơn giá'!B:B,'XUẤT (2)'!O42)</f>
        <v>98000</v>
      </c>
      <c r="Y42" s="159">
        <f>X42*P42</f>
        <v>196000</v>
      </c>
      <c r="Z42" s="232"/>
      <c r="AA42" s="10" t="s">
        <v>239</v>
      </c>
      <c r="AB42" s="90">
        <f t="shared" si="3"/>
        <v>2</v>
      </c>
      <c r="AC42" s="91">
        <f t="shared" si="4"/>
        <v>10000</v>
      </c>
      <c r="AD42" s="157"/>
    </row>
    <row r="43" spans="1:30" s="164" customFormat="1" ht="52.2" customHeight="1" x14ac:dyDescent="0.3">
      <c r="A43" s="162">
        <v>1</v>
      </c>
      <c r="B43" s="206" t="s">
        <v>534</v>
      </c>
      <c r="C43" s="164" t="s">
        <v>560</v>
      </c>
      <c r="D43" s="154" t="s">
        <v>30</v>
      </c>
      <c r="E43" s="224" t="s">
        <v>224</v>
      </c>
      <c r="G43" s="162">
        <v>6</v>
      </c>
      <c r="I43" s="164">
        <f t="shared" si="5"/>
        <v>6</v>
      </c>
      <c r="J43" s="36" t="s">
        <v>37</v>
      </c>
      <c r="L43" s="152" t="s">
        <v>491</v>
      </c>
      <c r="M43" s="169" t="s">
        <v>33</v>
      </c>
      <c r="N43" s="222" t="s">
        <v>266</v>
      </c>
      <c r="O43" s="164" t="s">
        <v>26</v>
      </c>
      <c r="P43" s="164">
        <v>5</v>
      </c>
      <c r="W43" s="164">
        <f t="shared" si="1"/>
        <v>5</v>
      </c>
      <c r="X43" s="164">
        <f>SUMIFS('Đơn giá'!C:C,'Đơn giá'!B:B,'XUẤT (2)'!O43)</f>
        <v>98000</v>
      </c>
      <c r="Y43" s="159">
        <f t="shared" si="6"/>
        <v>490000</v>
      </c>
      <c r="Z43" s="210"/>
      <c r="AA43" s="36" t="s">
        <v>37</v>
      </c>
      <c r="AB43" s="90">
        <f t="shared" si="3"/>
        <v>5</v>
      </c>
      <c r="AC43" s="91">
        <f t="shared" si="4"/>
        <v>25000</v>
      </c>
    </row>
    <row r="44" spans="1:30" s="160" customFormat="1" ht="62.4" customHeight="1" x14ac:dyDescent="0.3">
      <c r="A44" s="152">
        <v>2</v>
      </c>
      <c r="B44" s="206" t="s">
        <v>534</v>
      </c>
      <c r="C44" s="164" t="s">
        <v>537</v>
      </c>
      <c r="D44" s="154" t="s">
        <v>30</v>
      </c>
      <c r="E44" s="155" t="s">
        <v>536</v>
      </c>
      <c r="F44" s="155"/>
      <c r="G44" s="155">
        <v>4</v>
      </c>
      <c r="H44" s="155"/>
      <c r="I44" s="155">
        <f t="shared" si="5"/>
        <v>4</v>
      </c>
      <c r="J44" s="152" t="s">
        <v>538</v>
      </c>
      <c r="K44" s="152"/>
      <c r="L44" s="152" t="s">
        <v>491</v>
      </c>
      <c r="M44" s="169" t="s">
        <v>33</v>
      </c>
      <c r="N44" s="10" t="s">
        <v>153</v>
      </c>
      <c r="O44" s="154" t="s">
        <v>26</v>
      </c>
      <c r="P44" s="157">
        <v>4</v>
      </c>
      <c r="Q44" s="157"/>
      <c r="R44" s="157"/>
      <c r="S44" s="157"/>
      <c r="T44" s="157"/>
      <c r="U44" s="157"/>
      <c r="V44" s="157"/>
      <c r="W44" s="157">
        <f t="shared" si="1"/>
        <v>4</v>
      </c>
      <c r="X44" s="158">
        <f>SUMIFS('Đơn giá'!C:C,'Đơn giá'!B:B,'XUẤT (2)'!O44)</f>
        <v>98000</v>
      </c>
      <c r="Y44" s="159">
        <f t="shared" si="6"/>
        <v>392000</v>
      </c>
      <c r="Z44" s="232" t="s">
        <v>983</v>
      </c>
      <c r="AA44" s="152" t="s">
        <v>538</v>
      </c>
      <c r="AB44" s="90">
        <f t="shared" si="3"/>
        <v>4</v>
      </c>
      <c r="AC44" s="91">
        <f t="shared" si="4"/>
        <v>20000</v>
      </c>
      <c r="AD44" s="157"/>
    </row>
    <row r="45" spans="1:30" s="160" customFormat="1" ht="36" x14ac:dyDescent="0.3">
      <c r="A45" s="152">
        <v>3</v>
      </c>
      <c r="B45" s="206" t="s">
        <v>534</v>
      </c>
      <c r="C45" s="154" t="s">
        <v>540</v>
      </c>
      <c r="D45" s="154" t="s">
        <v>30</v>
      </c>
      <c r="E45" s="224" t="s">
        <v>224</v>
      </c>
      <c r="F45" s="155"/>
      <c r="G45" s="155">
        <v>4</v>
      </c>
      <c r="H45" s="155"/>
      <c r="I45" s="155">
        <f t="shared" si="5"/>
        <v>4</v>
      </c>
      <c r="J45" s="229" t="s">
        <v>545</v>
      </c>
      <c r="K45" s="152"/>
      <c r="L45" s="152" t="s">
        <v>491</v>
      </c>
      <c r="M45" s="169" t="s">
        <v>46</v>
      </c>
      <c r="N45" s="163" t="s">
        <v>541</v>
      </c>
      <c r="O45" s="154" t="s">
        <v>26</v>
      </c>
      <c r="P45" s="157">
        <v>4</v>
      </c>
      <c r="Q45" s="157"/>
      <c r="R45" s="157"/>
      <c r="S45" s="157"/>
      <c r="T45" s="157"/>
      <c r="U45" s="157"/>
      <c r="V45" s="157"/>
      <c r="W45" s="157">
        <f t="shared" si="1"/>
        <v>4</v>
      </c>
      <c r="X45" s="158">
        <f>SUMIFS('Đơn giá'!C:C,'Đơn giá'!B:B,'XUẤT (2)'!O45)</f>
        <v>98000</v>
      </c>
      <c r="Y45" s="159">
        <f t="shared" si="6"/>
        <v>392000</v>
      </c>
      <c r="Z45" s="232" t="s">
        <v>718</v>
      </c>
      <c r="AA45" s="229" t="s">
        <v>37</v>
      </c>
      <c r="AB45" s="90">
        <f t="shared" si="3"/>
        <v>4</v>
      </c>
      <c r="AC45" s="91">
        <f t="shared" si="4"/>
        <v>20000</v>
      </c>
      <c r="AD45" s="157"/>
    </row>
    <row r="46" spans="1:30" s="160" customFormat="1" ht="63" customHeight="1" x14ac:dyDescent="0.3">
      <c r="A46" s="152">
        <v>4</v>
      </c>
      <c r="B46" s="206" t="s">
        <v>534</v>
      </c>
      <c r="C46" s="154" t="s">
        <v>544</v>
      </c>
      <c r="D46" s="154" t="s">
        <v>30</v>
      </c>
      <c r="E46" s="224" t="s">
        <v>543</v>
      </c>
      <c r="F46" s="155"/>
      <c r="G46" s="155">
        <v>11</v>
      </c>
      <c r="H46" s="155"/>
      <c r="I46" s="155">
        <f t="shared" si="5"/>
        <v>11</v>
      </c>
      <c r="J46" s="229" t="s">
        <v>112</v>
      </c>
      <c r="K46" s="152"/>
      <c r="L46" s="152"/>
      <c r="M46" s="169" t="s">
        <v>33</v>
      </c>
      <c r="N46" s="142" t="s">
        <v>179</v>
      </c>
      <c r="O46" s="154" t="s">
        <v>26</v>
      </c>
      <c r="P46" s="157">
        <v>10</v>
      </c>
      <c r="Q46" s="157"/>
      <c r="R46" s="157"/>
      <c r="S46" s="157"/>
      <c r="T46" s="157"/>
      <c r="U46" s="157"/>
      <c r="V46" s="157">
        <v>1</v>
      </c>
      <c r="W46" s="157">
        <f t="shared" si="1"/>
        <v>11</v>
      </c>
      <c r="X46" s="158">
        <f>SUMIFS('Đơn giá'!C:C,'Đơn giá'!B:B,'XUẤT (2)'!O46)</f>
        <v>98000</v>
      </c>
      <c r="Y46" s="159">
        <f t="shared" si="6"/>
        <v>980000</v>
      </c>
      <c r="Z46" s="232"/>
      <c r="AA46" s="230" t="s">
        <v>112</v>
      </c>
      <c r="AB46" s="90">
        <f t="shared" si="3"/>
        <v>10</v>
      </c>
      <c r="AC46" s="91">
        <f t="shared" si="4"/>
        <v>50000</v>
      </c>
      <c r="AD46" s="157"/>
    </row>
    <row r="47" spans="1:30" s="160" customFormat="1" ht="30.6" customHeight="1" x14ac:dyDescent="0.3">
      <c r="A47" s="398">
        <v>5</v>
      </c>
      <c r="B47" s="427" t="s">
        <v>534</v>
      </c>
      <c r="C47" s="431" t="s">
        <v>542</v>
      </c>
      <c r="D47" s="395" t="s">
        <v>40</v>
      </c>
      <c r="E47" s="155"/>
      <c r="F47" s="155"/>
      <c r="G47" s="155"/>
      <c r="H47" s="155">
        <v>11</v>
      </c>
      <c r="I47" s="155">
        <f t="shared" si="5"/>
        <v>11</v>
      </c>
      <c r="J47" s="229" t="s">
        <v>37</v>
      </c>
      <c r="K47" s="152"/>
      <c r="L47" s="152" t="s">
        <v>491</v>
      </c>
      <c r="M47" s="169" t="s">
        <v>46</v>
      </c>
      <c r="N47" s="163"/>
      <c r="O47" s="154" t="s">
        <v>39</v>
      </c>
      <c r="P47" s="157"/>
      <c r="Q47" s="157"/>
      <c r="R47" s="157"/>
      <c r="S47" s="157"/>
      <c r="T47" s="157">
        <v>5</v>
      </c>
      <c r="U47" s="157"/>
      <c r="V47" s="157">
        <v>1</v>
      </c>
      <c r="W47" s="157">
        <f t="shared" si="1"/>
        <v>6</v>
      </c>
      <c r="X47" s="158">
        <f>SUMIFS('Đơn giá'!C:C,'Đơn giá'!B:B,'XUẤT (2)'!O47)</f>
        <v>52000</v>
      </c>
      <c r="Y47" s="159">
        <f>T47*X47</f>
        <v>260000</v>
      </c>
      <c r="Z47" s="232"/>
      <c r="AA47" s="36" t="s">
        <v>37</v>
      </c>
      <c r="AB47" s="90">
        <f t="shared" si="3"/>
        <v>5</v>
      </c>
      <c r="AC47" s="91">
        <f t="shared" si="4"/>
        <v>25000</v>
      </c>
      <c r="AD47" s="157"/>
    </row>
    <row r="48" spans="1:30" s="160" customFormat="1" ht="31.8" customHeight="1" x14ac:dyDescent="0.3">
      <c r="A48" s="399"/>
      <c r="B48" s="430"/>
      <c r="C48" s="432"/>
      <c r="D48" s="397"/>
      <c r="E48" s="155"/>
      <c r="F48" s="155"/>
      <c r="G48" s="155"/>
      <c r="H48" s="155"/>
      <c r="I48" s="155">
        <f t="shared" si="5"/>
        <v>0</v>
      </c>
      <c r="J48" s="229" t="s">
        <v>140</v>
      </c>
      <c r="K48" s="152"/>
      <c r="L48" s="152" t="s">
        <v>491</v>
      </c>
      <c r="M48" s="169" t="s">
        <v>46</v>
      </c>
      <c r="N48" s="163"/>
      <c r="O48" s="154" t="s">
        <v>39</v>
      </c>
      <c r="P48" s="157"/>
      <c r="Q48" s="157"/>
      <c r="R48" s="157"/>
      <c r="S48" s="157"/>
      <c r="T48" s="157">
        <v>5</v>
      </c>
      <c r="U48" s="157"/>
      <c r="V48" s="157"/>
      <c r="W48" s="157">
        <f t="shared" si="1"/>
        <v>5</v>
      </c>
      <c r="X48" s="158">
        <f>SUMIFS('Đơn giá'!C:C,'Đơn giá'!B:B,'XUẤT (2)'!O48)</f>
        <v>52000</v>
      </c>
      <c r="Y48" s="159">
        <f>T48*X48</f>
        <v>260000</v>
      </c>
      <c r="Z48" s="232"/>
      <c r="AA48" s="36" t="s">
        <v>140</v>
      </c>
      <c r="AB48" s="90">
        <f t="shared" si="3"/>
        <v>5</v>
      </c>
      <c r="AC48" s="91">
        <f t="shared" si="4"/>
        <v>25000</v>
      </c>
      <c r="AD48" s="157"/>
    </row>
    <row r="49" spans="1:30" s="160" customFormat="1" ht="52.2" customHeight="1" x14ac:dyDescent="0.3">
      <c r="A49" s="152">
        <v>6</v>
      </c>
      <c r="B49" s="231" t="s">
        <v>534</v>
      </c>
      <c r="C49" s="229" t="s">
        <v>552</v>
      </c>
      <c r="D49" s="154" t="s">
        <v>30</v>
      </c>
      <c r="E49" s="155" t="s">
        <v>248</v>
      </c>
      <c r="F49" s="155"/>
      <c r="G49" s="155">
        <v>3</v>
      </c>
      <c r="H49" s="155"/>
      <c r="I49" s="155">
        <v>12</v>
      </c>
      <c r="J49" s="229" t="s">
        <v>548</v>
      </c>
      <c r="K49" s="152"/>
      <c r="L49" s="152" t="s">
        <v>491</v>
      </c>
      <c r="M49" s="169" t="s">
        <v>46</v>
      </c>
      <c r="N49" s="163"/>
      <c r="O49" s="154" t="s">
        <v>26</v>
      </c>
      <c r="P49" s="157">
        <v>3</v>
      </c>
      <c r="Q49" s="157"/>
      <c r="R49" s="157"/>
      <c r="S49" s="157"/>
      <c r="T49" s="157"/>
      <c r="U49" s="157"/>
      <c r="V49" s="157"/>
      <c r="W49" s="157">
        <f t="shared" si="1"/>
        <v>3</v>
      </c>
      <c r="X49" s="158">
        <f>SUMIFS('Đơn giá'!C:C,'Đơn giá'!B:B,'XUẤT (2)'!O49)</f>
        <v>98000</v>
      </c>
      <c r="Y49" s="159">
        <f t="shared" si="6"/>
        <v>294000</v>
      </c>
      <c r="Z49" s="232" t="s">
        <v>673</v>
      </c>
      <c r="AA49" s="36" t="s">
        <v>264</v>
      </c>
      <c r="AB49" s="90">
        <f t="shared" si="3"/>
        <v>3</v>
      </c>
      <c r="AC49" s="91">
        <f t="shared" si="4"/>
        <v>15000</v>
      </c>
      <c r="AD49" s="157" t="s">
        <v>554</v>
      </c>
    </row>
    <row r="50" spans="1:30" s="160" customFormat="1" ht="54" customHeight="1" x14ac:dyDescent="0.3">
      <c r="A50" s="152">
        <v>7</v>
      </c>
      <c r="B50" s="153">
        <v>46335</v>
      </c>
      <c r="C50" s="360" t="s">
        <v>550</v>
      </c>
      <c r="D50" s="154" t="s">
        <v>30</v>
      </c>
      <c r="E50" s="155" t="s">
        <v>224</v>
      </c>
      <c r="F50" s="155"/>
      <c r="G50" s="155">
        <v>11</v>
      </c>
      <c r="H50" s="155"/>
      <c r="I50" s="155">
        <f t="shared" ref="I50:I51" si="7">H50+G50</f>
        <v>11</v>
      </c>
      <c r="J50" s="152" t="s">
        <v>31</v>
      </c>
      <c r="K50" s="152"/>
      <c r="L50" s="152"/>
      <c r="M50" s="169" t="s">
        <v>33</v>
      </c>
      <c r="N50" s="7" t="s">
        <v>204</v>
      </c>
      <c r="O50" s="154" t="s">
        <v>26</v>
      </c>
      <c r="P50" s="157">
        <v>10</v>
      </c>
      <c r="Q50" s="157"/>
      <c r="R50" s="157"/>
      <c r="S50" s="157"/>
      <c r="T50" s="157"/>
      <c r="U50" s="157"/>
      <c r="V50" s="157"/>
      <c r="W50" s="157">
        <f t="shared" si="1"/>
        <v>10</v>
      </c>
      <c r="X50" s="158">
        <f>SUMIFS('Đơn giá'!C:C,'Đơn giá'!B:B,'XUẤT (2)'!O50)</f>
        <v>98000</v>
      </c>
      <c r="Y50" s="159">
        <f t="shared" si="6"/>
        <v>980000</v>
      </c>
      <c r="Z50" s="232" t="s">
        <v>569</v>
      </c>
      <c r="AA50" s="36" t="s">
        <v>37</v>
      </c>
      <c r="AB50" s="90">
        <f t="shared" si="3"/>
        <v>10</v>
      </c>
      <c r="AC50" s="91">
        <f t="shared" si="4"/>
        <v>50000</v>
      </c>
      <c r="AD50" s="157"/>
    </row>
    <row r="51" spans="1:30" s="160" customFormat="1" ht="49.2" customHeight="1" x14ac:dyDescent="0.3">
      <c r="A51" s="152">
        <v>8</v>
      </c>
      <c r="B51" s="153">
        <v>46335</v>
      </c>
      <c r="C51" s="228" t="s">
        <v>387</v>
      </c>
      <c r="D51" s="154" t="s">
        <v>30</v>
      </c>
      <c r="E51" s="155" t="s">
        <v>90</v>
      </c>
      <c r="F51" s="155"/>
      <c r="G51" s="155">
        <v>2</v>
      </c>
      <c r="H51" s="155"/>
      <c r="I51" s="155">
        <f t="shared" si="7"/>
        <v>2</v>
      </c>
      <c r="J51" s="36" t="s">
        <v>136</v>
      </c>
      <c r="K51" s="152"/>
      <c r="L51" s="152" t="s">
        <v>491</v>
      </c>
      <c r="M51" s="169" t="s">
        <v>33</v>
      </c>
      <c r="N51" s="229" t="s">
        <v>136</v>
      </c>
      <c r="O51" s="154" t="s">
        <v>26</v>
      </c>
      <c r="P51" s="157">
        <v>2</v>
      </c>
      <c r="Q51" s="157"/>
      <c r="R51" s="157"/>
      <c r="S51" s="157"/>
      <c r="T51" s="157"/>
      <c r="U51" s="157"/>
      <c r="V51" s="157"/>
      <c r="W51" s="157">
        <f t="shared" si="1"/>
        <v>2</v>
      </c>
      <c r="X51" s="158">
        <f>SUMIFS('Đơn giá'!C:C,'Đơn giá'!B:B,'XUẤT (2)'!O51)</f>
        <v>98000</v>
      </c>
      <c r="Y51" s="159">
        <f t="shared" si="6"/>
        <v>196000</v>
      </c>
      <c r="Z51" s="152" t="s">
        <v>798</v>
      </c>
      <c r="AA51" s="36" t="s">
        <v>136</v>
      </c>
      <c r="AB51" s="157">
        <f t="shared" si="3"/>
        <v>2</v>
      </c>
      <c r="AC51" s="158">
        <f t="shared" si="4"/>
        <v>10000</v>
      </c>
      <c r="AD51" s="157"/>
    </row>
    <row r="52" spans="1:30" s="375" customFormat="1" ht="49.8" customHeight="1" x14ac:dyDescent="0.3">
      <c r="A52" s="364">
        <v>9</v>
      </c>
      <c r="B52" s="365">
        <v>46335</v>
      </c>
      <c r="C52" s="366" t="s">
        <v>558</v>
      </c>
      <c r="D52" s="367" t="s">
        <v>30</v>
      </c>
      <c r="E52" s="368" t="s">
        <v>224</v>
      </c>
      <c r="F52" s="369"/>
      <c r="G52" s="369">
        <v>11</v>
      </c>
      <c r="H52" s="369"/>
      <c r="I52" s="369">
        <f t="shared" si="5"/>
        <v>11</v>
      </c>
      <c r="J52" s="366" t="s">
        <v>37</v>
      </c>
      <c r="K52" s="364"/>
      <c r="L52" s="364" t="s">
        <v>491</v>
      </c>
      <c r="M52" s="370" t="s">
        <v>33</v>
      </c>
      <c r="N52" s="366" t="s">
        <v>37</v>
      </c>
      <c r="O52" s="367" t="s">
        <v>26</v>
      </c>
      <c r="P52" s="371">
        <v>10</v>
      </c>
      <c r="Q52" s="371"/>
      <c r="R52" s="371"/>
      <c r="S52" s="371"/>
      <c r="T52" s="371"/>
      <c r="U52" s="371"/>
      <c r="V52" s="371">
        <v>1</v>
      </c>
      <c r="W52" s="371">
        <f t="shared" ref="W52:W117" si="8">SUM(P52:V52)</f>
        <v>11</v>
      </c>
      <c r="X52" s="372">
        <f>SUMIFS('Đơn giá'!C:C,'Đơn giá'!B:B,'XUẤT (2)'!O52)</f>
        <v>98000</v>
      </c>
      <c r="Y52" s="373">
        <f t="shared" si="6"/>
        <v>980000</v>
      </c>
      <c r="Z52" s="364" t="s">
        <v>951</v>
      </c>
      <c r="AA52" s="374" t="s">
        <v>37</v>
      </c>
      <c r="AB52" s="371">
        <f t="shared" si="3"/>
        <v>10</v>
      </c>
      <c r="AC52" s="372">
        <f t="shared" si="4"/>
        <v>50000</v>
      </c>
      <c r="AD52" s="371"/>
    </row>
    <row r="53" spans="1:30" s="160" customFormat="1" ht="53.4" hidden="1" customHeight="1" x14ac:dyDescent="0.3">
      <c r="A53" s="152">
        <v>10</v>
      </c>
      <c r="B53" s="153">
        <v>46335</v>
      </c>
      <c r="C53" s="164" t="s">
        <v>559</v>
      </c>
      <c r="D53" s="154" t="s">
        <v>30</v>
      </c>
      <c r="E53" s="155" t="s">
        <v>543</v>
      </c>
      <c r="F53" s="155"/>
      <c r="G53" s="155"/>
      <c r="H53" s="155"/>
      <c r="I53" s="155"/>
      <c r="J53" s="152"/>
      <c r="K53" s="152"/>
      <c r="L53" s="152"/>
      <c r="M53" s="169"/>
      <c r="N53" s="10"/>
      <c r="O53" s="154"/>
      <c r="P53" s="157"/>
      <c r="Q53" s="157"/>
      <c r="R53" s="157"/>
      <c r="S53" s="157"/>
      <c r="T53" s="157"/>
      <c r="U53" s="157"/>
      <c r="V53" s="157"/>
      <c r="W53" s="157">
        <f t="shared" si="8"/>
        <v>0</v>
      </c>
      <c r="X53" s="158">
        <f>SUMIFS('Đơn giá'!C:C,'Đơn giá'!B:B,'XUẤT (2)'!O53)</f>
        <v>0</v>
      </c>
      <c r="Y53" s="159">
        <f t="shared" si="6"/>
        <v>0</v>
      </c>
      <c r="Z53" s="232"/>
      <c r="AA53" s="10"/>
      <c r="AB53" s="90">
        <f t="shared" si="3"/>
        <v>0</v>
      </c>
      <c r="AC53" s="91">
        <f t="shared" si="4"/>
        <v>0</v>
      </c>
      <c r="AD53" s="157"/>
    </row>
    <row r="54" spans="1:30" s="160" customFormat="1" ht="53.4" customHeight="1" x14ac:dyDescent="0.3">
      <c r="A54" s="152">
        <v>11</v>
      </c>
      <c r="B54" s="153">
        <v>46335</v>
      </c>
      <c r="C54" s="154" t="s">
        <v>71</v>
      </c>
      <c r="D54" s="154" t="s">
        <v>30</v>
      </c>
      <c r="E54" s="155" t="s">
        <v>543</v>
      </c>
      <c r="F54" s="155"/>
      <c r="G54" s="155">
        <v>3</v>
      </c>
      <c r="H54" s="155"/>
      <c r="I54" s="155">
        <f t="shared" si="5"/>
        <v>3</v>
      </c>
      <c r="J54" s="152"/>
      <c r="K54" s="152"/>
      <c r="L54" s="152"/>
      <c r="M54" s="169" t="s">
        <v>33</v>
      </c>
      <c r="N54" s="10" t="s">
        <v>41</v>
      </c>
      <c r="O54" s="154" t="s">
        <v>26</v>
      </c>
      <c r="P54" s="157">
        <v>3</v>
      </c>
      <c r="Q54" s="157"/>
      <c r="R54" s="157"/>
      <c r="S54" s="157"/>
      <c r="T54" s="157"/>
      <c r="U54" s="157"/>
      <c r="V54" s="157"/>
      <c r="W54" s="157">
        <f t="shared" si="8"/>
        <v>3</v>
      </c>
      <c r="X54" s="158">
        <f>SUMIFS('Đơn giá'!C:C,'Đơn giá'!B:B,'XUẤT (2)'!O54)</f>
        <v>98000</v>
      </c>
      <c r="Y54" s="159">
        <f t="shared" si="6"/>
        <v>294000</v>
      </c>
      <c r="Z54" s="387" t="s">
        <v>954</v>
      </c>
      <c r="AA54" s="10" t="s">
        <v>41</v>
      </c>
      <c r="AB54" s="90">
        <f t="shared" si="3"/>
        <v>3</v>
      </c>
      <c r="AC54" s="91">
        <f t="shared" si="4"/>
        <v>15000</v>
      </c>
      <c r="AD54" s="157"/>
    </row>
    <row r="55" spans="1:30" s="160" customFormat="1" ht="58.8" customHeight="1" x14ac:dyDescent="0.3">
      <c r="A55" s="398">
        <v>1</v>
      </c>
      <c r="B55" s="411">
        <v>46365</v>
      </c>
      <c r="C55" s="400" t="s">
        <v>562</v>
      </c>
      <c r="D55" s="154" t="s">
        <v>30</v>
      </c>
      <c r="E55" s="155" t="s">
        <v>536</v>
      </c>
      <c r="F55" s="155"/>
      <c r="G55" s="155">
        <v>2</v>
      </c>
      <c r="H55" s="155"/>
      <c r="I55" s="155">
        <f t="shared" si="5"/>
        <v>2</v>
      </c>
      <c r="J55" s="152" t="s">
        <v>56</v>
      </c>
      <c r="K55" s="152"/>
      <c r="L55" s="152" t="s">
        <v>491</v>
      </c>
      <c r="M55" s="169" t="s">
        <v>33</v>
      </c>
      <c r="N55" s="7" t="s">
        <v>96</v>
      </c>
      <c r="O55" s="154" t="s">
        <v>26</v>
      </c>
      <c r="P55" s="157">
        <v>2</v>
      </c>
      <c r="Q55" s="157"/>
      <c r="R55" s="157"/>
      <c r="S55" s="157"/>
      <c r="T55" s="157"/>
      <c r="U55" s="157"/>
      <c r="V55" s="157"/>
      <c r="W55" s="157">
        <f t="shared" si="8"/>
        <v>2</v>
      </c>
      <c r="X55" s="158">
        <f>SUMIFS('Đơn giá'!C:C,'Đơn giá'!B:B,'XUẤT (2)'!O55)</f>
        <v>98000</v>
      </c>
      <c r="Y55" s="159">
        <f t="shared" si="6"/>
        <v>196000</v>
      </c>
      <c r="Z55" s="232"/>
      <c r="AA55" s="10" t="s">
        <v>57</v>
      </c>
      <c r="AB55" s="90">
        <f t="shared" ref="AB55:AB118" si="9">W55-V55</f>
        <v>2</v>
      </c>
      <c r="AC55" s="91">
        <f t="shared" ref="AC55:AC118" si="10">AB55*5000</f>
        <v>10000</v>
      </c>
      <c r="AD55" s="157"/>
    </row>
    <row r="56" spans="1:30" s="160" customFormat="1" ht="44.4" customHeight="1" x14ac:dyDescent="0.3">
      <c r="A56" s="399"/>
      <c r="B56" s="413"/>
      <c r="C56" s="401"/>
      <c r="D56" s="154" t="s">
        <v>30</v>
      </c>
      <c r="E56" s="155" t="s">
        <v>543</v>
      </c>
      <c r="F56" s="155"/>
      <c r="G56" s="155">
        <v>5</v>
      </c>
      <c r="H56" s="155"/>
      <c r="I56" s="155">
        <f t="shared" si="5"/>
        <v>5</v>
      </c>
      <c r="J56" s="152" t="s">
        <v>395</v>
      </c>
      <c r="K56" s="152"/>
      <c r="L56" s="152" t="s">
        <v>491</v>
      </c>
      <c r="M56" s="169" t="s">
        <v>33</v>
      </c>
      <c r="N56" s="7" t="s">
        <v>96</v>
      </c>
      <c r="O56" s="154" t="s">
        <v>29</v>
      </c>
      <c r="P56" s="157"/>
      <c r="Q56" s="157">
        <v>5</v>
      </c>
      <c r="R56" s="157"/>
      <c r="S56" s="157"/>
      <c r="T56" s="157"/>
      <c r="U56" s="157"/>
      <c r="V56" s="157"/>
      <c r="W56" s="157">
        <f t="shared" si="8"/>
        <v>5</v>
      </c>
      <c r="X56" s="158">
        <v>85000</v>
      </c>
      <c r="Y56" s="159">
        <f>Q56*X56</f>
        <v>425000</v>
      </c>
      <c r="Z56" s="232"/>
      <c r="AA56" s="36" t="s">
        <v>98</v>
      </c>
      <c r="AB56" s="90">
        <f t="shared" si="9"/>
        <v>5</v>
      </c>
      <c r="AC56" s="91">
        <f t="shared" si="10"/>
        <v>25000</v>
      </c>
      <c r="AD56" s="157"/>
    </row>
    <row r="57" spans="1:30" s="160" customFormat="1" ht="46.2" customHeight="1" x14ac:dyDescent="0.3">
      <c r="A57" s="152">
        <v>2</v>
      </c>
      <c r="B57" s="153">
        <v>46365</v>
      </c>
      <c r="C57" s="270" t="s">
        <v>563</v>
      </c>
      <c r="D57" s="155" t="s">
        <v>30</v>
      </c>
      <c r="E57" s="164" t="s">
        <v>224</v>
      </c>
      <c r="F57" s="155"/>
      <c r="G57" s="155">
        <v>22</v>
      </c>
      <c r="H57" s="155"/>
      <c r="I57" s="155">
        <f t="shared" si="5"/>
        <v>22</v>
      </c>
      <c r="J57" s="252" t="s">
        <v>36</v>
      </c>
      <c r="K57" s="152"/>
      <c r="L57" s="152" t="s">
        <v>491</v>
      </c>
      <c r="M57" s="169" t="s">
        <v>33</v>
      </c>
      <c r="N57" s="212" t="s">
        <v>36</v>
      </c>
      <c r="O57" s="154" t="s">
        <v>26</v>
      </c>
      <c r="P57" s="157">
        <v>20</v>
      </c>
      <c r="Q57" s="157"/>
      <c r="R57" s="157"/>
      <c r="S57" s="157"/>
      <c r="T57" s="157"/>
      <c r="U57" s="157"/>
      <c r="V57" s="157">
        <v>2</v>
      </c>
      <c r="W57" s="157">
        <f t="shared" si="8"/>
        <v>22</v>
      </c>
      <c r="X57" s="158">
        <f>SUMIFS('Đơn giá'!C:C,'Đơn giá'!B:B,'XUẤT (2)'!O57)</f>
        <v>98000</v>
      </c>
      <c r="Y57" s="159">
        <f t="shared" si="6"/>
        <v>1960000</v>
      </c>
      <c r="Z57" s="232" t="s">
        <v>941</v>
      </c>
      <c r="AA57" s="36" t="s">
        <v>36</v>
      </c>
      <c r="AB57" s="90">
        <f t="shared" si="9"/>
        <v>20</v>
      </c>
      <c r="AC57" s="91">
        <f t="shared" si="10"/>
        <v>100000</v>
      </c>
      <c r="AD57" s="157"/>
    </row>
    <row r="58" spans="1:30" s="160" customFormat="1" ht="42.6" customHeight="1" x14ac:dyDescent="0.3">
      <c r="A58" s="152">
        <v>3</v>
      </c>
      <c r="B58" s="153">
        <v>46365</v>
      </c>
      <c r="C58" s="154" t="s">
        <v>565</v>
      </c>
      <c r="D58" s="155" t="s">
        <v>30</v>
      </c>
      <c r="E58" s="164" t="s">
        <v>224</v>
      </c>
      <c r="F58" s="155"/>
      <c r="G58" s="155">
        <v>3</v>
      </c>
      <c r="H58" s="155"/>
      <c r="I58" s="155">
        <f t="shared" si="5"/>
        <v>3</v>
      </c>
      <c r="J58" s="229" t="s">
        <v>37</v>
      </c>
      <c r="K58" s="152"/>
      <c r="L58" s="152" t="s">
        <v>491</v>
      </c>
      <c r="M58" s="169" t="s">
        <v>33</v>
      </c>
      <c r="N58" s="10" t="s">
        <v>107</v>
      </c>
      <c r="O58" s="154" t="s">
        <v>26</v>
      </c>
      <c r="P58" s="157">
        <v>3</v>
      </c>
      <c r="Q58" s="157"/>
      <c r="R58" s="157"/>
      <c r="S58" s="157"/>
      <c r="T58" s="157"/>
      <c r="U58" s="157"/>
      <c r="V58" s="157"/>
      <c r="W58" s="157">
        <f t="shared" si="8"/>
        <v>3</v>
      </c>
      <c r="X58" s="158">
        <f>SUMIFS('Đơn giá'!C:C,'Đơn giá'!B:B,'XUẤT (2)'!O58)</f>
        <v>98000</v>
      </c>
      <c r="Y58" s="159">
        <f t="shared" si="6"/>
        <v>294000</v>
      </c>
      <c r="Z58" s="232" t="s">
        <v>583</v>
      </c>
      <c r="AA58" s="36" t="s">
        <v>37</v>
      </c>
      <c r="AB58" s="90">
        <f t="shared" si="9"/>
        <v>3</v>
      </c>
      <c r="AC58" s="91">
        <f t="shared" si="10"/>
        <v>15000</v>
      </c>
      <c r="AD58" s="157"/>
    </row>
    <row r="59" spans="1:30" s="160" customFormat="1" ht="87" customHeight="1" x14ac:dyDescent="0.3">
      <c r="A59" s="152">
        <v>4</v>
      </c>
      <c r="B59" s="233">
        <v>46365</v>
      </c>
      <c r="C59" s="84" t="s">
        <v>566</v>
      </c>
      <c r="D59" s="253"/>
      <c r="E59" s="253" t="s">
        <v>567</v>
      </c>
      <c r="F59" s="155"/>
      <c r="G59" s="155">
        <v>11</v>
      </c>
      <c r="H59" s="155"/>
      <c r="I59" s="155">
        <f t="shared" si="5"/>
        <v>11</v>
      </c>
      <c r="J59" s="152" t="s">
        <v>568</v>
      </c>
      <c r="K59" s="152"/>
      <c r="L59" s="152"/>
      <c r="M59" s="169" t="s">
        <v>33</v>
      </c>
      <c r="N59" s="10" t="s">
        <v>57</v>
      </c>
      <c r="O59" s="154" t="s">
        <v>26</v>
      </c>
      <c r="P59" s="157">
        <v>10</v>
      </c>
      <c r="Q59" s="157"/>
      <c r="R59" s="157"/>
      <c r="S59" s="157"/>
      <c r="T59" s="157"/>
      <c r="U59" s="157"/>
      <c r="V59" s="157">
        <v>1</v>
      </c>
      <c r="W59" s="157">
        <f t="shared" si="8"/>
        <v>11</v>
      </c>
      <c r="X59" s="158">
        <f>SUMIFS('Đơn giá'!C:C,'Đơn giá'!B:B,'XUẤT (2)'!O59)</f>
        <v>98000</v>
      </c>
      <c r="Y59" s="159">
        <f t="shared" si="6"/>
        <v>980000</v>
      </c>
      <c r="Z59" s="232" t="s">
        <v>681</v>
      </c>
      <c r="AA59" s="152" t="s">
        <v>670</v>
      </c>
      <c r="AB59" s="90">
        <f t="shared" si="9"/>
        <v>10</v>
      </c>
      <c r="AC59" s="91">
        <f t="shared" si="10"/>
        <v>50000</v>
      </c>
      <c r="AD59" s="157"/>
    </row>
    <row r="60" spans="1:30" s="160" customFormat="1" ht="90" hidden="1" customHeight="1" x14ac:dyDescent="0.3">
      <c r="A60" s="152">
        <v>5</v>
      </c>
      <c r="B60" s="153">
        <v>46365</v>
      </c>
      <c r="C60" s="154" t="s">
        <v>570</v>
      </c>
      <c r="D60" s="155" t="s">
        <v>30</v>
      </c>
      <c r="E60" s="164" t="s">
        <v>224</v>
      </c>
      <c r="F60" s="155"/>
      <c r="G60" s="155">
        <v>3</v>
      </c>
      <c r="H60" s="155"/>
      <c r="I60" s="155">
        <f t="shared" si="5"/>
        <v>3</v>
      </c>
      <c r="J60" s="152" t="s">
        <v>571</v>
      </c>
      <c r="K60" s="152"/>
      <c r="L60" s="152" t="s">
        <v>491</v>
      </c>
      <c r="M60" s="169" t="s">
        <v>72</v>
      </c>
      <c r="N60" s="163"/>
      <c r="O60" s="154" t="s">
        <v>26</v>
      </c>
      <c r="P60" s="157">
        <v>3</v>
      </c>
      <c r="Q60" s="157"/>
      <c r="R60" s="157"/>
      <c r="S60" s="157"/>
      <c r="T60" s="157"/>
      <c r="U60" s="157"/>
      <c r="V60" s="157"/>
      <c r="W60" s="157">
        <f t="shared" si="8"/>
        <v>3</v>
      </c>
      <c r="X60" s="158">
        <f>SUMIFS('Đơn giá'!C:C,'Đơn giá'!B:B,'XUẤT (2)'!O60)</f>
        <v>98000</v>
      </c>
      <c r="Y60" s="159">
        <f t="shared" si="6"/>
        <v>294000</v>
      </c>
      <c r="Z60" s="232" t="s">
        <v>579</v>
      </c>
      <c r="AA60" s="152"/>
      <c r="AB60" s="90">
        <f t="shared" si="9"/>
        <v>3</v>
      </c>
      <c r="AC60" s="91">
        <f t="shared" si="10"/>
        <v>15000</v>
      </c>
      <c r="AD60" s="157" t="s">
        <v>74</v>
      </c>
    </row>
    <row r="61" spans="1:30" s="375" customFormat="1" ht="58.8" customHeight="1" x14ac:dyDescent="0.3">
      <c r="A61" s="364">
        <v>6</v>
      </c>
      <c r="B61" s="365">
        <v>46365</v>
      </c>
      <c r="C61" s="367" t="s">
        <v>572</v>
      </c>
      <c r="D61" s="369" t="s">
        <v>30</v>
      </c>
      <c r="E61" s="369" t="s">
        <v>543</v>
      </c>
      <c r="F61" s="369"/>
      <c r="G61" s="369">
        <v>11</v>
      </c>
      <c r="H61" s="369">
        <v>11</v>
      </c>
      <c r="I61" s="369">
        <f t="shared" si="5"/>
        <v>22</v>
      </c>
      <c r="J61" s="374" t="s">
        <v>37</v>
      </c>
      <c r="K61" s="364"/>
      <c r="L61" s="364" t="s">
        <v>491</v>
      </c>
      <c r="M61" s="370" t="s">
        <v>33</v>
      </c>
      <c r="N61" s="376" t="s">
        <v>37</v>
      </c>
      <c r="O61" s="367" t="s">
        <v>29</v>
      </c>
      <c r="P61" s="371"/>
      <c r="Q61" s="371">
        <v>10</v>
      </c>
      <c r="R61" s="371"/>
      <c r="S61" s="371"/>
      <c r="T61" s="371"/>
      <c r="U61" s="371"/>
      <c r="V61" s="371">
        <v>1</v>
      </c>
      <c r="W61" s="371">
        <f t="shared" si="8"/>
        <v>11</v>
      </c>
      <c r="X61" s="372">
        <f>SUMIFS('Đơn giá'!C:C,'Đơn giá'!B:B,'XUẤT (2)'!O61)</f>
        <v>85000</v>
      </c>
      <c r="Y61" s="373">
        <f>Q61*X61</f>
        <v>850000</v>
      </c>
      <c r="Z61" s="364" t="s">
        <v>951</v>
      </c>
      <c r="AA61" s="374" t="s">
        <v>37</v>
      </c>
      <c r="AB61" s="371">
        <f t="shared" si="9"/>
        <v>10</v>
      </c>
      <c r="AC61" s="372">
        <f t="shared" si="10"/>
        <v>50000</v>
      </c>
      <c r="AD61" s="371"/>
    </row>
    <row r="62" spans="1:30" s="160" customFormat="1" ht="59.4" hidden="1" customHeight="1" x14ac:dyDescent="0.3">
      <c r="A62" s="152">
        <v>7</v>
      </c>
      <c r="B62" s="153">
        <v>46365</v>
      </c>
      <c r="C62" s="154" t="s">
        <v>580</v>
      </c>
      <c r="D62" s="155" t="s">
        <v>30</v>
      </c>
      <c r="E62" s="155" t="s">
        <v>543</v>
      </c>
      <c r="F62" s="155"/>
      <c r="G62" s="155">
        <v>20</v>
      </c>
      <c r="H62" s="155"/>
      <c r="I62" s="155">
        <f t="shared" si="5"/>
        <v>20</v>
      </c>
      <c r="J62" s="36" t="s">
        <v>37</v>
      </c>
      <c r="K62" s="152"/>
      <c r="L62" s="152" t="s">
        <v>491</v>
      </c>
      <c r="M62" s="169" t="s">
        <v>573</v>
      </c>
      <c r="N62" s="163"/>
      <c r="O62" s="154"/>
      <c r="P62" s="157"/>
      <c r="Q62" s="157">
        <v>20</v>
      </c>
      <c r="R62" s="157"/>
      <c r="S62" s="157"/>
      <c r="T62" s="157"/>
      <c r="U62" s="157"/>
      <c r="V62" s="157"/>
      <c r="W62" s="157">
        <f t="shared" si="8"/>
        <v>20</v>
      </c>
      <c r="X62" s="158">
        <f>SUMIFS('Đơn giá'!C:C,'Đơn giá'!B:B,'XUẤT (2)'!O62)</f>
        <v>0</v>
      </c>
      <c r="Y62" s="159">
        <f t="shared" si="6"/>
        <v>0</v>
      </c>
      <c r="Z62" s="232"/>
      <c r="AA62" s="152"/>
      <c r="AB62" s="90">
        <f t="shared" si="9"/>
        <v>20</v>
      </c>
      <c r="AC62" s="91">
        <f t="shared" si="10"/>
        <v>100000</v>
      </c>
      <c r="AD62" s="157" t="s">
        <v>581</v>
      </c>
    </row>
    <row r="63" spans="1:30" s="265" customFormat="1" ht="87.6" customHeight="1" x14ac:dyDescent="0.3">
      <c r="A63" s="232">
        <v>8</v>
      </c>
      <c r="B63" s="233">
        <v>46365</v>
      </c>
      <c r="C63" s="84" t="s">
        <v>575</v>
      </c>
      <c r="D63" s="253" t="s">
        <v>30</v>
      </c>
      <c r="E63" s="253" t="s">
        <v>543</v>
      </c>
      <c r="F63" s="253"/>
      <c r="G63" s="253">
        <v>5</v>
      </c>
      <c r="H63" s="253"/>
      <c r="I63" s="253">
        <f t="shared" si="5"/>
        <v>5</v>
      </c>
      <c r="J63" s="232" t="s">
        <v>500</v>
      </c>
      <c r="K63" s="232"/>
      <c r="L63" s="232"/>
      <c r="M63" s="388" t="s">
        <v>46</v>
      </c>
      <c r="N63" s="389"/>
      <c r="O63" s="84" t="s">
        <v>26</v>
      </c>
      <c r="P63" s="235">
        <v>5</v>
      </c>
      <c r="Q63" s="235"/>
      <c r="R63" s="235"/>
      <c r="S63" s="235"/>
      <c r="T63" s="235"/>
      <c r="U63" s="235"/>
      <c r="V63" s="235"/>
      <c r="W63" s="235">
        <f t="shared" si="8"/>
        <v>5</v>
      </c>
      <c r="X63" s="236">
        <f>SUMIFS('Đơn giá'!C:C,'Đơn giá'!B:B,'XUẤT (2)'!O63)</f>
        <v>98000</v>
      </c>
      <c r="Y63" s="237">
        <f t="shared" si="6"/>
        <v>490000</v>
      </c>
      <c r="Z63" s="232" t="s">
        <v>826</v>
      </c>
      <c r="AA63" s="208" t="s">
        <v>41</v>
      </c>
      <c r="AB63" s="235">
        <f t="shared" si="9"/>
        <v>5</v>
      </c>
      <c r="AC63" s="236">
        <f t="shared" si="10"/>
        <v>25000</v>
      </c>
      <c r="AD63" s="235"/>
    </row>
    <row r="64" spans="1:30" s="160" customFormat="1" ht="48.6" customHeight="1" x14ac:dyDescent="0.3">
      <c r="A64" s="152">
        <v>9</v>
      </c>
      <c r="B64" s="153">
        <v>46365</v>
      </c>
      <c r="C64" s="154" t="s">
        <v>576</v>
      </c>
      <c r="D64" s="155" t="s">
        <v>30</v>
      </c>
      <c r="E64" s="155" t="s">
        <v>577</v>
      </c>
      <c r="F64" s="155"/>
      <c r="G64" s="155"/>
      <c r="H64" s="155"/>
      <c r="I64" s="155">
        <f t="shared" si="5"/>
        <v>0</v>
      </c>
      <c r="J64" s="10" t="s">
        <v>136</v>
      </c>
      <c r="K64" s="152"/>
      <c r="L64" s="152" t="s">
        <v>491</v>
      </c>
      <c r="M64" s="169" t="s">
        <v>33</v>
      </c>
      <c r="N64" s="10" t="s">
        <v>136</v>
      </c>
      <c r="O64" s="154" t="s">
        <v>26</v>
      </c>
      <c r="P64" s="157"/>
      <c r="Q64" s="157"/>
      <c r="R64" s="157"/>
      <c r="S64" s="157"/>
      <c r="T64" s="157"/>
      <c r="U64" s="157"/>
      <c r="V64" s="157"/>
      <c r="W64" s="157">
        <f t="shared" si="8"/>
        <v>0</v>
      </c>
      <c r="X64" s="158">
        <f>SUMIFS('Đơn giá'!C:C,'Đơn giá'!B:B,'XUẤT (2)'!O64)</f>
        <v>98000</v>
      </c>
      <c r="Y64" s="159">
        <f t="shared" si="6"/>
        <v>0</v>
      </c>
      <c r="Z64" s="152" t="s">
        <v>798</v>
      </c>
      <c r="AA64" s="36" t="s">
        <v>136</v>
      </c>
      <c r="AB64" s="157">
        <f t="shared" si="9"/>
        <v>0</v>
      </c>
      <c r="AC64" s="158">
        <f t="shared" si="10"/>
        <v>0</v>
      </c>
      <c r="AD64" s="157"/>
    </row>
    <row r="65" spans="1:30" s="160" customFormat="1" ht="55.8" customHeight="1" x14ac:dyDescent="0.3">
      <c r="A65" s="152">
        <v>10</v>
      </c>
      <c r="B65" s="153">
        <v>46365</v>
      </c>
      <c r="C65" s="382" t="s">
        <v>578</v>
      </c>
      <c r="D65" s="155" t="s">
        <v>30</v>
      </c>
      <c r="E65" s="155" t="s">
        <v>543</v>
      </c>
      <c r="F65" s="155"/>
      <c r="G65" s="155">
        <v>11</v>
      </c>
      <c r="H65" s="155"/>
      <c r="I65" s="155">
        <f t="shared" si="5"/>
        <v>11</v>
      </c>
      <c r="J65" s="152" t="s">
        <v>31</v>
      </c>
      <c r="K65" s="152"/>
      <c r="L65" s="152" t="s">
        <v>491</v>
      </c>
      <c r="M65" s="169" t="s">
        <v>33</v>
      </c>
      <c r="N65" s="10" t="s">
        <v>104</v>
      </c>
      <c r="O65" s="154" t="s">
        <v>26</v>
      </c>
      <c r="P65" s="157">
        <v>10</v>
      </c>
      <c r="Q65" s="157"/>
      <c r="R65" s="157"/>
      <c r="S65" s="157"/>
      <c r="T65" s="157"/>
      <c r="U65" s="157"/>
      <c r="V65" s="157">
        <v>1</v>
      </c>
      <c r="W65" s="157">
        <f t="shared" si="8"/>
        <v>11</v>
      </c>
      <c r="X65" s="158">
        <f>SUMIFS('Đơn giá'!C:C,'Đơn giá'!B:B,'XUẤT (2)'!O65)</f>
        <v>98000</v>
      </c>
      <c r="Y65" s="159">
        <f t="shared" si="6"/>
        <v>980000</v>
      </c>
      <c r="Z65" s="152" t="s">
        <v>602</v>
      </c>
      <c r="AA65" s="10" t="s">
        <v>235</v>
      </c>
      <c r="AB65" s="90">
        <f t="shared" si="9"/>
        <v>10</v>
      </c>
      <c r="AC65" s="91">
        <f t="shared" si="10"/>
        <v>50000</v>
      </c>
      <c r="AD65" s="157" t="s">
        <v>390</v>
      </c>
    </row>
    <row r="66" spans="1:30" s="160" customFormat="1" ht="42" customHeight="1" x14ac:dyDescent="0.3">
      <c r="A66" s="152">
        <v>11</v>
      </c>
      <c r="B66" s="153">
        <v>46365</v>
      </c>
      <c r="C66" s="154" t="s">
        <v>584</v>
      </c>
      <c r="D66" s="155" t="s">
        <v>30</v>
      </c>
      <c r="E66" s="224" t="s">
        <v>224</v>
      </c>
      <c r="F66" s="155"/>
      <c r="G66" s="155">
        <v>4</v>
      </c>
      <c r="H66" s="155"/>
      <c r="I66" s="155">
        <f t="shared" si="5"/>
        <v>4</v>
      </c>
      <c r="J66" s="211" t="s">
        <v>241</v>
      </c>
      <c r="K66" s="152"/>
      <c r="L66" s="152" t="s">
        <v>491</v>
      </c>
      <c r="M66" s="169" t="s">
        <v>33</v>
      </c>
      <c r="N66" s="10" t="s">
        <v>241</v>
      </c>
      <c r="O66" s="154" t="s">
        <v>26</v>
      </c>
      <c r="P66" s="157">
        <v>4</v>
      </c>
      <c r="Q66" s="157"/>
      <c r="R66" s="157"/>
      <c r="S66" s="157"/>
      <c r="T66" s="157"/>
      <c r="U66" s="157"/>
      <c r="V66" s="157"/>
      <c r="W66" s="157">
        <f t="shared" si="8"/>
        <v>4</v>
      </c>
      <c r="X66" s="158">
        <f>SUMIFS('Đơn giá'!C:C,'Đơn giá'!B:B,'XUẤT (2)'!O66)</f>
        <v>98000</v>
      </c>
      <c r="Y66" s="159">
        <f t="shared" si="6"/>
        <v>392000</v>
      </c>
      <c r="Z66" s="232"/>
      <c r="AA66" s="10" t="s">
        <v>241</v>
      </c>
      <c r="AB66" s="90">
        <f t="shared" si="9"/>
        <v>4</v>
      </c>
      <c r="AC66" s="91">
        <f t="shared" si="10"/>
        <v>20000</v>
      </c>
      <c r="AD66" s="157"/>
    </row>
    <row r="67" spans="1:30" s="160" customFormat="1" ht="45" customHeight="1" x14ac:dyDescent="0.3">
      <c r="A67" s="152">
        <v>1</v>
      </c>
      <c r="B67" s="153" t="s">
        <v>582</v>
      </c>
      <c r="C67" s="361" t="s">
        <v>585</v>
      </c>
      <c r="D67" s="155" t="s">
        <v>30</v>
      </c>
      <c r="E67" s="155" t="s">
        <v>577</v>
      </c>
      <c r="F67" s="155"/>
      <c r="G67" s="155">
        <v>11</v>
      </c>
      <c r="H67" s="155"/>
      <c r="I67" s="155">
        <f t="shared" si="5"/>
        <v>11</v>
      </c>
      <c r="J67" s="7" t="s">
        <v>219</v>
      </c>
      <c r="K67" s="152"/>
      <c r="L67" s="152" t="s">
        <v>491</v>
      </c>
      <c r="M67" s="169" t="s">
        <v>33</v>
      </c>
      <c r="N67" s="10" t="s">
        <v>58</v>
      </c>
      <c r="O67" s="154" t="s">
        <v>26</v>
      </c>
      <c r="P67" s="157">
        <v>10</v>
      </c>
      <c r="Q67" s="157"/>
      <c r="R67" s="157"/>
      <c r="S67" s="157"/>
      <c r="T67" s="157"/>
      <c r="U67" s="157"/>
      <c r="V67" s="157">
        <v>1</v>
      </c>
      <c r="W67" s="157">
        <f t="shared" si="8"/>
        <v>11</v>
      </c>
      <c r="X67" s="158">
        <f>SUMIFS('Đơn giá'!C:C,'Đơn giá'!B:B,'XUẤT (2)'!O67)</f>
        <v>98000</v>
      </c>
      <c r="Y67" s="159">
        <f t="shared" si="6"/>
        <v>980000</v>
      </c>
      <c r="Z67" s="232"/>
      <c r="AA67" s="7" t="s">
        <v>219</v>
      </c>
      <c r="AB67" s="90">
        <f t="shared" si="9"/>
        <v>10</v>
      </c>
      <c r="AC67" s="91">
        <f t="shared" si="10"/>
        <v>50000</v>
      </c>
      <c r="AD67" s="157"/>
    </row>
    <row r="68" spans="1:30" s="160" customFormat="1" ht="45" customHeight="1" x14ac:dyDescent="0.3">
      <c r="A68" s="152">
        <v>2</v>
      </c>
      <c r="B68" s="153" t="s">
        <v>582</v>
      </c>
      <c r="C68" s="154" t="s">
        <v>586</v>
      </c>
      <c r="D68" s="155" t="s">
        <v>30</v>
      </c>
      <c r="E68" s="155" t="s">
        <v>424</v>
      </c>
      <c r="F68" s="155"/>
      <c r="G68" s="155">
        <v>11</v>
      </c>
      <c r="H68" s="155"/>
      <c r="I68" s="155">
        <f t="shared" si="5"/>
        <v>11</v>
      </c>
      <c r="J68" s="7" t="s">
        <v>235</v>
      </c>
      <c r="K68" s="152"/>
      <c r="L68" s="152" t="s">
        <v>491</v>
      </c>
      <c r="M68" s="169" t="s">
        <v>33</v>
      </c>
      <c r="N68" s="10" t="s">
        <v>178</v>
      </c>
      <c r="O68" s="154" t="s">
        <v>26</v>
      </c>
      <c r="P68" s="157">
        <v>10</v>
      </c>
      <c r="Q68" s="157"/>
      <c r="R68" s="157"/>
      <c r="S68" s="157"/>
      <c r="T68" s="157"/>
      <c r="U68" s="157"/>
      <c r="V68" s="157">
        <v>1</v>
      </c>
      <c r="W68" s="157">
        <f t="shared" si="8"/>
        <v>11</v>
      </c>
      <c r="X68" s="158">
        <f>SUMIFS('Đơn giá'!C:C,'Đơn giá'!B:B,'XUẤT (2)'!O68)</f>
        <v>98000</v>
      </c>
      <c r="Y68" s="159">
        <f t="shared" si="6"/>
        <v>980000</v>
      </c>
      <c r="Z68" s="152" t="s">
        <v>680</v>
      </c>
      <c r="AA68" s="10" t="s">
        <v>235</v>
      </c>
      <c r="AB68" s="90">
        <f t="shared" si="9"/>
        <v>10</v>
      </c>
      <c r="AC68" s="91">
        <f t="shared" si="10"/>
        <v>50000</v>
      </c>
      <c r="AD68" s="255" t="s">
        <v>588</v>
      </c>
    </row>
    <row r="69" spans="1:30" s="160" customFormat="1" ht="45" customHeight="1" x14ac:dyDescent="0.3">
      <c r="A69" s="152">
        <v>3</v>
      </c>
      <c r="B69" s="153" t="s">
        <v>582</v>
      </c>
      <c r="C69" s="154" t="s">
        <v>587</v>
      </c>
      <c r="D69" s="155" t="s">
        <v>30</v>
      </c>
      <c r="E69" s="155" t="s">
        <v>424</v>
      </c>
      <c r="F69" s="155"/>
      <c r="G69" s="155">
        <v>11</v>
      </c>
      <c r="H69" s="155"/>
      <c r="I69" s="155">
        <f t="shared" si="5"/>
        <v>11</v>
      </c>
      <c r="J69" s="7" t="s">
        <v>235</v>
      </c>
      <c r="K69" s="152"/>
      <c r="L69" s="152" t="s">
        <v>491</v>
      </c>
      <c r="M69" s="169" t="s">
        <v>33</v>
      </c>
      <c r="N69" s="10" t="s">
        <v>171</v>
      </c>
      <c r="O69" s="154" t="s">
        <v>26</v>
      </c>
      <c r="P69" s="157">
        <v>10</v>
      </c>
      <c r="Q69" s="157"/>
      <c r="R69" s="157"/>
      <c r="S69" s="157"/>
      <c r="T69" s="157"/>
      <c r="U69" s="157"/>
      <c r="V69" s="157">
        <v>1</v>
      </c>
      <c r="W69" s="157">
        <f t="shared" si="8"/>
        <v>11</v>
      </c>
      <c r="X69" s="158">
        <f>SUMIFS('Đơn giá'!C:C,'Đơn giá'!B:B,'XUẤT (2)'!O69)</f>
        <v>98000</v>
      </c>
      <c r="Y69" s="159">
        <f t="shared" si="6"/>
        <v>980000</v>
      </c>
      <c r="Z69" s="152" t="s">
        <v>602</v>
      </c>
      <c r="AA69" s="10" t="s">
        <v>235</v>
      </c>
      <c r="AB69" s="90">
        <f t="shared" si="9"/>
        <v>10</v>
      </c>
      <c r="AC69" s="91">
        <f t="shared" si="10"/>
        <v>50000</v>
      </c>
      <c r="AD69" s="157" t="s">
        <v>592</v>
      </c>
    </row>
    <row r="70" spans="1:30" s="160" customFormat="1" ht="45" customHeight="1" x14ac:dyDescent="0.3">
      <c r="A70" s="152">
        <v>4</v>
      </c>
      <c r="B70" s="153" t="s">
        <v>582</v>
      </c>
      <c r="C70" s="154" t="s">
        <v>457</v>
      </c>
      <c r="D70" s="155" t="s">
        <v>30</v>
      </c>
      <c r="E70" s="155" t="s">
        <v>424</v>
      </c>
      <c r="F70" s="155"/>
      <c r="G70" s="155">
        <v>11</v>
      </c>
      <c r="H70" s="155"/>
      <c r="I70" s="155">
        <f t="shared" si="5"/>
        <v>11</v>
      </c>
      <c r="J70" s="7" t="s">
        <v>235</v>
      </c>
      <c r="K70" s="152"/>
      <c r="L70" s="152" t="s">
        <v>491</v>
      </c>
      <c r="M70" s="169" t="s">
        <v>33</v>
      </c>
      <c r="N70" s="10" t="s">
        <v>193</v>
      </c>
      <c r="O70" s="154" t="s">
        <v>26</v>
      </c>
      <c r="P70" s="157">
        <v>10</v>
      </c>
      <c r="Q70" s="157"/>
      <c r="R70" s="157"/>
      <c r="S70" s="157"/>
      <c r="T70" s="157"/>
      <c r="U70" s="157"/>
      <c r="V70" s="157">
        <v>1</v>
      </c>
      <c r="W70" s="157">
        <f t="shared" si="8"/>
        <v>11</v>
      </c>
      <c r="X70" s="158">
        <f>SUMIFS('Đơn giá'!C:C,'Đơn giá'!B:B,'XUẤT (2)'!O70)</f>
        <v>98000</v>
      </c>
      <c r="Y70" s="159">
        <f t="shared" si="6"/>
        <v>980000</v>
      </c>
      <c r="Z70" s="152" t="s">
        <v>602</v>
      </c>
      <c r="AA70" s="10" t="s">
        <v>235</v>
      </c>
      <c r="AB70" s="90">
        <f t="shared" si="9"/>
        <v>10</v>
      </c>
      <c r="AC70" s="91">
        <f t="shared" si="10"/>
        <v>50000</v>
      </c>
      <c r="AD70" s="157" t="s">
        <v>592</v>
      </c>
    </row>
    <row r="71" spans="1:30" s="160" customFormat="1" ht="45" customHeight="1" x14ac:dyDescent="0.3">
      <c r="A71" s="152">
        <v>5</v>
      </c>
      <c r="B71" s="153" t="s">
        <v>582</v>
      </c>
      <c r="C71" s="154" t="s">
        <v>591</v>
      </c>
      <c r="D71" s="155" t="s">
        <v>30</v>
      </c>
      <c r="E71" s="155" t="s">
        <v>424</v>
      </c>
      <c r="F71" s="155"/>
      <c r="G71" s="155">
        <v>11</v>
      </c>
      <c r="H71" s="155"/>
      <c r="I71" s="155">
        <f t="shared" si="5"/>
        <v>11</v>
      </c>
      <c r="J71" s="7" t="s">
        <v>235</v>
      </c>
      <c r="K71" s="152"/>
      <c r="L71" s="152" t="s">
        <v>491</v>
      </c>
      <c r="M71" s="85" t="s">
        <v>33</v>
      </c>
      <c r="N71" s="10" t="s">
        <v>312</v>
      </c>
      <c r="O71" s="154" t="s">
        <v>26</v>
      </c>
      <c r="P71" s="157">
        <v>10</v>
      </c>
      <c r="Q71" s="157"/>
      <c r="R71" s="157"/>
      <c r="S71" s="157"/>
      <c r="T71" s="157"/>
      <c r="U71" s="157"/>
      <c r="V71" s="157">
        <v>1</v>
      </c>
      <c r="W71" s="157">
        <f t="shared" si="8"/>
        <v>11</v>
      </c>
      <c r="X71" s="158">
        <v>98000</v>
      </c>
      <c r="Y71" s="159">
        <f t="shared" si="6"/>
        <v>980000</v>
      </c>
      <c r="Z71" s="152" t="s">
        <v>602</v>
      </c>
      <c r="AA71" s="10" t="s">
        <v>235</v>
      </c>
      <c r="AB71" s="90">
        <f t="shared" si="9"/>
        <v>10</v>
      </c>
      <c r="AC71" s="91">
        <f t="shared" si="10"/>
        <v>50000</v>
      </c>
      <c r="AD71" s="157" t="s">
        <v>592</v>
      </c>
    </row>
    <row r="72" spans="1:30" s="160" customFormat="1" ht="45" customHeight="1" x14ac:dyDescent="0.3">
      <c r="A72" s="152">
        <v>6</v>
      </c>
      <c r="B72" s="153" t="s">
        <v>582</v>
      </c>
      <c r="C72" s="154" t="s">
        <v>614</v>
      </c>
      <c r="D72" s="155" t="s">
        <v>30</v>
      </c>
      <c r="E72" s="155" t="s">
        <v>424</v>
      </c>
      <c r="F72" s="155"/>
      <c r="G72" s="155">
        <v>2</v>
      </c>
      <c r="H72" s="155"/>
      <c r="I72" s="155">
        <f t="shared" si="5"/>
        <v>2</v>
      </c>
      <c r="J72" s="7" t="s">
        <v>235</v>
      </c>
      <c r="K72" s="152"/>
      <c r="L72" s="152" t="s">
        <v>491</v>
      </c>
      <c r="M72" s="85" t="s">
        <v>33</v>
      </c>
      <c r="N72" s="7" t="s">
        <v>235</v>
      </c>
      <c r="O72" s="154" t="s">
        <v>26</v>
      </c>
      <c r="P72" s="157">
        <v>2</v>
      </c>
      <c r="Q72" s="157"/>
      <c r="R72" s="157"/>
      <c r="S72" s="157"/>
      <c r="T72" s="157"/>
      <c r="U72" s="157"/>
      <c r="V72" s="157"/>
      <c r="W72" s="157">
        <f t="shared" si="8"/>
        <v>2</v>
      </c>
      <c r="X72" s="158">
        <f>SUMIFS('Đơn giá'!C:C,'Đơn giá'!B:B,'XUẤT (2)'!O72)</f>
        <v>98000</v>
      </c>
      <c r="Y72" s="159">
        <f t="shared" si="6"/>
        <v>196000</v>
      </c>
      <c r="Z72" s="152" t="s">
        <v>602</v>
      </c>
      <c r="AA72" s="10" t="s">
        <v>235</v>
      </c>
      <c r="AB72" s="90">
        <f t="shared" si="9"/>
        <v>2</v>
      </c>
      <c r="AC72" s="91">
        <f t="shared" si="10"/>
        <v>10000</v>
      </c>
      <c r="AD72" s="157" t="s">
        <v>592</v>
      </c>
    </row>
    <row r="73" spans="1:30" s="265" customFormat="1" ht="45" customHeight="1" x14ac:dyDescent="0.3">
      <c r="A73" s="232">
        <v>7</v>
      </c>
      <c r="B73" s="233" t="s">
        <v>582</v>
      </c>
      <c r="C73" s="270" t="s">
        <v>616</v>
      </c>
      <c r="D73" s="253" t="s">
        <v>30</v>
      </c>
      <c r="E73" s="253" t="s">
        <v>543</v>
      </c>
      <c r="F73" s="253"/>
      <c r="G73" s="253">
        <v>30</v>
      </c>
      <c r="H73" s="253"/>
      <c r="I73" s="253">
        <f t="shared" si="5"/>
        <v>30</v>
      </c>
      <c r="J73" s="264" t="s">
        <v>235</v>
      </c>
      <c r="K73" s="232"/>
      <c r="L73" s="232" t="s">
        <v>491</v>
      </c>
      <c r="M73" s="85" t="s">
        <v>33</v>
      </c>
      <c r="N73" s="208" t="s">
        <v>219</v>
      </c>
      <c r="O73" s="84" t="s">
        <v>26</v>
      </c>
      <c r="P73" s="235">
        <v>30</v>
      </c>
      <c r="Q73" s="235"/>
      <c r="R73" s="235"/>
      <c r="S73" s="235"/>
      <c r="T73" s="235"/>
      <c r="U73" s="235"/>
      <c r="V73" s="235"/>
      <c r="W73" s="235">
        <f t="shared" si="8"/>
        <v>30</v>
      </c>
      <c r="X73" s="236">
        <v>98000</v>
      </c>
      <c r="Y73" s="237">
        <f>P73*X73</f>
        <v>2940000</v>
      </c>
      <c r="Z73" s="232"/>
      <c r="AA73" s="208" t="s">
        <v>235</v>
      </c>
      <c r="AB73" s="90">
        <f t="shared" si="9"/>
        <v>30</v>
      </c>
      <c r="AC73" s="91">
        <f t="shared" si="10"/>
        <v>150000</v>
      </c>
      <c r="AD73" s="266"/>
    </row>
    <row r="74" spans="1:30" s="160" customFormat="1" ht="78" customHeight="1" x14ac:dyDescent="0.3">
      <c r="A74" s="152">
        <v>1</v>
      </c>
      <c r="B74" s="153" t="s">
        <v>593</v>
      </c>
      <c r="C74" s="154" t="s">
        <v>594</v>
      </c>
      <c r="D74" s="155" t="s">
        <v>30</v>
      </c>
      <c r="E74" s="155" t="s">
        <v>543</v>
      </c>
      <c r="F74" s="155"/>
      <c r="G74" s="155">
        <v>11</v>
      </c>
      <c r="H74" s="155"/>
      <c r="I74" s="155">
        <f t="shared" si="5"/>
        <v>11</v>
      </c>
      <c r="J74" s="152" t="s">
        <v>595</v>
      </c>
      <c r="K74" s="152"/>
      <c r="L74" s="152" t="s">
        <v>491</v>
      </c>
      <c r="M74" s="169" t="s">
        <v>46</v>
      </c>
      <c r="N74" s="163" t="s">
        <v>507</v>
      </c>
      <c r="O74" s="154" t="s">
        <v>26</v>
      </c>
      <c r="P74" s="157">
        <v>10</v>
      </c>
      <c r="Q74" s="157"/>
      <c r="R74" s="157"/>
      <c r="S74" s="157"/>
      <c r="T74" s="157"/>
      <c r="U74" s="157"/>
      <c r="V74" s="157">
        <v>1</v>
      </c>
      <c r="W74" s="157">
        <f t="shared" si="8"/>
        <v>11</v>
      </c>
      <c r="X74" s="158">
        <f>SUMIFS('Đơn giá'!C:C,'Đơn giá'!B:B,'XUẤT (2)'!O74)</f>
        <v>98000</v>
      </c>
      <c r="Y74" s="159">
        <f t="shared" si="6"/>
        <v>980000</v>
      </c>
      <c r="Z74" s="152" t="s">
        <v>948</v>
      </c>
      <c r="AA74" s="10" t="s">
        <v>37</v>
      </c>
      <c r="AB74" s="90">
        <f t="shared" si="9"/>
        <v>10</v>
      </c>
      <c r="AC74" s="91">
        <f t="shared" si="10"/>
        <v>50000</v>
      </c>
      <c r="AD74" s="10" t="s">
        <v>37</v>
      </c>
    </row>
    <row r="75" spans="1:30" s="160" customFormat="1" ht="71.400000000000006" customHeight="1" x14ac:dyDescent="0.3">
      <c r="A75" s="152">
        <v>2</v>
      </c>
      <c r="B75" s="153" t="s">
        <v>593</v>
      </c>
      <c r="C75" s="154" t="s">
        <v>596</v>
      </c>
      <c r="D75" s="155" t="s">
        <v>30</v>
      </c>
      <c r="E75" s="155" t="s">
        <v>224</v>
      </c>
      <c r="F75" s="155"/>
      <c r="G75" s="155">
        <v>11</v>
      </c>
      <c r="H75" s="155"/>
      <c r="I75" s="155">
        <f t="shared" si="5"/>
        <v>11</v>
      </c>
      <c r="J75" s="152" t="s">
        <v>595</v>
      </c>
      <c r="K75" s="152"/>
      <c r="L75" s="152" t="s">
        <v>491</v>
      </c>
      <c r="M75" s="169" t="s">
        <v>46</v>
      </c>
      <c r="N75" s="163"/>
      <c r="O75" s="154" t="s">
        <v>26</v>
      </c>
      <c r="P75" s="157">
        <v>10</v>
      </c>
      <c r="Q75" s="157"/>
      <c r="R75" s="157"/>
      <c r="S75" s="157"/>
      <c r="T75" s="157"/>
      <c r="U75" s="157"/>
      <c r="V75" s="157">
        <v>1</v>
      </c>
      <c r="W75" s="157">
        <f t="shared" si="8"/>
        <v>11</v>
      </c>
      <c r="X75" s="158">
        <f>SUMIFS('Đơn giá'!C:C,'Đơn giá'!B:B,'XUẤT (2)'!O75)</f>
        <v>98000</v>
      </c>
      <c r="Y75" s="159">
        <f t="shared" si="6"/>
        <v>980000</v>
      </c>
      <c r="Z75" s="232" t="s">
        <v>681</v>
      </c>
      <c r="AA75" s="152"/>
      <c r="AB75" s="90">
        <f t="shared" si="9"/>
        <v>10</v>
      </c>
      <c r="AC75" s="91">
        <f t="shared" si="10"/>
        <v>50000</v>
      </c>
      <c r="AD75" s="157"/>
    </row>
    <row r="76" spans="1:30" s="160" customFormat="1" ht="71.400000000000006" hidden="1" customHeight="1" x14ac:dyDescent="0.3">
      <c r="A76" s="152">
        <v>3</v>
      </c>
      <c r="B76" s="153" t="s">
        <v>593</v>
      </c>
      <c r="C76" s="154" t="s">
        <v>597</v>
      </c>
      <c r="D76" s="155" t="s">
        <v>30</v>
      </c>
      <c r="E76" s="155" t="s">
        <v>543</v>
      </c>
      <c r="F76" s="155"/>
      <c r="G76" s="155">
        <v>11</v>
      </c>
      <c r="H76" s="155"/>
      <c r="I76" s="155">
        <f t="shared" si="5"/>
        <v>11</v>
      </c>
      <c r="J76" s="152" t="s">
        <v>595</v>
      </c>
      <c r="K76" s="152"/>
      <c r="L76" s="152" t="s">
        <v>491</v>
      </c>
      <c r="M76" s="169" t="s">
        <v>50</v>
      </c>
      <c r="N76" s="163"/>
      <c r="O76" s="154" t="s">
        <v>35</v>
      </c>
      <c r="P76" s="157">
        <v>10</v>
      </c>
      <c r="Q76" s="157"/>
      <c r="R76" s="157"/>
      <c r="S76" s="157"/>
      <c r="T76" s="157"/>
      <c r="U76" s="157"/>
      <c r="V76" s="157">
        <v>1</v>
      </c>
      <c r="W76" s="157">
        <f t="shared" si="8"/>
        <v>11</v>
      </c>
      <c r="X76" s="158">
        <f>SUMIFS('Đơn giá'!C:C,'Đơn giá'!B:B,'XUẤT (2)'!O76)</f>
        <v>106000</v>
      </c>
      <c r="Y76" s="159">
        <f t="shared" si="6"/>
        <v>1060000</v>
      </c>
      <c r="Z76" s="152"/>
      <c r="AA76" s="152"/>
      <c r="AB76" s="90">
        <f t="shared" si="9"/>
        <v>10</v>
      </c>
      <c r="AC76" s="91">
        <f t="shared" si="10"/>
        <v>50000</v>
      </c>
      <c r="AD76" s="157"/>
    </row>
    <row r="77" spans="1:30" s="160" customFormat="1" ht="45" customHeight="1" x14ac:dyDescent="0.3">
      <c r="A77" s="152">
        <v>4</v>
      </c>
      <c r="B77" s="153" t="s">
        <v>593</v>
      </c>
      <c r="C77" s="154" t="s">
        <v>598</v>
      </c>
      <c r="D77" s="155" t="s">
        <v>30</v>
      </c>
      <c r="E77" s="155" t="s">
        <v>577</v>
      </c>
      <c r="F77" s="155"/>
      <c r="G77" s="155">
        <v>7</v>
      </c>
      <c r="H77" s="155"/>
      <c r="I77" s="155">
        <f t="shared" si="5"/>
        <v>7</v>
      </c>
      <c r="J77" s="36" t="s">
        <v>136</v>
      </c>
      <c r="K77" s="152"/>
      <c r="L77" s="152" t="s">
        <v>491</v>
      </c>
      <c r="M77" s="85" t="s">
        <v>33</v>
      </c>
      <c r="N77" s="10" t="s">
        <v>136</v>
      </c>
      <c r="O77" s="154" t="s">
        <v>26</v>
      </c>
      <c r="P77" s="157">
        <v>7</v>
      </c>
      <c r="Q77" s="157"/>
      <c r="R77" s="157"/>
      <c r="S77" s="157"/>
      <c r="T77" s="157"/>
      <c r="U77" s="157"/>
      <c r="V77" s="157"/>
      <c r="W77" s="157">
        <f t="shared" si="8"/>
        <v>7</v>
      </c>
      <c r="X77" s="158">
        <f>SUMIFS('Đơn giá'!C:C,'Đơn giá'!B:B,'XUẤT (2)'!O77)</f>
        <v>98000</v>
      </c>
      <c r="Y77" s="159">
        <f t="shared" si="6"/>
        <v>686000</v>
      </c>
      <c r="Z77" s="152" t="s">
        <v>798</v>
      </c>
      <c r="AA77" s="10" t="s">
        <v>136</v>
      </c>
      <c r="AB77" s="157">
        <f t="shared" si="9"/>
        <v>7</v>
      </c>
      <c r="AC77" s="158">
        <f t="shared" si="10"/>
        <v>35000</v>
      </c>
      <c r="AD77" s="157"/>
    </row>
    <row r="78" spans="1:30" s="160" customFormat="1" ht="79.8" hidden="1" customHeight="1" x14ac:dyDescent="0.3">
      <c r="A78" s="152">
        <v>5</v>
      </c>
      <c r="B78" s="153" t="s">
        <v>593</v>
      </c>
      <c r="C78" s="154" t="s">
        <v>601</v>
      </c>
      <c r="D78" s="155" t="s">
        <v>30</v>
      </c>
      <c r="E78" s="155" t="s">
        <v>543</v>
      </c>
      <c r="F78" s="155"/>
      <c r="G78" s="155">
        <v>11</v>
      </c>
      <c r="H78" s="155"/>
      <c r="I78" s="155">
        <f t="shared" si="5"/>
        <v>11</v>
      </c>
      <c r="J78" s="152" t="s">
        <v>595</v>
      </c>
      <c r="K78" s="152"/>
      <c r="L78" s="152" t="s">
        <v>491</v>
      </c>
      <c r="M78" s="169" t="s">
        <v>72</v>
      </c>
      <c r="N78" s="163"/>
      <c r="O78" s="154" t="s">
        <v>26</v>
      </c>
      <c r="P78" s="157">
        <v>10</v>
      </c>
      <c r="Q78" s="157"/>
      <c r="R78" s="157"/>
      <c r="S78" s="157"/>
      <c r="T78" s="157"/>
      <c r="U78" s="157"/>
      <c r="V78" s="157">
        <v>1</v>
      </c>
      <c r="W78" s="157">
        <f t="shared" si="8"/>
        <v>11</v>
      </c>
      <c r="X78" s="158">
        <f>SUMIFS('Đơn giá'!C:C,'Đơn giá'!B:B,'XUẤT (2)'!O78)</f>
        <v>98000</v>
      </c>
      <c r="Y78" s="159">
        <f t="shared" si="6"/>
        <v>980000</v>
      </c>
      <c r="Z78" s="152"/>
      <c r="AA78" s="10" t="s">
        <v>37</v>
      </c>
      <c r="AB78" s="90">
        <f t="shared" si="9"/>
        <v>10</v>
      </c>
      <c r="AC78" s="91">
        <f t="shared" si="10"/>
        <v>50000</v>
      </c>
      <c r="AD78" s="157" t="s">
        <v>599</v>
      </c>
    </row>
    <row r="79" spans="1:30" s="160" customFormat="1" ht="69" customHeight="1" x14ac:dyDescent="0.3">
      <c r="A79" s="152">
        <v>6</v>
      </c>
      <c r="B79" s="153" t="s">
        <v>593</v>
      </c>
      <c r="C79" s="154" t="s">
        <v>600</v>
      </c>
      <c r="D79" s="155" t="s">
        <v>30</v>
      </c>
      <c r="E79" s="155" t="s">
        <v>543</v>
      </c>
      <c r="F79" s="155"/>
      <c r="G79" s="155">
        <v>11</v>
      </c>
      <c r="H79" s="155"/>
      <c r="I79" s="155">
        <f t="shared" si="5"/>
        <v>11</v>
      </c>
      <c r="J79" s="152" t="s">
        <v>595</v>
      </c>
      <c r="K79" s="152"/>
      <c r="L79" s="152" t="s">
        <v>491</v>
      </c>
      <c r="M79" s="85" t="s">
        <v>33</v>
      </c>
      <c r="N79" s="10" t="s">
        <v>312</v>
      </c>
      <c r="O79" s="154" t="s">
        <v>26</v>
      </c>
      <c r="P79" s="157">
        <v>10</v>
      </c>
      <c r="Q79" s="157"/>
      <c r="R79" s="157"/>
      <c r="S79" s="157"/>
      <c r="T79" s="157"/>
      <c r="U79" s="157"/>
      <c r="V79" s="157">
        <v>1</v>
      </c>
      <c r="W79" s="157">
        <f t="shared" si="8"/>
        <v>11</v>
      </c>
      <c r="X79" s="158">
        <f>SUMIFS('Đơn giá'!C:C,'Đơn giá'!B:B,'XUẤT (2)'!O79)</f>
        <v>98000</v>
      </c>
      <c r="Y79" s="159">
        <f t="shared" si="6"/>
        <v>980000</v>
      </c>
      <c r="Z79" s="152"/>
      <c r="AA79" s="152" t="s">
        <v>595</v>
      </c>
      <c r="AB79" s="90">
        <f t="shared" si="9"/>
        <v>10</v>
      </c>
      <c r="AC79" s="91">
        <f t="shared" si="10"/>
        <v>50000</v>
      </c>
      <c r="AD79" s="157"/>
    </row>
    <row r="80" spans="1:30" s="160" customFormat="1" ht="148.80000000000001" customHeight="1" x14ac:dyDescent="0.3">
      <c r="A80" s="152">
        <v>7</v>
      </c>
      <c r="B80" s="153" t="s">
        <v>593</v>
      </c>
      <c r="C80" s="154" t="s">
        <v>605</v>
      </c>
      <c r="D80" s="155" t="s">
        <v>30</v>
      </c>
      <c r="E80" s="155" t="s">
        <v>543</v>
      </c>
      <c r="F80" s="155"/>
      <c r="G80" s="155"/>
      <c r="H80" s="155">
        <v>10</v>
      </c>
      <c r="I80" s="155">
        <f t="shared" si="5"/>
        <v>10</v>
      </c>
      <c r="J80" s="152" t="s">
        <v>595</v>
      </c>
      <c r="K80" s="152"/>
      <c r="L80" s="152" t="s">
        <v>491</v>
      </c>
      <c r="M80" s="169" t="s">
        <v>46</v>
      </c>
      <c r="N80" s="163" t="s">
        <v>604</v>
      </c>
      <c r="O80" s="154" t="s">
        <v>39</v>
      </c>
      <c r="P80" s="157"/>
      <c r="Q80" s="157"/>
      <c r="R80" s="157"/>
      <c r="S80" s="157"/>
      <c r="T80" s="157">
        <v>10</v>
      </c>
      <c r="U80" s="157"/>
      <c r="V80" s="157"/>
      <c r="W80" s="157">
        <f t="shared" si="8"/>
        <v>10</v>
      </c>
      <c r="X80" s="158">
        <v>52000</v>
      </c>
      <c r="Y80" s="159">
        <f>T80*X80</f>
        <v>520000</v>
      </c>
      <c r="Z80" s="232" t="s">
        <v>633</v>
      </c>
      <c r="AA80" s="152" t="s">
        <v>595</v>
      </c>
      <c r="AB80" s="90">
        <f t="shared" si="9"/>
        <v>10</v>
      </c>
      <c r="AC80" s="91">
        <f t="shared" si="10"/>
        <v>50000</v>
      </c>
      <c r="AD80" s="157"/>
    </row>
    <row r="81" spans="1:30" s="265" customFormat="1" ht="71.400000000000006" customHeight="1" x14ac:dyDescent="0.3">
      <c r="A81" s="423">
        <v>8</v>
      </c>
      <c r="B81" s="425" t="s">
        <v>593</v>
      </c>
      <c r="C81" s="419" t="s">
        <v>860</v>
      </c>
      <c r="D81" s="417" t="s">
        <v>30</v>
      </c>
      <c r="E81" s="417" t="s">
        <v>536</v>
      </c>
      <c r="F81" s="253"/>
      <c r="G81" s="253"/>
      <c r="H81" s="253">
        <v>15</v>
      </c>
      <c r="I81" s="253">
        <f t="shared" si="5"/>
        <v>15</v>
      </c>
      <c r="J81" s="232"/>
      <c r="K81" s="232"/>
      <c r="L81" s="232" t="s">
        <v>491</v>
      </c>
      <c r="M81" s="388" t="s">
        <v>46</v>
      </c>
      <c r="N81" s="389" t="s">
        <v>606</v>
      </c>
      <c r="O81" s="84" t="s">
        <v>39</v>
      </c>
      <c r="P81" s="235"/>
      <c r="Q81" s="235"/>
      <c r="R81" s="235"/>
      <c r="S81" s="235"/>
      <c r="T81" s="235">
        <v>14</v>
      </c>
      <c r="U81" s="235"/>
      <c r="V81" s="235">
        <v>1</v>
      </c>
      <c r="W81" s="235">
        <f t="shared" si="8"/>
        <v>15</v>
      </c>
      <c r="X81" s="236">
        <f>SUMIFS('Đơn giá'!C:C,'Đơn giá'!B:B,'XUẤT (2)'!O81)</f>
        <v>52000</v>
      </c>
      <c r="Y81" s="237">
        <f>T81*X81</f>
        <v>728000</v>
      </c>
      <c r="Z81" s="232"/>
      <c r="AA81" s="232"/>
      <c r="AB81" s="235">
        <f t="shared" si="9"/>
        <v>14</v>
      </c>
      <c r="AC81" s="236">
        <f t="shared" si="10"/>
        <v>70000</v>
      </c>
      <c r="AD81" s="235"/>
    </row>
    <row r="82" spans="1:30" s="265" customFormat="1" ht="33" customHeight="1" x14ac:dyDescent="0.3">
      <c r="A82" s="424"/>
      <c r="B82" s="426"/>
      <c r="C82" s="420"/>
      <c r="D82" s="418"/>
      <c r="E82" s="418"/>
      <c r="F82" s="253"/>
      <c r="G82" s="253">
        <v>2</v>
      </c>
      <c r="H82" s="253"/>
      <c r="I82" s="253">
        <f t="shared" si="5"/>
        <v>2</v>
      </c>
      <c r="J82" s="232"/>
      <c r="K82" s="232"/>
      <c r="L82" s="232" t="s">
        <v>491</v>
      </c>
      <c r="M82" s="388" t="s">
        <v>46</v>
      </c>
      <c r="N82" s="389" t="s">
        <v>606</v>
      </c>
      <c r="O82" s="84" t="s">
        <v>29</v>
      </c>
      <c r="P82" s="235"/>
      <c r="Q82" s="235"/>
      <c r="R82" s="235"/>
      <c r="S82" s="235">
        <v>2</v>
      </c>
      <c r="T82" s="235"/>
      <c r="U82" s="235"/>
      <c r="V82" s="235"/>
      <c r="W82" s="235">
        <f t="shared" si="8"/>
        <v>2</v>
      </c>
      <c r="X82" s="236">
        <f>SUMIFS('Đơn giá'!C:C,'Đơn giá'!B:B,'XUẤT (2)'!O82)</f>
        <v>85000</v>
      </c>
      <c r="Y82" s="237">
        <f>S82*X82</f>
        <v>170000</v>
      </c>
      <c r="Z82" s="232"/>
      <c r="AA82" s="232"/>
      <c r="AB82" s="235">
        <f t="shared" si="9"/>
        <v>2</v>
      </c>
      <c r="AC82" s="236">
        <f t="shared" si="10"/>
        <v>10000</v>
      </c>
      <c r="AD82" s="235"/>
    </row>
    <row r="83" spans="1:30" s="160" customFormat="1" ht="57" customHeight="1" x14ac:dyDescent="0.3">
      <c r="A83" s="152">
        <v>9</v>
      </c>
      <c r="B83" s="153" t="s">
        <v>593</v>
      </c>
      <c r="C83" s="154" t="s">
        <v>607</v>
      </c>
      <c r="D83" s="155" t="s">
        <v>30</v>
      </c>
      <c r="E83" s="155" t="s">
        <v>224</v>
      </c>
      <c r="F83" s="155"/>
      <c r="G83" s="155">
        <v>5</v>
      </c>
      <c r="H83" s="155"/>
      <c r="I83" s="155">
        <f t="shared" si="5"/>
        <v>5</v>
      </c>
      <c r="J83" s="152" t="s">
        <v>595</v>
      </c>
      <c r="K83" s="152"/>
      <c r="L83" s="152" t="s">
        <v>491</v>
      </c>
      <c r="M83" s="169" t="s">
        <v>46</v>
      </c>
      <c r="N83" s="163" t="s">
        <v>608</v>
      </c>
      <c r="O83" s="154" t="s">
        <v>26</v>
      </c>
      <c r="P83" s="157">
        <v>5</v>
      </c>
      <c r="Q83" s="157"/>
      <c r="R83" s="157"/>
      <c r="S83" s="157"/>
      <c r="T83" s="157"/>
      <c r="U83" s="157"/>
      <c r="V83" s="157"/>
      <c r="W83" s="157">
        <f t="shared" si="8"/>
        <v>5</v>
      </c>
      <c r="X83" s="158">
        <f>SUMIFS('Đơn giá'!C:C,'Đơn giá'!B:B,'XUẤT (2)'!O83)</f>
        <v>98000</v>
      </c>
      <c r="Y83" s="159">
        <f t="shared" si="6"/>
        <v>490000</v>
      </c>
      <c r="Z83" s="232" t="s">
        <v>681</v>
      </c>
      <c r="AA83" s="10" t="s">
        <v>37</v>
      </c>
      <c r="AB83" s="90">
        <f t="shared" si="9"/>
        <v>5</v>
      </c>
      <c r="AC83" s="91">
        <f t="shared" si="10"/>
        <v>25000</v>
      </c>
      <c r="AD83" s="157"/>
    </row>
    <row r="84" spans="1:30" s="160" customFormat="1" ht="37.799999999999997" customHeight="1" x14ac:dyDescent="0.3">
      <c r="A84" s="152">
        <v>10</v>
      </c>
      <c r="B84" s="153" t="s">
        <v>593</v>
      </c>
      <c r="C84" s="270" t="s">
        <v>886</v>
      </c>
      <c r="D84" s="155" t="s">
        <v>30</v>
      </c>
      <c r="E84" s="155" t="s">
        <v>536</v>
      </c>
      <c r="F84" s="155"/>
      <c r="G84" s="155">
        <v>40</v>
      </c>
      <c r="H84" s="155"/>
      <c r="I84" s="155">
        <f t="shared" si="5"/>
        <v>40</v>
      </c>
      <c r="J84" s="152" t="s">
        <v>887</v>
      </c>
      <c r="K84" s="152"/>
      <c r="L84" s="152" t="s">
        <v>491</v>
      </c>
      <c r="M84" s="85" t="s">
        <v>33</v>
      </c>
      <c r="N84" s="34" t="s">
        <v>201</v>
      </c>
      <c r="O84" s="154" t="s">
        <v>26</v>
      </c>
      <c r="P84" s="157">
        <v>40</v>
      </c>
      <c r="Q84" s="157"/>
      <c r="R84" s="157"/>
      <c r="S84" s="157"/>
      <c r="T84" s="157"/>
      <c r="U84" s="157"/>
      <c r="V84" s="157"/>
      <c r="W84" s="157">
        <f t="shared" si="8"/>
        <v>40</v>
      </c>
      <c r="X84" s="158">
        <f>SUMIFS('Đơn giá'!C:C,'Đơn giá'!B:B,'XUẤT (2)'!O84)</f>
        <v>98000</v>
      </c>
      <c r="Y84" s="159">
        <f t="shared" si="6"/>
        <v>3920000</v>
      </c>
      <c r="Z84" s="232" t="s">
        <v>885</v>
      </c>
      <c r="AA84" s="34" t="s">
        <v>201</v>
      </c>
      <c r="AB84" s="90">
        <f t="shared" si="9"/>
        <v>40</v>
      </c>
      <c r="AC84" s="91">
        <f t="shared" si="10"/>
        <v>200000</v>
      </c>
      <c r="AD84" s="157" t="s">
        <v>888</v>
      </c>
    </row>
    <row r="85" spans="1:30" s="160" customFormat="1" ht="32.4" customHeight="1" x14ac:dyDescent="0.3">
      <c r="A85" s="152">
        <v>11</v>
      </c>
      <c r="B85" s="153" t="s">
        <v>593</v>
      </c>
      <c r="C85" s="154" t="s">
        <v>614</v>
      </c>
      <c r="D85" s="155" t="s">
        <v>30</v>
      </c>
      <c r="E85" s="155" t="s">
        <v>543</v>
      </c>
      <c r="F85" s="155"/>
      <c r="G85" s="155">
        <v>5</v>
      </c>
      <c r="H85" s="155"/>
      <c r="I85" s="155">
        <f t="shared" si="5"/>
        <v>5</v>
      </c>
      <c r="J85" s="152" t="s">
        <v>615</v>
      </c>
      <c r="K85" s="152"/>
      <c r="L85" s="152" t="s">
        <v>491</v>
      </c>
      <c r="M85" s="85" t="s">
        <v>33</v>
      </c>
      <c r="N85" s="10" t="s">
        <v>235</v>
      </c>
      <c r="O85" s="154" t="s">
        <v>26</v>
      </c>
      <c r="P85" s="157">
        <v>5</v>
      </c>
      <c r="Q85" s="157"/>
      <c r="R85" s="157"/>
      <c r="S85" s="157"/>
      <c r="T85" s="157"/>
      <c r="U85" s="157"/>
      <c r="V85" s="157"/>
      <c r="W85" s="157">
        <f t="shared" si="8"/>
        <v>5</v>
      </c>
      <c r="X85" s="158">
        <f>SUMIFS('Đơn giá'!C:C,'Đơn giá'!B:B,'XUẤT (2)'!O85)</f>
        <v>98000</v>
      </c>
      <c r="Y85" s="159">
        <f t="shared" si="6"/>
        <v>490000</v>
      </c>
      <c r="Z85" s="152" t="s">
        <v>674</v>
      </c>
      <c r="AA85" s="10" t="s">
        <v>235</v>
      </c>
      <c r="AB85" s="90">
        <f t="shared" si="9"/>
        <v>5</v>
      </c>
      <c r="AC85" s="91">
        <f t="shared" si="10"/>
        <v>25000</v>
      </c>
      <c r="AD85" s="157"/>
    </row>
    <row r="86" spans="1:30" s="160" customFormat="1" ht="116.4" customHeight="1" x14ac:dyDescent="0.3">
      <c r="A86" s="152">
        <v>1</v>
      </c>
      <c r="B86" s="153" t="s">
        <v>617</v>
      </c>
      <c r="C86" s="154" t="s">
        <v>620</v>
      </c>
      <c r="D86" s="155" t="s">
        <v>30</v>
      </c>
      <c r="E86" s="155" t="s">
        <v>543</v>
      </c>
      <c r="F86" s="155"/>
      <c r="G86" s="155"/>
      <c r="H86" s="155">
        <v>2</v>
      </c>
      <c r="I86" s="155">
        <f t="shared" si="5"/>
        <v>2</v>
      </c>
      <c r="J86" s="152" t="s">
        <v>595</v>
      </c>
      <c r="K86" s="152" t="s">
        <v>524</v>
      </c>
      <c r="L86" s="152"/>
      <c r="M86" s="169" t="s">
        <v>46</v>
      </c>
      <c r="N86" s="163" t="s">
        <v>621</v>
      </c>
      <c r="O86" s="154" t="s">
        <v>39</v>
      </c>
      <c r="P86" s="157"/>
      <c r="Q86" s="157"/>
      <c r="R86" s="157"/>
      <c r="S86" s="157"/>
      <c r="T86" s="157">
        <v>2</v>
      </c>
      <c r="U86" s="157"/>
      <c r="V86" s="157"/>
      <c r="W86" s="157">
        <f t="shared" si="8"/>
        <v>2</v>
      </c>
      <c r="X86" s="158">
        <f>SUMIFS('Đơn giá'!C:C,'Đơn giá'!B:B,'XUẤT (2)'!O86)</f>
        <v>52000</v>
      </c>
      <c r="Y86" s="159">
        <f>T86*X86</f>
        <v>104000</v>
      </c>
      <c r="Z86" s="232" t="s">
        <v>825</v>
      </c>
      <c r="AA86" s="152" t="s">
        <v>595</v>
      </c>
      <c r="AB86" s="90">
        <f t="shared" si="9"/>
        <v>2</v>
      </c>
      <c r="AC86" s="91">
        <f t="shared" si="10"/>
        <v>10000</v>
      </c>
      <c r="AD86" s="157"/>
    </row>
    <row r="87" spans="1:30" s="160" customFormat="1" ht="46.8" customHeight="1" x14ac:dyDescent="0.3">
      <c r="A87" s="398">
        <v>2</v>
      </c>
      <c r="B87" s="411" t="s">
        <v>617</v>
      </c>
      <c r="C87" s="419" t="s">
        <v>618</v>
      </c>
      <c r="D87" s="155" t="s">
        <v>30</v>
      </c>
      <c r="E87" s="155" t="s">
        <v>543</v>
      </c>
      <c r="F87" s="155"/>
      <c r="G87" s="155"/>
      <c r="H87" s="155">
        <v>2</v>
      </c>
      <c r="I87" s="155">
        <f t="shared" si="5"/>
        <v>2</v>
      </c>
      <c r="J87" s="152" t="s">
        <v>595</v>
      </c>
      <c r="K87" s="152"/>
      <c r="L87" s="152" t="s">
        <v>491</v>
      </c>
      <c r="M87" s="152" t="s">
        <v>33</v>
      </c>
      <c r="N87" s="7" t="s">
        <v>214</v>
      </c>
      <c r="O87" s="154" t="s">
        <v>39</v>
      </c>
      <c r="P87" s="157"/>
      <c r="Q87" s="157"/>
      <c r="R87" s="157"/>
      <c r="S87" s="157"/>
      <c r="T87" s="157">
        <v>2</v>
      </c>
      <c r="U87" s="157"/>
      <c r="V87" s="157"/>
      <c r="W87" s="157">
        <f t="shared" si="8"/>
        <v>2</v>
      </c>
      <c r="X87" s="158">
        <f>SUMIFS('Đơn giá'!C:C,'Đơn giá'!B:B,'XUẤT (2)'!O87)</f>
        <v>52000</v>
      </c>
      <c r="Y87" s="339">
        <f t="shared" ref="Y87" si="11">T87*X87</f>
        <v>104000</v>
      </c>
      <c r="Z87" s="232" t="s">
        <v>848</v>
      </c>
      <c r="AA87" s="152" t="s">
        <v>595</v>
      </c>
      <c r="AB87" s="90">
        <f t="shared" si="9"/>
        <v>2</v>
      </c>
      <c r="AC87" s="91">
        <f t="shared" si="10"/>
        <v>10000</v>
      </c>
      <c r="AD87" s="157"/>
    </row>
    <row r="88" spans="1:30" s="160" customFormat="1" ht="76.2" customHeight="1" x14ac:dyDescent="0.3">
      <c r="A88" s="399"/>
      <c r="B88" s="413"/>
      <c r="C88" s="420"/>
      <c r="D88" s="155" t="s">
        <v>30</v>
      </c>
      <c r="E88" s="155" t="s">
        <v>543</v>
      </c>
      <c r="F88" s="155"/>
      <c r="G88" s="155">
        <v>2</v>
      </c>
      <c r="H88" s="155"/>
      <c r="I88" s="155">
        <f t="shared" si="5"/>
        <v>2</v>
      </c>
      <c r="J88" s="152" t="s">
        <v>595</v>
      </c>
      <c r="K88" s="152"/>
      <c r="L88" s="152" t="s">
        <v>491</v>
      </c>
      <c r="M88" s="169" t="s">
        <v>33</v>
      </c>
      <c r="N88" s="7" t="s">
        <v>214</v>
      </c>
      <c r="O88" s="154" t="s">
        <v>29</v>
      </c>
      <c r="P88" s="157"/>
      <c r="Q88" s="157">
        <v>2</v>
      </c>
      <c r="R88" s="157"/>
      <c r="S88" s="157"/>
      <c r="T88" s="157"/>
      <c r="U88" s="157"/>
      <c r="V88" s="157"/>
      <c r="W88" s="157">
        <f t="shared" si="8"/>
        <v>2</v>
      </c>
      <c r="X88" s="158">
        <f>SUMIFS('Đơn giá'!C:C,'Đơn giá'!B:B,'XUẤT (2)'!O88)</f>
        <v>85000</v>
      </c>
      <c r="Y88" s="339">
        <f>Q88*X88</f>
        <v>170000</v>
      </c>
      <c r="Z88" s="232" t="s">
        <v>848</v>
      </c>
      <c r="AA88" s="152" t="s">
        <v>595</v>
      </c>
      <c r="AB88" s="90">
        <f t="shared" si="9"/>
        <v>2</v>
      </c>
      <c r="AC88" s="91">
        <f t="shared" si="10"/>
        <v>10000</v>
      </c>
      <c r="AD88" s="267" t="s">
        <v>619</v>
      </c>
    </row>
    <row r="89" spans="1:30" s="160" customFormat="1" ht="55.2" customHeight="1" x14ac:dyDescent="0.3">
      <c r="A89" s="398">
        <v>3</v>
      </c>
      <c r="B89" s="411" t="s">
        <v>617</v>
      </c>
      <c r="C89" s="421" t="s">
        <v>626</v>
      </c>
      <c r="D89" s="155" t="s">
        <v>30</v>
      </c>
      <c r="E89" s="155" t="s">
        <v>424</v>
      </c>
      <c r="F89" s="155"/>
      <c r="G89" s="155">
        <v>22</v>
      </c>
      <c r="H89" s="155"/>
      <c r="I89" s="155">
        <f t="shared" si="5"/>
        <v>22</v>
      </c>
      <c r="J89" s="152" t="s">
        <v>595</v>
      </c>
      <c r="K89" s="152" t="s">
        <v>524</v>
      </c>
      <c r="L89" s="152"/>
      <c r="M89" s="85" t="s">
        <v>33</v>
      </c>
      <c r="N89" s="212" t="s">
        <v>103</v>
      </c>
      <c r="O89" s="154" t="s">
        <v>26</v>
      </c>
      <c r="P89" s="157">
        <v>20</v>
      </c>
      <c r="Q89" s="157"/>
      <c r="R89" s="157"/>
      <c r="S89" s="157"/>
      <c r="T89" s="157"/>
      <c r="U89" s="157"/>
      <c r="V89" s="157">
        <v>2</v>
      </c>
      <c r="W89" s="157">
        <f t="shared" si="8"/>
        <v>22</v>
      </c>
      <c r="X89" s="158">
        <f>SUMIFS('Đơn giá'!C:C,'Đơn giá'!B:B,'XUẤT (2)'!O89)</f>
        <v>98000</v>
      </c>
      <c r="Y89" s="159">
        <f t="shared" si="6"/>
        <v>1960000</v>
      </c>
      <c r="Z89" s="232"/>
      <c r="AA89" s="10" t="s">
        <v>37</v>
      </c>
      <c r="AB89" s="90">
        <f t="shared" si="9"/>
        <v>20</v>
      </c>
      <c r="AC89" s="91">
        <f t="shared" si="10"/>
        <v>100000</v>
      </c>
      <c r="AD89" s="157"/>
    </row>
    <row r="90" spans="1:30" s="160" customFormat="1" ht="55.2" customHeight="1" x14ac:dyDescent="0.3">
      <c r="A90" s="399"/>
      <c r="B90" s="413"/>
      <c r="C90" s="422"/>
      <c r="D90" s="155" t="s">
        <v>30</v>
      </c>
      <c r="E90" s="155" t="s">
        <v>543</v>
      </c>
      <c r="F90" s="155"/>
      <c r="G90" s="155"/>
      <c r="H90" s="155">
        <v>4</v>
      </c>
      <c r="I90" s="155">
        <f t="shared" si="5"/>
        <v>4</v>
      </c>
      <c r="J90" s="152" t="s">
        <v>595</v>
      </c>
      <c r="K90" s="152"/>
      <c r="L90" s="152"/>
      <c r="M90" s="169" t="s">
        <v>33</v>
      </c>
      <c r="N90" s="10" t="s">
        <v>103</v>
      </c>
      <c r="O90" s="154" t="s">
        <v>42</v>
      </c>
      <c r="P90" s="157"/>
      <c r="Q90" s="157"/>
      <c r="R90" s="157"/>
      <c r="S90" s="157"/>
      <c r="T90" s="157"/>
      <c r="U90" s="157">
        <v>4</v>
      </c>
      <c r="V90" s="157"/>
      <c r="W90" s="157">
        <f t="shared" si="8"/>
        <v>4</v>
      </c>
      <c r="X90" s="158">
        <f>SUMIFS('Đơn giá'!C:C,'Đơn giá'!B:B,'XUẤT (2)'!O90)</f>
        <v>48000</v>
      </c>
      <c r="Y90" s="159">
        <f>U90*X90</f>
        <v>192000</v>
      </c>
      <c r="Z90" s="232"/>
      <c r="AA90" s="10" t="s">
        <v>37</v>
      </c>
      <c r="AB90" s="90">
        <f t="shared" si="9"/>
        <v>4</v>
      </c>
      <c r="AC90" s="91">
        <f t="shared" si="10"/>
        <v>20000</v>
      </c>
      <c r="AD90" s="157"/>
    </row>
    <row r="91" spans="1:30" s="160" customFormat="1" ht="55.2" customHeight="1" x14ac:dyDescent="0.3">
      <c r="A91" s="398">
        <v>4</v>
      </c>
      <c r="B91" s="411" t="s">
        <v>617</v>
      </c>
      <c r="C91" s="400" t="s">
        <v>780</v>
      </c>
      <c r="D91" s="155" t="s">
        <v>30</v>
      </c>
      <c r="E91" s="155" t="s">
        <v>622</v>
      </c>
      <c r="F91" s="155"/>
      <c r="G91" s="155">
        <v>11</v>
      </c>
      <c r="H91" s="155"/>
      <c r="I91" s="155">
        <f t="shared" ref="I91:I154" si="12">H91+G91</f>
        <v>11</v>
      </c>
      <c r="J91" s="152" t="s">
        <v>623</v>
      </c>
      <c r="K91" s="152"/>
      <c r="L91" s="152"/>
      <c r="M91" s="85" t="s">
        <v>33</v>
      </c>
      <c r="N91" s="10" t="s">
        <v>220</v>
      </c>
      <c r="O91" s="154" t="s">
        <v>26</v>
      </c>
      <c r="P91" s="157">
        <v>10</v>
      </c>
      <c r="Q91" s="157"/>
      <c r="R91" s="157"/>
      <c r="S91" s="157"/>
      <c r="T91" s="157"/>
      <c r="U91" s="157"/>
      <c r="V91" s="157">
        <v>1</v>
      </c>
      <c r="W91" s="157">
        <f t="shared" si="8"/>
        <v>11</v>
      </c>
      <c r="X91" s="158">
        <f>SUMIFS('Đơn giá'!C:C,'Đơn giá'!B:B,'XUẤT (2)'!O91)</f>
        <v>98000</v>
      </c>
      <c r="Y91" s="159">
        <f t="shared" si="6"/>
        <v>980000</v>
      </c>
      <c r="Z91" s="279" t="s">
        <v>820</v>
      </c>
      <c r="AA91" s="152" t="s">
        <v>679</v>
      </c>
      <c r="AB91" s="90">
        <f t="shared" si="9"/>
        <v>10</v>
      </c>
      <c r="AC91" s="91">
        <f t="shared" si="10"/>
        <v>50000</v>
      </c>
      <c r="AD91" s="157"/>
    </row>
    <row r="92" spans="1:30" s="160" customFormat="1" ht="71.400000000000006" customHeight="1" x14ac:dyDescent="0.3">
      <c r="A92" s="399"/>
      <c r="B92" s="413"/>
      <c r="C92" s="401"/>
      <c r="D92" s="155" t="s">
        <v>30</v>
      </c>
      <c r="E92" s="155" t="s">
        <v>622</v>
      </c>
      <c r="F92" s="155"/>
      <c r="G92" s="155"/>
      <c r="H92" s="155">
        <v>2</v>
      </c>
      <c r="I92" s="155">
        <f t="shared" si="12"/>
        <v>2</v>
      </c>
      <c r="J92" s="152" t="s">
        <v>623</v>
      </c>
      <c r="K92" s="152"/>
      <c r="L92" s="152"/>
      <c r="M92" s="169" t="s">
        <v>33</v>
      </c>
      <c r="N92" s="10" t="s">
        <v>220</v>
      </c>
      <c r="O92" s="154" t="s">
        <v>42</v>
      </c>
      <c r="P92" s="157"/>
      <c r="Q92" s="157"/>
      <c r="R92" s="157"/>
      <c r="S92" s="157"/>
      <c r="T92" s="157"/>
      <c r="U92" s="157">
        <v>2</v>
      </c>
      <c r="V92" s="157"/>
      <c r="W92" s="157">
        <f t="shared" si="8"/>
        <v>2</v>
      </c>
      <c r="X92" s="158">
        <f>SUMIFS('Đơn giá'!C:C,'Đơn giá'!B:B,'XUẤT (2)'!O92)</f>
        <v>48000</v>
      </c>
      <c r="Y92" s="159">
        <f>X92*U92</f>
        <v>96000</v>
      </c>
      <c r="Z92" s="279" t="s">
        <v>820</v>
      </c>
      <c r="AA92" s="152" t="s">
        <v>679</v>
      </c>
      <c r="AB92" s="90">
        <f t="shared" si="9"/>
        <v>2</v>
      </c>
      <c r="AC92" s="91">
        <f t="shared" si="10"/>
        <v>10000</v>
      </c>
      <c r="AD92" s="157"/>
    </row>
    <row r="93" spans="1:30" s="160" customFormat="1" ht="69" customHeight="1" x14ac:dyDescent="0.3">
      <c r="A93" s="152">
        <v>6</v>
      </c>
      <c r="B93" s="153" t="s">
        <v>617</v>
      </c>
      <c r="C93" s="154" t="s">
        <v>625</v>
      </c>
      <c r="D93" s="155" t="s">
        <v>30</v>
      </c>
      <c r="E93" s="155" t="s">
        <v>543</v>
      </c>
      <c r="F93" s="155"/>
      <c r="G93" s="155"/>
      <c r="H93" s="155">
        <v>6</v>
      </c>
      <c r="I93" s="155">
        <f t="shared" si="12"/>
        <v>6</v>
      </c>
      <c r="J93" s="152" t="s">
        <v>595</v>
      </c>
      <c r="K93" s="152" t="s">
        <v>524</v>
      </c>
      <c r="L93" s="152"/>
      <c r="M93" s="169" t="s">
        <v>46</v>
      </c>
      <c r="N93" s="163" t="s">
        <v>628</v>
      </c>
      <c r="O93" s="154" t="s">
        <v>39</v>
      </c>
      <c r="P93" s="157"/>
      <c r="Q93" s="157"/>
      <c r="R93" s="157"/>
      <c r="S93" s="157"/>
      <c r="T93" s="157">
        <v>6</v>
      </c>
      <c r="U93" s="157"/>
      <c r="V93" s="157"/>
      <c r="W93" s="157">
        <f t="shared" si="8"/>
        <v>6</v>
      </c>
      <c r="X93" s="158">
        <f>SUMIFS('Đơn giá'!C:C,'Đơn giá'!B:B,'XUẤT (2)'!O93)</f>
        <v>52000</v>
      </c>
      <c r="Y93" s="159">
        <f>T93*X93</f>
        <v>312000</v>
      </c>
      <c r="Z93" s="232"/>
      <c r="AA93" s="10" t="s">
        <v>37</v>
      </c>
      <c r="AB93" s="90">
        <f t="shared" si="9"/>
        <v>6</v>
      </c>
      <c r="AC93" s="91">
        <f t="shared" si="10"/>
        <v>30000</v>
      </c>
      <c r="AD93" s="157"/>
    </row>
    <row r="94" spans="1:30" s="160" customFormat="1" ht="55.8" customHeight="1" x14ac:dyDescent="0.3">
      <c r="A94" s="152"/>
      <c r="B94" s="153" t="s">
        <v>617</v>
      </c>
      <c r="C94" s="382" t="s">
        <v>627</v>
      </c>
      <c r="D94" s="155" t="s">
        <v>30</v>
      </c>
      <c r="E94" s="155" t="s">
        <v>224</v>
      </c>
      <c r="F94" s="155"/>
      <c r="G94" s="155">
        <v>11</v>
      </c>
      <c r="H94" s="155"/>
      <c r="I94" s="155">
        <f t="shared" si="12"/>
        <v>11</v>
      </c>
      <c r="J94" s="152" t="s">
        <v>595</v>
      </c>
      <c r="K94" s="152"/>
      <c r="L94" s="152" t="s">
        <v>491</v>
      </c>
      <c r="M94" s="85" t="s">
        <v>33</v>
      </c>
      <c r="N94" s="10" t="s">
        <v>37</v>
      </c>
      <c r="O94" s="154" t="s">
        <v>26</v>
      </c>
      <c r="P94" s="157">
        <v>10</v>
      </c>
      <c r="Q94" s="157"/>
      <c r="R94" s="157"/>
      <c r="S94" s="157"/>
      <c r="T94" s="157"/>
      <c r="U94" s="157"/>
      <c r="V94" s="157">
        <v>1</v>
      </c>
      <c r="W94" s="157">
        <f t="shared" si="8"/>
        <v>11</v>
      </c>
      <c r="X94" s="158">
        <f>SUMIFS('Đơn giá'!C:C,'Đơn giá'!B:B,'XUẤT (2)'!O94)</f>
        <v>98000</v>
      </c>
      <c r="Y94" s="159">
        <f t="shared" ref="X94:Y119" si="13">X94*P94</f>
        <v>980000</v>
      </c>
      <c r="Z94" s="232"/>
      <c r="AA94" s="10" t="s">
        <v>37</v>
      </c>
      <c r="AB94" s="90">
        <f t="shared" si="9"/>
        <v>10</v>
      </c>
      <c r="AC94" s="91">
        <f t="shared" si="10"/>
        <v>50000</v>
      </c>
      <c r="AD94" s="157"/>
    </row>
    <row r="95" spans="1:30" s="160" customFormat="1" ht="57.6" customHeight="1" x14ac:dyDescent="0.3">
      <c r="A95" s="152"/>
      <c r="B95" s="153" t="s">
        <v>617</v>
      </c>
      <c r="C95" s="268" t="s">
        <v>629</v>
      </c>
      <c r="D95" s="155" t="s">
        <v>30</v>
      </c>
      <c r="E95" s="155" t="s">
        <v>224</v>
      </c>
      <c r="F95" s="155"/>
      <c r="G95" s="155">
        <v>11</v>
      </c>
      <c r="H95" s="155"/>
      <c r="I95" s="155">
        <f t="shared" si="12"/>
        <v>11</v>
      </c>
      <c r="J95" s="269" t="s">
        <v>49</v>
      </c>
      <c r="K95" s="152"/>
      <c r="L95" s="152"/>
      <c r="M95" s="85" t="s">
        <v>33</v>
      </c>
      <c r="N95" s="269" t="s">
        <v>49</v>
      </c>
      <c r="O95" s="154" t="s">
        <v>26</v>
      </c>
      <c r="P95" s="157">
        <v>10</v>
      </c>
      <c r="Q95" s="157"/>
      <c r="R95" s="157"/>
      <c r="S95" s="157"/>
      <c r="T95" s="157"/>
      <c r="U95" s="157"/>
      <c r="V95" s="157">
        <v>1</v>
      </c>
      <c r="W95" s="157">
        <f t="shared" si="8"/>
        <v>11</v>
      </c>
      <c r="X95" s="158">
        <f>SUMIFS('Đơn giá'!C:C,'Đơn giá'!B:B,'XUẤT (2)'!O95)</f>
        <v>98000</v>
      </c>
      <c r="Y95" s="159">
        <f t="shared" si="13"/>
        <v>980000</v>
      </c>
      <c r="Z95" s="232" t="s">
        <v>630</v>
      </c>
      <c r="AA95" s="269" t="s">
        <v>49</v>
      </c>
      <c r="AB95" s="90">
        <f t="shared" si="9"/>
        <v>10</v>
      </c>
      <c r="AC95" s="91">
        <f t="shared" si="10"/>
        <v>50000</v>
      </c>
      <c r="AD95" s="157"/>
    </row>
    <row r="96" spans="1:30" s="160" customFormat="1" ht="50.4" customHeight="1" x14ac:dyDescent="0.3">
      <c r="A96" s="152"/>
      <c r="B96" s="153" t="s">
        <v>617</v>
      </c>
      <c r="C96" s="268" t="s">
        <v>631</v>
      </c>
      <c r="D96" s="155" t="s">
        <v>30</v>
      </c>
      <c r="E96" s="155" t="s">
        <v>536</v>
      </c>
      <c r="F96" s="155"/>
      <c r="G96" s="155">
        <v>1</v>
      </c>
      <c r="H96" s="155"/>
      <c r="I96" s="155">
        <f t="shared" si="12"/>
        <v>1</v>
      </c>
      <c r="J96" s="152" t="s">
        <v>632</v>
      </c>
      <c r="K96" s="152"/>
      <c r="L96" s="152" t="s">
        <v>491</v>
      </c>
      <c r="M96" s="85" t="s">
        <v>33</v>
      </c>
      <c r="N96" s="10" t="s">
        <v>132</v>
      </c>
      <c r="O96" s="154" t="s">
        <v>26</v>
      </c>
      <c r="P96" s="157">
        <v>1</v>
      </c>
      <c r="Q96" s="157"/>
      <c r="R96" s="157"/>
      <c r="S96" s="157"/>
      <c r="T96" s="157"/>
      <c r="U96" s="157"/>
      <c r="V96" s="157"/>
      <c r="W96" s="157">
        <f t="shared" si="8"/>
        <v>1</v>
      </c>
      <c r="X96" s="158">
        <f>SUMIFS('Đơn giá'!C:C,'Đơn giá'!B:B,'XUẤT (2)'!O96)</f>
        <v>98000</v>
      </c>
      <c r="Y96" s="159">
        <f t="shared" si="13"/>
        <v>98000</v>
      </c>
      <c r="Z96" s="232"/>
      <c r="AA96" s="10" t="s">
        <v>132</v>
      </c>
      <c r="AB96" s="90">
        <f t="shared" si="9"/>
        <v>1</v>
      </c>
      <c r="AC96" s="91">
        <f t="shared" si="10"/>
        <v>5000</v>
      </c>
      <c r="AD96" s="157"/>
    </row>
    <row r="97" spans="1:30" s="160" customFormat="1" ht="94.2" customHeight="1" x14ac:dyDescent="0.3">
      <c r="A97" s="152">
        <v>2</v>
      </c>
      <c r="B97" s="153" t="s">
        <v>634</v>
      </c>
      <c r="C97" s="270" t="s">
        <v>675</v>
      </c>
      <c r="D97" s="155" t="s">
        <v>30</v>
      </c>
      <c r="E97" s="155" t="s">
        <v>635</v>
      </c>
      <c r="F97" s="155"/>
      <c r="G97" s="155"/>
      <c r="H97" s="155">
        <v>17</v>
      </c>
      <c r="I97" s="155">
        <f t="shared" si="12"/>
        <v>17</v>
      </c>
      <c r="J97" s="162" t="s">
        <v>636</v>
      </c>
      <c r="K97" s="152" t="s">
        <v>637</v>
      </c>
      <c r="L97" s="169" t="s">
        <v>491</v>
      </c>
      <c r="M97" s="169" t="s">
        <v>46</v>
      </c>
      <c r="N97" s="163" t="s">
        <v>624</v>
      </c>
      <c r="O97" s="154" t="s">
        <v>42</v>
      </c>
      <c r="P97" s="157"/>
      <c r="Q97" s="157"/>
      <c r="R97" s="157"/>
      <c r="S97" s="157"/>
      <c r="T97" s="157"/>
      <c r="U97" s="157">
        <v>16</v>
      </c>
      <c r="V97" s="157">
        <v>1</v>
      </c>
      <c r="W97" s="157">
        <f t="shared" si="8"/>
        <v>17</v>
      </c>
      <c r="X97" s="158">
        <f>SUMIFS('Đơn giá'!C:C,'Đơn giá'!B:B,'XUẤT (2)'!O97)</f>
        <v>48000</v>
      </c>
      <c r="Y97" s="159">
        <f>U97*X97</f>
        <v>768000</v>
      </c>
      <c r="Z97" s="232"/>
      <c r="AA97" s="152"/>
      <c r="AB97" s="90">
        <f t="shared" si="9"/>
        <v>16</v>
      </c>
      <c r="AC97" s="91">
        <f t="shared" si="10"/>
        <v>80000</v>
      </c>
      <c r="AD97" s="157"/>
    </row>
    <row r="98" spans="1:30" s="160" customFormat="1" ht="85.8" customHeight="1" x14ac:dyDescent="0.3">
      <c r="A98" s="152">
        <v>3</v>
      </c>
      <c r="B98" s="153" t="s">
        <v>634</v>
      </c>
      <c r="C98" s="154" t="s">
        <v>638</v>
      </c>
      <c r="D98" s="155" t="s">
        <v>30</v>
      </c>
      <c r="E98" s="155" t="s">
        <v>543</v>
      </c>
      <c r="F98" s="155"/>
      <c r="G98" s="155">
        <v>5</v>
      </c>
      <c r="H98" s="155"/>
      <c r="I98" s="155">
        <f t="shared" si="12"/>
        <v>5</v>
      </c>
      <c r="J98" s="152" t="s">
        <v>640</v>
      </c>
      <c r="K98" s="152"/>
      <c r="L98" s="169" t="s">
        <v>491</v>
      </c>
      <c r="M98" s="169" t="s">
        <v>46</v>
      </c>
      <c r="N98" s="7" t="s">
        <v>641</v>
      </c>
      <c r="O98" s="154" t="s">
        <v>26</v>
      </c>
      <c r="P98" s="157">
        <v>5</v>
      </c>
      <c r="Q98" s="157"/>
      <c r="R98" s="157"/>
      <c r="S98" s="157"/>
      <c r="T98" s="157"/>
      <c r="U98" s="157"/>
      <c r="V98" s="157"/>
      <c r="W98" s="157">
        <f t="shared" si="8"/>
        <v>5</v>
      </c>
      <c r="X98" s="158">
        <f>SUMIFS('Đơn giá'!C:C,'Đơn giá'!B:B,'XUẤT (2)'!O98)</f>
        <v>98000</v>
      </c>
      <c r="Y98" s="159">
        <f t="shared" si="13"/>
        <v>490000</v>
      </c>
      <c r="Z98" s="232"/>
      <c r="AA98" s="152"/>
      <c r="AB98" s="90">
        <f t="shared" si="9"/>
        <v>5</v>
      </c>
      <c r="AC98" s="91">
        <f t="shared" si="10"/>
        <v>25000</v>
      </c>
      <c r="AD98" s="157"/>
    </row>
    <row r="99" spans="1:30" s="160" customFormat="1" ht="55.2" customHeight="1" x14ac:dyDescent="0.3">
      <c r="A99" s="152">
        <v>4</v>
      </c>
      <c r="B99" s="411" t="s">
        <v>634</v>
      </c>
      <c r="C99" s="421" t="s">
        <v>639</v>
      </c>
      <c r="D99" s="395" t="s">
        <v>30</v>
      </c>
      <c r="E99" s="155" t="s">
        <v>543</v>
      </c>
      <c r="F99" s="155"/>
      <c r="G99" s="155">
        <v>3</v>
      </c>
      <c r="H99" s="155"/>
      <c r="I99" s="155">
        <f t="shared" si="12"/>
        <v>3</v>
      </c>
      <c r="J99" s="152" t="s">
        <v>640</v>
      </c>
      <c r="K99" s="152"/>
      <c r="L99" s="169" t="s">
        <v>491</v>
      </c>
      <c r="M99" s="85" t="s">
        <v>33</v>
      </c>
      <c r="N99" s="212" t="s">
        <v>37</v>
      </c>
      <c r="O99" s="154" t="s">
        <v>26</v>
      </c>
      <c r="P99" s="157">
        <v>3</v>
      </c>
      <c r="Q99" s="157"/>
      <c r="R99" s="157"/>
      <c r="S99" s="157"/>
      <c r="T99" s="157"/>
      <c r="U99" s="157"/>
      <c r="V99" s="157"/>
      <c r="W99" s="157">
        <f t="shared" si="8"/>
        <v>3</v>
      </c>
      <c r="X99" s="159">
        <v>98000</v>
      </c>
      <c r="Y99" s="271">
        <f>P99*X99</f>
        <v>294000</v>
      </c>
      <c r="Z99" s="152"/>
      <c r="AA99" s="212" t="s">
        <v>37</v>
      </c>
      <c r="AB99" s="90">
        <f t="shared" si="9"/>
        <v>3</v>
      </c>
      <c r="AC99" s="91">
        <f t="shared" si="10"/>
        <v>15000</v>
      </c>
      <c r="AD99" s="381">
        <f>Y17+Y33+Y52+Y61+Y118</f>
        <v>10650000</v>
      </c>
    </row>
    <row r="100" spans="1:30" s="160" customFormat="1" ht="55.2" customHeight="1" x14ac:dyDescent="0.3">
      <c r="A100" s="152"/>
      <c r="B100" s="413"/>
      <c r="C100" s="422"/>
      <c r="D100" s="397"/>
      <c r="E100" s="155" t="s">
        <v>543</v>
      </c>
      <c r="F100" s="155"/>
      <c r="G100" s="155"/>
      <c r="H100" s="155">
        <v>2</v>
      </c>
      <c r="I100" s="155">
        <f t="shared" si="12"/>
        <v>2</v>
      </c>
      <c r="J100" s="152" t="s">
        <v>640</v>
      </c>
      <c r="K100" s="152"/>
      <c r="L100" s="169" t="s">
        <v>491</v>
      </c>
      <c r="M100" s="152" t="s">
        <v>33</v>
      </c>
      <c r="N100" s="212" t="s">
        <v>37</v>
      </c>
      <c r="O100" s="154" t="s">
        <v>39</v>
      </c>
      <c r="P100" s="157"/>
      <c r="Q100" s="157"/>
      <c r="R100" s="157"/>
      <c r="S100" s="157"/>
      <c r="T100" s="157">
        <v>2</v>
      </c>
      <c r="U100" s="157"/>
      <c r="V100" s="157"/>
      <c r="W100" s="157">
        <f t="shared" si="8"/>
        <v>2</v>
      </c>
      <c r="X100" s="158">
        <f>SUMIFS('Đơn giá'!C:C,'Đơn giá'!B:B,'XUẤT (2)'!O100)</f>
        <v>52000</v>
      </c>
      <c r="Y100" s="271">
        <f>T100*X100</f>
        <v>104000</v>
      </c>
      <c r="Z100" s="152"/>
      <c r="AA100" s="212" t="s">
        <v>37</v>
      </c>
      <c r="AB100" s="90">
        <f t="shared" si="9"/>
        <v>2</v>
      </c>
      <c r="AC100" s="91">
        <f t="shared" si="10"/>
        <v>10000</v>
      </c>
    </row>
    <row r="101" spans="1:30" s="160" customFormat="1" ht="55.2" customHeight="1" x14ac:dyDescent="0.3">
      <c r="A101" s="152">
        <v>5</v>
      </c>
      <c r="B101" s="153" t="s">
        <v>634</v>
      </c>
      <c r="C101" s="270" t="s">
        <v>831</v>
      </c>
      <c r="D101" s="155" t="s">
        <v>30</v>
      </c>
      <c r="E101" s="155" t="s">
        <v>543</v>
      </c>
      <c r="F101" s="155"/>
      <c r="G101" s="155">
        <v>10</v>
      </c>
      <c r="H101" s="155"/>
      <c r="I101" s="155">
        <f t="shared" si="12"/>
        <v>10</v>
      </c>
      <c r="J101" s="152" t="s">
        <v>640</v>
      </c>
      <c r="K101" s="152"/>
      <c r="L101" s="169" t="s">
        <v>491</v>
      </c>
      <c r="M101" s="85" t="s">
        <v>33</v>
      </c>
      <c r="N101" s="10" t="s">
        <v>219</v>
      </c>
      <c r="O101" s="154" t="s">
        <v>26</v>
      </c>
      <c r="P101" s="157">
        <v>10</v>
      </c>
      <c r="Q101" s="157"/>
      <c r="R101" s="157"/>
      <c r="S101" s="157"/>
      <c r="T101" s="157"/>
      <c r="U101" s="157"/>
      <c r="V101" s="157">
        <v>1</v>
      </c>
      <c r="W101" s="157">
        <f t="shared" si="8"/>
        <v>11</v>
      </c>
      <c r="X101" s="159">
        <v>98000</v>
      </c>
      <c r="Y101" s="271">
        <f>P101*X101</f>
        <v>980000</v>
      </c>
      <c r="Z101" s="232"/>
      <c r="AA101" s="212" t="s">
        <v>37</v>
      </c>
      <c r="AB101" s="90">
        <f t="shared" si="9"/>
        <v>10</v>
      </c>
      <c r="AC101" s="91">
        <f t="shared" si="10"/>
        <v>50000</v>
      </c>
    </row>
    <row r="102" spans="1:30" s="160" customFormat="1" ht="87.6" customHeight="1" x14ac:dyDescent="0.3">
      <c r="A102" s="152">
        <v>7</v>
      </c>
      <c r="B102" s="153" t="s">
        <v>634</v>
      </c>
      <c r="C102" s="270" t="s">
        <v>644</v>
      </c>
      <c r="D102" s="155" t="s">
        <v>30</v>
      </c>
      <c r="E102" s="155" t="s">
        <v>224</v>
      </c>
      <c r="F102" s="155"/>
      <c r="G102" s="155">
        <v>11</v>
      </c>
      <c r="H102" s="155"/>
      <c r="I102" s="155">
        <f t="shared" si="12"/>
        <v>11</v>
      </c>
      <c r="J102" s="152" t="s">
        <v>640</v>
      </c>
      <c r="K102" s="152"/>
      <c r="L102" s="169" t="s">
        <v>491</v>
      </c>
      <c r="M102" s="163" t="s">
        <v>46</v>
      </c>
      <c r="N102" s="163" t="s">
        <v>642</v>
      </c>
      <c r="O102" s="154" t="s">
        <v>26</v>
      </c>
      <c r="P102" s="157">
        <v>10</v>
      </c>
      <c r="Q102" s="157"/>
      <c r="R102" s="157"/>
      <c r="S102" s="157"/>
      <c r="T102" s="157"/>
      <c r="U102" s="157"/>
      <c r="V102" s="157">
        <v>1</v>
      </c>
      <c r="W102" s="157">
        <f t="shared" si="8"/>
        <v>11</v>
      </c>
      <c r="X102" s="159">
        <v>98000</v>
      </c>
      <c r="Y102" s="271">
        <f>P102*X102</f>
        <v>980000</v>
      </c>
      <c r="Z102" s="232" t="s">
        <v>941</v>
      </c>
      <c r="AA102" s="158"/>
      <c r="AB102" s="90">
        <f t="shared" si="9"/>
        <v>10</v>
      </c>
      <c r="AC102" s="91">
        <f t="shared" si="10"/>
        <v>50000</v>
      </c>
    </row>
    <row r="103" spans="1:30" s="160" customFormat="1" ht="64.8" customHeight="1" x14ac:dyDescent="0.3">
      <c r="A103" s="152">
        <v>8</v>
      </c>
      <c r="B103" s="153" t="s">
        <v>634</v>
      </c>
      <c r="C103" s="270" t="s">
        <v>649</v>
      </c>
      <c r="D103" s="155" t="s">
        <v>30</v>
      </c>
      <c r="E103" s="155" t="s">
        <v>543</v>
      </c>
      <c r="F103" s="155"/>
      <c r="G103" s="155"/>
      <c r="H103" s="155">
        <v>25</v>
      </c>
      <c r="I103" s="155">
        <f t="shared" si="12"/>
        <v>25</v>
      </c>
      <c r="J103" s="152" t="s">
        <v>640</v>
      </c>
      <c r="K103" s="152" t="s">
        <v>248</v>
      </c>
      <c r="L103" s="169" t="s">
        <v>491</v>
      </c>
      <c r="M103" s="163" t="s">
        <v>46</v>
      </c>
      <c r="N103" s="89" t="s">
        <v>694</v>
      </c>
      <c r="O103" s="154" t="s">
        <v>39</v>
      </c>
      <c r="P103" s="157"/>
      <c r="Q103" s="157"/>
      <c r="R103" s="157"/>
      <c r="S103" s="157"/>
      <c r="T103" s="157">
        <v>25</v>
      </c>
      <c r="U103" s="157"/>
      <c r="V103" s="157"/>
      <c r="W103" s="157">
        <f t="shared" si="8"/>
        <v>25</v>
      </c>
      <c r="X103" s="159">
        <v>52000</v>
      </c>
      <c r="Y103" s="271">
        <f>T103*X103</f>
        <v>1300000</v>
      </c>
      <c r="Z103" s="152"/>
      <c r="AA103" s="34" t="s">
        <v>53</v>
      </c>
      <c r="AB103" s="90">
        <f t="shared" si="9"/>
        <v>25</v>
      </c>
      <c r="AC103" s="91">
        <f t="shared" si="10"/>
        <v>125000</v>
      </c>
    </row>
    <row r="104" spans="1:30" s="160" customFormat="1" ht="64.8" customHeight="1" x14ac:dyDescent="0.3">
      <c r="A104" s="152">
        <v>9</v>
      </c>
      <c r="B104" s="153" t="s">
        <v>634</v>
      </c>
      <c r="C104" s="154" t="s">
        <v>650</v>
      </c>
      <c r="D104" s="155" t="s">
        <v>30</v>
      </c>
      <c r="E104" s="155" t="s">
        <v>543</v>
      </c>
      <c r="F104" s="155"/>
      <c r="G104" s="155"/>
      <c r="H104" s="155">
        <v>2</v>
      </c>
      <c r="I104" s="155">
        <f t="shared" si="12"/>
        <v>2</v>
      </c>
      <c r="J104" s="152" t="s">
        <v>651</v>
      </c>
      <c r="K104" s="152"/>
      <c r="L104" s="169" t="s">
        <v>491</v>
      </c>
      <c r="M104" s="152" t="s">
        <v>33</v>
      </c>
      <c r="N104" s="10" t="s">
        <v>221</v>
      </c>
      <c r="O104" s="154" t="s">
        <v>39</v>
      </c>
      <c r="P104" s="157"/>
      <c r="Q104" s="157"/>
      <c r="R104" s="157"/>
      <c r="S104" s="157"/>
      <c r="T104" s="157">
        <v>2</v>
      </c>
      <c r="U104" s="157"/>
      <c r="V104" s="157"/>
      <c r="W104" s="157">
        <f t="shared" si="8"/>
        <v>2</v>
      </c>
      <c r="X104" s="158">
        <f>SUMIFS('Đơn giá'!C:C,'Đơn giá'!B:B,'XUẤT (2)'!O104)</f>
        <v>52000</v>
      </c>
      <c r="Y104" s="271">
        <f>T104*X104</f>
        <v>104000</v>
      </c>
      <c r="Z104" s="152" t="s">
        <v>905</v>
      </c>
      <c r="AA104" s="10" t="s">
        <v>221</v>
      </c>
      <c r="AB104" s="90">
        <f t="shared" si="9"/>
        <v>2</v>
      </c>
      <c r="AC104" s="91">
        <f t="shared" si="10"/>
        <v>10000</v>
      </c>
    </row>
    <row r="105" spans="1:30" s="160" customFormat="1" ht="64.8" customHeight="1" x14ac:dyDescent="0.3">
      <c r="A105" s="152">
        <v>10</v>
      </c>
      <c r="B105" s="153" t="s">
        <v>634</v>
      </c>
      <c r="C105" s="382" t="s">
        <v>664</v>
      </c>
      <c r="D105" s="155" t="s">
        <v>30</v>
      </c>
      <c r="E105" s="155" t="s">
        <v>543</v>
      </c>
      <c r="F105" s="155"/>
      <c r="G105" s="155"/>
      <c r="H105" s="155">
        <v>2</v>
      </c>
      <c r="I105" s="155">
        <f t="shared" si="12"/>
        <v>2</v>
      </c>
      <c r="J105" s="152" t="s">
        <v>652</v>
      </c>
      <c r="K105" s="152"/>
      <c r="L105" s="169" t="s">
        <v>491</v>
      </c>
      <c r="M105" s="152" t="s">
        <v>33</v>
      </c>
      <c r="N105" s="212" t="s">
        <v>37</v>
      </c>
      <c r="O105" s="154" t="s">
        <v>39</v>
      </c>
      <c r="P105" s="157"/>
      <c r="Q105" s="157"/>
      <c r="R105" s="157"/>
      <c r="S105" s="157"/>
      <c r="T105" s="157">
        <v>2</v>
      </c>
      <c r="U105" s="157"/>
      <c r="V105" s="157"/>
      <c r="W105" s="157">
        <f t="shared" si="8"/>
        <v>2</v>
      </c>
      <c r="X105" s="158">
        <f>SUMIFS('Đơn giá'!C:C,'Đơn giá'!B:B,'XUẤT (2)'!O105)</f>
        <v>52000</v>
      </c>
      <c r="Y105" s="271">
        <f>T105*X105</f>
        <v>104000</v>
      </c>
      <c r="Z105" s="152"/>
      <c r="AA105" s="212" t="s">
        <v>37</v>
      </c>
      <c r="AB105" s="90">
        <f t="shared" si="9"/>
        <v>2</v>
      </c>
      <c r="AC105" s="91">
        <f t="shared" si="10"/>
        <v>10000</v>
      </c>
    </row>
    <row r="106" spans="1:30" s="160" customFormat="1" ht="64.8" customHeight="1" x14ac:dyDescent="0.3">
      <c r="A106" s="152">
        <v>11</v>
      </c>
      <c r="B106" s="153" t="s">
        <v>634</v>
      </c>
      <c r="C106" s="154" t="s">
        <v>653</v>
      </c>
      <c r="D106" s="155" t="s">
        <v>30</v>
      </c>
      <c r="E106" s="155" t="s">
        <v>543</v>
      </c>
      <c r="F106" s="155"/>
      <c r="G106" s="155"/>
      <c r="H106" s="155">
        <v>1</v>
      </c>
      <c r="I106" s="155">
        <f t="shared" si="12"/>
        <v>1</v>
      </c>
      <c r="J106" s="152" t="s">
        <v>395</v>
      </c>
      <c r="K106" s="152"/>
      <c r="L106" s="169" t="s">
        <v>491</v>
      </c>
      <c r="M106" s="152" t="s">
        <v>33</v>
      </c>
      <c r="N106" s="10" t="s">
        <v>98</v>
      </c>
      <c r="O106" s="154" t="s">
        <v>39</v>
      </c>
      <c r="P106" s="157"/>
      <c r="Q106" s="157"/>
      <c r="R106" s="157"/>
      <c r="S106" s="157"/>
      <c r="T106" s="157">
        <v>1</v>
      </c>
      <c r="U106" s="157"/>
      <c r="V106" s="157"/>
      <c r="W106" s="157">
        <f t="shared" si="8"/>
        <v>1</v>
      </c>
      <c r="X106" s="158">
        <f>SUMIFS('Đơn giá'!C:C,'Đơn giá'!B:B,'XUẤT (2)'!O106)</f>
        <v>52000</v>
      </c>
      <c r="Y106" s="271">
        <f>T106*X106</f>
        <v>52000</v>
      </c>
      <c r="Z106" s="152" t="s">
        <v>687</v>
      </c>
      <c r="AA106" s="10" t="s">
        <v>98</v>
      </c>
      <c r="AB106" s="90">
        <f t="shared" si="9"/>
        <v>1</v>
      </c>
      <c r="AC106" s="91">
        <f t="shared" si="10"/>
        <v>5000</v>
      </c>
    </row>
    <row r="107" spans="1:30" s="160" customFormat="1" ht="64.8" customHeight="1" x14ac:dyDescent="0.3">
      <c r="A107" s="152">
        <v>12</v>
      </c>
      <c r="B107" s="153" t="s">
        <v>634</v>
      </c>
      <c r="C107" s="154" t="s">
        <v>654</v>
      </c>
      <c r="D107" s="155" t="s">
        <v>30</v>
      </c>
      <c r="E107" s="155" t="s">
        <v>577</v>
      </c>
      <c r="F107" s="155"/>
      <c r="G107" s="155">
        <v>3</v>
      </c>
      <c r="H107" s="155"/>
      <c r="I107" s="155">
        <f t="shared" si="12"/>
        <v>3</v>
      </c>
      <c r="J107" s="152" t="s">
        <v>387</v>
      </c>
      <c r="K107" s="152"/>
      <c r="L107" s="169" t="s">
        <v>491</v>
      </c>
      <c r="M107" s="85" t="s">
        <v>33</v>
      </c>
      <c r="N107" s="10" t="s">
        <v>136</v>
      </c>
      <c r="O107" s="154" t="s">
        <v>26</v>
      </c>
      <c r="P107" s="157">
        <v>3</v>
      </c>
      <c r="Q107" s="157"/>
      <c r="R107" s="157"/>
      <c r="S107" s="157"/>
      <c r="T107" s="157"/>
      <c r="U107" s="157"/>
      <c r="V107" s="157"/>
      <c r="W107" s="157">
        <f t="shared" si="8"/>
        <v>3</v>
      </c>
      <c r="X107" s="159">
        <v>98000</v>
      </c>
      <c r="Y107" s="271">
        <f>X107*P107</f>
        <v>294000</v>
      </c>
      <c r="Z107" s="152" t="s">
        <v>798</v>
      </c>
      <c r="AA107" s="212" t="s">
        <v>136</v>
      </c>
      <c r="AB107" s="157">
        <f t="shared" si="9"/>
        <v>3</v>
      </c>
      <c r="AC107" s="158">
        <f t="shared" si="10"/>
        <v>15000</v>
      </c>
    </row>
    <row r="108" spans="1:30" s="160" customFormat="1" ht="64.8" customHeight="1" x14ac:dyDescent="0.3">
      <c r="A108" s="152">
        <v>13</v>
      </c>
      <c r="B108" s="153" t="s">
        <v>634</v>
      </c>
      <c r="C108" s="154" t="s">
        <v>655</v>
      </c>
      <c r="D108" s="155" t="s">
        <v>30</v>
      </c>
      <c r="E108" s="155" t="s">
        <v>577</v>
      </c>
      <c r="F108" s="155"/>
      <c r="G108" s="155">
        <v>1</v>
      </c>
      <c r="H108" s="155"/>
      <c r="I108" s="155">
        <f t="shared" si="12"/>
        <v>1</v>
      </c>
      <c r="J108" s="10" t="s">
        <v>139</v>
      </c>
      <c r="K108" s="152"/>
      <c r="L108" s="169" t="s">
        <v>491</v>
      </c>
      <c r="M108" s="85" t="s">
        <v>33</v>
      </c>
      <c r="N108" s="10" t="s">
        <v>139</v>
      </c>
      <c r="O108" s="154" t="s">
        <v>26</v>
      </c>
      <c r="P108" s="157">
        <v>1</v>
      </c>
      <c r="Q108" s="157"/>
      <c r="R108" s="157"/>
      <c r="S108" s="157"/>
      <c r="T108" s="157"/>
      <c r="U108" s="157"/>
      <c r="V108" s="157"/>
      <c r="W108" s="157">
        <f t="shared" si="8"/>
        <v>1</v>
      </c>
      <c r="X108" s="159">
        <v>98000</v>
      </c>
      <c r="Y108" s="271">
        <f>P108*X108</f>
        <v>98000</v>
      </c>
      <c r="Z108" s="152"/>
      <c r="AA108" s="10" t="s">
        <v>139</v>
      </c>
      <c r="AB108" s="90">
        <f t="shared" si="9"/>
        <v>1</v>
      </c>
      <c r="AC108" s="91">
        <f t="shared" si="10"/>
        <v>5000</v>
      </c>
    </row>
    <row r="109" spans="1:30" s="160" customFormat="1" ht="64.8" customHeight="1" x14ac:dyDescent="0.3">
      <c r="A109" s="152">
        <v>14</v>
      </c>
      <c r="B109" s="153" t="s">
        <v>634</v>
      </c>
      <c r="C109" s="270" t="s">
        <v>662</v>
      </c>
      <c r="D109" s="155" t="s">
        <v>30</v>
      </c>
      <c r="E109" s="155" t="s">
        <v>224</v>
      </c>
      <c r="F109" s="155"/>
      <c r="G109" s="155"/>
      <c r="H109" s="155">
        <v>11</v>
      </c>
      <c r="I109" s="155">
        <f t="shared" si="12"/>
        <v>11</v>
      </c>
      <c r="J109" s="218" t="s">
        <v>595</v>
      </c>
      <c r="K109" s="152"/>
      <c r="L109" s="169" t="s">
        <v>491</v>
      </c>
      <c r="M109" s="85" t="s">
        <v>33</v>
      </c>
      <c r="N109" s="10" t="s">
        <v>37</v>
      </c>
      <c r="O109" s="154" t="s">
        <v>42</v>
      </c>
      <c r="P109" s="157"/>
      <c r="Q109" s="157"/>
      <c r="R109" s="157"/>
      <c r="S109" s="157"/>
      <c r="T109" s="157"/>
      <c r="U109" s="157">
        <v>10</v>
      </c>
      <c r="V109" s="157">
        <v>1</v>
      </c>
      <c r="W109" s="157">
        <f t="shared" si="8"/>
        <v>11</v>
      </c>
      <c r="X109" s="159">
        <v>48000</v>
      </c>
      <c r="Y109" s="271">
        <f>U109*X109</f>
        <v>480000</v>
      </c>
      <c r="Z109" s="152"/>
      <c r="AA109" s="10" t="s">
        <v>37</v>
      </c>
      <c r="AB109" s="90">
        <f t="shared" si="9"/>
        <v>10</v>
      </c>
      <c r="AC109" s="91">
        <f t="shared" si="10"/>
        <v>50000</v>
      </c>
    </row>
    <row r="110" spans="1:30" s="160" customFormat="1" ht="64.8" customHeight="1" x14ac:dyDescent="0.3">
      <c r="A110" s="152">
        <v>15</v>
      </c>
      <c r="B110" s="153" t="s">
        <v>634</v>
      </c>
      <c r="C110" s="154" t="s">
        <v>663</v>
      </c>
      <c r="D110" s="155" t="s">
        <v>30</v>
      </c>
      <c r="E110" s="155" t="s">
        <v>224</v>
      </c>
      <c r="F110" s="155"/>
      <c r="G110" s="155"/>
      <c r="H110" s="155">
        <v>2</v>
      </c>
      <c r="I110" s="155">
        <f t="shared" si="12"/>
        <v>2</v>
      </c>
      <c r="J110" s="218" t="s">
        <v>49</v>
      </c>
      <c r="K110" s="152"/>
      <c r="L110" s="169" t="s">
        <v>491</v>
      </c>
      <c r="M110" s="85" t="s">
        <v>33</v>
      </c>
      <c r="N110" s="10" t="s">
        <v>245</v>
      </c>
      <c r="O110" s="154" t="s">
        <v>42</v>
      </c>
      <c r="P110" s="157"/>
      <c r="Q110" s="157"/>
      <c r="R110" s="157"/>
      <c r="S110" s="157"/>
      <c r="T110" s="157"/>
      <c r="U110" s="157">
        <v>2</v>
      </c>
      <c r="V110" s="157"/>
      <c r="W110" s="157">
        <f t="shared" si="8"/>
        <v>2</v>
      </c>
      <c r="X110" s="159">
        <v>48000</v>
      </c>
      <c r="Y110" s="271">
        <f>U110*X110</f>
        <v>96000</v>
      </c>
      <c r="Z110" s="152"/>
      <c r="AA110" s="218" t="s">
        <v>49</v>
      </c>
      <c r="AB110" s="90">
        <f t="shared" si="9"/>
        <v>2</v>
      </c>
      <c r="AC110" s="91">
        <f t="shared" si="10"/>
        <v>10000</v>
      </c>
    </row>
    <row r="111" spans="1:30" s="160" customFormat="1" ht="52.8" customHeight="1" x14ac:dyDescent="0.3">
      <c r="A111" s="398">
        <v>2</v>
      </c>
      <c r="B111" s="411" t="s">
        <v>646</v>
      </c>
      <c r="C111" s="414" t="s">
        <v>647</v>
      </c>
      <c r="D111" s="395" t="s">
        <v>648</v>
      </c>
      <c r="E111" s="395" t="s">
        <v>622</v>
      </c>
      <c r="F111" s="155">
        <v>3</v>
      </c>
      <c r="G111" s="155"/>
      <c r="H111" s="155">
        <v>15</v>
      </c>
      <c r="I111" s="155">
        <f t="shared" si="12"/>
        <v>15</v>
      </c>
      <c r="J111" s="152"/>
      <c r="K111" s="152"/>
      <c r="L111" s="169"/>
      <c r="M111" s="85" t="s">
        <v>33</v>
      </c>
      <c r="N111" s="211" t="s">
        <v>104</v>
      </c>
      <c r="O111" s="154" t="s">
        <v>39</v>
      </c>
      <c r="P111" s="157"/>
      <c r="Q111" s="157"/>
      <c r="R111" s="157"/>
      <c r="S111" s="157"/>
      <c r="T111" s="157">
        <v>6</v>
      </c>
      <c r="U111" s="157"/>
      <c r="V111" s="157"/>
      <c r="W111" s="157">
        <f t="shared" si="8"/>
        <v>6</v>
      </c>
      <c r="X111" s="158">
        <f>SUMIFS('Đơn giá'!C:C,'Đơn giá'!B:B,'XUẤT (2)'!O111)</f>
        <v>52000</v>
      </c>
      <c r="Y111" s="272">
        <f>T111*X111</f>
        <v>312000</v>
      </c>
      <c r="Z111" s="158"/>
      <c r="AA111" s="157" t="s">
        <v>679</v>
      </c>
      <c r="AB111" s="90">
        <f t="shared" si="9"/>
        <v>6</v>
      </c>
      <c r="AC111" s="91">
        <f t="shared" si="10"/>
        <v>30000</v>
      </c>
    </row>
    <row r="112" spans="1:30" s="160" customFormat="1" ht="31.2" customHeight="1" x14ac:dyDescent="0.3">
      <c r="A112" s="410"/>
      <c r="B112" s="412"/>
      <c r="C112" s="415"/>
      <c r="D112" s="396"/>
      <c r="E112" s="396"/>
      <c r="F112" s="155"/>
      <c r="G112" s="155"/>
      <c r="H112" s="155"/>
      <c r="I112" s="155">
        <f t="shared" si="12"/>
        <v>0</v>
      </c>
      <c r="J112" s="152"/>
      <c r="K112" s="152"/>
      <c r="L112" s="152"/>
      <c r="M112" s="85" t="s">
        <v>33</v>
      </c>
      <c r="N112" s="211" t="s">
        <v>104</v>
      </c>
      <c r="O112" s="154" t="s">
        <v>42</v>
      </c>
      <c r="P112" s="157"/>
      <c r="Q112" s="157"/>
      <c r="R112" s="157"/>
      <c r="S112" s="157"/>
      <c r="T112" s="157"/>
      <c r="U112" s="157">
        <v>9</v>
      </c>
      <c r="V112" s="157"/>
      <c r="W112" s="157">
        <f t="shared" si="8"/>
        <v>9</v>
      </c>
      <c r="X112" s="159">
        <v>48000</v>
      </c>
      <c r="Y112" s="271">
        <f>U112*X112</f>
        <v>432000</v>
      </c>
      <c r="Z112" s="152"/>
      <c r="AA112" s="157" t="s">
        <v>679</v>
      </c>
      <c r="AB112" s="90">
        <f t="shared" si="9"/>
        <v>9</v>
      </c>
      <c r="AC112" s="91">
        <f t="shared" si="10"/>
        <v>45000</v>
      </c>
    </row>
    <row r="113" spans="1:30" s="160" customFormat="1" ht="43.2" customHeight="1" x14ac:dyDescent="0.3">
      <c r="A113" s="399"/>
      <c r="B113" s="413"/>
      <c r="C113" s="416"/>
      <c r="D113" s="397"/>
      <c r="E113" s="397"/>
      <c r="F113" s="155"/>
      <c r="G113" s="155"/>
      <c r="H113" s="155"/>
      <c r="I113" s="155">
        <f t="shared" si="12"/>
        <v>0</v>
      </c>
      <c r="J113" s="152"/>
      <c r="K113" s="152"/>
      <c r="L113" s="152"/>
      <c r="M113" s="85" t="s">
        <v>33</v>
      </c>
      <c r="N113" s="211" t="s">
        <v>104</v>
      </c>
      <c r="O113" s="154" t="s">
        <v>38</v>
      </c>
      <c r="P113" s="157"/>
      <c r="Q113" s="157"/>
      <c r="R113" s="157"/>
      <c r="S113" s="157">
        <v>3</v>
      </c>
      <c r="T113" s="157"/>
      <c r="U113" s="157"/>
      <c r="V113" s="157"/>
      <c r="W113" s="157">
        <f t="shared" si="8"/>
        <v>3</v>
      </c>
      <c r="X113" s="159">
        <v>93000</v>
      </c>
      <c r="Y113" s="271">
        <f>S113*X113</f>
        <v>279000</v>
      </c>
      <c r="Z113" s="152"/>
      <c r="AA113" s="157" t="s">
        <v>679</v>
      </c>
      <c r="AB113" s="90">
        <f t="shared" si="9"/>
        <v>3</v>
      </c>
      <c r="AC113" s="91">
        <f t="shared" si="10"/>
        <v>15000</v>
      </c>
    </row>
    <row r="114" spans="1:30" s="160" customFormat="1" ht="123.6" customHeight="1" x14ac:dyDescent="0.3">
      <c r="A114" s="152">
        <v>3</v>
      </c>
      <c r="B114" s="273" t="s">
        <v>646</v>
      </c>
      <c r="C114" s="270" t="s">
        <v>660</v>
      </c>
      <c r="D114" s="155" t="s">
        <v>30</v>
      </c>
      <c r="E114" s="155" t="s">
        <v>543</v>
      </c>
      <c r="F114" s="155"/>
      <c r="G114" s="155">
        <v>11</v>
      </c>
      <c r="H114" s="155"/>
      <c r="I114" s="155">
        <f t="shared" si="12"/>
        <v>11</v>
      </c>
      <c r="J114" s="152" t="s">
        <v>640</v>
      </c>
      <c r="K114" s="152"/>
      <c r="L114" s="152"/>
      <c r="M114" s="169" t="s">
        <v>46</v>
      </c>
      <c r="N114" s="10"/>
      <c r="O114" s="154" t="s">
        <v>26</v>
      </c>
      <c r="P114" s="157">
        <v>10</v>
      </c>
      <c r="Q114" s="157"/>
      <c r="R114" s="157"/>
      <c r="S114" s="157"/>
      <c r="T114" s="157"/>
      <c r="U114" s="157"/>
      <c r="V114" s="157">
        <v>1</v>
      </c>
      <c r="W114" s="157">
        <f t="shared" si="8"/>
        <v>11</v>
      </c>
      <c r="X114" s="159">
        <v>98000</v>
      </c>
      <c r="Y114" s="271">
        <f>P114*X114</f>
        <v>980000</v>
      </c>
      <c r="Z114" s="152" t="s">
        <v>899</v>
      </c>
      <c r="AA114" s="158" t="s">
        <v>595</v>
      </c>
      <c r="AB114" s="90">
        <f t="shared" si="9"/>
        <v>10</v>
      </c>
      <c r="AC114" s="91">
        <f t="shared" si="10"/>
        <v>50000</v>
      </c>
    </row>
    <row r="115" spans="1:30" s="160" customFormat="1" ht="69" hidden="1" customHeight="1" x14ac:dyDescent="0.3">
      <c r="A115" s="152">
        <v>5</v>
      </c>
      <c r="B115" s="273" t="s">
        <v>646</v>
      </c>
      <c r="C115" s="154" t="s">
        <v>656</v>
      </c>
      <c r="D115" s="155" t="s">
        <v>30</v>
      </c>
      <c r="E115" s="155" t="s">
        <v>543</v>
      </c>
      <c r="F115" s="155"/>
      <c r="G115" s="155">
        <v>22</v>
      </c>
      <c r="H115" s="155"/>
      <c r="I115" s="155">
        <f t="shared" si="12"/>
        <v>22</v>
      </c>
      <c r="J115" s="152" t="s">
        <v>640</v>
      </c>
      <c r="K115" s="152"/>
      <c r="L115" s="152"/>
      <c r="M115" s="169" t="s">
        <v>657</v>
      </c>
      <c r="N115" s="154"/>
      <c r="O115" s="154" t="s">
        <v>26</v>
      </c>
      <c r="P115" s="157">
        <v>20</v>
      </c>
      <c r="Q115" s="157"/>
      <c r="R115" s="157"/>
      <c r="S115" s="157"/>
      <c r="T115" s="157"/>
      <c r="U115" s="157"/>
      <c r="V115" s="157">
        <v>2</v>
      </c>
      <c r="W115" s="157">
        <f t="shared" si="8"/>
        <v>22</v>
      </c>
      <c r="X115" s="159">
        <v>98000</v>
      </c>
      <c r="Y115" s="277">
        <f>P115*X115</f>
        <v>1960000</v>
      </c>
      <c r="Z115" s="152"/>
      <c r="AA115" s="158" t="s">
        <v>595</v>
      </c>
      <c r="AB115" s="90">
        <f t="shared" si="9"/>
        <v>20</v>
      </c>
      <c r="AC115" s="91">
        <f t="shared" si="10"/>
        <v>100000</v>
      </c>
    </row>
    <row r="116" spans="1:30" s="160" customFormat="1" ht="117" hidden="1" customHeight="1" x14ac:dyDescent="0.3">
      <c r="A116" s="152">
        <v>6</v>
      </c>
      <c r="B116" s="273" t="s">
        <v>646</v>
      </c>
      <c r="C116" s="154" t="s">
        <v>658</v>
      </c>
      <c r="D116" s="155" t="s">
        <v>30</v>
      </c>
      <c r="E116" s="155" t="s">
        <v>224</v>
      </c>
      <c r="F116" s="155"/>
      <c r="G116" s="155">
        <v>11</v>
      </c>
      <c r="H116" s="155"/>
      <c r="I116" s="155">
        <f t="shared" si="12"/>
        <v>11</v>
      </c>
      <c r="J116" s="152" t="s">
        <v>640</v>
      </c>
      <c r="K116" s="152"/>
      <c r="L116" s="152" t="s">
        <v>491</v>
      </c>
      <c r="M116" s="169" t="s">
        <v>50</v>
      </c>
      <c r="N116" s="154"/>
      <c r="O116" s="154" t="s">
        <v>29</v>
      </c>
      <c r="P116" s="157"/>
      <c r="Q116" s="157">
        <v>10</v>
      </c>
      <c r="R116" s="157"/>
      <c r="S116" s="157"/>
      <c r="T116" s="157"/>
      <c r="U116" s="157"/>
      <c r="V116" s="157">
        <v>1</v>
      </c>
      <c r="W116" s="157">
        <f t="shared" si="8"/>
        <v>11</v>
      </c>
      <c r="X116" s="159">
        <f>P116*85000</f>
        <v>0</v>
      </c>
      <c r="Y116" s="277">
        <f t="shared" ref="Y116" si="14">P116*X116</f>
        <v>0</v>
      </c>
      <c r="Z116" s="152"/>
      <c r="AA116" s="158" t="s">
        <v>595</v>
      </c>
      <c r="AB116" s="90">
        <f t="shared" si="9"/>
        <v>10</v>
      </c>
      <c r="AC116" s="91">
        <f t="shared" si="10"/>
        <v>50000</v>
      </c>
    </row>
    <row r="117" spans="1:30" s="160" customFormat="1" ht="69" customHeight="1" x14ac:dyDescent="0.3">
      <c r="A117" s="152">
        <v>7</v>
      </c>
      <c r="B117" s="273" t="s">
        <v>646</v>
      </c>
      <c r="C117" s="270" t="s">
        <v>659</v>
      </c>
      <c r="D117" s="155" t="s">
        <v>30</v>
      </c>
      <c r="E117" s="155" t="s">
        <v>224</v>
      </c>
      <c r="F117" s="155"/>
      <c r="G117" s="155">
        <v>20</v>
      </c>
      <c r="H117" s="155"/>
      <c r="I117" s="155">
        <f t="shared" si="12"/>
        <v>20</v>
      </c>
      <c r="J117" s="152" t="s">
        <v>640</v>
      </c>
      <c r="K117" s="152"/>
      <c r="L117" s="152" t="s">
        <v>491</v>
      </c>
      <c r="M117" s="169" t="s">
        <v>46</v>
      </c>
      <c r="N117" s="154"/>
      <c r="O117" s="154" t="s">
        <v>26</v>
      </c>
      <c r="P117" s="157">
        <v>20</v>
      </c>
      <c r="Q117" s="157"/>
      <c r="R117" s="157"/>
      <c r="S117" s="157"/>
      <c r="T117" s="157"/>
      <c r="U117" s="157"/>
      <c r="V117" s="157"/>
      <c r="W117" s="157">
        <f t="shared" si="8"/>
        <v>20</v>
      </c>
      <c r="X117" s="159">
        <v>98000</v>
      </c>
      <c r="Y117" s="277">
        <f>P117*X117</f>
        <v>1960000</v>
      </c>
      <c r="Z117" s="152"/>
      <c r="AA117" s="158" t="s">
        <v>595</v>
      </c>
      <c r="AB117" s="90">
        <f t="shared" si="9"/>
        <v>20</v>
      </c>
      <c r="AC117" s="91">
        <f t="shared" si="10"/>
        <v>100000</v>
      </c>
    </row>
    <row r="118" spans="1:30" s="160" customFormat="1" ht="118.2" customHeight="1" x14ac:dyDescent="0.3">
      <c r="A118" s="152">
        <v>8</v>
      </c>
      <c r="B118" s="273" t="s">
        <v>646</v>
      </c>
      <c r="C118" s="299" t="s">
        <v>661</v>
      </c>
      <c r="D118" s="155" t="s">
        <v>30</v>
      </c>
      <c r="E118" s="155" t="s">
        <v>543</v>
      </c>
      <c r="F118" s="155"/>
      <c r="G118" s="155">
        <v>55</v>
      </c>
      <c r="H118" s="155"/>
      <c r="I118" s="155">
        <f t="shared" si="12"/>
        <v>55</v>
      </c>
      <c r="J118" s="152" t="s">
        <v>640</v>
      </c>
      <c r="K118" s="152"/>
      <c r="L118" s="152"/>
      <c r="M118" s="152" t="s">
        <v>33</v>
      </c>
      <c r="N118" s="10" t="s">
        <v>37</v>
      </c>
      <c r="O118" s="154" t="s">
        <v>26</v>
      </c>
      <c r="P118" s="157">
        <v>50</v>
      </c>
      <c r="Q118" s="157"/>
      <c r="R118" s="157"/>
      <c r="S118" s="157"/>
      <c r="T118" s="157"/>
      <c r="U118" s="157"/>
      <c r="V118" s="157">
        <v>5</v>
      </c>
      <c r="W118" s="157">
        <f t="shared" ref="W118:W180" si="15">SUM(P118:V118)</f>
        <v>55</v>
      </c>
      <c r="X118" s="159">
        <v>98000</v>
      </c>
      <c r="Y118" s="271">
        <f>P118*X118</f>
        <v>4900000</v>
      </c>
      <c r="Z118" s="152" t="s">
        <v>848</v>
      </c>
      <c r="AA118" s="158" t="s">
        <v>595</v>
      </c>
      <c r="AB118" s="157">
        <f t="shared" si="9"/>
        <v>50</v>
      </c>
      <c r="AC118" s="158">
        <f t="shared" si="10"/>
        <v>250000</v>
      </c>
    </row>
    <row r="119" spans="1:30" s="160" customFormat="1" ht="66.599999999999994" hidden="1" customHeight="1" x14ac:dyDescent="0.3">
      <c r="A119" s="152">
        <v>9</v>
      </c>
      <c r="B119" s="273" t="s">
        <v>646</v>
      </c>
      <c r="C119" s="154" t="s">
        <v>667</v>
      </c>
      <c r="D119" s="155" t="s">
        <v>668</v>
      </c>
      <c r="E119" s="155"/>
      <c r="F119" s="155"/>
      <c r="G119" s="155">
        <v>55</v>
      </c>
      <c r="H119" s="155"/>
      <c r="I119" s="155">
        <f t="shared" si="12"/>
        <v>55</v>
      </c>
      <c r="J119" s="152" t="s">
        <v>640</v>
      </c>
      <c r="K119" s="152"/>
      <c r="L119" s="152"/>
      <c r="M119" s="169" t="s">
        <v>568</v>
      </c>
      <c r="N119" s="154"/>
      <c r="O119" s="154"/>
      <c r="P119" s="157"/>
      <c r="Q119" s="157">
        <v>50</v>
      </c>
      <c r="R119" s="157"/>
      <c r="S119" s="157"/>
      <c r="T119" s="157"/>
      <c r="U119" s="157"/>
      <c r="V119" s="157">
        <v>5</v>
      </c>
      <c r="W119" s="157">
        <f t="shared" si="15"/>
        <v>55</v>
      </c>
      <c r="X119" s="159">
        <f t="shared" si="13"/>
        <v>0</v>
      </c>
      <c r="Y119" s="277">
        <f t="shared" ref="Y119:Y123" si="16">P119*X119</f>
        <v>0</v>
      </c>
      <c r="Z119" s="152"/>
      <c r="AA119" s="158" t="s">
        <v>595</v>
      </c>
      <c r="AB119" s="90">
        <f t="shared" ref="AB119:AB124" si="17">W119-V119</f>
        <v>50</v>
      </c>
      <c r="AC119" s="91">
        <f t="shared" ref="AC119:AC181" si="18">AB119*5000</f>
        <v>250000</v>
      </c>
    </row>
    <row r="120" spans="1:30" s="160" customFormat="1" ht="118.2" customHeight="1" x14ac:dyDescent="0.3">
      <c r="A120" s="152">
        <v>10</v>
      </c>
      <c r="B120" s="273" t="s">
        <v>646</v>
      </c>
      <c r="C120" s="154" t="s">
        <v>669</v>
      </c>
      <c r="D120" s="155" t="s">
        <v>30</v>
      </c>
      <c r="E120" s="155" t="s">
        <v>543</v>
      </c>
      <c r="F120" s="155"/>
      <c r="G120" s="155">
        <v>2</v>
      </c>
      <c r="H120" s="155"/>
      <c r="I120" s="155">
        <f t="shared" si="12"/>
        <v>2</v>
      </c>
      <c r="J120" s="36" t="s">
        <v>98</v>
      </c>
      <c r="K120" s="152"/>
      <c r="L120" s="152" t="s">
        <v>491</v>
      </c>
      <c r="M120" s="85" t="s">
        <v>33</v>
      </c>
      <c r="N120" s="10" t="s">
        <v>127</v>
      </c>
      <c r="O120" s="154" t="s">
        <v>29</v>
      </c>
      <c r="P120" s="157"/>
      <c r="Q120" s="157">
        <v>2</v>
      </c>
      <c r="R120" s="157"/>
      <c r="S120" s="157"/>
      <c r="T120" s="157"/>
      <c r="U120" s="157"/>
      <c r="V120" s="157"/>
      <c r="W120" s="157">
        <f t="shared" si="15"/>
        <v>2</v>
      </c>
      <c r="X120" s="159">
        <v>85000</v>
      </c>
      <c r="Y120" s="277">
        <f>Q120*X120</f>
        <v>170000</v>
      </c>
      <c r="Z120" s="152"/>
      <c r="AA120" s="36" t="s">
        <v>98</v>
      </c>
      <c r="AB120" s="90">
        <f t="shared" si="17"/>
        <v>2</v>
      </c>
      <c r="AC120" s="91">
        <f t="shared" si="18"/>
        <v>10000</v>
      </c>
    </row>
    <row r="121" spans="1:30" s="160" customFormat="1" ht="69" customHeight="1" x14ac:dyDescent="0.3">
      <c r="A121" s="152">
        <v>11</v>
      </c>
      <c r="B121" s="273" t="s">
        <v>646</v>
      </c>
      <c r="C121" s="154" t="s">
        <v>672</v>
      </c>
      <c r="D121" s="155" t="s">
        <v>30</v>
      </c>
      <c r="E121" s="155" t="s">
        <v>224</v>
      </c>
      <c r="F121" s="155"/>
      <c r="G121" s="155"/>
      <c r="H121" s="155">
        <v>2</v>
      </c>
      <c r="I121" s="155">
        <f t="shared" si="12"/>
        <v>2</v>
      </c>
      <c r="J121" s="152" t="s">
        <v>595</v>
      </c>
      <c r="K121" s="152"/>
      <c r="L121" s="152" t="s">
        <v>491</v>
      </c>
      <c r="M121" s="169" t="s">
        <v>46</v>
      </c>
      <c r="N121" s="10"/>
      <c r="O121" s="154" t="s">
        <v>42</v>
      </c>
      <c r="P121" s="157"/>
      <c r="Q121" s="157"/>
      <c r="R121" s="157"/>
      <c r="S121" s="157"/>
      <c r="T121" s="157"/>
      <c r="U121" s="157">
        <v>2</v>
      </c>
      <c r="V121" s="157"/>
      <c r="W121" s="157">
        <f t="shared" si="15"/>
        <v>2</v>
      </c>
      <c r="X121" s="159">
        <v>48000</v>
      </c>
      <c r="Y121" s="277">
        <f>U121*X121</f>
        <v>96000</v>
      </c>
      <c r="Z121" s="152" t="s">
        <v>680</v>
      </c>
      <c r="AA121" s="158" t="s">
        <v>595</v>
      </c>
      <c r="AB121" s="90">
        <f t="shared" si="17"/>
        <v>2</v>
      </c>
      <c r="AC121" s="91">
        <f t="shared" si="18"/>
        <v>10000</v>
      </c>
    </row>
    <row r="122" spans="1:30" s="160" customFormat="1" ht="69" customHeight="1" x14ac:dyDescent="0.3">
      <c r="A122" s="152"/>
      <c r="B122" s="273" t="s">
        <v>646</v>
      </c>
      <c r="C122" s="154" t="s">
        <v>676</v>
      </c>
      <c r="D122" s="155" t="s">
        <v>30</v>
      </c>
      <c r="E122" s="155" t="s">
        <v>543</v>
      </c>
      <c r="F122" s="155"/>
      <c r="G122" s="155">
        <v>2</v>
      </c>
      <c r="H122" s="155"/>
      <c r="I122" s="155">
        <f t="shared" si="12"/>
        <v>2</v>
      </c>
      <c r="J122" s="229" t="s">
        <v>176</v>
      </c>
      <c r="K122" s="152"/>
      <c r="L122" s="152" t="s">
        <v>491</v>
      </c>
      <c r="M122" s="85" t="s">
        <v>33</v>
      </c>
      <c r="N122" s="36" t="s">
        <v>176</v>
      </c>
      <c r="O122" s="154" t="s">
        <v>26</v>
      </c>
      <c r="P122" s="157">
        <v>2</v>
      </c>
      <c r="Q122" s="157"/>
      <c r="R122" s="157"/>
      <c r="S122" s="157"/>
      <c r="T122" s="157"/>
      <c r="U122" s="157"/>
      <c r="V122" s="157"/>
      <c r="W122" s="157">
        <f t="shared" si="15"/>
        <v>2</v>
      </c>
      <c r="X122" s="159">
        <v>98000</v>
      </c>
      <c r="Y122" s="277">
        <f t="shared" si="16"/>
        <v>196000</v>
      </c>
      <c r="Z122" s="152"/>
      <c r="AA122" s="36" t="s">
        <v>176</v>
      </c>
      <c r="AB122" s="90">
        <f t="shared" si="17"/>
        <v>2</v>
      </c>
      <c r="AC122" s="91">
        <f t="shared" si="18"/>
        <v>10000</v>
      </c>
    </row>
    <row r="123" spans="1:30" s="160" customFormat="1" ht="69" customHeight="1" x14ac:dyDescent="0.3">
      <c r="A123" s="274"/>
      <c r="B123" s="273" t="s">
        <v>646</v>
      </c>
      <c r="C123" s="312" t="s">
        <v>677</v>
      </c>
      <c r="D123" s="155" t="s">
        <v>30</v>
      </c>
      <c r="E123" s="155" t="s">
        <v>543</v>
      </c>
      <c r="F123" s="275"/>
      <c r="G123" s="275">
        <v>4</v>
      </c>
      <c r="H123" s="275"/>
      <c r="I123" s="275">
        <f t="shared" si="12"/>
        <v>4</v>
      </c>
      <c r="J123" s="212" t="s">
        <v>219</v>
      </c>
      <c r="K123" s="274"/>
      <c r="L123" s="274" t="s">
        <v>491</v>
      </c>
      <c r="M123" s="85" t="s">
        <v>33</v>
      </c>
      <c r="N123" s="10" t="s">
        <v>219</v>
      </c>
      <c r="O123" s="154" t="s">
        <v>26</v>
      </c>
      <c r="P123" s="255"/>
      <c r="Q123" s="255"/>
      <c r="R123" s="255"/>
      <c r="S123" s="255"/>
      <c r="T123" s="255"/>
      <c r="U123" s="255"/>
      <c r="V123" s="255">
        <v>4</v>
      </c>
      <c r="W123" s="255">
        <f t="shared" si="15"/>
        <v>4</v>
      </c>
      <c r="X123" s="284">
        <v>98000</v>
      </c>
      <c r="Y123" s="285">
        <f t="shared" si="16"/>
        <v>0</v>
      </c>
      <c r="Z123" s="274"/>
      <c r="AA123" s="10" t="s">
        <v>219</v>
      </c>
      <c r="AB123" s="90">
        <f t="shared" si="17"/>
        <v>0</v>
      </c>
      <c r="AC123" s="286">
        <f t="shared" si="18"/>
        <v>0</v>
      </c>
    </row>
    <row r="124" spans="1:30" s="160" customFormat="1" ht="69" customHeight="1" x14ac:dyDescent="0.3">
      <c r="A124" s="274"/>
      <c r="B124" s="273" t="s">
        <v>646</v>
      </c>
      <c r="C124" s="154" t="s">
        <v>614</v>
      </c>
      <c r="D124" s="155" t="s">
        <v>30</v>
      </c>
      <c r="E124" s="155" t="s">
        <v>224</v>
      </c>
      <c r="F124" s="275"/>
      <c r="G124" s="275">
        <v>3</v>
      </c>
      <c r="H124" s="275"/>
      <c r="I124" s="275">
        <f t="shared" si="12"/>
        <v>3</v>
      </c>
      <c r="J124" s="10" t="s">
        <v>235</v>
      </c>
      <c r="K124" s="274"/>
      <c r="L124" s="274" t="s">
        <v>491</v>
      </c>
      <c r="M124" s="85" t="s">
        <v>33</v>
      </c>
      <c r="N124" s="10" t="s">
        <v>235</v>
      </c>
      <c r="O124" s="154" t="s">
        <v>26</v>
      </c>
      <c r="P124" s="255">
        <v>3</v>
      </c>
      <c r="Q124" s="255"/>
      <c r="R124" s="255"/>
      <c r="S124" s="255"/>
      <c r="T124" s="255"/>
      <c r="U124" s="255"/>
      <c r="V124" s="255"/>
      <c r="W124" s="255">
        <f t="shared" si="15"/>
        <v>3</v>
      </c>
      <c r="X124" s="284">
        <v>98000</v>
      </c>
      <c r="Y124" s="285">
        <f>P124*X124</f>
        <v>294000</v>
      </c>
      <c r="Z124" s="274" t="s">
        <v>721</v>
      </c>
      <c r="AA124" s="10" t="s">
        <v>235</v>
      </c>
      <c r="AB124" s="90">
        <f t="shared" si="17"/>
        <v>3</v>
      </c>
      <c r="AC124" s="286">
        <v>15000</v>
      </c>
    </row>
    <row r="125" spans="1:30" s="75" customFormat="1" ht="63" hidden="1" customHeight="1" x14ac:dyDescent="0.3">
      <c r="A125" s="85">
        <v>1</v>
      </c>
      <c r="B125" s="85" t="s">
        <v>671</v>
      </c>
      <c r="C125" s="304" t="s">
        <v>709</v>
      </c>
      <c r="D125" s="102" t="s">
        <v>30</v>
      </c>
      <c r="E125" s="102"/>
      <c r="F125" s="102"/>
      <c r="G125" s="102"/>
      <c r="H125" s="102">
        <v>33</v>
      </c>
      <c r="I125" s="275">
        <f t="shared" si="12"/>
        <v>33</v>
      </c>
      <c r="J125" s="85" t="s">
        <v>711</v>
      </c>
      <c r="K125" s="85" t="s">
        <v>710</v>
      </c>
      <c r="L125" s="274" t="s">
        <v>491</v>
      </c>
      <c r="M125" s="85" t="s">
        <v>72</v>
      </c>
      <c r="N125" s="150"/>
      <c r="O125" s="90"/>
      <c r="P125" s="90"/>
      <c r="Q125" s="90"/>
      <c r="R125" s="90"/>
      <c r="S125" s="90"/>
      <c r="T125" s="90"/>
      <c r="U125" s="90"/>
      <c r="V125" s="90"/>
      <c r="W125" s="255">
        <f t="shared" si="15"/>
        <v>0</v>
      </c>
      <c r="X125" s="90"/>
      <c r="Y125" s="90"/>
      <c r="Z125" s="232"/>
      <c r="AA125" s="85"/>
      <c r="AB125" s="85"/>
      <c r="AC125" s="90"/>
    </row>
    <row r="126" spans="1:30" s="160" customFormat="1" ht="60" customHeight="1" x14ac:dyDescent="0.3">
      <c r="A126" s="274">
        <v>2</v>
      </c>
      <c r="B126" s="296" t="s">
        <v>678</v>
      </c>
      <c r="C126" s="312" t="s">
        <v>645</v>
      </c>
      <c r="D126" s="275" t="s">
        <v>30</v>
      </c>
      <c r="E126" s="275" t="s">
        <v>224</v>
      </c>
      <c r="F126" s="275"/>
      <c r="G126" s="275"/>
      <c r="H126" s="275">
        <v>15</v>
      </c>
      <c r="I126" s="275">
        <f t="shared" si="12"/>
        <v>15</v>
      </c>
      <c r="J126" s="274" t="s">
        <v>640</v>
      </c>
      <c r="K126" s="274"/>
      <c r="L126" s="307"/>
      <c r="M126" s="85" t="s">
        <v>33</v>
      </c>
      <c r="N126" s="308" t="s">
        <v>37</v>
      </c>
      <c r="O126" s="283" t="s">
        <v>42</v>
      </c>
      <c r="P126" s="255"/>
      <c r="Q126" s="255"/>
      <c r="R126" s="255"/>
      <c r="S126" s="255"/>
      <c r="T126" s="255"/>
      <c r="U126" s="255">
        <v>14</v>
      </c>
      <c r="V126" s="255">
        <v>1</v>
      </c>
      <c r="W126" s="255">
        <f t="shared" si="15"/>
        <v>15</v>
      </c>
      <c r="X126" s="274">
        <v>48000</v>
      </c>
      <c r="Y126" s="330">
        <f>U126*X126</f>
        <v>672000</v>
      </c>
      <c r="Z126" s="309"/>
      <c r="AA126" s="255" t="s">
        <v>37</v>
      </c>
      <c r="AB126" s="310">
        <f t="shared" ref="AB126:AB184" si="19">W126-V126</f>
        <v>14</v>
      </c>
      <c r="AC126" s="286">
        <f t="shared" ref="AC126" si="20">AB126*5000</f>
        <v>70000</v>
      </c>
    </row>
    <row r="127" spans="1:30" s="75" customFormat="1" ht="86.4" customHeight="1" x14ac:dyDescent="0.3">
      <c r="A127" s="85">
        <v>3</v>
      </c>
      <c r="B127" s="153" t="s">
        <v>678</v>
      </c>
      <c r="C127" s="300" t="s">
        <v>682</v>
      </c>
      <c r="D127" s="155" t="s">
        <v>30</v>
      </c>
      <c r="E127" s="87" t="s">
        <v>224</v>
      </c>
      <c r="F127" s="87"/>
      <c r="G127" s="87">
        <v>11</v>
      </c>
      <c r="H127" s="87"/>
      <c r="I127" s="155">
        <f t="shared" si="12"/>
        <v>11</v>
      </c>
      <c r="J127" s="85" t="s">
        <v>640</v>
      </c>
      <c r="K127" s="85"/>
      <c r="L127" s="88" t="s">
        <v>491</v>
      </c>
      <c r="M127" s="85" t="s">
        <v>33</v>
      </c>
      <c r="N127" s="7" t="s">
        <v>198</v>
      </c>
      <c r="O127" s="154" t="s">
        <v>26</v>
      </c>
      <c r="P127" s="90">
        <v>10</v>
      </c>
      <c r="Q127" s="90"/>
      <c r="R127" s="90"/>
      <c r="S127" s="90"/>
      <c r="T127" s="90"/>
      <c r="U127" s="90"/>
      <c r="V127" s="90">
        <v>1</v>
      </c>
      <c r="W127" s="157">
        <f t="shared" si="15"/>
        <v>11</v>
      </c>
      <c r="X127" s="92">
        <v>98000</v>
      </c>
      <c r="Y127" s="277">
        <f>P127*X127</f>
        <v>980000</v>
      </c>
      <c r="Z127" s="227"/>
      <c r="AA127" s="90" t="s">
        <v>595</v>
      </c>
      <c r="AB127" s="90">
        <f t="shared" si="19"/>
        <v>10</v>
      </c>
      <c r="AC127" s="91">
        <f t="shared" si="18"/>
        <v>50000</v>
      </c>
    </row>
    <row r="128" spans="1:30" ht="119.4" customHeight="1" x14ac:dyDescent="0.3">
      <c r="A128" s="287">
        <v>4</v>
      </c>
      <c r="B128" s="297" t="s">
        <v>678</v>
      </c>
      <c r="C128" s="311" t="s">
        <v>705</v>
      </c>
      <c r="D128" s="276" t="s">
        <v>30</v>
      </c>
      <c r="E128" s="288" t="s">
        <v>90</v>
      </c>
      <c r="F128" s="288">
        <v>3</v>
      </c>
      <c r="G128" s="288"/>
      <c r="H128" s="288"/>
      <c r="I128" s="276">
        <f>H128+G128+F128</f>
        <v>3</v>
      </c>
      <c r="J128" s="287" t="s">
        <v>640</v>
      </c>
      <c r="K128" s="287"/>
      <c r="L128" s="289"/>
      <c r="M128" s="85" t="s">
        <v>33</v>
      </c>
      <c r="N128" s="212" t="s">
        <v>104</v>
      </c>
      <c r="O128" s="290" t="s">
        <v>38</v>
      </c>
      <c r="P128" s="291"/>
      <c r="Q128" s="291"/>
      <c r="R128" s="291"/>
      <c r="S128" s="291">
        <v>3</v>
      </c>
      <c r="T128" s="291"/>
      <c r="U128" s="291"/>
      <c r="V128" s="291"/>
      <c r="W128" s="292">
        <f t="shared" si="15"/>
        <v>3</v>
      </c>
      <c r="X128" s="293">
        <v>93000</v>
      </c>
      <c r="Y128" s="298">
        <f>S128*X128</f>
        <v>279000</v>
      </c>
      <c r="Z128" s="294"/>
      <c r="AA128" s="291" t="s">
        <v>595</v>
      </c>
      <c r="AB128" s="291">
        <f t="shared" si="19"/>
        <v>3</v>
      </c>
      <c r="AC128" s="295">
        <f t="shared" si="18"/>
        <v>15000</v>
      </c>
      <c r="AD128"/>
    </row>
    <row r="129" spans="1:30" ht="69" customHeight="1" x14ac:dyDescent="0.3">
      <c r="A129" s="85">
        <v>5</v>
      </c>
      <c r="B129" s="153" t="s">
        <v>678</v>
      </c>
      <c r="C129" s="87" t="s">
        <v>684</v>
      </c>
      <c r="D129" s="155" t="s">
        <v>30</v>
      </c>
      <c r="E129" s="87" t="s">
        <v>686</v>
      </c>
      <c r="F129" s="87"/>
      <c r="G129" s="87">
        <v>3</v>
      </c>
      <c r="H129" s="87"/>
      <c r="I129" s="276">
        <f t="shared" si="12"/>
        <v>3</v>
      </c>
      <c r="J129" s="89" t="s">
        <v>685</v>
      </c>
      <c r="K129" s="85"/>
      <c r="L129" s="88"/>
      <c r="M129" s="85" t="s">
        <v>33</v>
      </c>
      <c r="N129" s="89" t="s">
        <v>685</v>
      </c>
      <c r="O129" s="154" t="s">
        <v>26</v>
      </c>
      <c r="P129" s="90">
        <v>3</v>
      </c>
      <c r="Q129" s="90"/>
      <c r="R129" s="90"/>
      <c r="S129" s="90"/>
      <c r="T129" s="90"/>
      <c r="U129" s="90"/>
      <c r="V129" s="90"/>
      <c r="W129" s="157">
        <f t="shared" si="15"/>
        <v>3</v>
      </c>
      <c r="X129" s="91">
        <f>SUMIFS('Đơn giá'!C:C,'Đơn giá'!B:B,'XUẤT (2)'!O129)</f>
        <v>98000</v>
      </c>
      <c r="Y129" s="92">
        <f t="shared" ref="Y129:Y135" si="21">X129*P129</f>
        <v>294000</v>
      </c>
      <c r="Z129" s="232" t="s">
        <v>687</v>
      </c>
      <c r="AA129" s="89" t="s">
        <v>685</v>
      </c>
      <c r="AB129" s="90">
        <f t="shared" si="19"/>
        <v>3</v>
      </c>
      <c r="AC129" s="91">
        <f t="shared" si="18"/>
        <v>15000</v>
      </c>
      <c r="AD129" s="90"/>
    </row>
    <row r="130" spans="1:30" ht="69" customHeight="1" x14ac:dyDescent="0.3">
      <c r="A130" s="85">
        <v>6</v>
      </c>
      <c r="B130" s="153" t="s">
        <v>678</v>
      </c>
      <c r="C130" s="87" t="s">
        <v>684</v>
      </c>
      <c r="D130" s="155" t="s">
        <v>30</v>
      </c>
      <c r="E130" s="87" t="s">
        <v>686</v>
      </c>
      <c r="F130" s="87"/>
      <c r="G130" s="87">
        <v>2</v>
      </c>
      <c r="H130" s="87"/>
      <c r="I130" s="276">
        <f t="shared" si="12"/>
        <v>2</v>
      </c>
      <c r="J130" s="89" t="s">
        <v>685</v>
      </c>
      <c r="K130" s="85"/>
      <c r="L130" s="88"/>
      <c r="M130" s="85" t="s">
        <v>33</v>
      </c>
      <c r="N130" s="89" t="s">
        <v>685</v>
      </c>
      <c r="O130" s="154" t="s">
        <v>26</v>
      </c>
      <c r="P130" s="90">
        <v>2</v>
      </c>
      <c r="Q130" s="90"/>
      <c r="R130" s="90"/>
      <c r="S130" s="90"/>
      <c r="T130" s="90"/>
      <c r="U130" s="90"/>
      <c r="V130" s="90"/>
      <c r="W130" s="157">
        <f t="shared" si="15"/>
        <v>2</v>
      </c>
      <c r="X130" s="91">
        <f>SUMIFS('Đơn giá'!C:C,'Đơn giá'!B:B,'XUẤT (2)'!O130)</f>
        <v>98000</v>
      </c>
      <c r="Y130" s="92">
        <f t="shared" si="21"/>
        <v>196000</v>
      </c>
      <c r="Z130" s="232" t="s">
        <v>690</v>
      </c>
      <c r="AA130" s="89" t="s">
        <v>685</v>
      </c>
      <c r="AB130" s="90">
        <f t="shared" si="19"/>
        <v>2</v>
      </c>
      <c r="AC130" s="91">
        <f t="shared" si="18"/>
        <v>10000</v>
      </c>
      <c r="AD130" s="90"/>
    </row>
    <row r="131" spans="1:30" ht="69" hidden="1" customHeight="1" x14ac:dyDescent="0.3">
      <c r="A131" s="85">
        <v>7</v>
      </c>
      <c r="B131" s="153" t="s">
        <v>678</v>
      </c>
      <c r="C131" s="87" t="s">
        <v>691</v>
      </c>
      <c r="D131" s="155" t="s">
        <v>30</v>
      </c>
      <c r="E131" s="87" t="s">
        <v>224</v>
      </c>
      <c r="F131" s="87"/>
      <c r="G131" s="87">
        <v>22</v>
      </c>
      <c r="H131" s="87"/>
      <c r="I131" s="276">
        <f t="shared" si="12"/>
        <v>22</v>
      </c>
      <c r="J131" s="89" t="s">
        <v>595</v>
      </c>
      <c r="K131" s="85"/>
      <c r="L131" s="88"/>
      <c r="M131" s="169" t="s">
        <v>692</v>
      </c>
      <c r="N131" s="89"/>
      <c r="O131" s="154" t="s">
        <v>29</v>
      </c>
      <c r="P131" s="90"/>
      <c r="Q131" s="90">
        <v>20</v>
      </c>
      <c r="R131" s="90"/>
      <c r="S131" s="90"/>
      <c r="T131" s="90"/>
      <c r="U131" s="90"/>
      <c r="V131" s="90">
        <v>2</v>
      </c>
      <c r="W131" s="157">
        <f t="shared" si="15"/>
        <v>22</v>
      </c>
      <c r="X131" s="91">
        <v>85000</v>
      </c>
      <c r="Y131" s="92">
        <f>X131*Q131</f>
        <v>1700000</v>
      </c>
      <c r="Z131" s="232"/>
      <c r="AA131" s="89" t="s">
        <v>595</v>
      </c>
      <c r="AB131" s="90">
        <f t="shared" si="19"/>
        <v>20</v>
      </c>
      <c r="AC131" s="91">
        <f t="shared" si="18"/>
        <v>100000</v>
      </c>
      <c r="AD131" s="90"/>
    </row>
    <row r="132" spans="1:30" ht="81.599999999999994" customHeight="1" x14ac:dyDescent="0.3">
      <c r="A132" s="85">
        <v>8</v>
      </c>
      <c r="B132" s="153" t="s">
        <v>678</v>
      </c>
      <c r="C132" s="87" t="s">
        <v>693</v>
      </c>
      <c r="D132" s="155" t="s">
        <v>30</v>
      </c>
      <c r="E132" s="87" t="s">
        <v>224</v>
      </c>
      <c r="F132" s="87"/>
      <c r="G132" s="87"/>
      <c r="H132" s="87">
        <v>1</v>
      </c>
      <c r="I132" s="276">
        <f t="shared" si="12"/>
        <v>1</v>
      </c>
      <c r="J132" s="222" t="s">
        <v>49</v>
      </c>
      <c r="K132" s="85"/>
      <c r="L132" s="88"/>
      <c r="M132" s="287" t="s">
        <v>46</v>
      </c>
      <c r="N132" s="89" t="s">
        <v>77</v>
      </c>
      <c r="O132" s="154" t="s">
        <v>39</v>
      </c>
      <c r="P132" s="90"/>
      <c r="Q132" s="90"/>
      <c r="R132" s="90"/>
      <c r="S132" s="90"/>
      <c r="T132" s="90">
        <v>1</v>
      </c>
      <c r="U132" s="90"/>
      <c r="V132" s="90"/>
      <c r="W132" s="157">
        <f t="shared" si="15"/>
        <v>1</v>
      </c>
      <c r="X132" s="91">
        <v>52000</v>
      </c>
      <c r="Y132" s="92">
        <f>X132*T132</f>
        <v>52000</v>
      </c>
      <c r="Z132" s="232" t="s">
        <v>725</v>
      </c>
      <c r="AA132" s="89" t="s">
        <v>595</v>
      </c>
      <c r="AB132" s="90">
        <f t="shared" si="19"/>
        <v>1</v>
      </c>
      <c r="AC132" s="91">
        <f t="shared" si="18"/>
        <v>5000</v>
      </c>
      <c r="AD132" s="90"/>
    </row>
    <row r="133" spans="1:30" ht="69" customHeight="1" x14ac:dyDescent="0.3">
      <c r="A133" s="85">
        <v>9</v>
      </c>
      <c r="B133" s="153" t="s">
        <v>678</v>
      </c>
      <c r="C133" s="304" t="s">
        <v>696</v>
      </c>
      <c r="D133" s="155" t="s">
        <v>30</v>
      </c>
      <c r="E133" s="87" t="s">
        <v>224</v>
      </c>
      <c r="F133" s="87"/>
      <c r="G133" s="87"/>
      <c r="H133" s="87">
        <v>8</v>
      </c>
      <c r="I133" s="276">
        <f t="shared" si="12"/>
        <v>8</v>
      </c>
      <c r="J133" s="89" t="s">
        <v>595</v>
      </c>
      <c r="K133" s="85" t="s">
        <v>695</v>
      </c>
      <c r="L133" s="88" t="s">
        <v>491</v>
      </c>
      <c r="M133" s="287" t="s">
        <v>46</v>
      </c>
      <c r="N133" s="89" t="s">
        <v>694</v>
      </c>
      <c r="O133" s="154" t="s">
        <v>39</v>
      </c>
      <c r="P133" s="90"/>
      <c r="Q133" s="90"/>
      <c r="R133" s="90"/>
      <c r="S133" s="90"/>
      <c r="T133" s="90">
        <v>5</v>
      </c>
      <c r="U133" s="90"/>
      <c r="V133" s="90">
        <v>3</v>
      </c>
      <c r="W133" s="157">
        <f t="shared" si="15"/>
        <v>8</v>
      </c>
      <c r="X133" s="91">
        <f>SUMIFS('Đơn giá'!C:C,'Đơn giá'!B:B,'XUẤT (2)'!O133)</f>
        <v>52000</v>
      </c>
      <c r="Y133" s="92">
        <f>X133*T133</f>
        <v>260000</v>
      </c>
      <c r="Z133" s="232"/>
      <c r="AA133" s="227" t="s">
        <v>595</v>
      </c>
      <c r="AB133" s="90">
        <f t="shared" si="19"/>
        <v>5</v>
      </c>
      <c r="AC133" s="91">
        <f t="shared" si="18"/>
        <v>25000</v>
      </c>
      <c r="AD133" s="90"/>
    </row>
    <row r="134" spans="1:30" ht="109.8" customHeight="1" x14ac:dyDescent="0.3">
      <c r="A134" s="287">
        <v>10</v>
      </c>
      <c r="B134" s="153" t="s">
        <v>678</v>
      </c>
      <c r="C134" s="300" t="s">
        <v>697</v>
      </c>
      <c r="D134" s="155" t="s">
        <v>30</v>
      </c>
      <c r="E134" s="87" t="s">
        <v>224</v>
      </c>
      <c r="F134" s="288"/>
      <c r="G134" s="288"/>
      <c r="H134" s="288">
        <v>2</v>
      </c>
      <c r="I134" s="276">
        <f t="shared" si="12"/>
        <v>2</v>
      </c>
      <c r="J134" s="287" t="s">
        <v>139</v>
      </c>
      <c r="K134" s="287"/>
      <c r="L134" s="289"/>
      <c r="M134" s="287" t="s">
        <v>46</v>
      </c>
      <c r="N134" s="89" t="s">
        <v>77</v>
      </c>
      <c r="O134" s="154" t="s">
        <v>39</v>
      </c>
      <c r="P134" s="291"/>
      <c r="Q134" s="291"/>
      <c r="R134" s="291"/>
      <c r="S134" s="291"/>
      <c r="T134" s="291">
        <v>2</v>
      </c>
      <c r="U134" s="291"/>
      <c r="V134" s="291"/>
      <c r="W134" s="292">
        <f t="shared" si="15"/>
        <v>2</v>
      </c>
      <c r="X134" s="293">
        <v>52000</v>
      </c>
      <c r="Y134" s="92">
        <f>X134*T134</f>
        <v>104000</v>
      </c>
      <c r="Z134" s="294" t="s">
        <v>725</v>
      </c>
      <c r="AA134" s="10" t="s">
        <v>139</v>
      </c>
      <c r="AB134" s="291">
        <f t="shared" si="19"/>
        <v>2</v>
      </c>
      <c r="AC134" s="295">
        <f t="shared" si="18"/>
        <v>10000</v>
      </c>
      <c r="AD134"/>
    </row>
    <row r="135" spans="1:30" ht="69" customHeight="1" x14ac:dyDescent="0.3">
      <c r="A135" s="85">
        <v>11</v>
      </c>
      <c r="B135" s="153" t="s">
        <v>678</v>
      </c>
      <c r="C135" s="305" t="s">
        <v>698</v>
      </c>
      <c r="D135" s="155" t="s">
        <v>30</v>
      </c>
      <c r="E135" s="87" t="s">
        <v>543</v>
      </c>
      <c r="F135" s="87"/>
      <c r="G135" s="87">
        <v>11</v>
      </c>
      <c r="H135" s="87"/>
      <c r="I135" s="155">
        <f t="shared" si="12"/>
        <v>11</v>
      </c>
      <c r="J135" s="89" t="s">
        <v>595</v>
      </c>
      <c r="K135" s="85"/>
      <c r="L135" s="88"/>
      <c r="M135" s="287" t="s">
        <v>46</v>
      </c>
      <c r="N135" s="89" t="s">
        <v>699</v>
      </c>
      <c r="O135" s="154" t="s">
        <v>26</v>
      </c>
      <c r="P135" s="90">
        <v>10</v>
      </c>
      <c r="Q135" s="90"/>
      <c r="R135" s="90"/>
      <c r="S135" s="90"/>
      <c r="T135" s="90"/>
      <c r="U135" s="90"/>
      <c r="V135" s="90">
        <v>1</v>
      </c>
      <c r="W135" s="157">
        <f t="shared" si="15"/>
        <v>11</v>
      </c>
      <c r="X135" s="91">
        <f>SUMIFS('Đơn giá'!C:C,'Đơn giá'!B:B,'XUẤT (2)'!O135)</f>
        <v>98000</v>
      </c>
      <c r="Y135" s="92">
        <f t="shared" si="21"/>
        <v>980000</v>
      </c>
      <c r="Z135" s="232" t="s">
        <v>680</v>
      </c>
      <c r="AA135" s="227"/>
      <c r="AB135" s="90">
        <f t="shared" si="19"/>
        <v>10</v>
      </c>
      <c r="AC135" s="91">
        <f t="shared" si="18"/>
        <v>50000</v>
      </c>
      <c r="AD135" s="90"/>
    </row>
    <row r="136" spans="1:30" ht="105.6" customHeight="1" x14ac:dyDescent="0.3">
      <c r="A136" s="85">
        <v>12</v>
      </c>
      <c r="B136" s="153" t="s">
        <v>678</v>
      </c>
      <c r="C136" s="305" t="s">
        <v>702</v>
      </c>
      <c r="D136" s="155" t="s">
        <v>30</v>
      </c>
      <c r="E136" s="87" t="s">
        <v>701</v>
      </c>
      <c r="F136" s="87"/>
      <c r="G136" s="87"/>
      <c r="H136" s="87">
        <v>3</v>
      </c>
      <c r="I136" s="155">
        <f t="shared" si="12"/>
        <v>3</v>
      </c>
      <c r="J136" s="89" t="s">
        <v>56</v>
      </c>
      <c r="K136" s="85"/>
      <c r="L136" s="88" t="s">
        <v>491</v>
      </c>
      <c r="M136" s="85" t="s">
        <v>46</v>
      </c>
      <c r="N136" s="89" t="s">
        <v>700</v>
      </c>
      <c r="O136" s="154" t="s">
        <v>39</v>
      </c>
      <c r="P136" s="90"/>
      <c r="Q136" s="90"/>
      <c r="R136" s="90"/>
      <c r="S136" s="90"/>
      <c r="T136" s="90">
        <v>3</v>
      </c>
      <c r="U136" s="90"/>
      <c r="V136" s="90"/>
      <c r="W136" s="157">
        <f t="shared" si="15"/>
        <v>3</v>
      </c>
      <c r="X136" s="91">
        <f>SUMIFS('Đơn giá'!C:C,'Đơn giá'!B:B,'XUẤT (2)'!O136)</f>
        <v>52000</v>
      </c>
      <c r="Y136" s="92">
        <f>X136*T136</f>
        <v>156000</v>
      </c>
      <c r="Z136" s="232" t="s">
        <v>687</v>
      </c>
      <c r="AA136" s="227" t="s">
        <v>595</v>
      </c>
      <c r="AB136" s="90">
        <f t="shared" si="19"/>
        <v>3</v>
      </c>
      <c r="AC136" s="91">
        <f t="shared" si="18"/>
        <v>15000</v>
      </c>
      <c r="AD136" s="90"/>
    </row>
    <row r="137" spans="1:30" ht="69" customHeight="1" x14ac:dyDescent="0.3">
      <c r="A137" s="85">
        <v>13</v>
      </c>
      <c r="B137" s="153" t="s">
        <v>678</v>
      </c>
      <c r="C137" s="383" t="s">
        <v>703</v>
      </c>
      <c r="D137" s="155" t="s">
        <v>30</v>
      </c>
      <c r="E137" s="87" t="s">
        <v>543</v>
      </c>
      <c r="F137" s="87"/>
      <c r="G137" s="87">
        <v>11</v>
      </c>
      <c r="H137" s="87"/>
      <c r="I137" s="155">
        <f t="shared" si="12"/>
        <v>11</v>
      </c>
      <c r="J137" s="85" t="s">
        <v>595</v>
      </c>
      <c r="K137" s="85"/>
      <c r="L137" s="88"/>
      <c r="M137" s="85" t="s">
        <v>33</v>
      </c>
      <c r="N137" s="7" t="s">
        <v>37</v>
      </c>
      <c r="O137" s="154" t="s">
        <v>29</v>
      </c>
      <c r="P137" s="90"/>
      <c r="Q137" s="90">
        <v>10</v>
      </c>
      <c r="R137" s="90"/>
      <c r="S137" s="90"/>
      <c r="T137" s="90"/>
      <c r="U137" s="90"/>
      <c r="V137" s="90">
        <v>1</v>
      </c>
      <c r="W137" s="157">
        <f t="shared" si="15"/>
        <v>11</v>
      </c>
      <c r="X137" s="91">
        <f>SUMIFS('Đơn giá'!C:C,'Đơn giá'!B:B,'XUẤT (2)'!O137)</f>
        <v>85000</v>
      </c>
      <c r="Y137" s="92">
        <f>X137*Q137</f>
        <v>850000</v>
      </c>
      <c r="Z137" s="232"/>
      <c r="AA137" s="7" t="s">
        <v>37</v>
      </c>
      <c r="AB137" s="90">
        <f t="shared" si="19"/>
        <v>10</v>
      </c>
      <c r="AC137" s="91">
        <f t="shared" si="18"/>
        <v>50000</v>
      </c>
      <c r="AD137" s="90"/>
    </row>
    <row r="138" spans="1:30" ht="109.8" customHeight="1" x14ac:dyDescent="0.3">
      <c r="A138" s="287"/>
      <c r="B138" s="153" t="s">
        <v>678</v>
      </c>
      <c r="C138" s="300" t="s">
        <v>706</v>
      </c>
      <c r="D138" s="155" t="s">
        <v>30</v>
      </c>
      <c r="E138" s="87" t="s">
        <v>543</v>
      </c>
      <c r="F138" s="288"/>
      <c r="G138" s="288">
        <v>1</v>
      </c>
      <c r="H138" s="288"/>
      <c r="I138" s="276">
        <f t="shared" si="12"/>
        <v>1</v>
      </c>
      <c r="J138" s="287" t="s">
        <v>707</v>
      </c>
      <c r="K138" s="287"/>
      <c r="L138" s="289" t="s">
        <v>491</v>
      </c>
      <c r="M138" s="85" t="s">
        <v>33</v>
      </c>
      <c r="N138" s="7" t="s">
        <v>108</v>
      </c>
      <c r="O138" s="154" t="s">
        <v>26</v>
      </c>
      <c r="P138" s="291">
        <v>1</v>
      </c>
      <c r="Q138" s="291"/>
      <c r="R138" s="291"/>
      <c r="S138" s="291"/>
      <c r="T138" s="291"/>
      <c r="U138" s="291"/>
      <c r="V138" s="291"/>
      <c r="W138" s="292">
        <f t="shared" si="15"/>
        <v>1</v>
      </c>
      <c r="X138" s="293">
        <v>98000</v>
      </c>
      <c r="Y138" s="92">
        <f>X138*P138</f>
        <v>98000</v>
      </c>
      <c r="Z138" s="294"/>
      <c r="AA138" s="10" t="s">
        <v>108</v>
      </c>
      <c r="AB138" s="291">
        <f t="shared" si="19"/>
        <v>1</v>
      </c>
      <c r="AC138" s="295">
        <f t="shared" si="18"/>
        <v>5000</v>
      </c>
      <c r="AD138"/>
    </row>
    <row r="139" spans="1:30" ht="69" customHeight="1" x14ac:dyDescent="0.3">
      <c r="A139" s="85"/>
      <c r="B139" s="153" t="s">
        <v>678</v>
      </c>
      <c r="C139" s="306" t="s">
        <v>719</v>
      </c>
      <c r="D139" s="87" t="s">
        <v>683</v>
      </c>
      <c r="E139" s="87" t="s">
        <v>90</v>
      </c>
      <c r="F139" s="87"/>
      <c r="G139" s="87">
        <v>1</v>
      </c>
      <c r="H139" s="87"/>
      <c r="I139" s="155">
        <f t="shared" si="12"/>
        <v>1</v>
      </c>
      <c r="J139" s="10" t="s">
        <v>139</v>
      </c>
      <c r="K139" s="85"/>
      <c r="L139" s="88" t="s">
        <v>491</v>
      </c>
      <c r="M139" s="85" t="s">
        <v>33</v>
      </c>
      <c r="N139" s="10" t="s">
        <v>139</v>
      </c>
      <c r="O139" s="154" t="s">
        <v>26</v>
      </c>
      <c r="P139" s="90">
        <v>1</v>
      </c>
      <c r="Q139" s="90"/>
      <c r="R139" s="90"/>
      <c r="S139" s="90"/>
      <c r="T139" s="90"/>
      <c r="U139" s="90"/>
      <c r="V139" s="90"/>
      <c r="W139" s="157">
        <f t="shared" si="15"/>
        <v>1</v>
      </c>
      <c r="X139" s="91">
        <f>SUMIFS('Đơn giá'!C:C,'Đơn giá'!B:B,'XUẤT (2)'!O139)</f>
        <v>98000</v>
      </c>
      <c r="Y139" s="92">
        <f t="shared" ref="Y139:Y144" si="22">X139*P139</f>
        <v>98000</v>
      </c>
      <c r="Z139" s="232"/>
      <c r="AA139" s="10" t="s">
        <v>139</v>
      </c>
      <c r="AB139" s="90">
        <f t="shared" si="19"/>
        <v>1</v>
      </c>
      <c r="AC139" s="91">
        <f t="shared" si="18"/>
        <v>5000</v>
      </c>
      <c r="AD139" s="90"/>
    </row>
    <row r="140" spans="1:30" ht="54.6" customHeight="1" x14ac:dyDescent="0.3">
      <c r="A140" s="85"/>
      <c r="B140" s="153" t="s">
        <v>678</v>
      </c>
      <c r="C140" s="300" t="s">
        <v>712</v>
      </c>
      <c r="D140" s="87" t="s">
        <v>683</v>
      </c>
      <c r="E140" s="87" t="s">
        <v>224</v>
      </c>
      <c r="F140" s="87"/>
      <c r="G140" s="87">
        <v>1</v>
      </c>
      <c r="H140" s="87"/>
      <c r="I140" s="155">
        <f t="shared" si="12"/>
        <v>1</v>
      </c>
      <c r="J140" s="85" t="s">
        <v>590</v>
      </c>
      <c r="K140" s="85"/>
      <c r="L140" s="88" t="s">
        <v>491</v>
      </c>
      <c r="M140" s="85" t="s">
        <v>33</v>
      </c>
      <c r="N140" s="10" t="s">
        <v>235</v>
      </c>
      <c r="O140" s="154" t="s">
        <v>26</v>
      </c>
      <c r="P140" s="90"/>
      <c r="Q140" s="90"/>
      <c r="R140" s="90"/>
      <c r="S140" s="90"/>
      <c r="T140" s="90"/>
      <c r="U140" s="90"/>
      <c r="V140" s="90">
        <v>1</v>
      </c>
      <c r="W140" s="157">
        <f t="shared" si="15"/>
        <v>1</v>
      </c>
      <c r="X140" s="91">
        <f>SUMIFS('Đơn giá'!C:C,'Đơn giá'!B:B,'XUẤT (2)'!O140)</f>
        <v>98000</v>
      </c>
      <c r="Y140" s="92">
        <f t="shared" si="22"/>
        <v>0</v>
      </c>
      <c r="Z140" s="232"/>
      <c r="AA140" s="227"/>
      <c r="AB140" s="90">
        <f t="shared" si="19"/>
        <v>0</v>
      </c>
      <c r="AC140" s="91">
        <f t="shared" si="18"/>
        <v>0</v>
      </c>
      <c r="AD140" s="90"/>
    </row>
    <row r="141" spans="1:30" ht="41.4" hidden="1" customHeight="1" x14ac:dyDescent="0.3">
      <c r="A141" s="85"/>
      <c r="B141" s="153"/>
      <c r="C141" s="75"/>
      <c r="D141" s="87"/>
      <c r="E141" s="87"/>
      <c r="F141" s="87"/>
      <c r="G141" s="87"/>
      <c r="H141" s="87"/>
      <c r="I141" s="155">
        <f t="shared" si="12"/>
        <v>0</v>
      </c>
      <c r="J141" s="85"/>
      <c r="K141" s="85"/>
      <c r="L141" s="85"/>
      <c r="M141" s="85"/>
      <c r="N141" s="151"/>
      <c r="O141" s="154"/>
      <c r="P141" s="90"/>
      <c r="Q141" s="90"/>
      <c r="R141" s="90"/>
      <c r="S141" s="90"/>
      <c r="T141" s="90"/>
      <c r="U141" s="90"/>
      <c r="V141" s="90"/>
      <c r="W141" s="157">
        <f t="shared" si="15"/>
        <v>0</v>
      </c>
      <c r="X141" s="91">
        <f>SUMIFS('Đơn giá'!C:C,'Đơn giá'!B:B,'XUẤT (2)'!O141)</f>
        <v>0</v>
      </c>
      <c r="Y141" s="92">
        <f t="shared" si="22"/>
        <v>0</v>
      </c>
      <c r="Z141" s="232"/>
      <c r="AA141" s="85"/>
      <c r="AB141" s="90">
        <f t="shared" si="19"/>
        <v>0</v>
      </c>
      <c r="AC141" s="91">
        <f t="shared" si="18"/>
        <v>0</v>
      </c>
      <c r="AD141" s="90"/>
    </row>
    <row r="142" spans="1:30" ht="69" hidden="1" customHeight="1" x14ac:dyDescent="0.3">
      <c r="A142" s="85">
        <v>1</v>
      </c>
      <c r="B142" s="86" t="s">
        <v>704</v>
      </c>
      <c r="C142" s="306" t="s">
        <v>713</v>
      </c>
      <c r="D142" s="87" t="s">
        <v>683</v>
      </c>
      <c r="E142" s="87" t="s">
        <v>224</v>
      </c>
      <c r="F142" s="87"/>
      <c r="G142" s="87">
        <v>22</v>
      </c>
      <c r="H142" s="87"/>
      <c r="I142" s="155">
        <f t="shared" si="12"/>
        <v>22</v>
      </c>
      <c r="J142" s="85" t="s">
        <v>640</v>
      </c>
      <c r="K142" s="85"/>
      <c r="L142" s="85" t="s">
        <v>491</v>
      </c>
      <c r="M142" s="163" t="s">
        <v>72</v>
      </c>
      <c r="N142" s="163" t="s">
        <v>72</v>
      </c>
      <c r="O142" s="154" t="s">
        <v>29</v>
      </c>
      <c r="P142" s="90"/>
      <c r="Q142" s="90">
        <v>20</v>
      </c>
      <c r="R142" s="90"/>
      <c r="S142" s="90"/>
      <c r="T142" s="90"/>
      <c r="U142" s="90"/>
      <c r="V142" s="90">
        <v>2</v>
      </c>
      <c r="W142" s="157">
        <f t="shared" si="15"/>
        <v>22</v>
      </c>
      <c r="X142" s="91">
        <f>SUMIFS('Đơn giá'!C:C,'Đơn giá'!B:B,'XUẤT (2)'!O142)</f>
        <v>85000</v>
      </c>
      <c r="Y142" s="92">
        <f>X142*Q142</f>
        <v>1700000</v>
      </c>
      <c r="Z142" s="232"/>
      <c r="AA142" s="227" t="s">
        <v>595</v>
      </c>
      <c r="AB142" s="90">
        <f t="shared" si="19"/>
        <v>20</v>
      </c>
      <c r="AC142" s="91">
        <f t="shared" si="18"/>
        <v>100000</v>
      </c>
      <c r="AD142" s="90"/>
    </row>
    <row r="143" spans="1:30" ht="102" customHeight="1" x14ac:dyDescent="0.3">
      <c r="A143" s="85">
        <v>2</v>
      </c>
      <c r="B143" s="86" t="s">
        <v>704</v>
      </c>
      <c r="C143" s="306" t="s">
        <v>714</v>
      </c>
      <c r="D143" s="87" t="s">
        <v>683</v>
      </c>
      <c r="E143" s="87" t="s">
        <v>72</v>
      </c>
      <c r="F143" s="87"/>
      <c r="G143" s="87">
        <v>5</v>
      </c>
      <c r="H143" s="87"/>
      <c r="I143" s="155">
        <f t="shared" si="12"/>
        <v>5</v>
      </c>
      <c r="J143" s="85" t="s">
        <v>72</v>
      </c>
      <c r="K143" s="85"/>
      <c r="L143" s="85" t="s">
        <v>491</v>
      </c>
      <c r="M143" s="85" t="s">
        <v>33</v>
      </c>
      <c r="N143" s="10" t="s">
        <v>140</v>
      </c>
      <c r="O143" s="90" t="s">
        <v>26</v>
      </c>
      <c r="P143" s="90">
        <v>5</v>
      </c>
      <c r="Q143" s="90"/>
      <c r="R143" s="90"/>
      <c r="S143" s="90"/>
      <c r="T143" s="90"/>
      <c r="U143" s="90"/>
      <c r="V143" s="90"/>
      <c r="W143" s="157">
        <f t="shared" si="15"/>
        <v>5</v>
      </c>
      <c r="X143" s="91">
        <f>SUMIFS('Đơn giá'!C:C,'Đơn giá'!B:B,'XUẤT (2)'!O143)</f>
        <v>98000</v>
      </c>
      <c r="Y143" s="92">
        <f t="shared" si="22"/>
        <v>490000</v>
      </c>
      <c r="Z143" s="232"/>
      <c r="AA143" s="85" t="s">
        <v>715</v>
      </c>
      <c r="AB143" s="90">
        <f t="shared" si="19"/>
        <v>5</v>
      </c>
      <c r="AC143" s="91">
        <f t="shared" si="18"/>
        <v>25000</v>
      </c>
      <c r="AD143" s="90" t="s">
        <v>724</v>
      </c>
    </row>
    <row r="144" spans="1:30" ht="67.2" customHeight="1" x14ac:dyDescent="0.3">
      <c r="A144" s="85">
        <v>3</v>
      </c>
      <c r="B144" s="86" t="s">
        <v>704</v>
      </c>
      <c r="C144" s="306" t="s">
        <v>717</v>
      </c>
      <c r="D144" s="87" t="s">
        <v>683</v>
      </c>
      <c r="E144" s="87" t="s">
        <v>543</v>
      </c>
      <c r="F144" s="87"/>
      <c r="G144" s="87">
        <v>11</v>
      </c>
      <c r="H144" s="87"/>
      <c r="I144" s="155">
        <f t="shared" si="12"/>
        <v>11</v>
      </c>
      <c r="J144" s="85" t="s">
        <v>595</v>
      </c>
      <c r="K144" s="85"/>
      <c r="L144" s="85" t="s">
        <v>491</v>
      </c>
      <c r="M144" s="85" t="s">
        <v>33</v>
      </c>
      <c r="N144" s="34" t="s">
        <v>123</v>
      </c>
      <c r="O144" s="90" t="s">
        <v>26</v>
      </c>
      <c r="P144" s="90">
        <v>10</v>
      </c>
      <c r="Q144" s="90"/>
      <c r="R144" s="90"/>
      <c r="S144" s="90"/>
      <c r="T144" s="90"/>
      <c r="U144" s="90"/>
      <c r="V144" s="90">
        <v>1</v>
      </c>
      <c r="W144" s="157">
        <f t="shared" si="15"/>
        <v>11</v>
      </c>
      <c r="X144" s="91">
        <f>SUMIFS('Đơn giá'!C:C,'Đơn giá'!B:B,'XUẤT (2)'!O144)</f>
        <v>98000</v>
      </c>
      <c r="Y144" s="92">
        <f t="shared" si="22"/>
        <v>980000</v>
      </c>
      <c r="Z144" s="232"/>
      <c r="AA144" s="227" t="s">
        <v>595</v>
      </c>
      <c r="AB144" s="90">
        <f t="shared" si="19"/>
        <v>10</v>
      </c>
      <c r="AC144" s="91">
        <f t="shared" si="18"/>
        <v>50000</v>
      </c>
      <c r="AD144" s="90"/>
    </row>
    <row r="145" spans="1:30" ht="102" customHeight="1" x14ac:dyDescent="0.3">
      <c r="A145" s="85">
        <v>4</v>
      </c>
      <c r="B145" s="86" t="s">
        <v>704</v>
      </c>
      <c r="C145" s="306" t="s">
        <v>722</v>
      </c>
      <c r="D145" s="87" t="s">
        <v>683</v>
      </c>
      <c r="E145" s="87" t="s">
        <v>224</v>
      </c>
      <c r="F145" s="87"/>
      <c r="G145" s="87"/>
      <c r="H145" s="87">
        <v>1</v>
      </c>
      <c r="I145" s="155">
        <f t="shared" si="12"/>
        <v>1</v>
      </c>
      <c r="J145" s="85" t="s">
        <v>595</v>
      </c>
      <c r="K145" s="85"/>
      <c r="L145" s="85" t="s">
        <v>491</v>
      </c>
      <c r="M145" s="85" t="s">
        <v>46</v>
      </c>
      <c r="N145" s="89" t="s">
        <v>77</v>
      </c>
      <c r="O145" s="90" t="s">
        <v>39</v>
      </c>
      <c r="P145" s="90"/>
      <c r="Q145" s="90"/>
      <c r="R145" s="90"/>
      <c r="S145" s="90"/>
      <c r="T145" s="90">
        <v>1</v>
      </c>
      <c r="U145" s="90"/>
      <c r="V145" s="90"/>
      <c r="W145" s="157">
        <f t="shared" si="15"/>
        <v>1</v>
      </c>
      <c r="X145" s="91">
        <f>SUMIFS('Đơn giá'!C:C,'Đơn giá'!B:B,'XUẤT (2)'!O145)</f>
        <v>52000</v>
      </c>
      <c r="Y145" s="92">
        <f>X145*T145</f>
        <v>52000</v>
      </c>
      <c r="Z145" s="232" t="s">
        <v>730</v>
      </c>
      <c r="AA145" s="227" t="s">
        <v>595</v>
      </c>
      <c r="AB145" s="90">
        <f t="shared" si="19"/>
        <v>1</v>
      </c>
      <c r="AC145" s="91">
        <f t="shared" si="18"/>
        <v>5000</v>
      </c>
      <c r="AD145" s="90" t="s">
        <v>390</v>
      </c>
    </row>
    <row r="146" spans="1:30" ht="129" customHeight="1" x14ac:dyDescent="0.3">
      <c r="A146" s="85">
        <v>5</v>
      </c>
      <c r="B146" s="86" t="s">
        <v>704</v>
      </c>
      <c r="C146" s="313" t="s">
        <v>723</v>
      </c>
      <c r="D146" s="87" t="s">
        <v>683</v>
      </c>
      <c r="E146" s="87" t="s">
        <v>224</v>
      </c>
      <c r="F146" s="87"/>
      <c r="G146" s="87"/>
      <c r="H146" s="87">
        <v>3</v>
      </c>
      <c r="I146" s="155">
        <f t="shared" si="12"/>
        <v>3</v>
      </c>
      <c r="J146" s="85" t="s">
        <v>595</v>
      </c>
      <c r="K146" s="85"/>
      <c r="L146" s="85" t="s">
        <v>491</v>
      </c>
      <c r="M146" s="85" t="s">
        <v>46</v>
      </c>
      <c r="N146" s="89" t="s">
        <v>77</v>
      </c>
      <c r="O146" s="90" t="s">
        <v>42</v>
      </c>
      <c r="P146" s="90"/>
      <c r="Q146" s="90"/>
      <c r="R146" s="90"/>
      <c r="S146" s="90"/>
      <c r="T146" s="90"/>
      <c r="U146" s="90">
        <v>3</v>
      </c>
      <c r="V146" s="90"/>
      <c r="W146" s="157">
        <f t="shared" si="15"/>
        <v>3</v>
      </c>
      <c r="X146" s="91">
        <f>SUMIFS('Đơn giá'!C:C,'Đơn giá'!B:B,'XUẤT (2)'!O146)</f>
        <v>48000</v>
      </c>
      <c r="Y146" s="92">
        <f>X146*U146</f>
        <v>144000</v>
      </c>
      <c r="Z146" s="232" t="s">
        <v>729</v>
      </c>
      <c r="AA146" s="227" t="s">
        <v>595</v>
      </c>
      <c r="AB146" s="90">
        <f t="shared" si="19"/>
        <v>3</v>
      </c>
      <c r="AC146" s="91">
        <f t="shared" si="18"/>
        <v>15000</v>
      </c>
      <c r="AD146" s="90" t="s">
        <v>390</v>
      </c>
    </row>
    <row r="147" spans="1:30" ht="46.2" customHeight="1" x14ac:dyDescent="0.3">
      <c r="A147" s="404">
        <v>6</v>
      </c>
      <c r="B147" s="406" t="s">
        <v>704</v>
      </c>
      <c r="C147" s="408" t="s">
        <v>726</v>
      </c>
      <c r="D147" s="87" t="s">
        <v>683</v>
      </c>
      <c r="E147" s="87" t="s">
        <v>543</v>
      </c>
      <c r="F147" s="87"/>
      <c r="G147" s="87">
        <v>6</v>
      </c>
      <c r="H147" s="87"/>
      <c r="I147" s="155"/>
      <c r="J147" s="36" t="s">
        <v>98</v>
      </c>
      <c r="K147" s="85"/>
      <c r="L147" s="85" t="s">
        <v>491</v>
      </c>
      <c r="M147" s="85" t="s">
        <v>46</v>
      </c>
      <c r="N147" s="89" t="s">
        <v>77</v>
      </c>
      <c r="O147" s="90" t="s">
        <v>26</v>
      </c>
      <c r="P147" s="90">
        <v>5</v>
      </c>
      <c r="Q147" s="90"/>
      <c r="R147" s="90"/>
      <c r="S147" s="90"/>
      <c r="T147" s="90"/>
      <c r="U147" s="90"/>
      <c r="V147" s="90">
        <v>1</v>
      </c>
      <c r="W147" s="157">
        <f t="shared" si="15"/>
        <v>6</v>
      </c>
      <c r="X147" s="91">
        <f>SUMIFS('Đơn giá'!C:C,'Đơn giá'!B:B,'XUẤT (2)'!O147)</f>
        <v>98000</v>
      </c>
      <c r="Y147" s="92">
        <f t="shared" ref="Y147:Y158" si="23">X147*P147</f>
        <v>490000</v>
      </c>
      <c r="Z147" s="232" t="s">
        <v>756</v>
      </c>
      <c r="AA147" s="10" t="s">
        <v>98</v>
      </c>
      <c r="AB147" s="90">
        <f>W147-V147</f>
        <v>5</v>
      </c>
      <c r="AC147" s="91">
        <f t="shared" si="18"/>
        <v>25000</v>
      </c>
      <c r="AD147" s="90"/>
    </row>
    <row r="148" spans="1:30" ht="46.2" customHeight="1" x14ac:dyDescent="0.3">
      <c r="A148" s="405"/>
      <c r="B148" s="407"/>
      <c r="C148" s="409"/>
      <c r="D148" s="87" t="s">
        <v>683</v>
      </c>
      <c r="E148" s="87" t="s">
        <v>543</v>
      </c>
      <c r="F148" s="87"/>
      <c r="G148" s="87">
        <v>5</v>
      </c>
      <c r="H148" s="87"/>
      <c r="I148" s="155"/>
      <c r="J148" s="36" t="s">
        <v>41</v>
      </c>
      <c r="K148" s="85"/>
      <c r="L148" s="85" t="s">
        <v>491</v>
      </c>
      <c r="M148" s="85" t="s">
        <v>46</v>
      </c>
      <c r="N148" s="89" t="s">
        <v>77</v>
      </c>
      <c r="O148" s="90" t="s">
        <v>26</v>
      </c>
      <c r="P148" s="90">
        <v>5</v>
      </c>
      <c r="Q148" s="90"/>
      <c r="R148" s="90"/>
      <c r="S148" s="90"/>
      <c r="T148" s="90"/>
      <c r="U148" s="90"/>
      <c r="V148" s="90"/>
      <c r="W148" s="157">
        <f t="shared" si="15"/>
        <v>5</v>
      </c>
      <c r="X148" s="91">
        <f>SUMIFS('Đơn giá'!C:C,'Đơn giá'!B:B,'XUẤT (2)'!O148)</f>
        <v>98000</v>
      </c>
      <c r="Y148" s="92">
        <f t="shared" si="23"/>
        <v>490000</v>
      </c>
      <c r="Z148" s="232" t="s">
        <v>756</v>
      </c>
      <c r="AA148" s="10" t="s">
        <v>41</v>
      </c>
      <c r="AB148" s="90">
        <f t="shared" ref="AB148:AB152" si="24">W148-V148</f>
        <v>5</v>
      </c>
      <c r="AC148" s="91">
        <f t="shared" si="18"/>
        <v>25000</v>
      </c>
      <c r="AD148" s="90"/>
    </row>
    <row r="149" spans="1:30" ht="62.4" customHeight="1" x14ac:dyDescent="0.3">
      <c r="A149" s="85">
        <v>1</v>
      </c>
      <c r="B149" s="86" t="s">
        <v>720</v>
      </c>
      <c r="C149" s="313" t="s">
        <v>732</v>
      </c>
      <c r="D149" s="87" t="s">
        <v>683</v>
      </c>
      <c r="E149" s="87" t="s">
        <v>90</v>
      </c>
      <c r="F149" s="87"/>
      <c r="G149" s="87">
        <v>1</v>
      </c>
      <c r="H149" s="87"/>
      <c r="I149" s="155"/>
      <c r="J149" s="85" t="s">
        <v>732</v>
      </c>
      <c r="K149" s="85"/>
      <c r="L149" s="85" t="s">
        <v>491</v>
      </c>
      <c r="M149" s="85" t="s">
        <v>33</v>
      </c>
      <c r="N149" s="10" t="s">
        <v>134</v>
      </c>
      <c r="O149" s="90" t="s">
        <v>26</v>
      </c>
      <c r="P149" s="90">
        <v>1</v>
      </c>
      <c r="Q149" s="90"/>
      <c r="R149" s="90"/>
      <c r="S149" s="90"/>
      <c r="T149" s="90"/>
      <c r="U149" s="90"/>
      <c r="V149" s="90">
        <v>1</v>
      </c>
      <c r="W149" s="157">
        <f t="shared" si="15"/>
        <v>2</v>
      </c>
      <c r="X149" s="91">
        <v>98000</v>
      </c>
      <c r="Y149" s="92">
        <f t="shared" si="23"/>
        <v>98000</v>
      </c>
      <c r="Z149" s="232" t="s">
        <v>760</v>
      </c>
      <c r="AA149" s="10" t="s">
        <v>134</v>
      </c>
      <c r="AB149" s="90">
        <f t="shared" si="24"/>
        <v>1</v>
      </c>
      <c r="AC149" s="91">
        <f t="shared" si="18"/>
        <v>5000</v>
      </c>
      <c r="AD149" s="90"/>
    </row>
    <row r="150" spans="1:30" ht="62.4" customHeight="1" x14ac:dyDescent="0.3">
      <c r="A150" s="85">
        <v>1</v>
      </c>
      <c r="B150" s="86" t="s">
        <v>720</v>
      </c>
      <c r="C150" s="313" t="s">
        <v>733</v>
      </c>
      <c r="D150" s="87" t="s">
        <v>683</v>
      </c>
      <c r="E150" s="87" t="s">
        <v>224</v>
      </c>
      <c r="F150" s="87"/>
      <c r="G150" s="87">
        <v>11</v>
      </c>
      <c r="H150" s="87"/>
      <c r="I150" s="155"/>
      <c r="J150" s="85" t="s">
        <v>595</v>
      </c>
      <c r="K150" s="85"/>
      <c r="L150" s="85" t="s">
        <v>491</v>
      </c>
      <c r="M150" s="85" t="s">
        <v>33</v>
      </c>
      <c r="N150" s="10" t="s">
        <v>107</v>
      </c>
      <c r="O150" s="90" t="s">
        <v>26</v>
      </c>
      <c r="P150" s="90">
        <v>10</v>
      </c>
      <c r="Q150" s="90"/>
      <c r="R150" s="90"/>
      <c r="S150" s="90"/>
      <c r="T150" s="90"/>
      <c r="U150" s="90"/>
      <c r="V150" s="90">
        <v>1</v>
      </c>
      <c r="W150" s="157">
        <f t="shared" si="15"/>
        <v>11</v>
      </c>
      <c r="X150" s="91">
        <v>98000</v>
      </c>
      <c r="Y150" s="92">
        <f t="shared" si="23"/>
        <v>980000</v>
      </c>
      <c r="Z150" s="232" t="s">
        <v>756</v>
      </c>
      <c r="AA150" s="85" t="s">
        <v>595</v>
      </c>
      <c r="AB150" s="90">
        <f t="shared" si="24"/>
        <v>10</v>
      </c>
      <c r="AC150" s="91">
        <f t="shared" si="18"/>
        <v>50000</v>
      </c>
      <c r="AD150" s="90"/>
    </row>
    <row r="151" spans="1:30" ht="62.4" customHeight="1" x14ac:dyDescent="0.3">
      <c r="A151" s="85">
        <v>1</v>
      </c>
      <c r="B151" s="86" t="s">
        <v>720</v>
      </c>
      <c r="C151" s="313" t="s">
        <v>734</v>
      </c>
      <c r="D151" s="87" t="s">
        <v>683</v>
      </c>
      <c r="E151" s="87" t="s">
        <v>224</v>
      </c>
      <c r="F151" s="87"/>
      <c r="G151" s="87">
        <v>6</v>
      </c>
      <c r="H151" s="87"/>
      <c r="I151" s="155"/>
      <c r="J151" s="85" t="s">
        <v>239</v>
      </c>
      <c r="K151" s="85"/>
      <c r="L151" s="85" t="s">
        <v>491</v>
      </c>
      <c r="M151" s="85" t="s">
        <v>33</v>
      </c>
      <c r="N151" s="85" t="s">
        <v>239</v>
      </c>
      <c r="O151" s="90" t="s">
        <v>26</v>
      </c>
      <c r="P151" s="90">
        <v>6</v>
      </c>
      <c r="Q151" s="90"/>
      <c r="R151" s="90"/>
      <c r="S151" s="90"/>
      <c r="T151" s="90"/>
      <c r="U151" s="90"/>
      <c r="V151" s="90"/>
      <c r="W151" s="157">
        <f t="shared" si="15"/>
        <v>6</v>
      </c>
      <c r="X151" s="91">
        <v>98000</v>
      </c>
      <c r="Y151" s="92">
        <f t="shared" si="23"/>
        <v>588000</v>
      </c>
      <c r="Z151" s="232"/>
      <c r="AA151" s="85" t="s">
        <v>239</v>
      </c>
      <c r="AB151" s="90">
        <f t="shared" si="24"/>
        <v>6</v>
      </c>
      <c r="AC151" s="91">
        <f t="shared" si="18"/>
        <v>30000</v>
      </c>
      <c r="AD151" s="90"/>
    </row>
    <row r="152" spans="1:30" ht="62.4" customHeight="1" x14ac:dyDescent="0.3">
      <c r="A152" s="85">
        <v>1</v>
      </c>
      <c r="B152" s="86" t="s">
        <v>727</v>
      </c>
      <c r="C152" s="313" t="s">
        <v>735</v>
      </c>
      <c r="D152" s="87" t="s">
        <v>683</v>
      </c>
      <c r="E152" s="87" t="s">
        <v>543</v>
      </c>
      <c r="F152" s="87"/>
      <c r="G152" s="87">
        <v>11</v>
      </c>
      <c r="H152" s="87"/>
      <c r="I152" s="155"/>
      <c r="J152" s="85" t="s">
        <v>728</v>
      </c>
      <c r="K152" s="85"/>
      <c r="L152" s="85" t="s">
        <v>491</v>
      </c>
      <c r="M152" s="85" t="s">
        <v>46</v>
      </c>
      <c r="N152" s="89"/>
      <c r="O152" s="90" t="s">
        <v>26</v>
      </c>
      <c r="P152" s="90">
        <v>10</v>
      </c>
      <c r="Q152" s="90"/>
      <c r="R152" s="90"/>
      <c r="S152" s="90"/>
      <c r="T152" s="90"/>
      <c r="U152" s="90"/>
      <c r="V152" s="90">
        <v>1</v>
      </c>
      <c r="W152" s="157">
        <f t="shared" si="15"/>
        <v>11</v>
      </c>
      <c r="X152" s="91">
        <v>98000</v>
      </c>
      <c r="Y152" s="92">
        <f t="shared" si="23"/>
        <v>980000</v>
      </c>
      <c r="Z152" s="232" t="s">
        <v>757</v>
      </c>
      <c r="AA152" s="10" t="s">
        <v>98</v>
      </c>
      <c r="AB152" s="90">
        <f t="shared" si="24"/>
        <v>10</v>
      </c>
      <c r="AC152" s="91">
        <f t="shared" si="18"/>
        <v>50000</v>
      </c>
      <c r="AD152" s="90"/>
    </row>
    <row r="153" spans="1:30" ht="109.2" customHeight="1" x14ac:dyDescent="0.3">
      <c r="A153" s="102">
        <v>2</v>
      </c>
      <c r="B153" s="86" t="s">
        <v>727</v>
      </c>
      <c r="C153" s="313" t="s">
        <v>736</v>
      </c>
      <c r="D153" s="87" t="s">
        <v>683</v>
      </c>
      <c r="E153" s="102" t="s">
        <v>72</v>
      </c>
      <c r="F153" s="102"/>
      <c r="G153" s="102">
        <v>5</v>
      </c>
      <c r="H153" s="102"/>
      <c r="I153" s="155">
        <f t="shared" si="12"/>
        <v>5</v>
      </c>
      <c r="J153" s="102" t="s">
        <v>72</v>
      </c>
      <c r="K153" s="102"/>
      <c r="L153" s="85" t="s">
        <v>491</v>
      </c>
      <c r="M153" s="85" t="s">
        <v>33</v>
      </c>
      <c r="N153" s="10" t="s">
        <v>177</v>
      </c>
      <c r="O153" s="90" t="s">
        <v>26</v>
      </c>
      <c r="P153" s="90">
        <v>5</v>
      </c>
      <c r="Q153" s="90"/>
      <c r="R153" s="90"/>
      <c r="S153" s="90"/>
      <c r="T153" s="90"/>
      <c r="U153" s="90"/>
      <c r="V153" s="90"/>
      <c r="W153" s="90">
        <f t="shared" si="15"/>
        <v>5</v>
      </c>
      <c r="X153" s="91">
        <f>SUMIFS('Đơn giá'!C:C,'Đơn giá'!B:B,'XUẤT (2)'!O153)</f>
        <v>98000</v>
      </c>
      <c r="Y153" s="92">
        <f t="shared" si="23"/>
        <v>490000</v>
      </c>
      <c r="Z153" s="232"/>
      <c r="AA153" s="85" t="s">
        <v>715</v>
      </c>
      <c r="AB153" s="90">
        <f t="shared" si="19"/>
        <v>5</v>
      </c>
      <c r="AC153" s="91">
        <f t="shared" si="18"/>
        <v>25000</v>
      </c>
      <c r="AD153" s="90"/>
    </row>
    <row r="154" spans="1:30" ht="109.2" customHeight="1" x14ac:dyDescent="0.3">
      <c r="A154" s="102">
        <v>3</v>
      </c>
      <c r="B154" s="86" t="s">
        <v>727</v>
      </c>
      <c r="C154" s="319" t="s">
        <v>755</v>
      </c>
      <c r="D154" s="87" t="s">
        <v>683</v>
      </c>
      <c r="E154" s="87" t="s">
        <v>543</v>
      </c>
      <c r="F154" s="102"/>
      <c r="G154" s="102">
        <v>22</v>
      </c>
      <c r="H154" s="102"/>
      <c r="I154" s="155">
        <f t="shared" si="12"/>
        <v>22</v>
      </c>
      <c r="J154" s="102" t="s">
        <v>98</v>
      </c>
      <c r="K154" s="102"/>
      <c r="L154" s="85" t="s">
        <v>491</v>
      </c>
      <c r="M154" s="85" t="s">
        <v>46</v>
      </c>
      <c r="N154" s="150"/>
      <c r="O154" s="90" t="s">
        <v>26</v>
      </c>
      <c r="P154" s="90">
        <v>20</v>
      </c>
      <c r="Q154" s="90"/>
      <c r="R154" s="90"/>
      <c r="S154" s="90"/>
      <c r="T154" s="90"/>
      <c r="U154" s="90"/>
      <c r="V154" s="90">
        <v>2</v>
      </c>
      <c r="W154" s="90">
        <f t="shared" si="15"/>
        <v>22</v>
      </c>
      <c r="X154" s="91">
        <f>SUMIFS('Đơn giá'!C:C,'Đơn giá'!B:B,'XUẤT (2)'!O154)</f>
        <v>98000</v>
      </c>
      <c r="Y154" s="92">
        <f t="shared" si="23"/>
        <v>1960000</v>
      </c>
      <c r="Z154" s="232"/>
      <c r="AA154" s="85" t="s">
        <v>98</v>
      </c>
      <c r="AB154" s="90">
        <f t="shared" si="19"/>
        <v>20</v>
      </c>
      <c r="AC154" s="91">
        <f t="shared" si="18"/>
        <v>100000</v>
      </c>
      <c r="AD154" s="90"/>
    </row>
    <row r="155" spans="1:30" ht="73.8" customHeight="1" x14ac:dyDescent="0.3">
      <c r="A155" s="102">
        <v>5</v>
      </c>
      <c r="B155" s="86" t="s">
        <v>727</v>
      </c>
      <c r="C155" s="313" t="s">
        <v>655</v>
      </c>
      <c r="D155" s="87" t="s">
        <v>683</v>
      </c>
      <c r="E155" s="87" t="s">
        <v>90</v>
      </c>
      <c r="F155" s="102"/>
      <c r="G155" s="102">
        <v>1</v>
      </c>
      <c r="H155" s="102"/>
      <c r="I155" s="155">
        <f t="shared" ref="I155" si="25">H155+G155</f>
        <v>1</v>
      </c>
      <c r="J155" s="10" t="s">
        <v>139</v>
      </c>
      <c r="K155" s="102"/>
      <c r="L155" s="85" t="s">
        <v>491</v>
      </c>
      <c r="M155" s="85" t="s">
        <v>33</v>
      </c>
      <c r="N155" s="10" t="s">
        <v>139</v>
      </c>
      <c r="O155" s="90" t="s">
        <v>26</v>
      </c>
      <c r="P155" s="90">
        <v>1</v>
      </c>
      <c r="Q155" s="90"/>
      <c r="R155" s="90"/>
      <c r="S155" s="90"/>
      <c r="T155" s="90"/>
      <c r="U155" s="90"/>
      <c r="V155" s="90"/>
      <c r="W155" s="90">
        <f t="shared" si="15"/>
        <v>1</v>
      </c>
      <c r="X155" s="91">
        <f>SUMIFS('Đơn giá'!C:C,'Đơn giá'!B:B,'XUẤT (2)'!O155)</f>
        <v>98000</v>
      </c>
      <c r="Y155" s="92">
        <f t="shared" si="23"/>
        <v>98000</v>
      </c>
      <c r="Z155" s="232"/>
      <c r="AA155" s="10" t="s">
        <v>139</v>
      </c>
      <c r="AB155" s="90">
        <f t="shared" si="19"/>
        <v>1</v>
      </c>
      <c r="AC155" s="91">
        <f t="shared" si="18"/>
        <v>5000</v>
      </c>
      <c r="AD155" s="90"/>
    </row>
    <row r="156" spans="1:30" ht="109.2" customHeight="1" x14ac:dyDescent="0.3">
      <c r="A156" s="102">
        <v>1</v>
      </c>
      <c r="B156" s="86" t="s">
        <v>737</v>
      </c>
      <c r="C156" s="316" t="s">
        <v>746</v>
      </c>
      <c r="D156" s="155" t="s">
        <v>30</v>
      </c>
      <c r="E156" s="162" t="s">
        <v>224</v>
      </c>
      <c r="F156" s="162"/>
      <c r="G156" s="162">
        <v>11</v>
      </c>
      <c r="H156" s="162"/>
      <c r="I156" s="155">
        <f>F156+G156+H156</f>
        <v>11</v>
      </c>
      <c r="J156" s="102" t="s">
        <v>745</v>
      </c>
      <c r="K156" s="102"/>
      <c r="L156" s="90" t="s">
        <v>491</v>
      </c>
      <c r="M156" s="85" t="s">
        <v>33</v>
      </c>
      <c r="N156" s="10" t="s">
        <v>230</v>
      </c>
      <c r="O156" s="90" t="s">
        <v>26</v>
      </c>
      <c r="P156" s="90">
        <v>10</v>
      </c>
      <c r="Q156" s="90"/>
      <c r="R156" s="90"/>
      <c r="S156" s="90"/>
      <c r="T156" s="90"/>
      <c r="U156" s="90"/>
      <c r="V156" s="90">
        <v>1</v>
      </c>
      <c r="W156" s="90">
        <f t="shared" si="15"/>
        <v>11</v>
      </c>
      <c r="X156" s="91">
        <f>SUMIFS('Đơn giá'!C:C,'Đơn giá'!B:B,'XUẤT (2)'!O156)</f>
        <v>98000</v>
      </c>
      <c r="Y156" s="92">
        <f t="shared" si="23"/>
        <v>980000</v>
      </c>
      <c r="Z156" s="232" t="s">
        <v>911</v>
      </c>
      <c r="AA156" s="85" t="s">
        <v>738</v>
      </c>
      <c r="AB156" s="90">
        <f t="shared" si="19"/>
        <v>10</v>
      </c>
      <c r="AC156" s="91">
        <f t="shared" si="18"/>
        <v>50000</v>
      </c>
      <c r="AD156" s="90"/>
    </row>
    <row r="157" spans="1:30" ht="151.19999999999999" hidden="1" customHeight="1" x14ac:dyDescent="0.3">
      <c r="A157" s="85">
        <v>2</v>
      </c>
      <c r="B157" s="85" t="s">
        <v>737</v>
      </c>
      <c r="C157" s="313" t="s">
        <v>748</v>
      </c>
      <c r="D157" s="102" t="s">
        <v>668</v>
      </c>
      <c r="E157" s="102" t="s">
        <v>72</v>
      </c>
      <c r="F157" s="102"/>
      <c r="G157" s="102"/>
      <c r="H157" s="102">
        <v>16</v>
      </c>
      <c r="I157" s="155">
        <f t="shared" ref="I157:I219" si="26">F157+G157+H157</f>
        <v>16</v>
      </c>
      <c r="J157" s="85" t="s">
        <v>523</v>
      </c>
      <c r="K157" s="85" t="s">
        <v>744</v>
      </c>
      <c r="L157" s="90" t="s">
        <v>491</v>
      </c>
      <c r="M157" s="85" t="s">
        <v>72</v>
      </c>
      <c r="N157" s="150"/>
      <c r="O157" s="90"/>
      <c r="P157" s="90"/>
      <c r="Q157" s="90"/>
      <c r="R157" s="90"/>
      <c r="S157" s="90"/>
      <c r="T157" s="90"/>
      <c r="U157" s="90"/>
      <c r="V157" s="90"/>
      <c r="W157" s="90">
        <f t="shared" si="15"/>
        <v>0</v>
      </c>
      <c r="X157" s="91">
        <f>SUMIFS('Đơn giá'!C:C,'Đơn giá'!B:B,'XUẤT (2)'!O157)</f>
        <v>0</v>
      </c>
      <c r="Y157" s="92">
        <f t="shared" si="23"/>
        <v>0</v>
      </c>
      <c r="Z157" s="232"/>
      <c r="AA157" s="85"/>
      <c r="AB157" s="85"/>
      <c r="AC157" s="91">
        <f t="shared" si="18"/>
        <v>0</v>
      </c>
      <c r="AD157" s="90"/>
    </row>
    <row r="158" spans="1:30" s="160" customFormat="1" ht="136.80000000000001" hidden="1" x14ac:dyDescent="0.3">
      <c r="A158" s="152">
        <v>3</v>
      </c>
      <c r="B158" s="152" t="s">
        <v>737</v>
      </c>
      <c r="C158" s="316" t="s">
        <v>777</v>
      </c>
      <c r="D158" s="155" t="s">
        <v>30</v>
      </c>
      <c r="E158" s="162" t="s">
        <v>224</v>
      </c>
      <c r="F158" s="162"/>
      <c r="G158" s="162">
        <v>33</v>
      </c>
      <c r="H158" s="162"/>
      <c r="I158" s="155">
        <f t="shared" si="26"/>
        <v>33</v>
      </c>
      <c r="J158" s="152" t="s">
        <v>782</v>
      </c>
      <c r="K158" s="152" t="s">
        <v>248</v>
      </c>
      <c r="L158" s="157" t="s">
        <v>491</v>
      </c>
      <c r="M158" s="152" t="s">
        <v>568</v>
      </c>
      <c r="N158" s="163" t="s">
        <v>747</v>
      </c>
      <c r="O158" s="157" t="s">
        <v>26</v>
      </c>
      <c r="P158" s="157">
        <v>30</v>
      </c>
      <c r="Q158" s="157"/>
      <c r="R158" s="157"/>
      <c r="S158" s="157"/>
      <c r="T158" s="157"/>
      <c r="U158" s="157"/>
      <c r="V158" s="157">
        <v>3</v>
      </c>
      <c r="W158" s="157">
        <f t="shared" si="15"/>
        <v>33</v>
      </c>
      <c r="X158" s="158">
        <f>SUMIFS('Đơn giá'!C:C,'Đơn giá'!B:B,'XUẤT (2)'!O158)</f>
        <v>98000</v>
      </c>
      <c r="Y158" s="159">
        <f t="shared" si="23"/>
        <v>2940000</v>
      </c>
      <c r="Z158" s="152" t="s">
        <v>786</v>
      </c>
      <c r="AA158" s="152" t="s">
        <v>749</v>
      </c>
      <c r="AB158" s="152">
        <v>30</v>
      </c>
      <c r="AC158" s="158">
        <f t="shared" si="18"/>
        <v>150000</v>
      </c>
      <c r="AD158" s="157"/>
    </row>
    <row r="159" spans="1:30" s="160" customFormat="1" ht="58.8" customHeight="1" x14ac:dyDescent="0.3">
      <c r="A159" s="152">
        <v>4</v>
      </c>
      <c r="B159" s="152" t="s">
        <v>737</v>
      </c>
      <c r="C159" s="316" t="s">
        <v>750</v>
      </c>
      <c r="D159" s="162" t="s">
        <v>30</v>
      </c>
      <c r="E159" s="162" t="s">
        <v>543</v>
      </c>
      <c r="F159" s="162"/>
      <c r="G159" s="162"/>
      <c r="H159" s="162">
        <v>2</v>
      </c>
      <c r="I159" s="155">
        <f t="shared" si="26"/>
        <v>2</v>
      </c>
      <c r="J159" s="36" t="s">
        <v>213</v>
      </c>
      <c r="K159" s="152"/>
      <c r="L159" s="157" t="s">
        <v>491</v>
      </c>
      <c r="M159" s="85" t="s">
        <v>33</v>
      </c>
      <c r="N159" s="10" t="s">
        <v>213</v>
      </c>
      <c r="O159" s="157" t="s">
        <v>39</v>
      </c>
      <c r="P159" s="157"/>
      <c r="Q159" s="157"/>
      <c r="R159" s="157"/>
      <c r="S159" s="157"/>
      <c r="T159" s="157">
        <v>2</v>
      </c>
      <c r="U159" s="157"/>
      <c r="V159" s="157"/>
      <c r="W159" s="157">
        <f t="shared" si="15"/>
        <v>2</v>
      </c>
      <c r="X159" s="158">
        <f>SUMIFS('Đơn giá'!C:C,'Đơn giá'!B:B,'XUẤT (2)'!O159)</f>
        <v>52000</v>
      </c>
      <c r="Y159" s="159">
        <f>X159*T159</f>
        <v>104000</v>
      </c>
      <c r="Z159" s="152" t="s">
        <v>751</v>
      </c>
      <c r="AA159" s="10" t="s">
        <v>213</v>
      </c>
      <c r="AB159" s="90">
        <f t="shared" ref="AB159" si="27">W159-V159</f>
        <v>2</v>
      </c>
      <c r="AC159" s="91">
        <f t="shared" si="18"/>
        <v>10000</v>
      </c>
      <c r="AD159" s="157"/>
    </row>
    <row r="160" spans="1:30" ht="45.6" hidden="1" x14ac:dyDescent="0.3">
      <c r="A160" s="85">
        <v>5</v>
      </c>
      <c r="B160" s="85" t="s">
        <v>737</v>
      </c>
      <c r="C160" s="313" t="s">
        <v>752</v>
      </c>
      <c r="D160" s="102" t="s">
        <v>30</v>
      </c>
      <c r="E160" s="102" t="s">
        <v>90</v>
      </c>
      <c r="F160" s="102"/>
      <c r="G160" s="102">
        <v>11</v>
      </c>
      <c r="H160" s="102"/>
      <c r="I160" s="155">
        <f t="shared" si="26"/>
        <v>11</v>
      </c>
      <c r="J160" s="85" t="s">
        <v>753</v>
      </c>
      <c r="K160" s="85"/>
      <c r="L160" s="90" t="s">
        <v>491</v>
      </c>
      <c r="M160" s="85" t="s">
        <v>72</v>
      </c>
      <c r="N160" s="150" t="s">
        <v>754</v>
      </c>
      <c r="O160" s="90" t="s">
        <v>26</v>
      </c>
      <c r="P160" s="90">
        <v>10</v>
      </c>
      <c r="Q160" s="90"/>
      <c r="R160" s="90"/>
      <c r="S160" s="90"/>
      <c r="T160" s="90"/>
      <c r="U160" s="90"/>
      <c r="V160" s="90">
        <v>1</v>
      </c>
      <c r="W160" s="90">
        <f t="shared" si="15"/>
        <v>11</v>
      </c>
      <c r="X160" s="91">
        <f>SUMIFS('Đơn giá'!C:C,'Đơn giá'!B:B,'XUẤT (2)'!O160)</f>
        <v>98000</v>
      </c>
      <c r="Y160" s="92">
        <f t="shared" ref="Y160" si="28">X160*P160</f>
        <v>980000</v>
      </c>
      <c r="Z160" s="232"/>
      <c r="AA160" s="85" t="s">
        <v>761</v>
      </c>
      <c r="AB160" s="85">
        <v>10</v>
      </c>
      <c r="AC160" s="91">
        <f t="shared" si="18"/>
        <v>50000</v>
      </c>
      <c r="AD160" s="90"/>
    </row>
    <row r="161" spans="1:30" ht="148.80000000000001" customHeight="1" x14ac:dyDescent="0.3">
      <c r="A161" s="85">
        <v>6</v>
      </c>
      <c r="B161" s="85" t="s">
        <v>737</v>
      </c>
      <c r="C161" s="319" t="s">
        <v>773</v>
      </c>
      <c r="D161" s="162" t="s">
        <v>30</v>
      </c>
      <c r="E161" s="162" t="s">
        <v>224</v>
      </c>
      <c r="F161" s="162"/>
      <c r="G161" s="162"/>
      <c r="H161" s="162">
        <v>2</v>
      </c>
      <c r="I161" s="155">
        <f t="shared" si="26"/>
        <v>2</v>
      </c>
      <c r="J161" s="85"/>
      <c r="K161" s="85"/>
      <c r="L161" s="90" t="s">
        <v>491</v>
      </c>
      <c r="M161" s="85" t="s">
        <v>46</v>
      </c>
      <c r="N161" s="150" t="s">
        <v>77</v>
      </c>
      <c r="O161" s="90" t="s">
        <v>42</v>
      </c>
      <c r="P161" s="90"/>
      <c r="Q161" s="90"/>
      <c r="R161" s="90"/>
      <c r="S161" s="90"/>
      <c r="T161" s="90"/>
      <c r="U161" s="90">
        <v>2</v>
      </c>
      <c r="V161" s="90"/>
      <c r="W161" s="90">
        <f t="shared" si="15"/>
        <v>2</v>
      </c>
      <c r="X161" s="91">
        <f>SUMIFS('Đơn giá'!C:C,'Đơn giá'!B:B,'XUẤT (2)'!O161)</f>
        <v>48000</v>
      </c>
      <c r="Y161" s="339">
        <f>X161*U161</f>
        <v>96000</v>
      </c>
      <c r="Z161" s="232" t="s">
        <v>800</v>
      </c>
      <c r="AA161" s="85" t="s">
        <v>37</v>
      </c>
      <c r="AB161" s="90">
        <f t="shared" ref="AB161" si="29">W161-V161</f>
        <v>2</v>
      </c>
      <c r="AC161" s="91">
        <f t="shared" si="18"/>
        <v>10000</v>
      </c>
      <c r="AD161" s="90"/>
    </row>
    <row r="162" spans="1:30" s="160" customFormat="1" ht="88.8" hidden="1" customHeight="1" x14ac:dyDescent="0.3">
      <c r="A162" s="152">
        <v>8</v>
      </c>
      <c r="B162" s="152" t="s">
        <v>737</v>
      </c>
      <c r="C162" s="316" t="s">
        <v>759</v>
      </c>
      <c r="D162" s="162" t="s">
        <v>668</v>
      </c>
      <c r="E162" s="162" t="s">
        <v>543</v>
      </c>
      <c r="F162" s="162"/>
      <c r="G162" s="162"/>
      <c r="H162" s="162">
        <v>3</v>
      </c>
      <c r="I162" s="155">
        <f t="shared" si="26"/>
        <v>3</v>
      </c>
      <c r="J162" s="152" t="s">
        <v>395</v>
      </c>
      <c r="K162" s="152"/>
      <c r="L162" s="157" t="s">
        <v>491</v>
      </c>
      <c r="M162" s="152" t="s">
        <v>657</v>
      </c>
      <c r="N162" s="163" t="s">
        <v>657</v>
      </c>
      <c r="O162" s="157" t="s">
        <v>39</v>
      </c>
      <c r="P162" s="157"/>
      <c r="Q162" s="157"/>
      <c r="R162" s="157"/>
      <c r="S162" s="157"/>
      <c r="T162" s="157">
        <v>3</v>
      </c>
      <c r="U162" s="157"/>
      <c r="V162" s="157"/>
      <c r="W162" s="157">
        <f t="shared" si="15"/>
        <v>3</v>
      </c>
      <c r="X162" s="158">
        <f>SUMIFS('Đơn giá'!C:C,'Đơn giá'!B:B,'XUẤT (2)'!O162)</f>
        <v>52000</v>
      </c>
      <c r="Y162" s="159">
        <f t="shared" ref="Y162" si="30">X162*U162</f>
        <v>0</v>
      </c>
      <c r="Z162" s="152"/>
      <c r="AA162" s="152"/>
      <c r="AB162" s="152"/>
      <c r="AC162" s="158">
        <f t="shared" si="18"/>
        <v>0</v>
      </c>
      <c r="AD162" s="157"/>
    </row>
    <row r="163" spans="1:30" s="160" customFormat="1" ht="148.80000000000001" customHeight="1" x14ac:dyDescent="0.3">
      <c r="A163" s="152">
        <v>9</v>
      </c>
      <c r="B163" s="152" t="s">
        <v>737</v>
      </c>
      <c r="C163" s="316" t="s">
        <v>762</v>
      </c>
      <c r="D163" s="162" t="s">
        <v>683</v>
      </c>
      <c r="E163" s="162" t="s">
        <v>543</v>
      </c>
      <c r="F163" s="162"/>
      <c r="G163" s="162"/>
      <c r="H163" s="162">
        <v>2</v>
      </c>
      <c r="I163" s="155">
        <f t="shared" si="26"/>
        <v>2</v>
      </c>
      <c r="J163" s="152" t="s">
        <v>56</v>
      </c>
      <c r="K163" s="152"/>
      <c r="L163" s="157" t="s">
        <v>491</v>
      </c>
      <c r="M163" s="152" t="s">
        <v>46</v>
      </c>
      <c r="N163" s="163" t="s">
        <v>763</v>
      </c>
      <c r="O163" s="157" t="s">
        <v>39</v>
      </c>
      <c r="P163" s="157"/>
      <c r="Q163" s="157"/>
      <c r="R163" s="157"/>
      <c r="S163" s="157"/>
      <c r="T163" s="157">
        <v>2</v>
      </c>
      <c r="U163" s="157"/>
      <c r="V163" s="157"/>
      <c r="W163" s="157">
        <f t="shared" si="15"/>
        <v>2</v>
      </c>
      <c r="X163" s="158">
        <f>SUMIFS('Đơn giá'!C:C,'Đơn giá'!B:B,'XUẤT (2)'!O163)</f>
        <v>52000</v>
      </c>
      <c r="Y163" s="159">
        <f>X163*T163</f>
        <v>104000</v>
      </c>
      <c r="Z163" s="152" t="s">
        <v>756</v>
      </c>
      <c r="AA163" s="10" t="s">
        <v>57</v>
      </c>
      <c r="AB163" s="152">
        <v>2</v>
      </c>
      <c r="AC163" s="158">
        <f t="shared" si="18"/>
        <v>10000</v>
      </c>
      <c r="AD163" s="157"/>
    </row>
    <row r="164" spans="1:30" s="160" customFormat="1" ht="72.599999999999994" hidden="1" customHeight="1" x14ac:dyDescent="0.3">
      <c r="A164" s="152">
        <v>10</v>
      </c>
      <c r="B164" s="152" t="s">
        <v>737</v>
      </c>
      <c r="C164" s="316" t="s">
        <v>765</v>
      </c>
      <c r="D164" s="162" t="s">
        <v>683</v>
      </c>
      <c r="E164" s="162" t="s">
        <v>543</v>
      </c>
      <c r="F164" s="162"/>
      <c r="G164" s="162"/>
      <c r="H164" s="162">
        <v>2</v>
      </c>
      <c r="I164" s="155">
        <f t="shared" si="26"/>
        <v>2</v>
      </c>
      <c r="J164" s="269" t="s">
        <v>162</v>
      </c>
      <c r="K164" s="152"/>
      <c r="L164" s="157" t="s">
        <v>491</v>
      </c>
      <c r="M164" s="152" t="s">
        <v>764</v>
      </c>
      <c r="N164" s="152" t="s">
        <v>764</v>
      </c>
      <c r="O164" s="157" t="s">
        <v>39</v>
      </c>
      <c r="P164" s="157"/>
      <c r="Q164" s="157"/>
      <c r="R164" s="157"/>
      <c r="S164" s="157"/>
      <c r="T164" s="157">
        <v>2</v>
      </c>
      <c r="U164" s="157"/>
      <c r="V164" s="157"/>
      <c r="W164" s="157">
        <f t="shared" si="15"/>
        <v>2</v>
      </c>
      <c r="X164" s="158">
        <f>SUMIFS('Đơn giá'!C:C,'Đơn giá'!B:B,'XUẤT (2)'!O164)</f>
        <v>52000</v>
      </c>
      <c r="Y164" s="159">
        <f>X164*T164</f>
        <v>104000</v>
      </c>
      <c r="Z164" s="152" t="s">
        <v>751</v>
      </c>
      <c r="AA164" s="222" t="s">
        <v>162</v>
      </c>
      <c r="AB164" s="152">
        <v>2</v>
      </c>
      <c r="AC164" s="158">
        <f t="shared" si="18"/>
        <v>10000</v>
      </c>
      <c r="AD164" s="157"/>
    </row>
    <row r="165" spans="1:30" ht="109.2" hidden="1" customHeight="1" x14ac:dyDescent="0.3">
      <c r="A165" s="102">
        <v>11</v>
      </c>
      <c r="B165" s="85" t="s">
        <v>737</v>
      </c>
      <c r="C165" s="313" t="s">
        <v>766</v>
      </c>
      <c r="D165" s="87" t="s">
        <v>668</v>
      </c>
      <c r="E165" s="102" t="s">
        <v>767</v>
      </c>
      <c r="F165" s="102"/>
      <c r="G165" s="102">
        <v>10</v>
      </c>
      <c r="H165" s="102"/>
      <c r="I165" s="155">
        <f t="shared" si="26"/>
        <v>10</v>
      </c>
      <c r="J165" s="102" t="s">
        <v>56</v>
      </c>
      <c r="K165" s="102"/>
      <c r="L165" s="90" t="s">
        <v>491</v>
      </c>
      <c r="M165" s="85" t="s">
        <v>657</v>
      </c>
      <c r="N165" s="85" t="s">
        <v>657</v>
      </c>
      <c r="O165" s="90"/>
      <c r="P165" s="90"/>
      <c r="Q165" s="90"/>
      <c r="R165" s="90"/>
      <c r="S165" s="90"/>
      <c r="T165" s="90"/>
      <c r="U165" s="90"/>
      <c r="V165" s="90"/>
      <c r="W165" s="90">
        <f t="shared" si="15"/>
        <v>0</v>
      </c>
      <c r="X165" s="91">
        <f>SUMIFS('Đơn giá'!C:C,'Đơn giá'!B:B,'XUẤT (2)'!O165)</f>
        <v>0</v>
      </c>
      <c r="Y165" s="92">
        <f t="shared" ref="Y165" si="31">X165*T165</f>
        <v>0</v>
      </c>
      <c r="Z165" s="232"/>
      <c r="AA165" s="85"/>
      <c r="AB165" s="90">
        <f t="shared" si="19"/>
        <v>0</v>
      </c>
      <c r="AC165" s="91">
        <f t="shared" si="18"/>
        <v>0</v>
      </c>
      <c r="AD165" s="90"/>
    </row>
    <row r="166" spans="1:30" ht="85.8" customHeight="1" x14ac:dyDescent="0.3">
      <c r="A166" s="102">
        <v>13</v>
      </c>
      <c r="B166" s="85" t="s">
        <v>737</v>
      </c>
      <c r="C166" s="316" t="s">
        <v>770</v>
      </c>
      <c r="D166" s="162" t="s">
        <v>683</v>
      </c>
      <c r="E166" s="162" t="s">
        <v>224</v>
      </c>
      <c r="F166" s="162"/>
      <c r="G166" s="162">
        <v>22</v>
      </c>
      <c r="H166" s="102"/>
      <c r="I166" s="155">
        <f t="shared" si="26"/>
        <v>22</v>
      </c>
      <c r="J166" s="36" t="s">
        <v>244</v>
      </c>
      <c r="K166" s="102"/>
      <c r="L166" s="90" t="s">
        <v>491</v>
      </c>
      <c r="M166" s="85" t="s">
        <v>33</v>
      </c>
      <c r="N166" s="36" t="s">
        <v>244</v>
      </c>
      <c r="O166" s="90" t="s">
        <v>26</v>
      </c>
      <c r="P166" s="90">
        <v>20</v>
      </c>
      <c r="Q166" s="90"/>
      <c r="R166" s="90"/>
      <c r="S166" s="90"/>
      <c r="T166" s="90"/>
      <c r="U166" s="90"/>
      <c r="V166" s="90">
        <v>2</v>
      </c>
      <c r="W166" s="90">
        <f t="shared" si="15"/>
        <v>22</v>
      </c>
      <c r="X166" s="91">
        <f>SUMIFS('Đơn giá'!C:C,'Đơn giá'!B:B,'XUẤT (2)'!O166)</f>
        <v>98000</v>
      </c>
      <c r="Y166" s="92">
        <f>X166*P166</f>
        <v>1960000</v>
      </c>
      <c r="Z166" s="232"/>
      <c r="AA166" s="10" t="s">
        <v>244</v>
      </c>
      <c r="AB166" s="90">
        <f t="shared" si="19"/>
        <v>20</v>
      </c>
      <c r="AC166" s="91">
        <f t="shared" si="18"/>
        <v>100000</v>
      </c>
      <c r="AD166" s="90"/>
    </row>
    <row r="167" spans="1:30" ht="102.6" customHeight="1" x14ac:dyDescent="0.3">
      <c r="A167" s="102">
        <v>13</v>
      </c>
      <c r="B167" s="85" t="s">
        <v>737</v>
      </c>
      <c r="C167" s="313" t="s">
        <v>774</v>
      </c>
      <c r="D167" s="102" t="s">
        <v>683</v>
      </c>
      <c r="E167" s="102" t="s">
        <v>90</v>
      </c>
      <c r="F167" s="102"/>
      <c r="G167" s="102">
        <v>3</v>
      </c>
      <c r="H167" s="102"/>
      <c r="I167" s="155">
        <f t="shared" si="26"/>
        <v>3</v>
      </c>
      <c r="J167" s="102" t="s">
        <v>775</v>
      </c>
      <c r="K167" s="102"/>
      <c r="L167" s="90" t="s">
        <v>491</v>
      </c>
      <c r="M167" s="85" t="s">
        <v>46</v>
      </c>
      <c r="N167" s="85" t="s">
        <v>776</v>
      </c>
      <c r="O167" s="90" t="s">
        <v>26</v>
      </c>
      <c r="P167" s="90">
        <v>3</v>
      </c>
      <c r="Q167" s="90"/>
      <c r="R167" s="90"/>
      <c r="S167" s="90"/>
      <c r="T167" s="90"/>
      <c r="U167" s="90"/>
      <c r="V167" s="90"/>
      <c r="W167" s="90">
        <f t="shared" si="15"/>
        <v>3</v>
      </c>
      <c r="X167" s="91">
        <f>SUMIFS('Đơn giá'!C:C,'Đơn giá'!B:B,'XUẤT (2)'!O167)</f>
        <v>98000</v>
      </c>
      <c r="Y167" s="92">
        <f>X167*P167</f>
        <v>294000</v>
      </c>
      <c r="Z167" s="232"/>
      <c r="AA167" s="36" t="s">
        <v>140</v>
      </c>
      <c r="AB167" s="90">
        <f t="shared" si="19"/>
        <v>3</v>
      </c>
      <c r="AC167" s="91">
        <f t="shared" si="18"/>
        <v>15000</v>
      </c>
      <c r="AD167" s="90"/>
    </row>
    <row r="168" spans="1:30" s="160" customFormat="1" ht="61.8" customHeight="1" x14ac:dyDescent="0.3">
      <c r="A168" s="162">
        <v>14</v>
      </c>
      <c r="B168" s="152" t="s">
        <v>737</v>
      </c>
      <c r="C168" s="316" t="s">
        <v>779</v>
      </c>
      <c r="D168" s="162" t="s">
        <v>683</v>
      </c>
      <c r="E168" s="162" t="s">
        <v>543</v>
      </c>
      <c r="F168" s="162"/>
      <c r="G168" s="162">
        <v>1</v>
      </c>
      <c r="H168" s="162"/>
      <c r="I168" s="155">
        <f t="shared" si="26"/>
        <v>1</v>
      </c>
      <c r="J168" s="229" t="s">
        <v>98</v>
      </c>
      <c r="K168" s="162"/>
      <c r="L168" s="157" t="s">
        <v>491</v>
      </c>
      <c r="M168" s="85" t="s">
        <v>33</v>
      </c>
      <c r="N168" s="36" t="s">
        <v>98</v>
      </c>
      <c r="O168" s="157" t="s">
        <v>29</v>
      </c>
      <c r="P168" s="157"/>
      <c r="Q168" s="157">
        <v>1</v>
      </c>
      <c r="R168" s="157"/>
      <c r="S168" s="157"/>
      <c r="T168" s="157"/>
      <c r="U168" s="157"/>
      <c r="V168" s="157"/>
      <c r="W168" s="157">
        <f t="shared" si="15"/>
        <v>1</v>
      </c>
      <c r="X168" s="158">
        <f>SUMIFS('Đơn giá'!C:C,'Đơn giá'!B:B,'XUẤT (2)'!O168)</f>
        <v>85000</v>
      </c>
      <c r="Y168" s="159">
        <f>X168*Q168</f>
        <v>85000</v>
      </c>
      <c r="Z168" s="152" t="s">
        <v>757</v>
      </c>
      <c r="AA168" s="36" t="s">
        <v>98</v>
      </c>
      <c r="AB168" s="157">
        <f t="shared" si="19"/>
        <v>1</v>
      </c>
      <c r="AC168" s="158">
        <f t="shared" si="18"/>
        <v>5000</v>
      </c>
      <c r="AD168" s="157"/>
    </row>
    <row r="169" spans="1:30" s="160" customFormat="1" ht="58.8" customHeight="1" x14ac:dyDescent="0.3">
      <c r="A169" s="162">
        <v>15</v>
      </c>
      <c r="B169" s="152" t="s">
        <v>737</v>
      </c>
      <c r="C169" s="316" t="s">
        <v>783</v>
      </c>
      <c r="D169" s="162" t="s">
        <v>683</v>
      </c>
      <c r="E169" s="162" t="s">
        <v>543</v>
      </c>
      <c r="F169" s="162"/>
      <c r="G169" s="162">
        <v>5</v>
      </c>
      <c r="H169" s="162"/>
      <c r="I169" s="155">
        <f t="shared" si="26"/>
        <v>5</v>
      </c>
      <c r="J169" s="229" t="s">
        <v>238</v>
      </c>
      <c r="K169" s="162"/>
      <c r="L169" s="157" t="s">
        <v>491</v>
      </c>
      <c r="M169" s="85" t="s">
        <v>33</v>
      </c>
      <c r="N169" s="36" t="s">
        <v>238</v>
      </c>
      <c r="O169" s="157" t="s">
        <v>29</v>
      </c>
      <c r="P169" s="157"/>
      <c r="Q169" s="157">
        <v>5</v>
      </c>
      <c r="R169" s="157"/>
      <c r="S169" s="157"/>
      <c r="T169" s="157"/>
      <c r="U169" s="157"/>
      <c r="V169" s="157"/>
      <c r="W169" s="157">
        <f t="shared" si="15"/>
        <v>5</v>
      </c>
      <c r="X169" s="158">
        <f>SUMIFS('Đơn giá'!C:C,'Đơn giá'!B:B,'XUẤT (2)'!O169)</f>
        <v>85000</v>
      </c>
      <c r="Y169" s="159">
        <f t="shared" ref="Y169" si="32">X169*Q169</f>
        <v>425000</v>
      </c>
      <c r="Z169" s="152"/>
      <c r="AA169" s="10" t="s">
        <v>238</v>
      </c>
      <c r="AB169" s="157">
        <f t="shared" si="19"/>
        <v>5</v>
      </c>
      <c r="AC169" s="158">
        <f t="shared" si="18"/>
        <v>25000</v>
      </c>
      <c r="AD169" s="157"/>
    </row>
    <row r="170" spans="1:30" ht="138" hidden="1" customHeight="1" x14ac:dyDescent="0.3">
      <c r="A170" s="102">
        <v>1</v>
      </c>
      <c r="B170" s="86" t="s">
        <v>787</v>
      </c>
      <c r="C170" s="322" t="s">
        <v>788</v>
      </c>
      <c r="D170" s="162" t="s">
        <v>683</v>
      </c>
      <c r="E170" s="102" t="s">
        <v>224</v>
      </c>
      <c r="F170" s="102"/>
      <c r="G170" s="102"/>
      <c r="H170" s="102">
        <v>5</v>
      </c>
      <c r="I170" s="155">
        <f t="shared" si="26"/>
        <v>5</v>
      </c>
      <c r="J170" s="102" t="s">
        <v>789</v>
      </c>
      <c r="K170" s="102"/>
      <c r="L170" s="90"/>
      <c r="M170" s="150" t="s">
        <v>72</v>
      </c>
      <c r="N170" s="150"/>
      <c r="O170" s="90" t="s">
        <v>39</v>
      </c>
      <c r="P170" s="90"/>
      <c r="Q170" s="90"/>
      <c r="R170" s="90"/>
      <c r="S170" s="90"/>
      <c r="T170" s="90">
        <v>5</v>
      </c>
      <c r="U170" s="90"/>
      <c r="V170" s="90"/>
      <c r="W170" s="157">
        <f t="shared" si="15"/>
        <v>5</v>
      </c>
      <c r="X170" s="158">
        <f>SUMIFS('Đơn giá'!C:C,'Đơn giá'!B:B,'XUẤT (2)'!O170)</f>
        <v>52000</v>
      </c>
      <c r="Y170" s="159">
        <f>X170*T170</f>
        <v>260000</v>
      </c>
      <c r="Z170" s="232"/>
      <c r="AA170" s="85" t="s">
        <v>789</v>
      </c>
      <c r="AB170" s="157">
        <f t="shared" si="19"/>
        <v>5</v>
      </c>
      <c r="AC170" s="158">
        <f t="shared" si="18"/>
        <v>25000</v>
      </c>
      <c r="AD170" s="90"/>
    </row>
    <row r="171" spans="1:30" ht="76.8" customHeight="1" x14ac:dyDescent="0.3">
      <c r="A171" s="102">
        <v>2</v>
      </c>
      <c r="B171" s="86" t="s">
        <v>787</v>
      </c>
      <c r="C171" s="313" t="s">
        <v>790</v>
      </c>
      <c r="D171" s="162" t="s">
        <v>683</v>
      </c>
      <c r="E171" s="102" t="s">
        <v>90</v>
      </c>
      <c r="F171" s="102"/>
      <c r="G171" s="102">
        <v>2</v>
      </c>
      <c r="H171" s="102"/>
      <c r="I171" s="155">
        <f t="shared" si="26"/>
        <v>2</v>
      </c>
      <c r="J171" s="10" t="s">
        <v>106</v>
      </c>
      <c r="K171" s="102"/>
      <c r="L171" s="90" t="s">
        <v>491</v>
      </c>
      <c r="M171" s="85" t="s">
        <v>33</v>
      </c>
      <c r="N171" s="10" t="s">
        <v>106</v>
      </c>
      <c r="O171" s="90" t="s">
        <v>26</v>
      </c>
      <c r="P171" s="90">
        <v>2</v>
      </c>
      <c r="Q171" s="90"/>
      <c r="R171" s="90"/>
      <c r="S171" s="90"/>
      <c r="T171" s="90"/>
      <c r="U171" s="90"/>
      <c r="V171" s="90"/>
      <c r="W171" s="157">
        <f t="shared" si="15"/>
        <v>2</v>
      </c>
      <c r="X171" s="158">
        <f>SUMIFS('Đơn giá'!C:C,'Đơn giá'!B:B,'XUẤT (2)'!O171)</f>
        <v>98000</v>
      </c>
      <c r="Y171" s="159">
        <f>X171*P171</f>
        <v>196000</v>
      </c>
      <c r="Z171" s="232"/>
      <c r="AA171" s="10" t="s">
        <v>106</v>
      </c>
      <c r="AB171" s="157">
        <f t="shared" si="19"/>
        <v>2</v>
      </c>
      <c r="AC171" s="158">
        <f t="shared" si="18"/>
        <v>10000</v>
      </c>
      <c r="AD171" s="90"/>
    </row>
    <row r="172" spans="1:30" ht="102.6" customHeight="1" x14ac:dyDescent="0.3">
      <c r="A172" s="102">
        <v>3</v>
      </c>
      <c r="B172" s="86" t="s">
        <v>787</v>
      </c>
      <c r="C172" s="319" t="s">
        <v>813</v>
      </c>
      <c r="D172" s="162" t="s">
        <v>683</v>
      </c>
      <c r="E172" s="102" t="s">
        <v>224</v>
      </c>
      <c r="F172" s="102"/>
      <c r="G172" s="102"/>
      <c r="H172" s="102">
        <v>11</v>
      </c>
      <c r="I172" s="155">
        <f t="shared" si="26"/>
        <v>11</v>
      </c>
      <c r="J172" s="102" t="s">
        <v>789</v>
      </c>
      <c r="K172" s="102" t="s">
        <v>524</v>
      </c>
      <c r="L172" s="90" t="s">
        <v>491</v>
      </c>
      <c r="M172" s="85" t="s">
        <v>46</v>
      </c>
      <c r="N172" s="150" t="s">
        <v>791</v>
      </c>
      <c r="O172" s="90" t="s">
        <v>42</v>
      </c>
      <c r="P172" s="90"/>
      <c r="Q172" s="90"/>
      <c r="R172" s="90"/>
      <c r="S172" s="90"/>
      <c r="T172" s="90">
        <v>10</v>
      </c>
      <c r="U172" s="90"/>
      <c r="V172" s="90">
        <v>1</v>
      </c>
      <c r="W172" s="157">
        <f t="shared" si="15"/>
        <v>11</v>
      </c>
      <c r="X172" s="158">
        <f>SUMIFS('Đơn giá'!C:C,'Đơn giá'!B:B,'XUẤT (2)'!O172)</f>
        <v>48000</v>
      </c>
      <c r="Y172" s="159">
        <f t="shared" ref="Y172" si="33">X172*T172</f>
        <v>480000</v>
      </c>
      <c r="Z172" s="232"/>
      <c r="AA172" s="85" t="s">
        <v>789</v>
      </c>
      <c r="AB172" s="157">
        <f t="shared" si="19"/>
        <v>10</v>
      </c>
      <c r="AC172" s="158">
        <f t="shared" si="18"/>
        <v>50000</v>
      </c>
      <c r="AD172" s="90"/>
    </row>
    <row r="173" spans="1:30" ht="138" customHeight="1" x14ac:dyDescent="0.3">
      <c r="A173" s="102">
        <v>6</v>
      </c>
      <c r="B173" s="232" t="s">
        <v>787</v>
      </c>
      <c r="C173" s="321" t="s">
        <v>795</v>
      </c>
      <c r="D173" s="210" t="s">
        <v>683</v>
      </c>
      <c r="E173" s="210" t="s">
        <v>224</v>
      </c>
      <c r="F173" s="210"/>
      <c r="G173" s="210"/>
      <c r="H173" s="210">
        <v>11</v>
      </c>
      <c r="I173" s="253">
        <f t="shared" si="26"/>
        <v>11</v>
      </c>
      <c r="J173" s="102" t="s">
        <v>792</v>
      </c>
      <c r="K173" s="102"/>
      <c r="L173" s="90" t="s">
        <v>491</v>
      </c>
      <c r="M173" s="85" t="s">
        <v>46</v>
      </c>
      <c r="N173" s="150"/>
      <c r="O173" s="90" t="s">
        <v>39</v>
      </c>
      <c r="P173" s="90"/>
      <c r="Q173" s="90"/>
      <c r="R173" s="90"/>
      <c r="S173" s="90"/>
      <c r="T173" s="90">
        <v>10</v>
      </c>
      <c r="U173" s="90"/>
      <c r="V173" s="90">
        <v>1</v>
      </c>
      <c r="W173" s="157">
        <f t="shared" si="15"/>
        <v>11</v>
      </c>
      <c r="X173" s="91">
        <f>SUMIFS('Đơn giá'!C:C,'Đơn giá'!B:B,'XUẤT (2)'!O173)</f>
        <v>52000</v>
      </c>
      <c r="Y173" s="92">
        <f>X173*T173</f>
        <v>520000</v>
      </c>
      <c r="Z173" s="232"/>
      <c r="AA173" s="85" t="s">
        <v>792</v>
      </c>
      <c r="AB173" s="90">
        <f t="shared" si="19"/>
        <v>10</v>
      </c>
      <c r="AC173" s="91">
        <f t="shared" si="18"/>
        <v>50000</v>
      </c>
      <c r="AD173" s="90" t="s">
        <v>824</v>
      </c>
    </row>
    <row r="174" spans="1:30" ht="72.599999999999994" customHeight="1" x14ac:dyDescent="0.3">
      <c r="A174" s="102">
        <v>7</v>
      </c>
      <c r="B174" s="232" t="s">
        <v>787</v>
      </c>
      <c r="C174" s="321" t="s">
        <v>793</v>
      </c>
      <c r="D174" s="210" t="s">
        <v>683</v>
      </c>
      <c r="E174" s="210" t="s">
        <v>224</v>
      </c>
      <c r="F174" s="210"/>
      <c r="G174" s="210">
        <v>55</v>
      </c>
      <c r="H174" s="210"/>
      <c r="I174" s="253">
        <f t="shared" si="26"/>
        <v>55</v>
      </c>
      <c r="J174" s="102" t="s">
        <v>792</v>
      </c>
      <c r="K174" s="102" t="s">
        <v>794</v>
      </c>
      <c r="L174" s="90" t="s">
        <v>491</v>
      </c>
      <c r="M174" s="85" t="s">
        <v>33</v>
      </c>
      <c r="N174" s="318" t="s">
        <v>88</v>
      </c>
      <c r="O174" s="90" t="s">
        <v>26</v>
      </c>
      <c r="P174" s="90">
        <v>50</v>
      </c>
      <c r="Q174" s="90"/>
      <c r="R174" s="90"/>
      <c r="S174" s="90"/>
      <c r="T174" s="90"/>
      <c r="U174" s="90"/>
      <c r="V174" s="90">
        <v>5</v>
      </c>
      <c r="W174" s="157">
        <f t="shared" si="15"/>
        <v>55</v>
      </c>
      <c r="X174" s="91">
        <f>SUMIFS('Đơn giá'!C:C,'Đơn giá'!B:B,'XUẤT (2)'!O174)</f>
        <v>98000</v>
      </c>
      <c r="Y174" s="92">
        <f t="shared" ref="Y174:Y175" si="34">X174*P174</f>
        <v>4900000</v>
      </c>
      <c r="Z174" s="232"/>
      <c r="AA174" s="269" t="s">
        <v>181</v>
      </c>
      <c r="AB174" s="90">
        <f t="shared" si="19"/>
        <v>50</v>
      </c>
      <c r="AC174" s="91">
        <f t="shared" si="18"/>
        <v>250000</v>
      </c>
      <c r="AD174" s="90"/>
    </row>
    <row r="175" spans="1:30" ht="72.599999999999994" customHeight="1" x14ac:dyDescent="0.3">
      <c r="A175" s="102">
        <v>8</v>
      </c>
      <c r="B175" s="85" t="s">
        <v>787</v>
      </c>
      <c r="C175" s="317" t="s">
        <v>796</v>
      </c>
      <c r="D175" s="102" t="s">
        <v>683</v>
      </c>
      <c r="E175" s="102" t="s">
        <v>90</v>
      </c>
      <c r="F175" s="102"/>
      <c r="G175" s="102">
        <v>5</v>
      </c>
      <c r="H175" s="102"/>
      <c r="I175" s="155">
        <f t="shared" si="26"/>
        <v>5</v>
      </c>
      <c r="J175" s="10" t="s">
        <v>211</v>
      </c>
      <c r="K175" s="102"/>
      <c r="L175" s="90" t="s">
        <v>491</v>
      </c>
      <c r="M175" s="85" t="s">
        <v>46</v>
      </c>
      <c r="N175" s="150" t="s">
        <v>797</v>
      </c>
      <c r="O175" s="90" t="s">
        <v>26</v>
      </c>
      <c r="P175" s="90">
        <v>5</v>
      </c>
      <c r="Q175" s="90"/>
      <c r="R175" s="90"/>
      <c r="S175" s="90"/>
      <c r="T175" s="90"/>
      <c r="U175" s="90"/>
      <c r="V175" s="90"/>
      <c r="W175" s="157">
        <f t="shared" si="15"/>
        <v>5</v>
      </c>
      <c r="X175" s="91">
        <f>SUMIFS('Đơn giá'!C:C,'Đơn giá'!B:B,'XUẤT (2)'!O175)</f>
        <v>98000</v>
      </c>
      <c r="Y175" s="92">
        <f t="shared" si="34"/>
        <v>490000</v>
      </c>
      <c r="Z175" s="232"/>
      <c r="AA175" s="36" t="s">
        <v>211</v>
      </c>
      <c r="AB175" s="90">
        <f t="shared" si="19"/>
        <v>5</v>
      </c>
      <c r="AC175" s="91">
        <f t="shared" si="18"/>
        <v>25000</v>
      </c>
      <c r="AD175" s="90"/>
    </row>
    <row r="176" spans="1:30" ht="148.80000000000001" hidden="1" customHeight="1" x14ac:dyDescent="0.3">
      <c r="A176" s="102">
        <v>9</v>
      </c>
      <c r="B176" s="85" t="s">
        <v>787</v>
      </c>
      <c r="C176" s="317" t="s">
        <v>802</v>
      </c>
      <c r="D176" s="102" t="s">
        <v>683</v>
      </c>
      <c r="E176" s="102" t="s">
        <v>543</v>
      </c>
      <c r="F176" s="102"/>
      <c r="G176" s="102"/>
      <c r="H176" s="102">
        <v>7</v>
      </c>
      <c r="I176" s="155">
        <f t="shared" si="26"/>
        <v>7</v>
      </c>
      <c r="J176" s="102"/>
      <c r="K176" s="102"/>
      <c r="L176" s="90" t="s">
        <v>491</v>
      </c>
      <c r="M176" s="85" t="s">
        <v>50</v>
      </c>
      <c r="N176" s="150" t="s">
        <v>799</v>
      </c>
      <c r="O176" s="90" t="s">
        <v>39</v>
      </c>
      <c r="P176" s="90"/>
      <c r="Q176" s="90"/>
      <c r="R176" s="90"/>
      <c r="S176" s="90"/>
      <c r="T176" s="90">
        <v>7</v>
      </c>
      <c r="U176" s="90"/>
      <c r="V176" s="90"/>
      <c r="W176" s="157">
        <f t="shared" si="15"/>
        <v>7</v>
      </c>
      <c r="X176" s="91">
        <f>SUMIFS('Đơn giá'!C:C,'Đơn giá'!B:B,'XUẤT (2)'!O176)</f>
        <v>52000</v>
      </c>
      <c r="Y176" s="92">
        <f>X176*T176</f>
        <v>364000</v>
      </c>
      <c r="Z176" s="232"/>
      <c r="AA176" s="85" t="s">
        <v>792</v>
      </c>
      <c r="AB176" s="90">
        <f t="shared" si="19"/>
        <v>7</v>
      </c>
      <c r="AC176" s="91">
        <f t="shared" si="18"/>
        <v>35000</v>
      </c>
      <c r="AD176" s="90"/>
    </row>
    <row r="177" spans="1:30" ht="110.4" customHeight="1" x14ac:dyDescent="0.3">
      <c r="A177" s="102">
        <v>10</v>
      </c>
      <c r="B177" s="85" t="s">
        <v>787</v>
      </c>
      <c r="C177" s="317" t="s">
        <v>803</v>
      </c>
      <c r="D177" s="102" t="s">
        <v>683</v>
      </c>
      <c r="E177" s="102" t="s">
        <v>543</v>
      </c>
      <c r="F177" s="102"/>
      <c r="G177" s="102"/>
      <c r="H177" s="102">
        <v>2</v>
      </c>
      <c r="I177" s="155">
        <f t="shared" si="26"/>
        <v>2</v>
      </c>
      <c r="J177" s="102"/>
      <c r="K177" s="102"/>
      <c r="L177" s="90" t="s">
        <v>804</v>
      </c>
      <c r="M177" s="85" t="s">
        <v>33</v>
      </c>
      <c r="N177" s="211" t="s">
        <v>982</v>
      </c>
      <c r="O177" s="90" t="s">
        <v>39</v>
      </c>
      <c r="P177" s="90"/>
      <c r="Q177" s="90"/>
      <c r="R177" s="90"/>
      <c r="S177" s="90"/>
      <c r="T177" s="90">
        <v>2</v>
      </c>
      <c r="U177" s="90"/>
      <c r="V177" s="157"/>
      <c r="W177" s="157">
        <f t="shared" si="15"/>
        <v>2</v>
      </c>
      <c r="X177" s="158">
        <f>SUMIFS('Đơn giá'!C:C,'Đơn giá'!B:B,'XUẤT (2)'!O177)</f>
        <v>52000</v>
      </c>
      <c r="Y177" s="92">
        <f>X177*T177</f>
        <v>104000</v>
      </c>
      <c r="Z177" s="85" t="s">
        <v>806</v>
      </c>
      <c r="AA177" s="85" t="s">
        <v>792</v>
      </c>
      <c r="AB177" s="90">
        <f t="shared" si="19"/>
        <v>2</v>
      </c>
      <c r="AC177" s="91">
        <f t="shared" si="18"/>
        <v>10000</v>
      </c>
      <c r="AD177"/>
    </row>
    <row r="178" spans="1:30" ht="75" customHeight="1" x14ac:dyDescent="0.3">
      <c r="A178" s="102">
        <v>11</v>
      </c>
      <c r="B178" s="85" t="s">
        <v>787</v>
      </c>
      <c r="C178" s="384" t="s">
        <v>805</v>
      </c>
      <c r="D178" s="102" t="s">
        <v>683</v>
      </c>
      <c r="E178" s="102" t="s">
        <v>90</v>
      </c>
      <c r="F178" s="102"/>
      <c r="G178" s="102"/>
      <c r="H178" s="102">
        <v>20</v>
      </c>
      <c r="I178" s="155">
        <f t="shared" si="26"/>
        <v>20</v>
      </c>
      <c r="J178" s="102"/>
      <c r="K178" s="102" t="s">
        <v>524</v>
      </c>
      <c r="L178" s="90"/>
      <c r="M178" s="85" t="s">
        <v>33</v>
      </c>
      <c r="N178" s="10" t="s">
        <v>43</v>
      </c>
      <c r="O178" s="90" t="s">
        <v>42</v>
      </c>
      <c r="P178" s="90"/>
      <c r="Q178" s="90"/>
      <c r="R178" s="90"/>
      <c r="S178" s="90"/>
      <c r="T178" s="90"/>
      <c r="U178" s="90">
        <v>20</v>
      </c>
      <c r="V178" s="157">
        <v>2</v>
      </c>
      <c r="W178" s="157">
        <f t="shared" si="15"/>
        <v>22</v>
      </c>
      <c r="X178" s="91">
        <f>SUMIFS('Đơn giá'!C:C,'Đơn giá'!B:B,'XUẤT (2)'!O178)</f>
        <v>48000</v>
      </c>
      <c r="Y178" s="92">
        <f>X178*U178</f>
        <v>960000</v>
      </c>
      <c r="Z178" s="85"/>
      <c r="AA178" s="222" t="s">
        <v>201</v>
      </c>
      <c r="AB178" s="90">
        <f t="shared" si="19"/>
        <v>20</v>
      </c>
      <c r="AC178" s="91">
        <f t="shared" si="18"/>
        <v>100000</v>
      </c>
      <c r="AD178"/>
    </row>
    <row r="179" spans="1:30" s="160" customFormat="1" ht="110.4" customHeight="1" x14ac:dyDescent="0.3">
      <c r="A179" s="162">
        <v>13</v>
      </c>
      <c r="B179" s="152" t="s">
        <v>787</v>
      </c>
      <c r="C179" s="324" t="s">
        <v>808</v>
      </c>
      <c r="D179" s="162" t="s">
        <v>683</v>
      </c>
      <c r="E179" s="162" t="s">
        <v>543</v>
      </c>
      <c r="F179" s="162"/>
      <c r="G179" s="162"/>
      <c r="H179" s="162">
        <v>11</v>
      </c>
      <c r="I179" s="155">
        <f t="shared" si="26"/>
        <v>11</v>
      </c>
      <c r="J179" s="162"/>
      <c r="K179" s="162"/>
      <c r="L179" s="157"/>
      <c r="M179" s="85" t="s">
        <v>33</v>
      </c>
      <c r="N179" s="10" t="s">
        <v>41</v>
      </c>
      <c r="O179" s="157" t="s">
        <v>39</v>
      </c>
      <c r="P179" s="157"/>
      <c r="Q179" s="157"/>
      <c r="R179" s="157"/>
      <c r="S179" s="157"/>
      <c r="T179" s="157">
        <v>10</v>
      </c>
      <c r="U179" s="157"/>
      <c r="V179" s="157">
        <v>1</v>
      </c>
      <c r="W179" s="157">
        <f t="shared" si="15"/>
        <v>11</v>
      </c>
      <c r="X179" s="158">
        <f>SUMIFS('Đơn giá'!C:C,'Đơn giá'!B:B,'XUẤT (2)'!O179)</f>
        <v>52000</v>
      </c>
      <c r="Y179" s="159">
        <f>X179*T179</f>
        <v>520000</v>
      </c>
      <c r="Z179" s="152"/>
      <c r="AA179" s="10" t="s">
        <v>41</v>
      </c>
      <c r="AB179" s="90">
        <f t="shared" si="19"/>
        <v>10</v>
      </c>
      <c r="AC179" s="91">
        <f t="shared" si="18"/>
        <v>50000</v>
      </c>
    </row>
    <row r="180" spans="1:30" s="160" customFormat="1" ht="72.599999999999994" customHeight="1" x14ac:dyDescent="0.3">
      <c r="A180" s="162">
        <v>14</v>
      </c>
      <c r="B180" s="152" t="s">
        <v>787</v>
      </c>
      <c r="C180" s="384" t="s">
        <v>809</v>
      </c>
      <c r="D180" s="162" t="s">
        <v>683</v>
      </c>
      <c r="E180" s="162" t="s">
        <v>543</v>
      </c>
      <c r="F180" s="162"/>
      <c r="G180" s="162">
        <v>11</v>
      </c>
      <c r="H180" s="162"/>
      <c r="I180" s="155">
        <f t="shared" si="26"/>
        <v>11</v>
      </c>
      <c r="J180" s="162"/>
      <c r="K180" s="162"/>
      <c r="L180" s="157"/>
      <c r="M180" s="85" t="s">
        <v>33</v>
      </c>
      <c r="N180" s="10" t="s">
        <v>37</v>
      </c>
      <c r="O180" s="157" t="s">
        <v>26</v>
      </c>
      <c r="P180" s="157">
        <v>10</v>
      </c>
      <c r="Q180" s="157"/>
      <c r="R180" s="157"/>
      <c r="S180" s="157"/>
      <c r="T180" s="157"/>
      <c r="U180" s="157"/>
      <c r="V180" s="157">
        <v>1</v>
      </c>
      <c r="W180" s="157">
        <f t="shared" si="15"/>
        <v>11</v>
      </c>
      <c r="X180" s="158">
        <f>SUMIFS('Đơn giá'!C:C,'Đơn giá'!B:B,'XUẤT (2)'!O180)</f>
        <v>98000</v>
      </c>
      <c r="Y180" s="159">
        <f>X180*P180</f>
        <v>980000</v>
      </c>
      <c r="Z180" s="152"/>
      <c r="AA180" s="10" t="s">
        <v>37</v>
      </c>
      <c r="AB180" s="157">
        <f t="shared" si="19"/>
        <v>10</v>
      </c>
      <c r="AC180" s="158">
        <f t="shared" si="18"/>
        <v>50000</v>
      </c>
    </row>
    <row r="181" spans="1:30" s="160" customFormat="1" ht="72.599999999999994" customHeight="1" x14ac:dyDescent="0.3">
      <c r="A181" s="162"/>
      <c r="B181" s="152" t="s">
        <v>787</v>
      </c>
      <c r="C181" s="323" t="s">
        <v>810</v>
      </c>
      <c r="D181" s="162" t="s">
        <v>683</v>
      </c>
      <c r="E181" s="162" t="s">
        <v>90</v>
      </c>
      <c r="F181" s="162"/>
      <c r="G181" s="162">
        <v>2</v>
      </c>
      <c r="H181" s="162"/>
      <c r="I181" s="155">
        <f t="shared" si="26"/>
        <v>2</v>
      </c>
      <c r="J181" s="162" t="s">
        <v>101</v>
      </c>
      <c r="K181" s="162"/>
      <c r="L181" s="157"/>
      <c r="M181" s="163" t="s">
        <v>46</v>
      </c>
      <c r="N181" s="157"/>
      <c r="O181" s="157" t="s">
        <v>26</v>
      </c>
      <c r="P181" s="157">
        <v>2</v>
      </c>
      <c r="Q181" s="157"/>
      <c r="R181" s="157"/>
      <c r="S181" s="157"/>
      <c r="T181" s="157"/>
      <c r="U181" s="157"/>
      <c r="V181" s="157"/>
      <c r="W181" s="157">
        <f t="shared" ref="V181:W208" si="35">SUM(P181:V181)</f>
        <v>2</v>
      </c>
      <c r="X181" s="158">
        <f>SUMIFS('Đơn giá'!C:C,'Đơn giá'!B:B,'XUẤT (2)'!O181)</f>
        <v>98000</v>
      </c>
      <c r="Y181" s="159">
        <f t="shared" ref="Y181:Y183" si="36">X181*P181</f>
        <v>196000</v>
      </c>
      <c r="Z181" s="152" t="s">
        <v>806</v>
      </c>
      <c r="AA181" s="10" t="s">
        <v>101</v>
      </c>
      <c r="AB181" s="157">
        <f t="shared" si="19"/>
        <v>2</v>
      </c>
      <c r="AC181" s="158">
        <f t="shared" si="18"/>
        <v>10000</v>
      </c>
    </row>
    <row r="182" spans="1:30" s="160" customFormat="1" ht="72.599999999999994" customHeight="1" x14ac:dyDescent="0.3">
      <c r="A182" s="162"/>
      <c r="B182" s="152" t="s">
        <v>787</v>
      </c>
      <c r="C182" s="324" t="s">
        <v>814</v>
      </c>
      <c r="D182" s="162" t="s">
        <v>683</v>
      </c>
      <c r="E182" s="162" t="s">
        <v>224</v>
      </c>
      <c r="F182" s="162"/>
      <c r="G182" s="162">
        <v>85</v>
      </c>
      <c r="H182" s="162"/>
      <c r="I182" s="155">
        <f t="shared" si="26"/>
        <v>85</v>
      </c>
      <c r="J182" s="162"/>
      <c r="K182" s="162"/>
      <c r="L182" s="157"/>
      <c r="M182" s="85" t="s">
        <v>33</v>
      </c>
      <c r="N182" s="222" t="s">
        <v>49</v>
      </c>
      <c r="O182" s="157" t="s">
        <v>26</v>
      </c>
      <c r="P182" s="157">
        <v>85</v>
      </c>
      <c r="Q182" s="157"/>
      <c r="R182" s="157"/>
      <c r="S182" s="157"/>
      <c r="T182" s="157"/>
      <c r="U182" s="157"/>
      <c r="V182" s="157"/>
      <c r="W182" s="157">
        <f t="shared" si="35"/>
        <v>85</v>
      </c>
      <c r="X182" s="158">
        <f>SUMIFS('Đơn giá'!C:C,'Đơn giá'!B:B,'XUẤT (2)'!O182)</f>
        <v>98000</v>
      </c>
      <c r="Y182" s="159">
        <f t="shared" si="36"/>
        <v>8330000</v>
      </c>
      <c r="Z182" s="152"/>
      <c r="AA182" s="222" t="s">
        <v>49</v>
      </c>
      <c r="AB182" s="157">
        <f t="shared" si="19"/>
        <v>85</v>
      </c>
      <c r="AC182" s="158">
        <f t="shared" ref="AC182:AC244" si="37">AB182*5000</f>
        <v>425000</v>
      </c>
    </row>
    <row r="183" spans="1:30" s="160" customFormat="1" ht="72.599999999999994" customHeight="1" x14ac:dyDescent="0.3">
      <c r="A183" s="162">
        <v>1</v>
      </c>
      <c r="B183" s="152" t="s">
        <v>811</v>
      </c>
      <c r="C183" s="324" t="s">
        <v>812</v>
      </c>
      <c r="D183" s="162" t="s">
        <v>683</v>
      </c>
      <c r="E183" s="162" t="s">
        <v>543</v>
      </c>
      <c r="F183" s="162"/>
      <c r="G183" s="162">
        <v>30</v>
      </c>
      <c r="H183" s="162"/>
      <c r="I183" s="155">
        <f t="shared" si="26"/>
        <v>30</v>
      </c>
      <c r="J183" s="162" t="s">
        <v>792</v>
      </c>
      <c r="K183" s="162"/>
      <c r="L183" s="157" t="s">
        <v>491</v>
      </c>
      <c r="M183" s="85" t="s">
        <v>33</v>
      </c>
      <c r="N183" s="10" t="s">
        <v>219</v>
      </c>
      <c r="O183" s="157" t="s">
        <v>26</v>
      </c>
      <c r="P183" s="157">
        <v>30</v>
      </c>
      <c r="Q183" s="157"/>
      <c r="R183" s="157"/>
      <c r="S183" s="157"/>
      <c r="T183" s="157"/>
      <c r="U183" s="157"/>
      <c r="V183" s="157"/>
      <c r="W183" s="157">
        <f t="shared" si="35"/>
        <v>30</v>
      </c>
      <c r="X183" s="158">
        <f>SUMIFS('Đơn giá'!C:C,'Đơn giá'!B:B,'XUẤT (2)'!O183)</f>
        <v>98000</v>
      </c>
      <c r="Y183" s="159">
        <f t="shared" si="36"/>
        <v>2940000</v>
      </c>
      <c r="Z183" s="152"/>
      <c r="AA183" s="218" t="s">
        <v>792</v>
      </c>
      <c r="AB183" s="157">
        <f t="shared" si="19"/>
        <v>30</v>
      </c>
      <c r="AC183" s="158">
        <f t="shared" si="37"/>
        <v>150000</v>
      </c>
    </row>
    <row r="184" spans="1:30" s="160" customFormat="1" ht="94.2" hidden="1" customHeight="1" x14ac:dyDescent="0.3">
      <c r="A184" s="162">
        <v>2</v>
      </c>
      <c r="B184" s="152" t="s">
        <v>811</v>
      </c>
      <c r="C184" s="317" t="s">
        <v>807</v>
      </c>
      <c r="D184" s="162" t="s">
        <v>683</v>
      </c>
      <c r="E184" s="162" t="s">
        <v>224</v>
      </c>
      <c r="F184" s="162"/>
      <c r="G184" s="162"/>
      <c r="H184" s="162"/>
      <c r="I184" s="155">
        <f t="shared" si="26"/>
        <v>0</v>
      </c>
      <c r="J184" s="36" t="s">
        <v>37</v>
      </c>
      <c r="K184" s="162"/>
      <c r="L184" s="157"/>
      <c r="M184" s="163" t="s">
        <v>72</v>
      </c>
      <c r="N184" s="157"/>
      <c r="O184" s="157" t="s">
        <v>29</v>
      </c>
      <c r="P184" s="157"/>
      <c r="Q184" s="157"/>
      <c r="R184" s="157"/>
      <c r="S184" s="157"/>
      <c r="T184" s="157"/>
      <c r="U184" s="157"/>
      <c r="V184" s="157"/>
      <c r="W184" s="157"/>
      <c r="X184" s="158">
        <f>SUMIFS('Đơn giá'!C:C,'Đơn giá'!B:B,'XUẤT (2)'!O184)</f>
        <v>85000</v>
      </c>
      <c r="Y184" s="159">
        <f>X184*Q184</f>
        <v>0</v>
      </c>
      <c r="Z184" s="152"/>
      <c r="AA184" s="10" t="s">
        <v>37</v>
      </c>
      <c r="AB184" s="157">
        <f t="shared" si="19"/>
        <v>0</v>
      </c>
      <c r="AC184" s="158">
        <f t="shared" si="37"/>
        <v>0</v>
      </c>
    </row>
    <row r="185" spans="1:30" s="160" customFormat="1" ht="110.4" customHeight="1" x14ac:dyDescent="0.3">
      <c r="A185" s="162">
        <v>3</v>
      </c>
      <c r="B185" s="152" t="s">
        <v>811</v>
      </c>
      <c r="C185" s="317" t="s">
        <v>815</v>
      </c>
      <c r="D185" s="162" t="s">
        <v>683</v>
      </c>
      <c r="E185" s="162" t="s">
        <v>543</v>
      </c>
      <c r="F185" s="162"/>
      <c r="G185" s="162">
        <v>11</v>
      </c>
      <c r="H185" s="162"/>
      <c r="I185" s="155">
        <f t="shared" si="26"/>
        <v>11</v>
      </c>
      <c r="J185" s="162" t="s">
        <v>792</v>
      </c>
      <c r="K185" s="162"/>
      <c r="L185" s="157" t="s">
        <v>491</v>
      </c>
      <c r="M185" s="163" t="s">
        <v>46</v>
      </c>
      <c r="N185" s="7" t="s">
        <v>816</v>
      </c>
      <c r="O185" s="157" t="s">
        <v>26</v>
      </c>
      <c r="P185" s="157">
        <v>10</v>
      </c>
      <c r="Q185" s="157"/>
      <c r="R185" s="157"/>
      <c r="S185" s="157"/>
      <c r="T185" s="157"/>
      <c r="U185" s="157"/>
      <c r="V185" s="157">
        <v>1</v>
      </c>
      <c r="W185" s="157">
        <f t="shared" si="35"/>
        <v>11</v>
      </c>
      <c r="X185" s="158">
        <f>SUMIFS('Đơn giá'!C:C,'Đơn giá'!B:B,'XUẤT (2)'!O185)</f>
        <v>98000</v>
      </c>
      <c r="Y185" s="159">
        <f t="shared" ref="Y185:Y187" si="38">X185*P185</f>
        <v>980000</v>
      </c>
      <c r="Z185" s="152" t="s">
        <v>825</v>
      </c>
      <c r="AA185" s="218" t="s">
        <v>792</v>
      </c>
      <c r="AB185" s="157">
        <f>W185-V185</f>
        <v>10</v>
      </c>
      <c r="AC185" s="158">
        <f t="shared" si="37"/>
        <v>50000</v>
      </c>
    </row>
    <row r="186" spans="1:30" s="160" customFormat="1" ht="110.4" customHeight="1" x14ac:dyDescent="0.3">
      <c r="A186" s="162">
        <v>4</v>
      </c>
      <c r="B186" s="152" t="s">
        <v>811</v>
      </c>
      <c r="C186" s="317" t="s">
        <v>818</v>
      </c>
      <c r="D186" s="162" t="s">
        <v>683</v>
      </c>
      <c r="E186" s="162" t="s">
        <v>543</v>
      </c>
      <c r="F186" s="162"/>
      <c r="G186" s="162">
        <v>11</v>
      </c>
      <c r="H186" s="162"/>
      <c r="I186" s="155">
        <f t="shared" si="26"/>
        <v>11</v>
      </c>
      <c r="J186" s="162" t="s">
        <v>792</v>
      </c>
      <c r="K186" s="162"/>
      <c r="L186" s="157"/>
      <c r="M186" s="163" t="s">
        <v>46</v>
      </c>
      <c r="N186" s="218" t="s">
        <v>817</v>
      </c>
      <c r="O186" s="157" t="s">
        <v>26</v>
      </c>
      <c r="P186" s="157">
        <v>10</v>
      </c>
      <c r="Q186" s="157"/>
      <c r="R186" s="157"/>
      <c r="S186" s="157"/>
      <c r="T186" s="157"/>
      <c r="U186" s="157"/>
      <c r="V186" s="157">
        <v>1</v>
      </c>
      <c r="W186" s="157">
        <f t="shared" si="35"/>
        <v>11</v>
      </c>
      <c r="X186" s="158">
        <f>SUMIFS('Đơn giá'!C:C,'Đơn giá'!B:B,'XUẤT (2)'!O186)</f>
        <v>98000</v>
      </c>
      <c r="Y186" s="159">
        <f t="shared" si="38"/>
        <v>980000</v>
      </c>
      <c r="Z186" s="152" t="s">
        <v>825</v>
      </c>
      <c r="AA186" s="218" t="s">
        <v>792</v>
      </c>
      <c r="AB186" s="157">
        <f>W186-V186</f>
        <v>10</v>
      </c>
      <c r="AC186" s="158">
        <f t="shared" si="37"/>
        <v>50000</v>
      </c>
    </row>
    <row r="187" spans="1:30" s="160" customFormat="1" ht="110.4" customHeight="1" x14ac:dyDescent="0.3">
      <c r="A187" s="162">
        <v>5</v>
      </c>
      <c r="B187" s="152" t="s">
        <v>811</v>
      </c>
      <c r="C187" s="324" t="s">
        <v>819</v>
      </c>
      <c r="D187" s="162" t="s">
        <v>683</v>
      </c>
      <c r="E187" s="162" t="s">
        <v>72</v>
      </c>
      <c r="F187" s="162"/>
      <c r="G187" s="162">
        <v>22</v>
      </c>
      <c r="H187" s="162"/>
      <c r="I187" s="155">
        <f t="shared" si="26"/>
        <v>22</v>
      </c>
      <c r="J187" s="162" t="s">
        <v>72</v>
      </c>
      <c r="K187" s="162"/>
      <c r="L187" s="157"/>
      <c r="M187" s="85" t="s">
        <v>33</v>
      </c>
      <c r="N187" s="7" t="s">
        <v>132</v>
      </c>
      <c r="O187" s="157" t="s">
        <v>26</v>
      </c>
      <c r="P187" s="157">
        <v>20</v>
      </c>
      <c r="Q187" s="157"/>
      <c r="R187" s="157"/>
      <c r="S187" s="157"/>
      <c r="T187" s="157"/>
      <c r="U187" s="157"/>
      <c r="V187" s="157">
        <v>2</v>
      </c>
      <c r="W187" s="157">
        <f t="shared" si="35"/>
        <v>22</v>
      </c>
      <c r="X187" s="158">
        <f>SUMIFS('Đơn giá'!C:C,'Đơn giá'!B:B,'XUẤT (2)'!O187)</f>
        <v>98000</v>
      </c>
      <c r="Y187" s="159">
        <f t="shared" si="38"/>
        <v>1960000</v>
      </c>
      <c r="Z187" s="152"/>
      <c r="AA187" s="218" t="s">
        <v>715</v>
      </c>
      <c r="AB187" s="157">
        <f>W187-V187</f>
        <v>20</v>
      </c>
      <c r="AC187" s="158">
        <f t="shared" si="37"/>
        <v>100000</v>
      </c>
    </row>
    <row r="188" spans="1:30" s="160" customFormat="1" ht="63" hidden="1" customHeight="1" x14ac:dyDescent="0.3">
      <c r="A188" s="162">
        <v>6</v>
      </c>
      <c r="B188" s="152" t="s">
        <v>811</v>
      </c>
      <c r="C188" s="317" t="s">
        <v>821</v>
      </c>
      <c r="D188" s="162" t="s">
        <v>683</v>
      </c>
      <c r="E188" s="162" t="s">
        <v>543</v>
      </c>
      <c r="F188" s="162"/>
      <c r="G188" s="162">
        <v>11</v>
      </c>
      <c r="H188" s="162"/>
      <c r="I188" s="155">
        <f t="shared" si="26"/>
        <v>11</v>
      </c>
      <c r="J188" s="162" t="s">
        <v>792</v>
      </c>
      <c r="K188" s="162"/>
      <c r="L188" s="157"/>
      <c r="M188" s="163" t="s">
        <v>822</v>
      </c>
      <c r="N188" s="207" t="s">
        <v>823</v>
      </c>
      <c r="O188" s="157" t="s">
        <v>29</v>
      </c>
      <c r="P188" s="157"/>
      <c r="Q188" s="157">
        <v>10</v>
      </c>
      <c r="R188" s="157"/>
      <c r="S188" s="157"/>
      <c r="T188" s="157"/>
      <c r="U188" s="157"/>
      <c r="V188" s="157">
        <v>1</v>
      </c>
      <c r="W188" s="157">
        <f t="shared" si="35"/>
        <v>11</v>
      </c>
      <c r="X188" s="158">
        <f>SUMIFS('Đơn giá'!C:C,'Đơn giá'!B:B,'XUẤT (2)'!O188)</f>
        <v>85000</v>
      </c>
      <c r="Y188" s="159">
        <f>X188*Q188</f>
        <v>850000</v>
      </c>
      <c r="Z188" s="152"/>
      <c r="AA188" s="218" t="s">
        <v>792</v>
      </c>
      <c r="AB188" s="157">
        <f t="shared" ref="AB188:AB246" si="39">W188-V188</f>
        <v>10</v>
      </c>
      <c r="AC188" s="158">
        <f t="shared" si="37"/>
        <v>50000</v>
      </c>
    </row>
    <row r="189" spans="1:30" s="160" customFormat="1" ht="262.2" customHeight="1" x14ac:dyDescent="0.3">
      <c r="A189" s="400">
        <v>7</v>
      </c>
      <c r="B189" s="152" t="s">
        <v>811</v>
      </c>
      <c r="C189" s="402" t="s">
        <v>828</v>
      </c>
      <c r="D189" s="162" t="s">
        <v>683</v>
      </c>
      <c r="E189" s="162" t="s">
        <v>224</v>
      </c>
      <c r="F189" s="162"/>
      <c r="G189" s="162">
        <v>22</v>
      </c>
      <c r="H189" s="162">
        <v>5</v>
      </c>
      <c r="I189" s="155">
        <f t="shared" si="26"/>
        <v>27</v>
      </c>
      <c r="J189" s="162" t="s">
        <v>792</v>
      </c>
      <c r="K189" s="162"/>
      <c r="L189" s="157"/>
      <c r="M189" s="163" t="s">
        <v>46</v>
      </c>
      <c r="N189" s="7" t="s">
        <v>829</v>
      </c>
      <c r="O189" s="157" t="s">
        <v>26</v>
      </c>
      <c r="P189" s="157">
        <v>20</v>
      </c>
      <c r="Q189" s="157"/>
      <c r="R189" s="157"/>
      <c r="S189" s="157"/>
      <c r="T189" s="157"/>
      <c r="U189" s="157"/>
      <c r="V189" s="157">
        <v>2</v>
      </c>
      <c r="W189" s="157">
        <f t="shared" si="35"/>
        <v>22</v>
      </c>
      <c r="X189" s="158">
        <f>SUMIFS('Đơn giá'!C:C,'Đơn giá'!B:B,'XUẤT (2)'!O189)</f>
        <v>98000</v>
      </c>
      <c r="Y189" s="159">
        <f t="shared" ref="Y189" si="40">X189*P189</f>
        <v>1960000</v>
      </c>
      <c r="Z189" s="152" t="s">
        <v>832</v>
      </c>
      <c r="AA189" s="218" t="s">
        <v>792</v>
      </c>
      <c r="AB189" s="157">
        <f t="shared" si="39"/>
        <v>20</v>
      </c>
      <c r="AC189" s="158">
        <f t="shared" si="37"/>
        <v>100000</v>
      </c>
    </row>
    <row r="190" spans="1:30" s="160" customFormat="1" ht="36.6" customHeight="1" x14ac:dyDescent="0.3">
      <c r="A190" s="401"/>
      <c r="B190" s="152" t="s">
        <v>811</v>
      </c>
      <c r="C190" s="403"/>
      <c r="D190" s="162" t="s">
        <v>683</v>
      </c>
      <c r="E190" s="162"/>
      <c r="F190" s="162"/>
      <c r="G190" s="162"/>
      <c r="H190" s="162">
        <v>5</v>
      </c>
      <c r="I190" s="155">
        <f t="shared" si="26"/>
        <v>5</v>
      </c>
      <c r="J190" s="162" t="s">
        <v>792</v>
      </c>
      <c r="K190" s="162"/>
      <c r="L190" s="157"/>
      <c r="M190" s="163" t="s">
        <v>46</v>
      </c>
      <c r="N190" s="7" t="s">
        <v>829</v>
      </c>
      <c r="O190" s="157" t="s">
        <v>39</v>
      </c>
      <c r="P190" s="157"/>
      <c r="Q190" s="157"/>
      <c r="R190" s="157"/>
      <c r="S190" s="157"/>
      <c r="T190" s="157">
        <v>5</v>
      </c>
      <c r="U190" s="157"/>
      <c r="V190" s="157"/>
      <c r="W190" s="157">
        <f t="shared" si="35"/>
        <v>5</v>
      </c>
      <c r="X190" s="158">
        <f>SUMIFS('Đơn giá'!C:C,'Đơn giá'!B:B,'XUẤT (2)'!O190)</f>
        <v>52000</v>
      </c>
      <c r="Y190" s="159">
        <f>X190*T190</f>
        <v>260000</v>
      </c>
      <c r="Z190" s="152" t="s">
        <v>832</v>
      </c>
      <c r="AA190" s="218" t="s">
        <v>792</v>
      </c>
      <c r="AB190" s="157">
        <f t="shared" si="39"/>
        <v>5</v>
      </c>
      <c r="AC190" s="158">
        <f t="shared" si="37"/>
        <v>25000</v>
      </c>
    </row>
    <row r="191" spans="1:30" s="160" customFormat="1" ht="111.6" customHeight="1" x14ac:dyDescent="0.3">
      <c r="A191" s="320">
        <v>8</v>
      </c>
      <c r="B191" s="152" t="s">
        <v>811</v>
      </c>
      <c r="C191" s="331" t="s">
        <v>942</v>
      </c>
      <c r="D191" s="162" t="s">
        <v>683</v>
      </c>
      <c r="E191" s="162" t="s">
        <v>224</v>
      </c>
      <c r="F191" s="162"/>
      <c r="G191" s="162"/>
      <c r="H191" s="162">
        <v>11</v>
      </c>
      <c r="I191" s="155">
        <f t="shared" si="26"/>
        <v>11</v>
      </c>
      <c r="J191" s="162" t="s">
        <v>830</v>
      </c>
      <c r="K191" s="162"/>
      <c r="L191" s="157"/>
      <c r="M191" s="85" t="s">
        <v>33</v>
      </c>
      <c r="N191" s="211" t="s">
        <v>59</v>
      </c>
      <c r="O191" s="157" t="s">
        <v>39</v>
      </c>
      <c r="P191" s="157"/>
      <c r="Q191" s="157"/>
      <c r="R191" s="157"/>
      <c r="S191" s="157"/>
      <c r="T191" s="157">
        <v>10</v>
      </c>
      <c r="U191" s="157"/>
      <c r="V191" s="157">
        <v>1</v>
      </c>
      <c r="W191" s="157">
        <f t="shared" si="35"/>
        <v>11</v>
      </c>
      <c r="X191" s="158">
        <f>SUMIFS('Đơn giá'!C:C,'Đơn giá'!B:B,'XUẤT (2)'!O191)</f>
        <v>52000</v>
      </c>
      <c r="Y191" s="159">
        <f>X191*T191</f>
        <v>520000</v>
      </c>
      <c r="Z191" s="162" t="s">
        <v>945</v>
      </c>
      <c r="AA191" s="218" t="s">
        <v>830</v>
      </c>
      <c r="AB191" s="90">
        <f t="shared" si="39"/>
        <v>10</v>
      </c>
      <c r="AC191" s="91">
        <f t="shared" si="37"/>
        <v>50000</v>
      </c>
    </row>
    <row r="192" spans="1:30" s="160" customFormat="1" ht="210.6" customHeight="1" x14ac:dyDescent="0.3">
      <c r="A192" s="320">
        <v>9</v>
      </c>
      <c r="B192" s="152" t="s">
        <v>811</v>
      </c>
      <c r="C192" s="331" t="s">
        <v>833</v>
      </c>
      <c r="D192" s="162" t="s">
        <v>683</v>
      </c>
      <c r="E192" s="162" t="s">
        <v>543</v>
      </c>
      <c r="F192" s="162"/>
      <c r="G192" s="162"/>
      <c r="H192" s="162">
        <v>5</v>
      </c>
      <c r="I192" s="155">
        <f t="shared" si="26"/>
        <v>5</v>
      </c>
      <c r="J192" s="162" t="s">
        <v>834</v>
      </c>
      <c r="K192" s="162"/>
      <c r="L192" s="157"/>
      <c r="M192" s="85" t="s">
        <v>33</v>
      </c>
      <c r="N192" s="211" t="s">
        <v>982</v>
      </c>
      <c r="O192" s="157" t="s">
        <v>39</v>
      </c>
      <c r="P192" s="157"/>
      <c r="Q192" s="157"/>
      <c r="R192" s="157"/>
      <c r="S192" s="157"/>
      <c r="T192" s="157">
        <v>5</v>
      </c>
      <c r="U192" s="157"/>
      <c r="V192" s="157"/>
      <c r="W192" s="157">
        <f t="shared" si="35"/>
        <v>5</v>
      </c>
      <c r="X192" s="158">
        <f>SUMIFS('Đơn giá'!C:C,'Đơn giá'!B:B,'XUẤT (2)'!O192)</f>
        <v>52000</v>
      </c>
      <c r="Y192" s="159">
        <f t="shared" ref="Y192:Y193" si="41">X192*T192</f>
        <v>260000</v>
      </c>
      <c r="Z192" s="152" t="s">
        <v>847</v>
      </c>
      <c r="AA192" s="218" t="s">
        <v>835</v>
      </c>
      <c r="AB192" s="90">
        <f t="shared" si="39"/>
        <v>5</v>
      </c>
      <c r="AC192" s="91">
        <f t="shared" si="37"/>
        <v>25000</v>
      </c>
    </row>
    <row r="193" spans="1:31" s="160" customFormat="1" ht="48.6" hidden="1" customHeight="1" x14ac:dyDescent="0.3">
      <c r="A193" s="320"/>
      <c r="B193" s="152" t="s">
        <v>811</v>
      </c>
      <c r="C193" s="326" t="s">
        <v>844</v>
      </c>
      <c r="D193" s="162"/>
      <c r="E193" s="162" t="s">
        <v>543</v>
      </c>
      <c r="F193" s="162"/>
      <c r="G193" s="162">
        <v>3</v>
      </c>
      <c r="H193" s="162"/>
      <c r="I193" s="155">
        <f t="shared" si="26"/>
        <v>3</v>
      </c>
      <c r="J193" s="10" t="s">
        <v>219</v>
      </c>
      <c r="K193" s="162"/>
      <c r="L193" s="157"/>
      <c r="M193" s="10" t="s">
        <v>219</v>
      </c>
      <c r="N193" s="218"/>
      <c r="O193" s="157" t="s">
        <v>26</v>
      </c>
      <c r="P193" s="157"/>
      <c r="Q193" s="157"/>
      <c r="R193" s="157"/>
      <c r="S193" s="157"/>
      <c r="T193" s="157"/>
      <c r="U193" s="157"/>
      <c r="V193" s="157">
        <v>3</v>
      </c>
      <c r="W193" s="157">
        <f t="shared" si="35"/>
        <v>3</v>
      </c>
      <c r="X193" s="158">
        <f>SUMIFS('Đơn giá'!C:C,'Đơn giá'!B:B,'XUẤT (2)'!O193)</f>
        <v>98000</v>
      </c>
      <c r="Y193" s="159">
        <f t="shared" si="41"/>
        <v>0</v>
      </c>
      <c r="Z193" s="152"/>
      <c r="AA193" s="10" t="s">
        <v>219</v>
      </c>
      <c r="AB193" s="157">
        <f t="shared" si="39"/>
        <v>0</v>
      </c>
      <c r="AC193" s="158">
        <f t="shared" si="37"/>
        <v>0</v>
      </c>
    </row>
    <row r="194" spans="1:31" s="160" customFormat="1" ht="59.4" customHeight="1" x14ac:dyDescent="0.3">
      <c r="A194" s="320">
        <v>10</v>
      </c>
      <c r="B194" s="152" t="s">
        <v>811</v>
      </c>
      <c r="C194" s="326" t="s">
        <v>838</v>
      </c>
      <c r="D194" s="162" t="s">
        <v>683</v>
      </c>
      <c r="E194" s="162" t="s">
        <v>90</v>
      </c>
      <c r="F194" s="162"/>
      <c r="G194" s="162">
        <v>1</v>
      </c>
      <c r="H194" s="162"/>
      <c r="I194" s="155">
        <f t="shared" si="26"/>
        <v>1</v>
      </c>
      <c r="J194" s="10" t="s">
        <v>140</v>
      </c>
      <c r="K194" s="162"/>
      <c r="L194" s="157"/>
      <c r="M194" s="85" t="s">
        <v>33</v>
      </c>
      <c r="N194" s="10" t="s">
        <v>140</v>
      </c>
      <c r="O194" s="157" t="s">
        <v>26</v>
      </c>
      <c r="P194" s="157">
        <v>1</v>
      </c>
      <c r="Q194" s="157"/>
      <c r="R194" s="157"/>
      <c r="S194" s="157"/>
      <c r="T194" s="157"/>
      <c r="U194" s="157"/>
      <c r="V194" s="157"/>
      <c r="W194" s="157">
        <f t="shared" si="35"/>
        <v>1</v>
      </c>
      <c r="X194" s="158">
        <f>SUMIFS('Đơn giá'!C:C,'Đơn giá'!B:B,'XUẤT (2)'!O194)</f>
        <v>98000</v>
      </c>
      <c r="Y194" s="159">
        <f>X194*P194</f>
        <v>98000</v>
      </c>
      <c r="Z194" s="152"/>
      <c r="AA194" s="10" t="s">
        <v>140</v>
      </c>
      <c r="AB194" s="157">
        <f t="shared" si="39"/>
        <v>1</v>
      </c>
      <c r="AC194" s="158">
        <f t="shared" si="37"/>
        <v>5000</v>
      </c>
    </row>
    <row r="195" spans="1:31" s="160" customFormat="1" ht="65.400000000000006" customHeight="1" x14ac:dyDescent="0.3">
      <c r="A195" s="320"/>
      <c r="B195" s="152" t="s">
        <v>811</v>
      </c>
      <c r="C195" s="326" t="s">
        <v>839</v>
      </c>
      <c r="D195" s="162" t="s">
        <v>683</v>
      </c>
      <c r="E195" s="162" t="s">
        <v>90</v>
      </c>
      <c r="F195" s="162"/>
      <c r="G195" s="162">
        <v>1</v>
      </c>
      <c r="H195" s="162"/>
      <c r="I195" s="155">
        <f t="shared" si="26"/>
        <v>1</v>
      </c>
      <c r="J195" s="10" t="s">
        <v>118</v>
      </c>
      <c r="K195" s="162"/>
      <c r="L195" s="157"/>
      <c r="M195" s="85" t="s">
        <v>33</v>
      </c>
      <c r="N195" s="10" t="s">
        <v>118</v>
      </c>
      <c r="O195" s="157" t="s">
        <v>26</v>
      </c>
      <c r="P195" s="157">
        <v>1</v>
      </c>
      <c r="Q195" s="157"/>
      <c r="R195" s="157"/>
      <c r="S195" s="157"/>
      <c r="T195" s="157"/>
      <c r="U195" s="157"/>
      <c r="V195" s="157"/>
      <c r="W195" s="157">
        <f t="shared" si="35"/>
        <v>1</v>
      </c>
      <c r="X195" s="158">
        <f>SUMIFS('Đơn giá'!C:C,'Đơn giá'!B:B,'XUẤT (2)'!O195)</f>
        <v>98000</v>
      </c>
      <c r="Y195" s="159">
        <f>X195*P195</f>
        <v>98000</v>
      </c>
      <c r="Z195" s="152"/>
      <c r="AA195" s="10" t="s">
        <v>118</v>
      </c>
      <c r="AB195" s="157">
        <f t="shared" si="39"/>
        <v>1</v>
      </c>
      <c r="AC195" s="158">
        <f t="shared" si="37"/>
        <v>5000</v>
      </c>
    </row>
    <row r="196" spans="1:31" s="160" customFormat="1" ht="36.6" customHeight="1" x14ac:dyDescent="0.3">
      <c r="A196" s="320"/>
      <c r="B196" s="152" t="s">
        <v>811</v>
      </c>
      <c r="C196" s="326" t="s">
        <v>840</v>
      </c>
      <c r="D196" s="162" t="s">
        <v>683</v>
      </c>
      <c r="E196" s="162" t="s">
        <v>90</v>
      </c>
      <c r="F196" s="162"/>
      <c r="G196" s="162">
        <v>2</v>
      </c>
      <c r="H196" s="162"/>
      <c r="I196" s="155">
        <f t="shared" si="26"/>
        <v>2</v>
      </c>
      <c r="J196" s="10" t="s">
        <v>132</v>
      </c>
      <c r="K196" s="162"/>
      <c r="L196" s="157"/>
      <c r="M196" s="85" t="s">
        <v>33</v>
      </c>
      <c r="N196" s="10" t="s">
        <v>132</v>
      </c>
      <c r="O196" s="157" t="s">
        <v>26</v>
      </c>
      <c r="P196" s="157">
        <v>2</v>
      </c>
      <c r="Q196" s="157"/>
      <c r="R196" s="157"/>
      <c r="S196" s="157"/>
      <c r="T196" s="157"/>
      <c r="U196" s="157"/>
      <c r="V196" s="157"/>
      <c r="W196" s="157">
        <f t="shared" si="35"/>
        <v>2</v>
      </c>
      <c r="X196" s="158">
        <f>SUMIFS('Đơn giá'!C:C,'Đơn giá'!B:B,'XUẤT (2)'!O196)</f>
        <v>98000</v>
      </c>
      <c r="Y196" s="159">
        <f t="shared" ref="Y196:Y197" si="42">X196*P196</f>
        <v>196000</v>
      </c>
      <c r="Z196" s="152"/>
      <c r="AA196" s="10" t="s">
        <v>132</v>
      </c>
      <c r="AB196" s="157">
        <f t="shared" si="39"/>
        <v>2</v>
      </c>
      <c r="AC196" s="158">
        <f t="shared" si="37"/>
        <v>10000</v>
      </c>
    </row>
    <row r="197" spans="1:31" s="160" customFormat="1" ht="36.6" customHeight="1" x14ac:dyDescent="0.3">
      <c r="A197" s="320"/>
      <c r="B197" s="152" t="s">
        <v>811</v>
      </c>
      <c r="C197" s="317" t="s">
        <v>841</v>
      </c>
      <c r="D197" s="162" t="s">
        <v>683</v>
      </c>
      <c r="E197" s="162" t="s">
        <v>90</v>
      </c>
      <c r="F197" s="162"/>
      <c r="G197" s="162">
        <v>6</v>
      </c>
      <c r="H197" s="162"/>
      <c r="I197" s="155">
        <f t="shared" si="26"/>
        <v>6</v>
      </c>
      <c r="J197" s="10" t="s">
        <v>34</v>
      </c>
      <c r="K197" s="162"/>
      <c r="L197" s="157"/>
      <c r="M197" s="85" t="s">
        <v>33</v>
      </c>
      <c r="N197" s="10" t="s">
        <v>34</v>
      </c>
      <c r="O197" s="157" t="s">
        <v>26</v>
      </c>
      <c r="P197" s="157">
        <v>6</v>
      </c>
      <c r="Q197" s="157"/>
      <c r="R197" s="157"/>
      <c r="S197" s="157"/>
      <c r="T197" s="157"/>
      <c r="U197" s="157"/>
      <c r="V197" s="157"/>
      <c r="W197" s="157">
        <f t="shared" si="35"/>
        <v>6</v>
      </c>
      <c r="X197" s="158">
        <f>SUMIFS('Đơn giá'!C:C,'Đơn giá'!B:B,'XUẤT (2)'!O197)</f>
        <v>98000</v>
      </c>
      <c r="Y197" s="159">
        <f t="shared" si="42"/>
        <v>588000</v>
      </c>
      <c r="Z197" s="152"/>
      <c r="AA197" s="10" t="s">
        <v>34</v>
      </c>
      <c r="AB197" s="157">
        <f t="shared" si="39"/>
        <v>6</v>
      </c>
      <c r="AC197" s="158">
        <f t="shared" si="37"/>
        <v>30000</v>
      </c>
    </row>
    <row r="198" spans="1:31" s="160" customFormat="1" ht="36.6" customHeight="1" x14ac:dyDescent="0.3">
      <c r="A198" s="320"/>
      <c r="B198" s="152" t="s">
        <v>811</v>
      </c>
      <c r="C198" s="331" t="s">
        <v>842</v>
      </c>
      <c r="D198" s="162" t="s">
        <v>683</v>
      </c>
      <c r="E198" s="162" t="s">
        <v>543</v>
      </c>
      <c r="F198" s="162"/>
      <c r="G198" s="162"/>
      <c r="H198" s="162">
        <v>16</v>
      </c>
      <c r="I198" s="155">
        <f t="shared" si="26"/>
        <v>16</v>
      </c>
      <c r="J198" s="218" t="s">
        <v>843</v>
      </c>
      <c r="K198" s="162"/>
      <c r="L198" s="157" t="s">
        <v>491</v>
      </c>
      <c r="M198" s="85" t="s">
        <v>33</v>
      </c>
      <c r="N198" s="10" t="s">
        <v>98</v>
      </c>
      <c r="O198" s="157" t="s">
        <v>39</v>
      </c>
      <c r="P198" s="157"/>
      <c r="Q198" s="157"/>
      <c r="R198" s="157"/>
      <c r="S198" s="157"/>
      <c r="T198" s="157">
        <v>15</v>
      </c>
      <c r="U198" s="157"/>
      <c r="V198" s="157">
        <v>1</v>
      </c>
      <c r="W198" s="157">
        <f t="shared" si="35"/>
        <v>16</v>
      </c>
      <c r="X198" s="158">
        <f>SUMIFS('Đơn giá'!C:C,'Đơn giá'!B:B,'XUẤT (2)'!O198)</f>
        <v>52000</v>
      </c>
      <c r="Y198" s="159">
        <f>X198*T198</f>
        <v>780000</v>
      </c>
      <c r="Z198" s="152"/>
      <c r="AA198" s="10" t="s">
        <v>98</v>
      </c>
      <c r="AB198" s="90">
        <f t="shared" si="39"/>
        <v>15</v>
      </c>
      <c r="AC198" s="91">
        <f t="shared" si="37"/>
        <v>75000</v>
      </c>
    </row>
    <row r="199" spans="1:31" s="160" customFormat="1" ht="36.6" customHeight="1" x14ac:dyDescent="0.3">
      <c r="A199" s="320"/>
      <c r="B199" s="152" t="s">
        <v>811</v>
      </c>
      <c r="C199" s="326" t="s">
        <v>845</v>
      </c>
      <c r="D199" s="162" t="s">
        <v>683</v>
      </c>
      <c r="E199" s="162" t="s">
        <v>543</v>
      </c>
      <c r="F199" s="162"/>
      <c r="G199" s="162"/>
      <c r="H199" s="162">
        <v>1</v>
      </c>
      <c r="I199" s="155">
        <f t="shared" si="26"/>
        <v>1</v>
      </c>
      <c r="J199" s="10" t="s">
        <v>211</v>
      </c>
      <c r="K199" s="162"/>
      <c r="L199" s="157"/>
      <c r="M199" s="85" t="s">
        <v>33</v>
      </c>
      <c r="N199" s="10" t="s">
        <v>211</v>
      </c>
      <c r="O199" s="157" t="s">
        <v>39</v>
      </c>
      <c r="P199" s="157"/>
      <c r="Q199" s="157"/>
      <c r="R199" s="157"/>
      <c r="S199" s="157"/>
      <c r="T199" s="157">
        <v>1</v>
      </c>
      <c r="U199" s="157"/>
      <c r="V199" s="157"/>
      <c r="W199" s="157">
        <f t="shared" si="35"/>
        <v>1</v>
      </c>
      <c r="X199" s="158">
        <f>SUMIFS('Đơn giá'!C:C,'Đơn giá'!B:B,'XUẤT (2)'!O199)</f>
        <v>52000</v>
      </c>
      <c r="Y199" s="159">
        <f>X199*T199</f>
        <v>52000</v>
      </c>
      <c r="Z199" s="152"/>
      <c r="AA199" s="10" t="s">
        <v>211</v>
      </c>
      <c r="AB199" s="90">
        <f t="shared" si="39"/>
        <v>1</v>
      </c>
      <c r="AC199" s="91">
        <f t="shared" si="37"/>
        <v>5000</v>
      </c>
    </row>
    <row r="200" spans="1:31" s="160" customFormat="1" ht="36.6" customHeight="1" x14ac:dyDescent="0.3">
      <c r="A200" s="320"/>
      <c r="B200" s="152" t="s">
        <v>811</v>
      </c>
      <c r="C200" s="331" t="s">
        <v>849</v>
      </c>
      <c r="D200" s="162" t="s">
        <v>683</v>
      </c>
      <c r="E200" s="162" t="s">
        <v>224</v>
      </c>
      <c r="F200" s="162"/>
      <c r="G200" s="162">
        <v>2</v>
      </c>
      <c r="H200" s="162"/>
      <c r="I200" s="155">
        <f t="shared" si="26"/>
        <v>2</v>
      </c>
      <c r="J200" s="10" t="s">
        <v>62</v>
      </c>
      <c r="K200" s="162"/>
      <c r="L200" s="157"/>
      <c r="M200" s="85" t="s">
        <v>33</v>
      </c>
      <c r="N200" s="10" t="s">
        <v>62</v>
      </c>
      <c r="O200" s="157" t="s">
        <v>26</v>
      </c>
      <c r="P200" s="157"/>
      <c r="Q200" s="157"/>
      <c r="R200" s="157"/>
      <c r="S200" s="157"/>
      <c r="T200" s="157"/>
      <c r="U200" s="157"/>
      <c r="V200" s="157">
        <v>2</v>
      </c>
      <c r="W200" s="157">
        <f t="shared" si="35"/>
        <v>2</v>
      </c>
      <c r="X200" s="158">
        <f>SUMIFS('Đơn giá'!C:C,'Đơn giá'!B:B,'XUẤT (2)'!O200)</f>
        <v>98000</v>
      </c>
      <c r="Y200" s="159">
        <f>X200*P200</f>
        <v>0</v>
      </c>
      <c r="Z200" s="152"/>
      <c r="AA200" s="10" t="s">
        <v>62</v>
      </c>
      <c r="AB200" s="157">
        <f t="shared" si="39"/>
        <v>0</v>
      </c>
      <c r="AC200" s="158">
        <f t="shared" si="37"/>
        <v>0</v>
      </c>
    </row>
    <row r="201" spans="1:31" s="160" customFormat="1" ht="36.6" customHeight="1" x14ac:dyDescent="0.3">
      <c r="A201" s="320"/>
      <c r="B201" s="152" t="s">
        <v>811</v>
      </c>
      <c r="C201" s="385" t="s">
        <v>846</v>
      </c>
      <c r="D201" s="162" t="s">
        <v>683</v>
      </c>
      <c r="E201" s="162" t="s">
        <v>224</v>
      </c>
      <c r="F201" s="162"/>
      <c r="G201" s="162"/>
      <c r="H201" s="162">
        <v>4</v>
      </c>
      <c r="I201" s="155">
        <f t="shared" si="26"/>
        <v>4</v>
      </c>
      <c r="J201" s="10" t="s">
        <v>37</v>
      </c>
      <c r="K201" s="162"/>
      <c r="L201" s="157"/>
      <c r="M201" s="85" t="s">
        <v>33</v>
      </c>
      <c r="N201" s="10" t="s">
        <v>37</v>
      </c>
      <c r="O201" s="157" t="s">
        <v>39</v>
      </c>
      <c r="P201" s="157"/>
      <c r="Q201" s="157"/>
      <c r="R201" s="157"/>
      <c r="S201" s="157"/>
      <c r="T201" s="157">
        <v>4</v>
      </c>
      <c r="U201" s="157"/>
      <c r="V201" s="157"/>
      <c r="W201" s="157">
        <f t="shared" si="35"/>
        <v>4</v>
      </c>
      <c r="X201" s="158">
        <f>SUMIFS('Đơn giá'!C:C,'Đơn giá'!B:B,'XUẤT (2)'!O201)</f>
        <v>52000</v>
      </c>
      <c r="Y201" s="159">
        <f>X201*T201</f>
        <v>208000</v>
      </c>
      <c r="Z201" s="152"/>
      <c r="AA201" s="10" t="s">
        <v>37</v>
      </c>
      <c r="AB201" s="90">
        <f t="shared" si="39"/>
        <v>4</v>
      </c>
      <c r="AC201" s="91">
        <f t="shared" si="37"/>
        <v>20000</v>
      </c>
    </row>
    <row r="202" spans="1:31" s="160" customFormat="1" ht="193.8" customHeight="1" x14ac:dyDescent="0.3">
      <c r="A202" s="320">
        <v>1</v>
      </c>
      <c r="B202" s="152" t="s">
        <v>836</v>
      </c>
      <c r="C202" s="326" t="s">
        <v>867</v>
      </c>
      <c r="D202" s="162" t="s">
        <v>683</v>
      </c>
      <c r="E202" s="162" t="s">
        <v>543</v>
      </c>
      <c r="F202" s="162"/>
      <c r="G202" s="162">
        <v>24</v>
      </c>
      <c r="H202" s="162"/>
      <c r="I202" s="155">
        <f t="shared" si="26"/>
        <v>24</v>
      </c>
      <c r="J202" s="85" t="s">
        <v>792</v>
      </c>
      <c r="K202" s="162"/>
      <c r="L202" s="157"/>
      <c r="M202" s="163" t="s">
        <v>46</v>
      </c>
      <c r="N202" s="7" t="s">
        <v>851</v>
      </c>
      <c r="O202" s="157" t="s">
        <v>26</v>
      </c>
      <c r="P202" s="157">
        <v>22</v>
      </c>
      <c r="Q202" s="157"/>
      <c r="R202" s="157"/>
      <c r="S202" s="157"/>
      <c r="T202" s="157"/>
      <c r="U202" s="157"/>
      <c r="V202" s="157">
        <v>2</v>
      </c>
      <c r="W202" s="157">
        <f t="shared" si="35"/>
        <v>24</v>
      </c>
      <c r="X202" s="158">
        <f>SUMIFS('Đơn giá'!C:C,'Đơn giá'!B:B,'XUẤT (2)'!O202)</f>
        <v>98000</v>
      </c>
      <c r="Y202" s="159">
        <f>X202*P202</f>
        <v>2156000</v>
      </c>
      <c r="Z202" s="152"/>
      <c r="AA202" s="85" t="s">
        <v>792</v>
      </c>
      <c r="AB202" s="157">
        <f t="shared" si="39"/>
        <v>22</v>
      </c>
      <c r="AC202" s="158">
        <f t="shared" si="37"/>
        <v>110000</v>
      </c>
    </row>
    <row r="203" spans="1:31" s="93" customFormat="1" ht="108.6" customHeight="1" x14ac:dyDescent="0.3">
      <c r="A203" s="404">
        <v>2</v>
      </c>
      <c r="B203" s="152" t="s">
        <v>836</v>
      </c>
      <c r="C203" s="402" t="s">
        <v>857</v>
      </c>
      <c r="D203" s="162" t="s">
        <v>683</v>
      </c>
      <c r="E203" s="102" t="s">
        <v>224</v>
      </c>
      <c r="F203" s="102"/>
      <c r="G203" s="102">
        <v>2</v>
      </c>
      <c r="H203" s="102"/>
      <c r="I203" s="155">
        <f t="shared" si="26"/>
        <v>2</v>
      </c>
      <c r="J203" s="85" t="s">
        <v>792</v>
      </c>
      <c r="K203" s="85"/>
      <c r="L203" s="90" t="s">
        <v>491</v>
      </c>
      <c r="M203" s="85" t="s">
        <v>33</v>
      </c>
      <c r="N203" s="10" t="s">
        <v>150</v>
      </c>
      <c r="O203" s="157" t="s">
        <v>26</v>
      </c>
      <c r="P203" s="90">
        <v>2</v>
      </c>
      <c r="Q203" s="90"/>
      <c r="R203" s="90"/>
      <c r="S203" s="90"/>
      <c r="T203" s="90"/>
      <c r="U203" s="90"/>
      <c r="V203" s="90"/>
      <c r="W203" s="157">
        <f t="shared" si="35"/>
        <v>2</v>
      </c>
      <c r="X203" s="158">
        <f>SUMIFS('Đơn giá'!C:C,'Đơn giá'!B:B,'XUẤT (2)'!O203)</f>
        <v>98000</v>
      </c>
      <c r="Y203" s="159">
        <f>X203*P203</f>
        <v>196000</v>
      </c>
      <c r="Z203" s="232"/>
      <c r="AA203" s="10" t="s">
        <v>37</v>
      </c>
      <c r="AB203" s="157">
        <f t="shared" si="39"/>
        <v>2</v>
      </c>
      <c r="AC203" s="158">
        <f t="shared" si="37"/>
        <v>10000</v>
      </c>
      <c r="AE203"/>
    </row>
    <row r="204" spans="1:31" s="93" customFormat="1" ht="32.4" customHeight="1" x14ac:dyDescent="0.3">
      <c r="A204" s="405"/>
      <c r="B204" s="152" t="s">
        <v>836</v>
      </c>
      <c r="C204" s="403"/>
      <c r="D204" s="162" t="s">
        <v>683</v>
      </c>
      <c r="E204" s="102" t="s">
        <v>543</v>
      </c>
      <c r="F204" s="102"/>
      <c r="G204" s="102"/>
      <c r="H204" s="102">
        <v>5</v>
      </c>
      <c r="I204" s="155">
        <f t="shared" si="26"/>
        <v>5</v>
      </c>
      <c r="J204" s="85" t="s">
        <v>792</v>
      </c>
      <c r="K204" s="85"/>
      <c r="L204" s="90" t="s">
        <v>491</v>
      </c>
      <c r="M204" s="85" t="s">
        <v>33</v>
      </c>
      <c r="N204" s="10" t="s">
        <v>150</v>
      </c>
      <c r="O204" s="157" t="s">
        <v>39</v>
      </c>
      <c r="P204" s="90"/>
      <c r="Q204" s="90"/>
      <c r="R204" s="90"/>
      <c r="S204" s="90"/>
      <c r="T204" s="90">
        <v>5</v>
      </c>
      <c r="U204" s="90"/>
      <c r="V204" s="90"/>
      <c r="W204" s="157">
        <f t="shared" si="35"/>
        <v>5</v>
      </c>
      <c r="X204" s="158">
        <f>SUMIFS('Đơn giá'!C:C,'Đơn giá'!B:B,'XUẤT (2)'!O204)</f>
        <v>52000</v>
      </c>
      <c r="Y204" s="159">
        <f t="shared" ref="Y204" si="43">X204*T204</f>
        <v>260000</v>
      </c>
      <c r="Z204" s="232"/>
      <c r="AA204" s="10" t="s">
        <v>37</v>
      </c>
      <c r="AB204" s="90">
        <f t="shared" si="39"/>
        <v>5</v>
      </c>
      <c r="AC204" s="91">
        <f t="shared" si="37"/>
        <v>25000</v>
      </c>
      <c r="AE204"/>
    </row>
    <row r="205" spans="1:31" s="93" customFormat="1" ht="69" customHeight="1" x14ac:dyDescent="0.3">
      <c r="A205" s="85">
        <v>3</v>
      </c>
      <c r="B205" s="152" t="s">
        <v>836</v>
      </c>
      <c r="C205" s="385" t="s">
        <v>852</v>
      </c>
      <c r="D205" s="162" t="s">
        <v>683</v>
      </c>
      <c r="E205" s="102" t="s">
        <v>543</v>
      </c>
      <c r="F205" s="102"/>
      <c r="G205" s="102"/>
      <c r="H205" s="102">
        <v>10</v>
      </c>
      <c r="I205" s="155">
        <f t="shared" si="26"/>
        <v>10</v>
      </c>
      <c r="J205" s="85" t="s">
        <v>853</v>
      </c>
      <c r="K205" s="85"/>
      <c r="L205" s="90" t="s">
        <v>491</v>
      </c>
      <c r="M205" s="163" t="s">
        <v>33</v>
      </c>
      <c r="N205" s="10" t="s">
        <v>43</v>
      </c>
      <c r="O205" s="157" t="s">
        <v>39</v>
      </c>
      <c r="P205" s="90"/>
      <c r="Q205" s="90"/>
      <c r="R205" s="90"/>
      <c r="S205" s="90"/>
      <c r="T205" s="90">
        <v>10</v>
      </c>
      <c r="U205" s="90"/>
      <c r="V205" s="90">
        <v>1</v>
      </c>
      <c r="W205" s="157">
        <f t="shared" si="35"/>
        <v>11</v>
      </c>
      <c r="X205" s="158">
        <f>SUMIFS('Đơn giá'!C:C,'Đơn giá'!B:B,'XUẤT (2)'!O205)</f>
        <v>52000</v>
      </c>
      <c r="Y205" s="159">
        <f>X205*T205</f>
        <v>520000</v>
      </c>
      <c r="Z205" s="232"/>
      <c r="AA205" s="10" t="s">
        <v>57</v>
      </c>
      <c r="AB205" s="157">
        <f t="shared" si="39"/>
        <v>10</v>
      </c>
      <c r="AC205" s="158">
        <f t="shared" si="37"/>
        <v>50000</v>
      </c>
      <c r="AE205"/>
    </row>
    <row r="206" spans="1:31" ht="85.2" customHeight="1" x14ac:dyDescent="0.3">
      <c r="A206" s="85">
        <v>4</v>
      </c>
      <c r="B206" s="152" t="s">
        <v>836</v>
      </c>
      <c r="C206" s="385" t="s">
        <v>854</v>
      </c>
      <c r="D206" s="162" t="s">
        <v>683</v>
      </c>
      <c r="E206" s="102" t="s">
        <v>224</v>
      </c>
      <c r="F206" s="102"/>
      <c r="G206" s="102">
        <v>22</v>
      </c>
      <c r="H206" s="102"/>
      <c r="I206" s="155">
        <f t="shared" si="26"/>
        <v>22</v>
      </c>
      <c r="J206" s="85" t="s">
        <v>792</v>
      </c>
      <c r="K206" s="85"/>
      <c r="L206" s="90" t="s">
        <v>491</v>
      </c>
      <c r="M206" s="85" t="s">
        <v>33</v>
      </c>
      <c r="N206" s="10" t="s">
        <v>37</v>
      </c>
      <c r="O206" s="157" t="s">
        <v>26</v>
      </c>
      <c r="P206" s="90">
        <v>20</v>
      </c>
      <c r="Q206" s="90"/>
      <c r="R206" s="90"/>
      <c r="S206" s="90"/>
      <c r="T206" s="90"/>
      <c r="U206" s="90"/>
      <c r="V206" s="90">
        <v>2</v>
      </c>
      <c r="W206" s="157">
        <f t="shared" si="35"/>
        <v>22</v>
      </c>
      <c r="X206" s="158">
        <f>SUMIFS('Đơn giá'!C:C,'Đơn giá'!B:B,'XUẤT (2)'!O206)</f>
        <v>98000</v>
      </c>
      <c r="Y206" s="159">
        <f>X206*P206</f>
        <v>1960000</v>
      </c>
      <c r="Z206" s="232"/>
      <c r="AA206" s="85" t="s">
        <v>792</v>
      </c>
      <c r="AB206" s="157">
        <f t="shared" si="39"/>
        <v>20</v>
      </c>
      <c r="AC206" s="158">
        <f t="shared" si="37"/>
        <v>100000</v>
      </c>
    </row>
    <row r="207" spans="1:31" ht="106.2" customHeight="1" x14ac:dyDescent="0.3">
      <c r="A207" s="85">
        <v>5</v>
      </c>
      <c r="B207" s="152" t="s">
        <v>856</v>
      </c>
      <c r="C207" s="331" t="s">
        <v>855</v>
      </c>
      <c r="D207" s="162" t="s">
        <v>683</v>
      </c>
      <c r="E207" s="102" t="s">
        <v>224</v>
      </c>
      <c r="F207" s="102"/>
      <c r="G207" s="102"/>
      <c r="H207" s="102">
        <v>5</v>
      </c>
      <c r="I207" s="155">
        <f t="shared" si="26"/>
        <v>5</v>
      </c>
      <c r="J207" s="85" t="s">
        <v>792</v>
      </c>
      <c r="K207" s="85"/>
      <c r="L207" s="90" t="s">
        <v>491</v>
      </c>
      <c r="M207" s="85" t="s">
        <v>46</v>
      </c>
      <c r="N207" s="150" t="s">
        <v>858</v>
      </c>
      <c r="O207" s="157" t="s">
        <v>39</v>
      </c>
      <c r="P207" s="90"/>
      <c r="Q207" s="90"/>
      <c r="R207" s="90"/>
      <c r="S207" s="90"/>
      <c r="T207" s="90">
        <v>5</v>
      </c>
      <c r="U207" s="90"/>
      <c r="V207" s="90"/>
      <c r="W207" s="157">
        <f t="shared" si="35"/>
        <v>5</v>
      </c>
      <c r="X207" s="158">
        <f>SUMIFS('Đơn giá'!C:C,'Đơn giá'!B:B,'XUẤT (2)'!O207)</f>
        <v>52000</v>
      </c>
      <c r="Y207" s="159">
        <f>X207*T207</f>
        <v>260000</v>
      </c>
      <c r="Z207" s="232" t="s">
        <v>861</v>
      </c>
      <c r="AA207" s="85" t="s">
        <v>792</v>
      </c>
      <c r="AB207" s="157">
        <f t="shared" si="39"/>
        <v>5</v>
      </c>
      <c r="AC207" s="158">
        <f t="shared" si="37"/>
        <v>25000</v>
      </c>
    </row>
    <row r="208" spans="1:31" ht="177" hidden="1" customHeight="1" x14ac:dyDescent="0.3">
      <c r="A208" s="85">
        <v>6</v>
      </c>
      <c r="B208" s="152" t="s">
        <v>856</v>
      </c>
      <c r="C208" s="402" t="s">
        <v>859</v>
      </c>
      <c r="D208" s="162" t="s">
        <v>683</v>
      </c>
      <c r="E208" s="102" t="s">
        <v>224</v>
      </c>
      <c r="F208" s="102"/>
      <c r="G208" s="102">
        <v>3</v>
      </c>
      <c r="H208" s="102"/>
      <c r="I208" s="155">
        <f t="shared" si="26"/>
        <v>3</v>
      </c>
      <c r="J208" s="85" t="s">
        <v>792</v>
      </c>
      <c r="K208" s="85"/>
      <c r="L208" s="90" t="s">
        <v>491</v>
      </c>
      <c r="M208" s="85" t="s">
        <v>72</v>
      </c>
      <c r="N208" s="85" t="s">
        <v>72</v>
      </c>
      <c r="O208" s="157" t="s">
        <v>39</v>
      </c>
      <c r="P208" s="90"/>
      <c r="Q208" s="90"/>
      <c r="R208" s="90"/>
      <c r="S208" s="90"/>
      <c r="T208" s="90">
        <v>2</v>
      </c>
      <c r="U208" s="90"/>
      <c r="V208" s="157">
        <f t="shared" si="35"/>
        <v>2</v>
      </c>
      <c r="W208" s="157">
        <f t="shared" si="35"/>
        <v>4</v>
      </c>
      <c r="X208" s="158">
        <f>SUMIFS('Đơn giá'!C:C,'Đơn giá'!B:B,'XUẤT (2)'!O208)</f>
        <v>52000</v>
      </c>
      <c r="Y208" s="159">
        <f t="shared" ref="Y208" si="44">X208*T208</f>
        <v>104000</v>
      </c>
      <c r="Z208" s="85"/>
      <c r="AA208" s="85" t="s">
        <v>792</v>
      </c>
      <c r="AB208" s="157">
        <f t="shared" si="39"/>
        <v>2</v>
      </c>
      <c r="AC208" s="158">
        <f t="shared" si="37"/>
        <v>10000</v>
      </c>
      <c r="AD208"/>
    </row>
    <row r="209" spans="1:30" ht="30.6" hidden="1" customHeight="1" x14ac:dyDescent="0.3">
      <c r="A209" s="85">
        <v>7</v>
      </c>
      <c r="B209" s="152" t="s">
        <v>856</v>
      </c>
      <c r="C209" s="403"/>
      <c r="D209" s="162" t="s">
        <v>683</v>
      </c>
      <c r="E209" s="102" t="s">
        <v>224</v>
      </c>
      <c r="F209" s="102"/>
      <c r="G209" s="102"/>
      <c r="H209" s="102">
        <v>2</v>
      </c>
      <c r="I209" s="155">
        <f t="shared" si="26"/>
        <v>2</v>
      </c>
      <c r="J209" s="85" t="s">
        <v>792</v>
      </c>
      <c r="K209" s="85"/>
      <c r="L209" s="90" t="s">
        <v>491</v>
      </c>
      <c r="M209" s="85" t="s">
        <v>72</v>
      </c>
      <c r="N209" s="85" t="s">
        <v>72</v>
      </c>
      <c r="O209" s="157" t="s">
        <v>26</v>
      </c>
      <c r="P209" s="90">
        <v>3</v>
      </c>
      <c r="Q209" s="90"/>
      <c r="R209" s="90"/>
      <c r="S209" s="90"/>
      <c r="T209" s="90"/>
      <c r="U209" s="90"/>
      <c r="V209" s="90"/>
      <c r="W209" s="157">
        <f t="shared" ref="W209:W247" si="45">SUM(P209:V209)</f>
        <v>3</v>
      </c>
      <c r="X209" s="158">
        <f>SUMIFS('Đơn giá'!C:C,'Đơn giá'!B:B,'XUẤT (2)'!O209)</f>
        <v>98000</v>
      </c>
      <c r="Y209" s="159">
        <f>X209*P209</f>
        <v>294000</v>
      </c>
      <c r="Z209" s="85"/>
      <c r="AA209" s="85" t="s">
        <v>792</v>
      </c>
      <c r="AB209" s="157">
        <f t="shared" si="39"/>
        <v>3</v>
      </c>
      <c r="AC209" s="158">
        <f t="shared" si="37"/>
        <v>15000</v>
      </c>
      <c r="AD209"/>
    </row>
    <row r="210" spans="1:30" ht="85.2" customHeight="1" x14ac:dyDescent="0.3">
      <c r="A210" s="85">
        <v>8</v>
      </c>
      <c r="B210" s="152" t="s">
        <v>856</v>
      </c>
      <c r="C210" s="362" t="s">
        <v>862</v>
      </c>
      <c r="D210" s="162" t="s">
        <v>683</v>
      </c>
      <c r="E210" s="102" t="s">
        <v>543</v>
      </c>
      <c r="F210" s="102"/>
      <c r="G210" s="102">
        <v>11</v>
      </c>
      <c r="H210" s="102"/>
      <c r="I210" s="155">
        <f t="shared" si="26"/>
        <v>11</v>
      </c>
      <c r="J210" s="85" t="s">
        <v>792</v>
      </c>
      <c r="K210" s="85"/>
      <c r="L210" s="90" t="s">
        <v>491</v>
      </c>
      <c r="M210" s="85" t="s">
        <v>33</v>
      </c>
      <c r="N210" s="10" t="s">
        <v>58</v>
      </c>
      <c r="O210" s="157" t="s">
        <v>26</v>
      </c>
      <c r="P210" s="90">
        <v>10</v>
      </c>
      <c r="Q210" s="90"/>
      <c r="R210" s="90"/>
      <c r="S210" s="90"/>
      <c r="T210" s="90"/>
      <c r="U210" s="90"/>
      <c r="V210" s="90">
        <v>1</v>
      </c>
      <c r="W210" s="157">
        <f t="shared" si="45"/>
        <v>11</v>
      </c>
      <c r="X210" s="158">
        <f>SUMIFS('Đơn giá'!C:C,'Đơn giá'!B:B,'XUẤT (2)'!O210)</f>
        <v>98000</v>
      </c>
      <c r="Y210" s="159">
        <f>X210*P210</f>
        <v>980000</v>
      </c>
      <c r="Z210" s="85"/>
      <c r="AA210" s="85" t="s">
        <v>792</v>
      </c>
      <c r="AB210" s="157">
        <f t="shared" si="39"/>
        <v>10</v>
      </c>
      <c r="AC210" s="158">
        <f t="shared" si="37"/>
        <v>50000</v>
      </c>
      <c r="AD210"/>
    </row>
    <row r="211" spans="1:30" ht="85.2" customHeight="1" x14ac:dyDescent="0.3">
      <c r="A211" s="85">
        <v>9</v>
      </c>
      <c r="B211" s="152" t="s">
        <v>856</v>
      </c>
      <c r="C211" s="325" t="s">
        <v>864</v>
      </c>
      <c r="D211" s="162" t="s">
        <v>683</v>
      </c>
      <c r="E211" s="162" t="s">
        <v>543</v>
      </c>
      <c r="F211" s="102"/>
      <c r="G211" s="102">
        <v>11</v>
      </c>
      <c r="H211" s="102"/>
      <c r="I211" s="155">
        <f t="shared" si="26"/>
        <v>11</v>
      </c>
      <c r="J211" s="85" t="s">
        <v>792</v>
      </c>
      <c r="K211" s="85"/>
      <c r="L211" s="90" t="s">
        <v>491</v>
      </c>
      <c r="M211" s="85" t="s">
        <v>46</v>
      </c>
      <c r="N211" s="150" t="s">
        <v>865</v>
      </c>
      <c r="O211" s="157" t="s">
        <v>26</v>
      </c>
      <c r="P211" s="90">
        <v>10</v>
      </c>
      <c r="Q211" s="90"/>
      <c r="R211" s="90"/>
      <c r="S211" s="90"/>
      <c r="T211" s="90"/>
      <c r="U211" s="90"/>
      <c r="V211" s="90">
        <v>1</v>
      </c>
      <c r="W211" s="157">
        <f t="shared" si="45"/>
        <v>11</v>
      </c>
      <c r="X211" s="158">
        <f>SUMIFS('Đơn giá'!C:C,'Đơn giá'!B:B,'XUẤT (2)'!O211)</f>
        <v>98000</v>
      </c>
      <c r="Y211" s="159">
        <f t="shared" ref="Y211:Y214" si="46">X211*P211</f>
        <v>980000</v>
      </c>
      <c r="Z211" s="232" t="s">
        <v>941</v>
      </c>
      <c r="AA211" s="85" t="s">
        <v>792</v>
      </c>
      <c r="AB211" s="157">
        <f t="shared" si="39"/>
        <v>10</v>
      </c>
      <c r="AC211" s="158">
        <f t="shared" si="37"/>
        <v>50000</v>
      </c>
    </row>
    <row r="212" spans="1:30" ht="85.2" customHeight="1" x14ac:dyDescent="0.3">
      <c r="A212" s="85">
        <v>10</v>
      </c>
      <c r="B212" s="152" t="s">
        <v>856</v>
      </c>
      <c r="C212" s="325" t="s">
        <v>869</v>
      </c>
      <c r="D212" s="162" t="s">
        <v>683</v>
      </c>
      <c r="E212" s="102" t="s">
        <v>543</v>
      </c>
      <c r="F212" s="102"/>
      <c r="G212" s="102">
        <v>11</v>
      </c>
      <c r="H212" s="102"/>
      <c r="I212" s="155">
        <f t="shared" si="26"/>
        <v>11</v>
      </c>
      <c r="J212" s="85" t="s">
        <v>792</v>
      </c>
      <c r="K212" s="85"/>
      <c r="L212" s="90"/>
      <c r="M212" s="85" t="s">
        <v>33</v>
      </c>
      <c r="N212" s="10" t="s">
        <v>155</v>
      </c>
      <c r="O212" s="157" t="s">
        <v>26</v>
      </c>
      <c r="P212" s="90">
        <v>10</v>
      </c>
      <c r="Q212" s="90"/>
      <c r="R212" s="90"/>
      <c r="S212" s="90"/>
      <c r="T212" s="90"/>
      <c r="U212" s="90"/>
      <c r="V212" s="90">
        <v>1</v>
      </c>
      <c r="W212" s="157">
        <f t="shared" si="45"/>
        <v>11</v>
      </c>
      <c r="X212" s="158">
        <f>SUMIFS('Đơn giá'!C:C,'Đơn giá'!B:B,'XUẤT (2)'!O212)</f>
        <v>98000</v>
      </c>
      <c r="Y212" s="159">
        <f t="shared" si="46"/>
        <v>980000</v>
      </c>
      <c r="Z212" s="232"/>
      <c r="AA212" s="85" t="s">
        <v>792</v>
      </c>
      <c r="AB212" s="157">
        <f t="shared" si="39"/>
        <v>10</v>
      </c>
      <c r="AC212" s="158">
        <f t="shared" si="37"/>
        <v>50000</v>
      </c>
    </row>
    <row r="213" spans="1:30" ht="85.2" hidden="1" customHeight="1" x14ac:dyDescent="0.3">
      <c r="A213" s="85">
        <v>11</v>
      </c>
      <c r="B213" s="152" t="s">
        <v>856</v>
      </c>
      <c r="C213" s="325" t="s">
        <v>870</v>
      </c>
      <c r="D213" s="162" t="s">
        <v>683</v>
      </c>
      <c r="E213" s="102" t="s">
        <v>543</v>
      </c>
      <c r="F213" s="102"/>
      <c r="G213" s="102">
        <v>11</v>
      </c>
      <c r="H213" s="102"/>
      <c r="I213" s="155">
        <f t="shared" si="26"/>
        <v>11</v>
      </c>
      <c r="J213" s="211" t="s">
        <v>873</v>
      </c>
      <c r="K213" s="85" t="s">
        <v>524</v>
      </c>
      <c r="L213" s="90" t="s">
        <v>491</v>
      </c>
      <c r="M213" s="85" t="s">
        <v>72</v>
      </c>
      <c r="N213" s="85" t="s">
        <v>72</v>
      </c>
      <c r="O213" s="157" t="s">
        <v>26</v>
      </c>
      <c r="P213" s="90">
        <v>10</v>
      </c>
      <c r="Q213" s="90"/>
      <c r="R213" s="90"/>
      <c r="S213" s="90"/>
      <c r="T213" s="90"/>
      <c r="U213" s="90"/>
      <c r="V213" s="90">
        <v>1</v>
      </c>
      <c r="W213" s="157">
        <f t="shared" si="45"/>
        <v>11</v>
      </c>
      <c r="X213" s="158">
        <f>SUMIFS('Đơn giá'!C:C,'Đơn giá'!B:B,'XUẤT (2)'!O213)</f>
        <v>98000</v>
      </c>
      <c r="Y213" s="159">
        <f t="shared" si="46"/>
        <v>980000</v>
      </c>
      <c r="Z213" s="232"/>
      <c r="AA213" s="10" t="s">
        <v>57</v>
      </c>
      <c r="AB213" s="157">
        <f t="shared" si="39"/>
        <v>10</v>
      </c>
      <c r="AC213" s="158">
        <f t="shared" si="37"/>
        <v>50000</v>
      </c>
    </row>
    <row r="214" spans="1:30" ht="85.2" customHeight="1" x14ac:dyDescent="0.3">
      <c r="A214" s="85"/>
      <c r="B214" s="152" t="s">
        <v>856</v>
      </c>
      <c r="C214" s="303" t="s">
        <v>874</v>
      </c>
      <c r="D214" s="162" t="s">
        <v>683</v>
      </c>
      <c r="E214" s="102" t="s">
        <v>543</v>
      </c>
      <c r="F214" s="102"/>
      <c r="G214" s="102">
        <v>99</v>
      </c>
      <c r="H214" s="102"/>
      <c r="I214" s="155">
        <f t="shared" si="26"/>
        <v>99</v>
      </c>
      <c r="J214" s="335" t="s">
        <v>162</v>
      </c>
      <c r="K214" s="85" t="s">
        <v>744</v>
      </c>
      <c r="L214" s="90" t="s">
        <v>491</v>
      </c>
      <c r="M214" s="85" t="s">
        <v>33</v>
      </c>
      <c r="N214" s="335" t="s">
        <v>162</v>
      </c>
      <c r="O214" s="157" t="s">
        <v>26</v>
      </c>
      <c r="P214" s="90">
        <v>90</v>
      </c>
      <c r="Q214" s="90"/>
      <c r="R214" s="90"/>
      <c r="S214" s="90"/>
      <c r="T214" s="90"/>
      <c r="U214" s="90"/>
      <c r="V214" s="90">
        <v>9</v>
      </c>
      <c r="W214" s="157">
        <f t="shared" si="45"/>
        <v>99</v>
      </c>
      <c r="X214" s="158">
        <f>SUMIFS('Đơn giá'!C:C,'Đơn giá'!B:B,'XUẤT (2)'!O214)</f>
        <v>98000</v>
      </c>
      <c r="Y214" s="159">
        <f t="shared" si="46"/>
        <v>8820000</v>
      </c>
      <c r="Z214" s="232"/>
      <c r="AA214" s="335" t="s">
        <v>162</v>
      </c>
      <c r="AB214" s="157">
        <f t="shared" si="39"/>
        <v>90</v>
      </c>
      <c r="AC214" s="158">
        <f t="shared" si="37"/>
        <v>450000</v>
      </c>
    </row>
    <row r="215" spans="1:30" ht="116.4" customHeight="1" x14ac:dyDescent="0.3">
      <c r="A215" s="404">
        <v>1</v>
      </c>
      <c r="B215" s="152" t="s">
        <v>868</v>
      </c>
      <c r="C215" s="331" t="s">
        <v>875</v>
      </c>
      <c r="D215" s="162" t="s">
        <v>683</v>
      </c>
      <c r="E215" s="102" t="s">
        <v>224</v>
      </c>
      <c r="F215" s="102"/>
      <c r="G215" s="102"/>
      <c r="H215" s="102">
        <v>16</v>
      </c>
      <c r="I215" s="155">
        <f t="shared" si="26"/>
        <v>16</v>
      </c>
      <c r="J215" s="85" t="s">
        <v>866</v>
      </c>
      <c r="K215" s="85" t="s">
        <v>571</v>
      </c>
      <c r="L215" s="90"/>
      <c r="M215" s="85" t="s">
        <v>46</v>
      </c>
      <c r="N215" s="150" t="s">
        <v>919</v>
      </c>
      <c r="O215" s="157" t="s">
        <v>42</v>
      </c>
      <c r="P215" s="90"/>
      <c r="Q215" s="90"/>
      <c r="R215" s="90"/>
      <c r="S215" s="90"/>
      <c r="T215" s="90"/>
      <c r="U215" s="90">
        <v>15</v>
      </c>
      <c r="V215" s="90">
        <v>1</v>
      </c>
      <c r="W215" s="157">
        <f t="shared" si="45"/>
        <v>16</v>
      </c>
      <c r="X215" s="158">
        <f>SUMIFS('Đơn giá'!C:C,'Đơn giá'!B:B,'XUẤT (2)'!O215)</f>
        <v>48000</v>
      </c>
      <c r="Y215" s="159">
        <f>X215*U215</f>
        <v>720000</v>
      </c>
      <c r="Z215" s="232"/>
      <c r="AA215" s="85" t="s">
        <v>792</v>
      </c>
      <c r="AB215" s="157">
        <f t="shared" si="39"/>
        <v>15</v>
      </c>
      <c r="AC215" s="158">
        <f t="shared" si="37"/>
        <v>75000</v>
      </c>
    </row>
    <row r="216" spans="1:30" ht="32.4" customHeight="1" x14ac:dyDescent="0.3">
      <c r="A216" s="405"/>
      <c r="B216" s="152" t="s">
        <v>868</v>
      </c>
      <c r="C216" s="331" t="s">
        <v>875</v>
      </c>
      <c r="D216" s="162" t="s">
        <v>683</v>
      </c>
      <c r="E216" s="102" t="s">
        <v>224</v>
      </c>
      <c r="F216" s="102"/>
      <c r="G216" s="102">
        <v>8</v>
      </c>
      <c r="H216" s="102"/>
      <c r="I216" s="155">
        <f t="shared" si="26"/>
        <v>8</v>
      </c>
      <c r="J216" s="85"/>
      <c r="K216" s="85"/>
      <c r="L216" s="90"/>
      <c r="M216" s="85" t="s">
        <v>46</v>
      </c>
      <c r="N216" s="150" t="s">
        <v>863</v>
      </c>
      <c r="O216" s="157" t="s">
        <v>29</v>
      </c>
      <c r="P216" s="90"/>
      <c r="Q216" s="90">
        <v>8</v>
      </c>
      <c r="R216" s="90"/>
      <c r="S216" s="90"/>
      <c r="T216" s="90"/>
      <c r="U216" s="90"/>
      <c r="V216" s="90"/>
      <c r="W216" s="157">
        <f t="shared" si="45"/>
        <v>8</v>
      </c>
      <c r="X216" s="158">
        <f>SUMIFS('Đơn giá'!C:C,'Đơn giá'!B:B,'XUẤT (2)'!O216)</f>
        <v>85000</v>
      </c>
      <c r="Y216" s="159">
        <f>X216*Q216</f>
        <v>680000</v>
      </c>
      <c r="Z216" s="232"/>
      <c r="AA216" s="85" t="s">
        <v>792</v>
      </c>
      <c r="AB216" s="157">
        <f t="shared" si="39"/>
        <v>8</v>
      </c>
      <c r="AC216" s="158">
        <f t="shared" si="37"/>
        <v>40000</v>
      </c>
    </row>
    <row r="217" spans="1:30" ht="85.2" customHeight="1" x14ac:dyDescent="0.3">
      <c r="A217" s="85">
        <v>2</v>
      </c>
      <c r="B217" s="152" t="s">
        <v>868</v>
      </c>
      <c r="C217" s="336" t="s">
        <v>876</v>
      </c>
      <c r="D217" s="162" t="s">
        <v>683</v>
      </c>
      <c r="E217" s="102" t="s">
        <v>90</v>
      </c>
      <c r="F217" s="102"/>
      <c r="G217" s="102">
        <v>2</v>
      </c>
      <c r="H217" s="102"/>
      <c r="I217" s="155">
        <f t="shared" si="26"/>
        <v>2</v>
      </c>
      <c r="J217" s="85" t="s">
        <v>56</v>
      </c>
      <c r="K217" s="85"/>
      <c r="L217" s="90" t="s">
        <v>491</v>
      </c>
      <c r="M217" s="85" t="s">
        <v>33</v>
      </c>
      <c r="N217" s="10" t="s">
        <v>95</v>
      </c>
      <c r="O217" s="157" t="s">
        <v>26</v>
      </c>
      <c r="P217" s="90">
        <v>2</v>
      </c>
      <c r="Q217" s="90"/>
      <c r="R217" s="90"/>
      <c r="S217" s="90"/>
      <c r="T217" s="90"/>
      <c r="U217" s="90"/>
      <c r="V217" s="90"/>
      <c r="W217" s="157">
        <f t="shared" si="45"/>
        <v>2</v>
      </c>
      <c r="X217" s="158">
        <f>SUMIFS('Đơn giá'!C:C,'Đơn giá'!B:B,'XUẤT (2)'!O217)</f>
        <v>98000</v>
      </c>
      <c r="Y217" s="159">
        <f>X217*P217</f>
        <v>196000</v>
      </c>
      <c r="Z217" s="232" t="s">
        <v>877</v>
      </c>
      <c r="AA217" s="10" t="s">
        <v>57</v>
      </c>
      <c r="AB217" s="157">
        <f t="shared" si="39"/>
        <v>2</v>
      </c>
      <c r="AC217" s="158">
        <f t="shared" si="37"/>
        <v>10000</v>
      </c>
    </row>
    <row r="218" spans="1:30" s="160" customFormat="1" ht="85.2" customHeight="1" x14ac:dyDescent="0.3">
      <c r="A218" s="398">
        <v>3</v>
      </c>
      <c r="B218" s="152" t="s">
        <v>868</v>
      </c>
      <c r="C218" s="393" t="s">
        <v>878</v>
      </c>
      <c r="D218" s="162" t="s">
        <v>683</v>
      </c>
      <c r="E218" s="162" t="s">
        <v>543</v>
      </c>
      <c r="F218" s="162"/>
      <c r="G218" s="162">
        <v>3</v>
      </c>
      <c r="H218" s="162"/>
      <c r="I218" s="155">
        <f t="shared" si="26"/>
        <v>3</v>
      </c>
      <c r="J218" s="152" t="s">
        <v>775</v>
      </c>
      <c r="K218" s="152"/>
      <c r="L218" s="157" t="s">
        <v>491</v>
      </c>
      <c r="M218" s="152" t="s">
        <v>46</v>
      </c>
      <c r="N218" s="163" t="s">
        <v>879</v>
      </c>
      <c r="O218" s="157" t="s">
        <v>26</v>
      </c>
      <c r="P218" s="157">
        <v>2</v>
      </c>
      <c r="Q218" s="157"/>
      <c r="R218" s="157"/>
      <c r="S218" s="157"/>
      <c r="T218" s="157"/>
      <c r="U218" s="157"/>
      <c r="V218" s="157"/>
      <c r="W218" s="157">
        <f t="shared" si="45"/>
        <v>2</v>
      </c>
      <c r="X218" s="158">
        <f>SUMIFS('Đơn giá'!C:C,'Đơn giá'!B:B,'XUẤT (2)'!O218)</f>
        <v>98000</v>
      </c>
      <c r="Y218" s="159">
        <f>X218*P218</f>
        <v>196000</v>
      </c>
      <c r="Z218" s="152"/>
      <c r="AA218" s="10" t="s">
        <v>140</v>
      </c>
      <c r="AB218" s="157">
        <f t="shared" si="39"/>
        <v>2</v>
      </c>
      <c r="AC218" s="158">
        <f t="shared" si="37"/>
        <v>10000</v>
      </c>
      <c r="AD218" s="337"/>
    </row>
    <row r="219" spans="1:30" s="160" customFormat="1" ht="39" customHeight="1" x14ac:dyDescent="0.3">
      <c r="A219" s="399"/>
      <c r="B219" s="152" t="s">
        <v>868</v>
      </c>
      <c r="C219" s="394"/>
      <c r="D219" s="162" t="s">
        <v>683</v>
      </c>
      <c r="E219" s="162" t="s">
        <v>543</v>
      </c>
      <c r="F219" s="162"/>
      <c r="G219" s="162"/>
      <c r="H219" s="162"/>
      <c r="I219" s="155">
        <f t="shared" si="26"/>
        <v>0</v>
      </c>
      <c r="J219" s="152" t="s">
        <v>775</v>
      </c>
      <c r="K219" s="152"/>
      <c r="L219" s="157" t="s">
        <v>491</v>
      </c>
      <c r="M219" s="152" t="s">
        <v>46</v>
      </c>
      <c r="N219" s="163" t="s">
        <v>879</v>
      </c>
      <c r="O219" s="157" t="s">
        <v>29</v>
      </c>
      <c r="P219" s="157"/>
      <c r="Q219" s="157">
        <v>1</v>
      </c>
      <c r="R219" s="157"/>
      <c r="S219" s="157"/>
      <c r="T219" s="157"/>
      <c r="U219" s="157"/>
      <c r="V219" s="157"/>
      <c r="W219" s="157">
        <f t="shared" si="45"/>
        <v>1</v>
      </c>
      <c r="X219" s="158">
        <f>SUMIFS('Đơn giá'!C:C,'Đơn giá'!B:B,'XUẤT (2)'!O219)</f>
        <v>85000</v>
      </c>
      <c r="Y219" s="159">
        <f t="shared" ref="Y219:Y222" si="47">X219*Q219</f>
        <v>85000</v>
      </c>
      <c r="Z219" s="152"/>
      <c r="AA219" s="10" t="s">
        <v>140</v>
      </c>
      <c r="AB219" s="157">
        <f t="shared" si="39"/>
        <v>1</v>
      </c>
      <c r="AC219" s="158">
        <f t="shared" si="37"/>
        <v>5000</v>
      </c>
      <c r="AD219" s="337"/>
    </row>
    <row r="220" spans="1:30" s="160" customFormat="1" ht="85.2" customHeight="1" x14ac:dyDescent="0.3">
      <c r="A220" s="152">
        <v>4</v>
      </c>
      <c r="B220" s="152" t="s">
        <v>868</v>
      </c>
      <c r="C220" s="338" t="s">
        <v>880</v>
      </c>
      <c r="D220" s="162" t="s">
        <v>683</v>
      </c>
      <c r="E220" s="162" t="s">
        <v>543</v>
      </c>
      <c r="F220" s="162"/>
      <c r="G220" s="162"/>
      <c r="H220" s="162">
        <v>10</v>
      </c>
      <c r="I220" s="155">
        <f t="shared" ref="I220:I246" si="48">F220+G220+H220</f>
        <v>10</v>
      </c>
      <c r="J220" s="152" t="s">
        <v>881</v>
      </c>
      <c r="K220" s="152"/>
      <c r="L220" s="157" t="s">
        <v>491</v>
      </c>
      <c r="M220" s="152" t="s">
        <v>33</v>
      </c>
      <c r="N220" s="10" t="s">
        <v>219</v>
      </c>
      <c r="O220" s="157" t="s">
        <v>42</v>
      </c>
      <c r="P220" s="157"/>
      <c r="Q220" s="157"/>
      <c r="R220" s="157"/>
      <c r="S220" s="157"/>
      <c r="T220" s="157"/>
      <c r="U220" s="157">
        <v>10</v>
      </c>
      <c r="V220" s="157"/>
      <c r="W220" s="157">
        <f t="shared" si="45"/>
        <v>10</v>
      </c>
      <c r="X220" s="158">
        <f>SUMIFS('Đơn giá'!C:C,'Đơn giá'!B:B,'XUẤT (2)'!O220)</f>
        <v>48000</v>
      </c>
      <c r="Y220" s="159">
        <f>X220*U220</f>
        <v>480000</v>
      </c>
      <c r="Z220" s="152"/>
      <c r="AA220" s="152"/>
      <c r="AB220" s="157">
        <f t="shared" si="39"/>
        <v>10</v>
      </c>
      <c r="AC220" s="158">
        <f t="shared" si="37"/>
        <v>50000</v>
      </c>
      <c r="AD220" s="337"/>
    </row>
    <row r="221" spans="1:30" ht="85.2" customHeight="1" x14ac:dyDescent="0.3">
      <c r="A221" s="85">
        <v>5</v>
      </c>
      <c r="B221" s="152" t="s">
        <v>868</v>
      </c>
      <c r="C221" s="336" t="s">
        <v>882</v>
      </c>
      <c r="D221" s="162" t="s">
        <v>683</v>
      </c>
      <c r="E221" s="102" t="s">
        <v>543</v>
      </c>
      <c r="F221" s="102"/>
      <c r="G221" s="102"/>
      <c r="H221" s="102"/>
      <c r="I221" s="155">
        <f t="shared" si="48"/>
        <v>0</v>
      </c>
      <c r="J221" s="152" t="s">
        <v>792</v>
      </c>
      <c r="K221" s="85"/>
      <c r="L221" s="157" t="s">
        <v>491</v>
      </c>
      <c r="M221" s="85" t="s">
        <v>46</v>
      </c>
      <c r="N221" s="150" t="s">
        <v>884</v>
      </c>
      <c r="O221" s="157" t="s">
        <v>26</v>
      </c>
      <c r="P221" s="90">
        <v>2</v>
      </c>
      <c r="Q221" s="90"/>
      <c r="R221" s="90"/>
      <c r="S221" s="90"/>
      <c r="T221" s="90"/>
      <c r="U221" s="90"/>
      <c r="V221" s="90"/>
      <c r="W221" s="157">
        <f t="shared" si="45"/>
        <v>2</v>
      </c>
      <c r="X221" s="158">
        <f>SUMIFS('Đơn giá'!C:C,'Đơn giá'!B:B,'XUẤT (2)'!O221)</f>
        <v>98000</v>
      </c>
      <c r="Y221" s="159">
        <f>X221*P221</f>
        <v>196000</v>
      </c>
      <c r="Z221" s="232" t="s">
        <v>890</v>
      </c>
      <c r="AA221" s="232" t="s">
        <v>792</v>
      </c>
      <c r="AB221" s="157">
        <f t="shared" si="39"/>
        <v>2</v>
      </c>
      <c r="AC221" s="158">
        <f t="shared" si="37"/>
        <v>10000</v>
      </c>
    </row>
    <row r="222" spans="1:30" s="160" customFormat="1" ht="85.2" customHeight="1" x14ac:dyDescent="0.3">
      <c r="A222" s="152">
        <v>6</v>
      </c>
      <c r="B222" s="152" t="s">
        <v>868</v>
      </c>
      <c r="C222" s="164" t="s">
        <v>883</v>
      </c>
      <c r="D222" s="162" t="s">
        <v>683</v>
      </c>
      <c r="E222" s="162" t="s">
        <v>543</v>
      </c>
      <c r="F222" s="162"/>
      <c r="G222" s="162">
        <v>2</v>
      </c>
      <c r="H222" s="162"/>
      <c r="I222" s="155">
        <f t="shared" si="48"/>
        <v>2</v>
      </c>
      <c r="J222" s="152" t="s">
        <v>792</v>
      </c>
      <c r="K222" s="152"/>
      <c r="L222" s="157" t="s">
        <v>491</v>
      </c>
      <c r="M222" s="152" t="s">
        <v>46</v>
      </c>
      <c r="N222" s="163" t="s">
        <v>884</v>
      </c>
      <c r="O222" s="157" t="s">
        <v>29</v>
      </c>
      <c r="P222" s="157"/>
      <c r="Q222" s="157">
        <v>2</v>
      </c>
      <c r="R222" s="157"/>
      <c r="S222" s="157"/>
      <c r="T222" s="157"/>
      <c r="U222" s="157"/>
      <c r="V222" s="157"/>
      <c r="W222" s="157">
        <f t="shared" si="45"/>
        <v>2</v>
      </c>
      <c r="X222" s="158">
        <f>SUMIFS('Đơn giá'!C:C,'Đơn giá'!B:B,'XUẤT (2)'!O222)</f>
        <v>85000</v>
      </c>
      <c r="Y222" s="159">
        <f t="shared" si="47"/>
        <v>170000</v>
      </c>
      <c r="Z222" s="152"/>
      <c r="AA222" s="152" t="s">
        <v>792</v>
      </c>
      <c r="AB222" s="157">
        <f t="shared" si="39"/>
        <v>2</v>
      </c>
      <c r="AC222" s="158">
        <f t="shared" si="37"/>
        <v>10000</v>
      </c>
      <c r="AD222" s="337"/>
    </row>
    <row r="223" spans="1:30" s="160" customFormat="1" ht="85.2" customHeight="1" x14ac:dyDescent="0.3">
      <c r="A223" s="152">
        <v>7</v>
      </c>
      <c r="B223" s="152" t="s">
        <v>868</v>
      </c>
      <c r="C223" s="164" t="s">
        <v>889</v>
      </c>
      <c r="D223" s="162" t="s">
        <v>683</v>
      </c>
      <c r="E223" s="162" t="s">
        <v>90</v>
      </c>
      <c r="F223" s="162"/>
      <c r="G223" s="162">
        <v>2</v>
      </c>
      <c r="H223" s="162"/>
      <c r="I223" s="155">
        <f t="shared" si="48"/>
        <v>2</v>
      </c>
      <c r="J223" s="10" t="s">
        <v>139</v>
      </c>
      <c r="K223" s="152"/>
      <c r="L223" s="157" t="s">
        <v>491</v>
      </c>
      <c r="M223" s="152" t="s">
        <v>33</v>
      </c>
      <c r="N223" s="10" t="s">
        <v>139</v>
      </c>
      <c r="O223" s="157" t="s">
        <v>26</v>
      </c>
      <c r="P223" s="157">
        <v>2</v>
      </c>
      <c r="Q223" s="157"/>
      <c r="R223" s="157"/>
      <c r="S223" s="157"/>
      <c r="T223" s="157"/>
      <c r="U223" s="157"/>
      <c r="V223" s="157"/>
      <c r="W223" s="157">
        <f t="shared" si="45"/>
        <v>2</v>
      </c>
      <c r="X223" s="158">
        <f>SUMIFS('Đơn giá'!C:C,'Đơn giá'!B:B,'XUẤT (2)'!O223)</f>
        <v>98000</v>
      </c>
      <c r="Y223" s="159">
        <f>X223*P223</f>
        <v>196000</v>
      </c>
      <c r="Z223" s="152"/>
      <c r="AA223" s="10" t="s">
        <v>139</v>
      </c>
      <c r="AB223" s="157">
        <f t="shared" si="39"/>
        <v>2</v>
      </c>
      <c r="AC223" s="158">
        <f t="shared" si="37"/>
        <v>10000</v>
      </c>
      <c r="AD223" s="337"/>
    </row>
    <row r="224" spans="1:30" ht="85.2" customHeight="1" x14ac:dyDescent="0.3">
      <c r="A224" s="85">
        <v>1</v>
      </c>
      <c r="B224" s="85" t="s">
        <v>892</v>
      </c>
      <c r="C224" s="164" t="s">
        <v>891</v>
      </c>
      <c r="D224" s="162" t="s">
        <v>683</v>
      </c>
      <c r="E224" s="162" t="s">
        <v>543</v>
      </c>
      <c r="F224" s="102"/>
      <c r="G224" s="102">
        <v>2</v>
      </c>
      <c r="H224" s="102"/>
      <c r="I224" s="155">
        <f t="shared" si="48"/>
        <v>2</v>
      </c>
      <c r="J224" s="85" t="s">
        <v>98</v>
      </c>
      <c r="K224" s="85"/>
      <c r="L224" s="90" t="s">
        <v>491</v>
      </c>
      <c r="M224" s="85" t="s">
        <v>33</v>
      </c>
      <c r="N224" s="10" t="s">
        <v>127</v>
      </c>
      <c r="O224" s="157" t="s">
        <v>29</v>
      </c>
      <c r="P224" s="90"/>
      <c r="Q224" s="90">
        <v>2</v>
      </c>
      <c r="R224" s="90"/>
      <c r="S224" s="90"/>
      <c r="T224" s="90"/>
      <c r="U224" s="90"/>
      <c r="V224" s="90"/>
      <c r="W224" s="157">
        <f t="shared" si="45"/>
        <v>2</v>
      </c>
      <c r="X224" s="158">
        <f>SUMIFS('Đơn giá'!C:C,'Đơn giá'!B:B,'XUẤT (2)'!O224)</f>
        <v>85000</v>
      </c>
      <c r="Y224" s="159">
        <f>X224*Q224</f>
        <v>170000</v>
      </c>
      <c r="Z224" s="232"/>
      <c r="AA224" s="85" t="s">
        <v>98</v>
      </c>
      <c r="AB224" s="157">
        <f t="shared" si="39"/>
        <v>2</v>
      </c>
      <c r="AC224" s="158">
        <f t="shared" si="37"/>
        <v>10000</v>
      </c>
    </row>
    <row r="225" spans="1:30" ht="85.2" customHeight="1" x14ac:dyDescent="0.3">
      <c r="A225" s="85">
        <v>2</v>
      </c>
      <c r="B225" s="85" t="s">
        <v>892</v>
      </c>
      <c r="C225" s="164" t="s">
        <v>893</v>
      </c>
      <c r="D225" s="162" t="s">
        <v>683</v>
      </c>
      <c r="E225" s="102" t="s">
        <v>743</v>
      </c>
      <c r="F225" s="102"/>
      <c r="G225" s="102">
        <v>12</v>
      </c>
      <c r="H225" s="102"/>
      <c r="I225" s="155">
        <f t="shared" si="48"/>
        <v>12</v>
      </c>
      <c r="J225" s="85" t="s">
        <v>792</v>
      </c>
      <c r="K225" s="85"/>
      <c r="L225" s="90" t="s">
        <v>491</v>
      </c>
      <c r="M225" s="85" t="s">
        <v>33</v>
      </c>
      <c r="N225" s="10" t="s">
        <v>235</v>
      </c>
      <c r="O225" s="157" t="s">
        <v>26</v>
      </c>
      <c r="P225" s="90">
        <v>11</v>
      </c>
      <c r="Q225" s="90"/>
      <c r="R225" s="90"/>
      <c r="S225" s="90"/>
      <c r="T225" s="90"/>
      <c r="U225" s="90"/>
      <c r="V225" s="90">
        <v>1</v>
      </c>
      <c r="W225" s="157">
        <f t="shared" si="45"/>
        <v>12</v>
      </c>
      <c r="X225" s="158">
        <f>SUMIFS('Đơn giá'!C:C,'Đơn giá'!B:B,'XUẤT (2)'!O225)</f>
        <v>98000</v>
      </c>
      <c r="Y225" s="159">
        <f t="shared" ref="Y225:Y228" si="49">X225*P225</f>
        <v>1078000</v>
      </c>
      <c r="Z225" s="232" t="s">
        <v>900</v>
      </c>
      <c r="AA225" s="152" t="s">
        <v>792</v>
      </c>
      <c r="AB225" s="157">
        <f t="shared" si="39"/>
        <v>11</v>
      </c>
      <c r="AC225" s="158">
        <f t="shared" si="37"/>
        <v>55000</v>
      </c>
    </row>
    <row r="226" spans="1:30" ht="85.2" hidden="1" customHeight="1" x14ac:dyDescent="0.3">
      <c r="A226" s="85">
        <v>3</v>
      </c>
      <c r="B226" s="85" t="s">
        <v>892</v>
      </c>
      <c r="C226" s="325" t="s">
        <v>895</v>
      </c>
      <c r="D226" s="162" t="s">
        <v>683</v>
      </c>
      <c r="E226" s="102" t="s">
        <v>224</v>
      </c>
      <c r="F226" s="102"/>
      <c r="G226" s="102">
        <v>10</v>
      </c>
      <c r="H226" s="102"/>
      <c r="I226" s="155">
        <f t="shared" si="48"/>
        <v>10</v>
      </c>
      <c r="J226" s="85" t="s">
        <v>792</v>
      </c>
      <c r="K226" s="85"/>
      <c r="L226" s="90" t="s">
        <v>491</v>
      </c>
      <c r="M226" s="85"/>
      <c r="N226" s="150"/>
      <c r="O226" s="90"/>
      <c r="P226" s="90"/>
      <c r="Q226" s="90"/>
      <c r="R226" s="90"/>
      <c r="S226" s="90"/>
      <c r="T226" s="90"/>
      <c r="U226" s="90"/>
      <c r="V226" s="90"/>
      <c r="W226" s="157">
        <f t="shared" si="45"/>
        <v>0</v>
      </c>
      <c r="X226" s="158">
        <f>SUMIFS('Đơn giá'!C:C,'Đơn giá'!B:B,'XUẤT (2)'!O226)</f>
        <v>0</v>
      </c>
      <c r="Y226" s="159">
        <f t="shared" si="49"/>
        <v>0</v>
      </c>
      <c r="Z226" s="232"/>
      <c r="AA226" s="85"/>
      <c r="AB226" s="157">
        <f t="shared" si="39"/>
        <v>0</v>
      </c>
      <c r="AC226" s="158">
        <f t="shared" si="37"/>
        <v>0</v>
      </c>
    </row>
    <row r="227" spans="1:30" ht="85.2" customHeight="1" x14ac:dyDescent="0.3">
      <c r="A227" s="85">
        <v>2</v>
      </c>
      <c r="B227" s="85" t="s">
        <v>892</v>
      </c>
      <c r="C227" s="325" t="s">
        <v>896</v>
      </c>
      <c r="D227" s="162" t="s">
        <v>683</v>
      </c>
      <c r="E227" s="102" t="s">
        <v>224</v>
      </c>
      <c r="F227" s="102"/>
      <c r="G227" s="102">
        <v>1</v>
      </c>
      <c r="H227" s="102"/>
      <c r="I227" s="155">
        <f t="shared" si="48"/>
        <v>1</v>
      </c>
      <c r="J227" s="85" t="s">
        <v>792</v>
      </c>
      <c r="K227" s="85"/>
      <c r="L227" s="90" t="s">
        <v>491</v>
      </c>
      <c r="M227" s="85" t="s">
        <v>33</v>
      </c>
      <c r="N227" s="10" t="s">
        <v>235</v>
      </c>
      <c r="O227" s="157" t="s">
        <v>26</v>
      </c>
      <c r="P227" s="90">
        <v>11</v>
      </c>
      <c r="Q227" s="90"/>
      <c r="R227" s="90"/>
      <c r="S227" s="90"/>
      <c r="T227" s="90"/>
      <c r="U227" s="90"/>
      <c r="V227" s="157">
        <v>1</v>
      </c>
      <c r="W227" s="157">
        <f t="shared" si="45"/>
        <v>12</v>
      </c>
      <c r="X227" s="158">
        <f>SUMIFS('Đơn giá'!C:C,'Đơn giá'!B:B,'XUẤT (2)'!O227)</f>
        <v>98000</v>
      </c>
      <c r="Y227" s="159">
        <f t="shared" si="49"/>
        <v>1078000</v>
      </c>
      <c r="Z227" s="85" t="s">
        <v>897</v>
      </c>
      <c r="AA227" s="152" t="s">
        <v>792</v>
      </c>
      <c r="AB227" s="159">
        <f>W227-V227</f>
        <v>11</v>
      </c>
      <c r="AC227" s="158">
        <f t="shared" si="37"/>
        <v>55000</v>
      </c>
      <c r="AD227"/>
    </row>
    <row r="228" spans="1:30" ht="40.200000000000003" customHeight="1" x14ac:dyDescent="0.3">
      <c r="A228" s="85"/>
      <c r="B228" s="85" t="s">
        <v>892</v>
      </c>
      <c r="C228" s="325"/>
      <c r="D228" s="162" t="s">
        <v>683</v>
      </c>
      <c r="E228" s="102" t="s">
        <v>743</v>
      </c>
      <c r="F228" s="102"/>
      <c r="G228" s="102">
        <v>10</v>
      </c>
      <c r="H228" s="102"/>
      <c r="I228" s="155">
        <f t="shared" si="48"/>
        <v>10</v>
      </c>
      <c r="J228" s="85" t="s">
        <v>792</v>
      </c>
      <c r="K228" s="85"/>
      <c r="L228" s="90" t="s">
        <v>491</v>
      </c>
      <c r="M228" s="85" t="s">
        <v>33</v>
      </c>
      <c r="N228" s="10" t="s">
        <v>235</v>
      </c>
      <c r="O228" s="157" t="s">
        <v>26</v>
      </c>
      <c r="P228" s="90">
        <v>1</v>
      </c>
      <c r="Q228" s="90"/>
      <c r="R228" s="90"/>
      <c r="S228" s="90"/>
      <c r="T228" s="90"/>
      <c r="U228" s="90"/>
      <c r="V228" s="157"/>
      <c r="W228" s="157">
        <f t="shared" si="45"/>
        <v>1</v>
      </c>
      <c r="X228" s="158">
        <f>SUMIFS('Đơn giá'!C:C,'Đơn giá'!B:B,'XUẤT (2)'!O228)</f>
        <v>98000</v>
      </c>
      <c r="Y228" s="159">
        <f t="shared" si="49"/>
        <v>98000</v>
      </c>
      <c r="Z228" s="85" t="s">
        <v>897</v>
      </c>
      <c r="AA228" s="152" t="s">
        <v>792</v>
      </c>
      <c r="AB228" s="159">
        <f>W228-V228</f>
        <v>1</v>
      </c>
      <c r="AC228" s="158">
        <f t="shared" si="37"/>
        <v>5000</v>
      </c>
      <c r="AD228"/>
    </row>
    <row r="229" spans="1:30" ht="85.2" customHeight="1" x14ac:dyDescent="0.3">
      <c r="A229" s="85">
        <v>2</v>
      </c>
      <c r="B229" s="85" t="s">
        <v>892</v>
      </c>
      <c r="C229" s="325" t="s">
        <v>898</v>
      </c>
      <c r="D229" s="162" t="s">
        <v>683</v>
      </c>
      <c r="E229" s="102" t="s">
        <v>543</v>
      </c>
      <c r="F229" s="102"/>
      <c r="G229" s="102"/>
      <c r="H229" s="102">
        <v>3</v>
      </c>
      <c r="I229" s="155">
        <f t="shared" si="48"/>
        <v>3</v>
      </c>
      <c r="J229" s="10" t="s">
        <v>211</v>
      </c>
      <c r="K229" s="85"/>
      <c r="L229" s="90" t="s">
        <v>491</v>
      </c>
      <c r="M229" s="85" t="s">
        <v>33</v>
      </c>
      <c r="N229" s="10" t="s">
        <v>211</v>
      </c>
      <c r="O229" s="157" t="s">
        <v>39</v>
      </c>
      <c r="P229" s="90"/>
      <c r="Q229" s="90"/>
      <c r="R229" s="90"/>
      <c r="S229" s="90"/>
      <c r="T229" s="90">
        <v>3</v>
      </c>
      <c r="U229" s="90"/>
      <c r="V229" s="157"/>
      <c r="W229" s="157">
        <f t="shared" si="45"/>
        <v>3</v>
      </c>
      <c r="X229" s="158">
        <f>SUMIFS('Đơn giá'!C:C,'Đơn giá'!B:B,'XUẤT (2)'!O229)</f>
        <v>52000</v>
      </c>
      <c r="Y229" s="159">
        <f>X229*T229</f>
        <v>156000</v>
      </c>
      <c r="Z229" s="85"/>
      <c r="AA229" s="10" t="s">
        <v>211</v>
      </c>
      <c r="AB229" s="157">
        <f t="shared" si="39"/>
        <v>3</v>
      </c>
      <c r="AC229" s="158">
        <f t="shared" si="37"/>
        <v>15000</v>
      </c>
      <c r="AD229"/>
    </row>
    <row r="230" spans="1:30" ht="85.2" customHeight="1" x14ac:dyDescent="0.3">
      <c r="A230" s="85">
        <v>1</v>
      </c>
      <c r="B230" s="85" t="s">
        <v>894</v>
      </c>
      <c r="C230" s="303" t="s">
        <v>950</v>
      </c>
      <c r="D230" s="162" t="s">
        <v>683</v>
      </c>
      <c r="E230" s="102" t="s">
        <v>543</v>
      </c>
      <c r="F230" s="102"/>
      <c r="G230" s="102"/>
      <c r="H230" s="102">
        <v>11</v>
      </c>
      <c r="I230" s="155">
        <f t="shared" si="48"/>
        <v>11</v>
      </c>
      <c r="J230" s="85" t="s">
        <v>792</v>
      </c>
      <c r="K230" s="85"/>
      <c r="L230" s="90" t="s">
        <v>491</v>
      </c>
      <c r="M230" s="85" t="s">
        <v>46</v>
      </c>
      <c r="N230" s="150" t="s">
        <v>914</v>
      </c>
      <c r="O230" s="157" t="s">
        <v>42</v>
      </c>
      <c r="P230" s="90"/>
      <c r="Q230" s="90"/>
      <c r="R230" s="90"/>
      <c r="S230" s="90"/>
      <c r="T230" s="90"/>
      <c r="U230" s="90">
        <v>10</v>
      </c>
      <c r="V230" s="157">
        <v>1</v>
      </c>
      <c r="W230" s="157">
        <f t="shared" si="45"/>
        <v>11</v>
      </c>
      <c r="X230" s="158">
        <f>SUMIFS('Đơn giá'!C:C,'Đơn giá'!B:B,'XUẤT (2)'!O230)</f>
        <v>48000</v>
      </c>
      <c r="Y230" s="159">
        <f>X230*U230</f>
        <v>480000</v>
      </c>
      <c r="Z230" s="85"/>
      <c r="AA230" s="157"/>
      <c r="AB230" s="157">
        <f t="shared" si="39"/>
        <v>10</v>
      </c>
      <c r="AC230" s="158">
        <f t="shared" si="37"/>
        <v>50000</v>
      </c>
      <c r="AD230"/>
    </row>
    <row r="231" spans="1:30" ht="85.2" customHeight="1" x14ac:dyDescent="0.3">
      <c r="A231" s="85">
        <v>3</v>
      </c>
      <c r="B231" s="85" t="s">
        <v>894</v>
      </c>
      <c r="C231" s="325" t="s">
        <v>902</v>
      </c>
      <c r="D231" s="162" t="s">
        <v>683</v>
      </c>
      <c r="E231" s="102" t="s">
        <v>543</v>
      </c>
      <c r="F231" s="102"/>
      <c r="G231" s="102"/>
      <c r="H231" s="102">
        <v>2</v>
      </c>
      <c r="I231" s="155">
        <f t="shared" si="48"/>
        <v>2</v>
      </c>
      <c r="J231" s="10" t="s">
        <v>220</v>
      </c>
      <c r="K231" s="85"/>
      <c r="L231" s="90" t="s">
        <v>491</v>
      </c>
      <c r="M231" s="85" t="s">
        <v>33</v>
      </c>
      <c r="N231" s="10" t="s">
        <v>220</v>
      </c>
      <c r="O231" s="157" t="s">
        <v>42</v>
      </c>
      <c r="P231" s="90"/>
      <c r="Q231" s="90"/>
      <c r="R231" s="90"/>
      <c r="S231" s="90"/>
      <c r="T231" s="90"/>
      <c r="U231" s="90">
        <v>2</v>
      </c>
      <c r="V231" s="90"/>
      <c r="W231" s="157">
        <f t="shared" si="45"/>
        <v>2</v>
      </c>
      <c r="X231" s="158">
        <f>SUMIFS('Đơn giá'!C:C,'Đơn giá'!B:B,'XUẤT (2)'!O231)</f>
        <v>48000</v>
      </c>
      <c r="Y231" s="159">
        <f>X231*U231</f>
        <v>96000</v>
      </c>
      <c r="Z231" s="85" t="s">
        <v>911</v>
      </c>
      <c r="AA231" s="157"/>
      <c r="AB231" s="157">
        <f t="shared" si="39"/>
        <v>2</v>
      </c>
      <c r="AC231" s="158">
        <f t="shared" si="37"/>
        <v>10000</v>
      </c>
      <c r="AD231"/>
    </row>
    <row r="232" spans="1:30" ht="81" customHeight="1" x14ac:dyDescent="0.3">
      <c r="A232" s="85">
        <v>4</v>
      </c>
      <c r="B232" s="85" t="s">
        <v>894</v>
      </c>
      <c r="C232" s="303" t="s">
        <v>913</v>
      </c>
      <c r="D232" s="162" t="s">
        <v>683</v>
      </c>
      <c r="E232" s="102" t="s">
        <v>543</v>
      </c>
      <c r="F232" s="102"/>
      <c r="G232" s="102">
        <v>22</v>
      </c>
      <c r="H232" s="102"/>
      <c r="I232" s="155">
        <f t="shared" si="48"/>
        <v>22</v>
      </c>
      <c r="J232" s="85" t="s">
        <v>792</v>
      </c>
      <c r="K232" s="85"/>
      <c r="L232" s="90" t="s">
        <v>491</v>
      </c>
      <c r="M232" s="85" t="s">
        <v>46</v>
      </c>
      <c r="N232" s="150" t="s">
        <v>903</v>
      </c>
      <c r="O232" s="157" t="s">
        <v>29</v>
      </c>
      <c r="P232" s="90"/>
      <c r="Q232" s="90">
        <v>20</v>
      </c>
      <c r="R232" s="90"/>
      <c r="S232" s="90"/>
      <c r="T232" s="90"/>
      <c r="U232" s="90"/>
      <c r="V232" s="90">
        <v>2</v>
      </c>
      <c r="W232" s="157">
        <f t="shared" si="45"/>
        <v>22</v>
      </c>
      <c r="X232" s="158">
        <f>SUMIFS('Đơn giá'!C:C,'Đơn giá'!B:B,'XUẤT (2)'!O232)</f>
        <v>85000</v>
      </c>
      <c r="Y232" s="159">
        <f>X232*Q232</f>
        <v>1700000</v>
      </c>
      <c r="Z232" s="85" t="s">
        <v>911</v>
      </c>
      <c r="AA232" s="85"/>
      <c r="AB232" s="157">
        <f>W232-V232</f>
        <v>20</v>
      </c>
      <c r="AC232" s="158">
        <f t="shared" si="37"/>
        <v>100000</v>
      </c>
      <c r="AD232"/>
    </row>
    <row r="233" spans="1:30" ht="61.8" customHeight="1" x14ac:dyDescent="0.3">
      <c r="A233" s="85">
        <v>5</v>
      </c>
      <c r="B233" s="85" t="s">
        <v>894</v>
      </c>
      <c r="C233" s="325" t="s">
        <v>904</v>
      </c>
      <c r="D233" s="162" t="s">
        <v>683</v>
      </c>
      <c r="E233" s="102" t="s">
        <v>543</v>
      </c>
      <c r="F233" s="102"/>
      <c r="G233" s="102"/>
      <c r="H233" s="102">
        <v>1</v>
      </c>
      <c r="I233" s="155">
        <f t="shared" si="48"/>
        <v>1</v>
      </c>
      <c r="J233" s="85" t="s">
        <v>98</v>
      </c>
      <c r="K233" s="85"/>
      <c r="L233" s="90" t="s">
        <v>491</v>
      </c>
      <c r="M233" s="85" t="s">
        <v>33</v>
      </c>
      <c r="N233" s="150" t="s">
        <v>98</v>
      </c>
      <c r="O233" s="157" t="s">
        <v>42</v>
      </c>
      <c r="P233" s="90"/>
      <c r="Q233" s="90"/>
      <c r="R233" s="90"/>
      <c r="S233" s="90"/>
      <c r="T233" s="90"/>
      <c r="U233" s="90">
        <v>1</v>
      </c>
      <c r="V233" s="90"/>
      <c r="W233" s="157">
        <f t="shared" si="45"/>
        <v>1</v>
      </c>
      <c r="X233" s="158">
        <f>SUMIFS('Đơn giá'!C:C,'Đơn giá'!B:B,'XUẤT (2)'!O233)</f>
        <v>48000</v>
      </c>
      <c r="Y233" s="159">
        <f>X233*U233</f>
        <v>48000</v>
      </c>
      <c r="Z233" s="85" t="s">
        <v>905</v>
      </c>
      <c r="AA233" s="85" t="s">
        <v>98</v>
      </c>
      <c r="AB233" s="157">
        <f t="shared" si="39"/>
        <v>1</v>
      </c>
      <c r="AC233" s="158">
        <f t="shared" si="37"/>
        <v>5000</v>
      </c>
      <c r="AD233"/>
    </row>
    <row r="234" spans="1:30" ht="85.2" customHeight="1" x14ac:dyDescent="0.3">
      <c r="A234" s="85">
        <v>6</v>
      </c>
      <c r="B234" s="85" t="s">
        <v>894</v>
      </c>
      <c r="C234" s="386" t="s">
        <v>923</v>
      </c>
      <c r="D234" s="162" t="s">
        <v>683</v>
      </c>
      <c r="E234" s="102" t="s">
        <v>224</v>
      </c>
      <c r="F234" s="102"/>
      <c r="G234" s="102">
        <v>15</v>
      </c>
      <c r="H234" s="102"/>
      <c r="I234" s="155">
        <f t="shared" si="48"/>
        <v>15</v>
      </c>
      <c r="J234" s="85" t="s">
        <v>792</v>
      </c>
      <c r="K234" s="85"/>
      <c r="L234" s="90"/>
      <c r="M234" s="85" t="s">
        <v>33</v>
      </c>
      <c r="N234" s="10" t="s">
        <v>232</v>
      </c>
      <c r="O234" s="157" t="s">
        <v>26</v>
      </c>
      <c r="P234" s="90">
        <v>15</v>
      </c>
      <c r="Q234" s="90"/>
      <c r="R234" s="90"/>
      <c r="S234" s="90"/>
      <c r="T234" s="90"/>
      <c r="U234" s="90"/>
      <c r="V234" s="90">
        <v>1</v>
      </c>
      <c r="W234" s="157">
        <f t="shared" si="45"/>
        <v>16</v>
      </c>
      <c r="X234" s="158">
        <f>SUMIFS('Đơn giá'!C:C,'Đơn giá'!B:B,'XUẤT (2)'!O234)</f>
        <v>98000</v>
      </c>
      <c r="Y234" s="159">
        <f>X234*P234</f>
        <v>1470000</v>
      </c>
      <c r="Z234" s="85"/>
      <c r="AA234" s="10" t="s">
        <v>232</v>
      </c>
      <c r="AB234" s="157">
        <f t="shared" si="39"/>
        <v>15</v>
      </c>
      <c r="AC234" s="158">
        <f t="shared" si="37"/>
        <v>75000</v>
      </c>
      <c r="AD234"/>
    </row>
    <row r="235" spans="1:30" ht="36" customHeight="1" x14ac:dyDescent="0.3">
      <c r="A235" s="85"/>
      <c r="B235" s="85"/>
      <c r="C235" s="325"/>
      <c r="D235" s="162"/>
      <c r="E235" s="102" t="s">
        <v>224</v>
      </c>
      <c r="F235" s="102"/>
      <c r="G235" s="102">
        <v>5</v>
      </c>
      <c r="H235" s="102"/>
      <c r="I235" s="155">
        <f t="shared" si="48"/>
        <v>5</v>
      </c>
      <c r="J235" s="85" t="s">
        <v>792</v>
      </c>
      <c r="K235" s="85"/>
      <c r="L235" s="90"/>
      <c r="M235" s="85" t="s">
        <v>33</v>
      </c>
      <c r="N235" s="10" t="s">
        <v>232</v>
      </c>
      <c r="O235" s="157" t="s">
        <v>29</v>
      </c>
      <c r="P235" s="90"/>
      <c r="Q235" s="90">
        <v>5</v>
      </c>
      <c r="R235" s="90"/>
      <c r="S235" s="90"/>
      <c r="T235" s="90"/>
      <c r="U235" s="90"/>
      <c r="V235" s="90">
        <v>1</v>
      </c>
      <c r="W235" s="157">
        <f t="shared" si="45"/>
        <v>6</v>
      </c>
      <c r="X235" s="158">
        <f>SUMIFS('Đơn giá'!C:C,'Đơn giá'!B:B,'XUẤT (2)'!O235)</f>
        <v>85000</v>
      </c>
      <c r="Y235" s="159">
        <f>X235*Q235</f>
        <v>425000</v>
      </c>
      <c r="Z235" s="85"/>
      <c r="AA235" s="10" t="s">
        <v>232</v>
      </c>
      <c r="AB235" s="157">
        <f t="shared" si="39"/>
        <v>5</v>
      </c>
      <c r="AC235" s="158">
        <f t="shared" si="37"/>
        <v>25000</v>
      </c>
      <c r="AD235"/>
    </row>
    <row r="236" spans="1:30" ht="85.2" customHeight="1" x14ac:dyDescent="0.3">
      <c r="A236" s="85">
        <v>7</v>
      </c>
      <c r="B236" s="85" t="s">
        <v>894</v>
      </c>
      <c r="C236" s="325" t="s">
        <v>906</v>
      </c>
      <c r="D236" s="162" t="s">
        <v>683</v>
      </c>
      <c r="E236" s="102" t="s">
        <v>543</v>
      </c>
      <c r="F236" s="102"/>
      <c r="G236" s="102">
        <v>16</v>
      </c>
      <c r="H236" s="102"/>
      <c r="I236" s="155">
        <f t="shared" si="48"/>
        <v>16</v>
      </c>
      <c r="J236" s="85" t="s">
        <v>792</v>
      </c>
      <c r="K236" s="85"/>
      <c r="L236" s="90" t="s">
        <v>491</v>
      </c>
      <c r="M236" s="85" t="s">
        <v>46</v>
      </c>
      <c r="N236" s="150" t="s">
        <v>908</v>
      </c>
      <c r="O236" s="157" t="s">
        <v>26</v>
      </c>
      <c r="P236" s="90">
        <v>15</v>
      </c>
      <c r="Q236" s="90"/>
      <c r="R236" s="90"/>
      <c r="S236" s="90"/>
      <c r="T236" s="90"/>
      <c r="U236" s="90"/>
      <c r="V236" s="90">
        <v>1</v>
      </c>
      <c r="W236" s="157">
        <f t="shared" si="45"/>
        <v>16</v>
      </c>
      <c r="X236" s="158">
        <f>SUMIFS('Đơn giá'!C:C,'Đơn giá'!B:B,'XUẤT (2)'!O236)</f>
        <v>98000</v>
      </c>
      <c r="Y236" s="159">
        <f>X236*P236</f>
        <v>1470000</v>
      </c>
      <c r="Z236" s="85" t="s">
        <v>911</v>
      </c>
      <c r="AA236" s="85" t="s">
        <v>792</v>
      </c>
      <c r="AB236" s="157">
        <f t="shared" si="39"/>
        <v>15</v>
      </c>
      <c r="AC236" s="158">
        <f t="shared" si="37"/>
        <v>75000</v>
      </c>
      <c r="AD236"/>
    </row>
    <row r="237" spans="1:30" ht="85.2" customHeight="1" x14ac:dyDescent="0.3">
      <c r="A237" s="85">
        <v>8</v>
      </c>
      <c r="B237" s="85" t="s">
        <v>894</v>
      </c>
      <c r="C237" s="325" t="s">
        <v>907</v>
      </c>
      <c r="D237" s="162" t="s">
        <v>683</v>
      </c>
      <c r="E237" s="102" t="s">
        <v>224</v>
      </c>
      <c r="F237" s="102"/>
      <c r="G237" s="102"/>
      <c r="H237" s="102">
        <v>6</v>
      </c>
      <c r="I237" s="155">
        <f t="shared" si="48"/>
        <v>6</v>
      </c>
      <c r="J237" s="85" t="s">
        <v>792</v>
      </c>
      <c r="K237" s="85"/>
      <c r="L237" s="90"/>
      <c r="M237" s="85" t="s">
        <v>46</v>
      </c>
      <c r="N237" s="150" t="s">
        <v>851</v>
      </c>
      <c r="O237" s="157" t="s">
        <v>39</v>
      </c>
      <c r="P237" s="90"/>
      <c r="Q237" s="90"/>
      <c r="R237" s="90"/>
      <c r="S237" s="90"/>
      <c r="T237" s="90">
        <v>6</v>
      </c>
      <c r="U237" s="90"/>
      <c r="V237" s="90"/>
      <c r="W237" s="157">
        <f t="shared" si="45"/>
        <v>6</v>
      </c>
      <c r="X237" s="158">
        <f>SUMIFS('Đơn giá'!C:C,'Đơn giá'!B:B,'XUẤT (2)'!O237)</f>
        <v>52000</v>
      </c>
      <c r="Y237" s="159">
        <f>X237*T237</f>
        <v>312000</v>
      </c>
      <c r="Z237" s="85" t="s">
        <v>912</v>
      </c>
      <c r="AA237" s="85" t="s">
        <v>792</v>
      </c>
      <c r="AB237" s="157">
        <f t="shared" si="39"/>
        <v>6</v>
      </c>
      <c r="AC237" s="158">
        <f t="shared" si="37"/>
        <v>30000</v>
      </c>
      <c r="AD237"/>
    </row>
    <row r="238" spans="1:30" ht="51" customHeight="1" x14ac:dyDescent="0.3">
      <c r="A238" s="85">
        <v>9</v>
      </c>
      <c r="B238" s="85" t="s">
        <v>894</v>
      </c>
      <c r="C238" s="303" t="s">
        <v>909</v>
      </c>
      <c r="D238" s="162" t="s">
        <v>683</v>
      </c>
      <c r="E238" s="102" t="s">
        <v>224</v>
      </c>
      <c r="F238" s="102"/>
      <c r="G238" s="102">
        <v>11</v>
      </c>
      <c r="H238" s="102"/>
      <c r="I238" s="155">
        <f t="shared" si="48"/>
        <v>11</v>
      </c>
      <c r="J238" s="85" t="s">
        <v>792</v>
      </c>
      <c r="K238" s="85"/>
      <c r="L238" s="90"/>
      <c r="M238" s="85" t="s">
        <v>33</v>
      </c>
      <c r="N238" s="7" t="s">
        <v>125</v>
      </c>
      <c r="O238" s="157" t="s">
        <v>29</v>
      </c>
      <c r="P238" s="90"/>
      <c r="Q238" s="90">
        <v>10</v>
      </c>
      <c r="R238" s="90"/>
      <c r="S238" s="90"/>
      <c r="T238" s="90"/>
      <c r="U238" s="90"/>
      <c r="V238" s="90">
        <v>1</v>
      </c>
      <c r="W238" s="157">
        <f t="shared" si="45"/>
        <v>11</v>
      </c>
      <c r="X238" s="158">
        <f>SUMIFS('Đơn giá'!C:C,'Đơn giá'!B:B,'XUẤT (2)'!O238)</f>
        <v>85000</v>
      </c>
      <c r="Y238" s="159">
        <f>X238*Q238</f>
        <v>850000</v>
      </c>
      <c r="Z238" s="85"/>
      <c r="AA238" s="85" t="s">
        <v>792</v>
      </c>
      <c r="AB238" s="157">
        <f t="shared" si="39"/>
        <v>10</v>
      </c>
      <c r="AC238" s="158">
        <f t="shared" si="37"/>
        <v>50000</v>
      </c>
      <c r="AD238"/>
    </row>
    <row r="239" spans="1:30" ht="58.2" customHeight="1" x14ac:dyDescent="0.3">
      <c r="A239" s="85">
        <v>10</v>
      </c>
      <c r="B239" s="85" t="s">
        <v>894</v>
      </c>
      <c r="C239" s="325" t="s">
        <v>910</v>
      </c>
      <c r="D239" s="162" t="s">
        <v>683</v>
      </c>
      <c r="E239" s="102" t="s">
        <v>543</v>
      </c>
      <c r="F239" s="102"/>
      <c r="G239" s="102"/>
      <c r="H239" s="102">
        <v>2</v>
      </c>
      <c r="I239" s="155">
        <f t="shared" si="48"/>
        <v>2</v>
      </c>
      <c r="J239" s="85" t="s">
        <v>98</v>
      </c>
      <c r="K239" s="85"/>
      <c r="L239" s="90"/>
      <c r="M239" s="85" t="s">
        <v>33</v>
      </c>
      <c r="N239" s="7" t="s">
        <v>98</v>
      </c>
      <c r="O239" s="157" t="s">
        <v>39</v>
      </c>
      <c r="P239" s="90"/>
      <c r="Q239" s="90"/>
      <c r="R239" s="90"/>
      <c r="S239" s="90"/>
      <c r="T239" s="90">
        <v>2</v>
      </c>
      <c r="U239" s="90"/>
      <c r="V239" s="90"/>
      <c r="W239" s="157">
        <f t="shared" si="45"/>
        <v>2</v>
      </c>
      <c r="X239" s="158">
        <f>SUMIFS('Đơn giá'!C:C,'Đơn giá'!B:B,'XUẤT (2)'!O239)</f>
        <v>52000</v>
      </c>
      <c r="Y239" s="159">
        <f>X239*T239</f>
        <v>104000</v>
      </c>
      <c r="Z239" s="85" t="s">
        <v>911</v>
      </c>
      <c r="AA239" s="85" t="s">
        <v>98</v>
      </c>
      <c r="AB239" s="157">
        <f t="shared" si="39"/>
        <v>2</v>
      </c>
      <c r="AC239" s="158">
        <f t="shared" si="37"/>
        <v>10000</v>
      </c>
      <c r="AD239"/>
    </row>
    <row r="240" spans="1:30" ht="85.2" customHeight="1" x14ac:dyDescent="0.3">
      <c r="A240" s="85">
        <v>11</v>
      </c>
      <c r="B240" s="152" t="s">
        <v>894</v>
      </c>
      <c r="C240" s="363" t="s">
        <v>949</v>
      </c>
      <c r="D240" s="162" t="s">
        <v>683</v>
      </c>
      <c r="E240" s="102" t="s">
        <v>224</v>
      </c>
      <c r="F240" s="102"/>
      <c r="G240" s="102">
        <v>11</v>
      </c>
      <c r="H240" s="102"/>
      <c r="I240" s="155">
        <f t="shared" si="48"/>
        <v>11</v>
      </c>
      <c r="J240" s="85" t="s">
        <v>792</v>
      </c>
      <c r="K240" s="85"/>
      <c r="L240" s="90" t="s">
        <v>491</v>
      </c>
      <c r="M240" s="85" t="s">
        <v>33</v>
      </c>
      <c r="N240" s="10" t="s">
        <v>58</v>
      </c>
      <c r="O240" s="157" t="s">
        <v>26</v>
      </c>
      <c r="P240" s="90">
        <v>10</v>
      </c>
      <c r="Q240" s="90"/>
      <c r="R240" s="90"/>
      <c r="S240" s="90"/>
      <c r="T240" s="90"/>
      <c r="U240" s="90"/>
      <c r="V240" s="90">
        <v>1</v>
      </c>
      <c r="W240" s="157">
        <f t="shared" si="45"/>
        <v>11</v>
      </c>
      <c r="X240" s="158">
        <f>SUMIFS('Đơn giá'!C:C,'Đơn giá'!B:B,'XUẤT (2)'!O240)</f>
        <v>98000</v>
      </c>
      <c r="Y240" s="159">
        <f>X240*P240</f>
        <v>980000</v>
      </c>
      <c r="Z240" s="232"/>
      <c r="AA240" s="85" t="s">
        <v>792</v>
      </c>
      <c r="AB240" s="157">
        <f t="shared" si="39"/>
        <v>10</v>
      </c>
      <c r="AC240" s="158">
        <f t="shared" si="37"/>
        <v>50000</v>
      </c>
    </row>
    <row r="241" spans="1:30" ht="85.2" customHeight="1" x14ac:dyDescent="0.3">
      <c r="A241" s="85">
        <v>12</v>
      </c>
      <c r="B241" s="85" t="s">
        <v>894</v>
      </c>
      <c r="C241" s="303" t="s">
        <v>920</v>
      </c>
      <c r="D241" s="162" t="s">
        <v>683</v>
      </c>
      <c r="E241" s="102" t="s">
        <v>224</v>
      </c>
      <c r="F241" s="102"/>
      <c r="G241" s="102"/>
      <c r="H241" s="102">
        <v>10</v>
      </c>
      <c r="I241" s="155">
        <f t="shared" si="48"/>
        <v>10</v>
      </c>
      <c r="J241" s="85" t="s">
        <v>792</v>
      </c>
      <c r="K241" s="85" t="s">
        <v>918</v>
      </c>
      <c r="L241" s="90" t="s">
        <v>491</v>
      </c>
      <c r="M241" s="85" t="s">
        <v>46</v>
      </c>
      <c r="N241" s="150" t="s">
        <v>919</v>
      </c>
      <c r="O241" s="157" t="s">
        <v>42</v>
      </c>
      <c r="P241" s="90"/>
      <c r="Q241" s="90"/>
      <c r="R241" s="90"/>
      <c r="S241" s="90"/>
      <c r="T241" s="90"/>
      <c r="U241" s="90">
        <v>10</v>
      </c>
      <c r="V241" s="90">
        <v>1</v>
      </c>
      <c r="W241" s="157">
        <f t="shared" si="45"/>
        <v>11</v>
      </c>
      <c r="X241" s="158">
        <f>SUMIFS('Đơn giá'!C:C,'Đơn giá'!B:B,'XUẤT (2)'!O241)</f>
        <v>48000</v>
      </c>
      <c r="Y241" s="159">
        <f t="shared" ref="Y241:Y246" si="50">X241*P241</f>
        <v>0</v>
      </c>
      <c r="Z241" s="232"/>
      <c r="AA241" s="85" t="s">
        <v>792</v>
      </c>
      <c r="AB241" s="157">
        <f t="shared" si="39"/>
        <v>10</v>
      </c>
      <c r="AC241" s="158">
        <f t="shared" si="37"/>
        <v>50000</v>
      </c>
    </row>
    <row r="242" spans="1:30" ht="85.2" customHeight="1" x14ac:dyDescent="0.3">
      <c r="A242" s="85">
        <v>13</v>
      </c>
      <c r="B242" s="85" t="s">
        <v>894</v>
      </c>
      <c r="C242" s="325" t="s">
        <v>917</v>
      </c>
      <c r="D242" s="162" t="s">
        <v>683</v>
      </c>
      <c r="E242" s="102" t="s">
        <v>543</v>
      </c>
      <c r="F242" s="102"/>
      <c r="G242" s="102"/>
      <c r="H242" s="102">
        <v>1</v>
      </c>
      <c r="I242" s="155">
        <f t="shared" si="48"/>
        <v>1</v>
      </c>
      <c r="J242" s="85" t="s">
        <v>792</v>
      </c>
      <c r="K242" s="85"/>
      <c r="L242" s="90"/>
      <c r="M242" s="85" t="s">
        <v>46</v>
      </c>
      <c r="N242" s="150" t="s">
        <v>77</v>
      </c>
      <c r="O242" s="90"/>
      <c r="P242" s="90"/>
      <c r="Q242" s="90"/>
      <c r="R242" s="90"/>
      <c r="S242" s="90"/>
      <c r="T242" s="90"/>
      <c r="U242" s="90"/>
      <c r="V242" s="90"/>
      <c r="W242" s="157">
        <f t="shared" si="45"/>
        <v>0</v>
      </c>
      <c r="X242" s="158">
        <f>SUMIFS('Đơn giá'!C:C,'Đơn giá'!B:B,'XUẤT (2)'!O242)</f>
        <v>0</v>
      </c>
      <c r="Y242" s="159">
        <f t="shared" si="50"/>
        <v>0</v>
      </c>
      <c r="Z242" s="232"/>
      <c r="AA242" s="85"/>
      <c r="AB242" s="157">
        <f t="shared" si="39"/>
        <v>0</v>
      </c>
      <c r="AC242" s="158">
        <f t="shared" si="37"/>
        <v>0</v>
      </c>
    </row>
    <row r="243" spans="1:30" ht="64.8" customHeight="1" x14ac:dyDescent="0.3">
      <c r="A243" s="85">
        <v>14</v>
      </c>
      <c r="B243" s="85" t="s">
        <v>894</v>
      </c>
      <c r="C243" s="325" t="s">
        <v>922</v>
      </c>
      <c r="D243" s="162" t="s">
        <v>683</v>
      </c>
      <c r="E243" s="102" t="s">
        <v>543</v>
      </c>
      <c r="F243" s="102"/>
      <c r="G243" s="102"/>
      <c r="H243" s="102">
        <v>5</v>
      </c>
      <c r="I243" s="155">
        <f t="shared" si="48"/>
        <v>5</v>
      </c>
      <c r="J243" s="85" t="s">
        <v>792</v>
      </c>
      <c r="K243" s="85"/>
      <c r="L243" s="90"/>
      <c r="M243" s="85" t="s">
        <v>33</v>
      </c>
      <c r="N243" s="10" t="s">
        <v>59</v>
      </c>
      <c r="O243" s="157" t="s">
        <v>42</v>
      </c>
      <c r="P243" s="90"/>
      <c r="Q243" s="90"/>
      <c r="R243" s="90"/>
      <c r="S243" s="90"/>
      <c r="T243" s="90"/>
      <c r="U243" s="90">
        <v>5</v>
      </c>
      <c r="V243" s="90"/>
      <c r="W243" s="157">
        <f t="shared" si="45"/>
        <v>5</v>
      </c>
      <c r="X243" s="158">
        <f>SUMIFS('Đơn giá'!C:C,'Đơn giá'!B:B,'XUẤT (2)'!O243)</f>
        <v>48000</v>
      </c>
      <c r="Y243" s="159">
        <f>U243*X243</f>
        <v>240000</v>
      </c>
      <c r="Z243" s="232"/>
      <c r="AA243" s="85" t="s">
        <v>792</v>
      </c>
      <c r="AB243" s="157">
        <f t="shared" si="39"/>
        <v>5</v>
      </c>
      <c r="AC243" s="158">
        <f t="shared" si="37"/>
        <v>25000</v>
      </c>
    </row>
    <row r="244" spans="1:30" ht="85.2" customHeight="1" x14ac:dyDescent="0.3">
      <c r="A244" s="85"/>
      <c r="B244" s="85" t="s">
        <v>894</v>
      </c>
      <c r="C244" s="325" t="s">
        <v>921</v>
      </c>
      <c r="D244" s="162" t="s">
        <v>683</v>
      </c>
      <c r="E244" s="102" t="s">
        <v>543</v>
      </c>
      <c r="F244" s="102"/>
      <c r="G244" s="102">
        <v>6</v>
      </c>
      <c r="H244" s="102"/>
      <c r="I244" s="155">
        <f t="shared" si="48"/>
        <v>6</v>
      </c>
      <c r="J244" s="10" t="s">
        <v>137</v>
      </c>
      <c r="K244" s="85"/>
      <c r="L244" s="90" t="s">
        <v>491</v>
      </c>
      <c r="M244" s="85" t="s">
        <v>33</v>
      </c>
      <c r="N244" s="10" t="s">
        <v>238</v>
      </c>
      <c r="O244" s="157" t="s">
        <v>29</v>
      </c>
      <c r="P244" s="90"/>
      <c r="Q244" s="90">
        <v>5</v>
      </c>
      <c r="R244" s="90"/>
      <c r="S244" s="90"/>
      <c r="T244" s="90"/>
      <c r="U244" s="90"/>
      <c r="V244" s="90">
        <v>1</v>
      </c>
      <c r="W244" s="157">
        <f t="shared" si="45"/>
        <v>6</v>
      </c>
      <c r="X244" s="158">
        <f>SUMIFS('Đơn giá'!C:C,'Đơn giá'!B:B,'XUẤT (2)'!O244)</f>
        <v>85000</v>
      </c>
      <c r="Y244" s="159">
        <f>X244*Q244</f>
        <v>425000</v>
      </c>
      <c r="Z244" s="232"/>
      <c r="AA244" s="10" t="s">
        <v>137</v>
      </c>
      <c r="AB244" s="157">
        <f t="shared" si="39"/>
        <v>5</v>
      </c>
      <c r="AC244" s="158">
        <f t="shared" si="37"/>
        <v>25000</v>
      </c>
    </row>
    <row r="245" spans="1:30" ht="85.2" customHeight="1" x14ac:dyDescent="0.3">
      <c r="A245" s="85">
        <v>13</v>
      </c>
      <c r="B245" s="85" t="s">
        <v>894</v>
      </c>
      <c r="C245" s="303" t="s">
        <v>571</v>
      </c>
      <c r="D245" s="162" t="s">
        <v>683</v>
      </c>
      <c r="E245" s="102" t="s">
        <v>224</v>
      </c>
      <c r="F245" s="102"/>
      <c r="G245" s="102">
        <v>36</v>
      </c>
      <c r="H245" s="102"/>
      <c r="I245" s="155">
        <f t="shared" si="48"/>
        <v>36</v>
      </c>
      <c r="J245" s="85" t="s">
        <v>49</v>
      </c>
      <c r="K245" s="85"/>
      <c r="L245" s="90" t="s">
        <v>491</v>
      </c>
      <c r="M245" s="85" t="s">
        <v>33</v>
      </c>
      <c r="N245" s="85" t="s">
        <v>49</v>
      </c>
      <c r="O245" s="157" t="s">
        <v>26</v>
      </c>
      <c r="P245" s="90">
        <v>36</v>
      </c>
      <c r="Q245" s="90"/>
      <c r="R245" s="90"/>
      <c r="S245" s="90"/>
      <c r="T245" s="90"/>
      <c r="U245" s="90"/>
      <c r="V245" s="90"/>
      <c r="W245" s="157">
        <f t="shared" si="45"/>
        <v>36</v>
      </c>
      <c r="X245" s="158">
        <f>SUMIFS('Đơn giá'!C:C,'Đơn giá'!B:B,'XUẤT (2)'!O245)</f>
        <v>98000</v>
      </c>
      <c r="Y245" s="159">
        <f t="shared" si="50"/>
        <v>3528000</v>
      </c>
      <c r="Z245" s="232"/>
      <c r="AA245" s="85" t="s">
        <v>49</v>
      </c>
      <c r="AB245" s="157">
        <f t="shared" si="39"/>
        <v>36</v>
      </c>
      <c r="AC245" s="158">
        <f t="shared" ref="AC245:AC246" si="51">AB245*5000</f>
        <v>180000</v>
      </c>
    </row>
    <row r="246" spans="1:30" ht="85.2" customHeight="1" x14ac:dyDescent="0.3">
      <c r="A246" s="85">
        <v>14</v>
      </c>
      <c r="B246" s="85" t="s">
        <v>894</v>
      </c>
      <c r="C246" s="325" t="s">
        <v>924</v>
      </c>
      <c r="D246" s="162" t="s">
        <v>683</v>
      </c>
      <c r="E246" s="102" t="s">
        <v>90</v>
      </c>
      <c r="F246" s="102"/>
      <c r="G246" s="102">
        <v>1</v>
      </c>
      <c r="H246" s="102"/>
      <c r="I246" s="155">
        <f t="shared" si="48"/>
        <v>1</v>
      </c>
      <c r="J246" s="85" t="s">
        <v>139</v>
      </c>
      <c r="K246" s="85"/>
      <c r="L246" s="90" t="s">
        <v>491</v>
      </c>
      <c r="M246" s="85" t="s">
        <v>33</v>
      </c>
      <c r="N246" s="85" t="s">
        <v>139</v>
      </c>
      <c r="O246" s="157" t="s">
        <v>26</v>
      </c>
      <c r="P246" s="90">
        <v>1</v>
      </c>
      <c r="Q246" s="90"/>
      <c r="R246" s="90"/>
      <c r="S246" s="90"/>
      <c r="T246" s="90"/>
      <c r="U246" s="90"/>
      <c r="V246" s="90"/>
      <c r="W246" s="157">
        <f t="shared" si="45"/>
        <v>1</v>
      </c>
      <c r="X246" s="158">
        <f>SUMIFS('Đơn giá'!C:C,'Đơn giá'!B:B,'XUẤT (2)'!O246)</f>
        <v>98000</v>
      </c>
      <c r="Y246" s="159">
        <f t="shared" si="50"/>
        <v>98000</v>
      </c>
      <c r="Z246" s="232"/>
      <c r="AA246" s="85" t="s">
        <v>139</v>
      </c>
      <c r="AB246" s="157">
        <f t="shared" si="39"/>
        <v>1</v>
      </c>
      <c r="AC246" s="158">
        <f t="shared" si="51"/>
        <v>5000</v>
      </c>
    </row>
    <row r="247" spans="1:30" ht="54" customHeight="1" x14ac:dyDescent="0.3">
      <c r="A247" s="85">
        <v>15</v>
      </c>
      <c r="B247" s="85" t="s">
        <v>894</v>
      </c>
      <c r="C247" s="325" t="s">
        <v>970</v>
      </c>
      <c r="D247" s="102"/>
      <c r="E247" s="102"/>
      <c r="F247" s="102"/>
      <c r="G247" s="102"/>
      <c r="H247" s="102"/>
      <c r="I247" s="102"/>
      <c r="J247" s="85"/>
      <c r="K247" s="85"/>
      <c r="L247" s="90"/>
      <c r="M247" s="85" t="s">
        <v>46</v>
      </c>
      <c r="N247" s="150"/>
      <c r="O247" s="157" t="s">
        <v>42</v>
      </c>
      <c r="P247" s="90"/>
      <c r="Q247" s="90"/>
      <c r="R247" s="90"/>
      <c r="S247" s="90"/>
      <c r="T247" s="90"/>
      <c r="U247" s="90">
        <v>25</v>
      </c>
      <c r="V247" s="90">
        <v>2</v>
      </c>
      <c r="W247" s="157">
        <f t="shared" si="45"/>
        <v>27</v>
      </c>
      <c r="X247" s="158">
        <f>SUMIFS('Đơn giá'!C:C,'Đơn giá'!B:B,'XUẤT (2)'!O247)</f>
        <v>48000</v>
      </c>
      <c r="Y247" s="159">
        <f t="shared" ref="Y247" si="52">X247*P247</f>
        <v>0</v>
      </c>
      <c r="Z247" s="232"/>
      <c r="AA247" s="85"/>
      <c r="AB247" s="85"/>
      <c r="AC247" s="90"/>
    </row>
    <row r="256" spans="1:30" ht="85.2" customHeight="1" x14ac:dyDescent="0.3">
      <c r="A256" s="85">
        <v>2</v>
      </c>
      <c r="B256" s="85" t="s">
        <v>894</v>
      </c>
      <c r="C256" s="303" t="s">
        <v>901</v>
      </c>
      <c r="D256" s="162" t="s">
        <v>683</v>
      </c>
      <c r="E256" s="102" t="s">
        <v>767</v>
      </c>
      <c r="F256" s="102"/>
      <c r="G256" s="102"/>
      <c r="H256" s="102">
        <v>33</v>
      </c>
      <c r="I256" s="155">
        <f t="shared" ref="I256" si="53">F256+G256+H256</f>
        <v>33</v>
      </c>
      <c r="J256" s="85" t="s">
        <v>695</v>
      </c>
      <c r="K256" s="85" t="s">
        <v>695</v>
      </c>
      <c r="L256" s="90" t="s">
        <v>491</v>
      </c>
      <c r="M256" s="85" t="s">
        <v>46</v>
      </c>
      <c r="N256" s="150" t="s">
        <v>694</v>
      </c>
      <c r="O256" s="157" t="s">
        <v>39</v>
      </c>
      <c r="P256" s="90"/>
      <c r="Q256" s="90"/>
      <c r="R256" s="90"/>
      <c r="S256" s="90"/>
      <c r="T256" s="90">
        <v>30</v>
      </c>
      <c r="U256" s="90"/>
      <c r="V256" s="90">
        <v>3</v>
      </c>
      <c r="W256" s="157">
        <f t="shared" ref="W256" si="54">SUM(P256:V256)</f>
        <v>33</v>
      </c>
      <c r="X256" s="158">
        <f>SUMIFS('Đơn giá'!C:C,'Đơn giá'!B:B,'XUẤT (2)'!O256)</f>
        <v>52000</v>
      </c>
      <c r="Y256" s="159">
        <f>X256*T256</f>
        <v>1560000</v>
      </c>
      <c r="Z256" s="85"/>
      <c r="AA256" s="157"/>
      <c r="AB256" s="157">
        <f t="shared" ref="AB256" si="55">W256-V256</f>
        <v>30</v>
      </c>
      <c r="AC256" s="158">
        <f t="shared" ref="AC256" si="56">AB256*5000</f>
        <v>150000</v>
      </c>
      <c r="AD256"/>
    </row>
    <row r="257" spans="1:30" ht="138" customHeight="1" x14ac:dyDescent="0.3">
      <c r="A257" s="495">
        <v>4</v>
      </c>
      <c r="B257" s="391" t="s">
        <v>787</v>
      </c>
      <c r="C257" s="496" t="s">
        <v>778</v>
      </c>
      <c r="D257" s="495" t="s">
        <v>683</v>
      </c>
      <c r="E257" s="495" t="s">
        <v>90</v>
      </c>
      <c r="F257" s="495"/>
      <c r="G257" s="495"/>
      <c r="H257" s="495">
        <v>44</v>
      </c>
      <c r="I257" s="275">
        <f t="shared" ref="I257" si="57">F257+G257+H257</f>
        <v>44</v>
      </c>
      <c r="J257" s="495" t="s">
        <v>801</v>
      </c>
      <c r="K257" s="495" t="s">
        <v>524</v>
      </c>
      <c r="L257" s="310" t="s">
        <v>491</v>
      </c>
      <c r="M257" s="391" t="s">
        <v>46</v>
      </c>
      <c r="N257" s="497"/>
      <c r="O257" s="310" t="s">
        <v>42</v>
      </c>
      <c r="P257" s="310"/>
      <c r="Q257" s="310"/>
      <c r="R257" s="310"/>
      <c r="S257" s="310"/>
      <c r="T257" s="310"/>
      <c r="U257" s="310">
        <v>40</v>
      </c>
      <c r="V257" s="310">
        <v>4</v>
      </c>
      <c r="W257" s="255">
        <f t="shared" ref="W257:W259" si="58">SUM(P257:V257)</f>
        <v>44</v>
      </c>
      <c r="X257" s="286">
        <f>SUMIFS('Đơn giá'!C:C,'Đơn giá'!B:B,'XUẤT (2)'!O257)</f>
        <v>48000</v>
      </c>
      <c r="Y257" s="498">
        <f>X257*U257</f>
        <v>1920000</v>
      </c>
      <c r="Z257" s="392"/>
      <c r="AA257" s="499" t="s">
        <v>201</v>
      </c>
      <c r="AB257" s="310">
        <f t="shared" ref="AB257" si="59">W257-V257</f>
        <v>40</v>
      </c>
      <c r="AC257" s="286">
        <f t="shared" ref="AC257" si="60">AB257*5000</f>
        <v>200000</v>
      </c>
      <c r="AD257" s="90"/>
    </row>
    <row r="258" spans="1:30" ht="76.8" customHeight="1" x14ac:dyDescent="0.3">
      <c r="A258" s="85"/>
      <c r="B258" s="85" t="s">
        <v>987</v>
      </c>
      <c r="C258" s="500" t="s">
        <v>878</v>
      </c>
      <c r="D258" s="495" t="s">
        <v>683</v>
      </c>
      <c r="E258" s="495" t="s">
        <v>90</v>
      </c>
      <c r="F258" s="102"/>
      <c r="G258" s="102"/>
      <c r="H258" s="102"/>
      <c r="I258" s="102"/>
      <c r="J258" s="85"/>
      <c r="K258" s="85"/>
      <c r="L258" s="90"/>
      <c r="M258" s="85" t="s">
        <v>46</v>
      </c>
      <c r="N258" s="150"/>
      <c r="O258" s="154" t="s">
        <v>26</v>
      </c>
      <c r="P258" s="90">
        <v>2</v>
      </c>
      <c r="Q258" s="90"/>
      <c r="R258" s="90"/>
      <c r="S258" s="90"/>
      <c r="T258" s="90"/>
      <c r="U258" s="90"/>
      <c r="V258" s="90"/>
      <c r="W258" s="157">
        <f t="shared" ref="W258:W260" si="61">SUM(P258:V258)</f>
        <v>2</v>
      </c>
      <c r="X258" s="91">
        <f>SUMIFS('Đơn giá'!C:C,'Đơn giá'!B:B,'XUẤT (2)'!O258)</f>
        <v>98000</v>
      </c>
      <c r="Y258" s="92">
        <f>P258*X258</f>
        <v>196000</v>
      </c>
      <c r="Z258" s="232"/>
      <c r="AA258" s="85" t="s">
        <v>988</v>
      </c>
      <c r="AB258" s="90">
        <f t="shared" ref="AB258:AB260" si="62">W258-V258</f>
        <v>2</v>
      </c>
      <c r="AC258" s="91">
        <f t="shared" ref="AC258:AC260" si="63">AB258*5000</f>
        <v>10000</v>
      </c>
    </row>
    <row r="259" spans="1:30" ht="39" customHeight="1" x14ac:dyDescent="0.3">
      <c r="A259" s="85"/>
      <c r="B259" s="85"/>
      <c r="C259" s="500"/>
      <c r="D259" s="495" t="s">
        <v>683</v>
      </c>
      <c r="E259" s="495" t="s">
        <v>90</v>
      </c>
      <c r="F259" s="102"/>
      <c r="G259" s="102"/>
      <c r="H259" s="102"/>
      <c r="I259" s="102"/>
      <c r="J259" s="85"/>
      <c r="K259" s="85"/>
      <c r="L259" s="90"/>
      <c r="M259" s="85" t="s">
        <v>46</v>
      </c>
      <c r="N259" s="150"/>
      <c r="O259" s="154" t="s">
        <v>29</v>
      </c>
      <c r="P259" s="90"/>
      <c r="Q259" s="90">
        <v>1</v>
      </c>
      <c r="R259" s="90"/>
      <c r="S259" s="90"/>
      <c r="T259" s="90"/>
      <c r="U259" s="90"/>
      <c r="V259" s="90"/>
      <c r="W259" s="157">
        <f t="shared" si="61"/>
        <v>1</v>
      </c>
      <c r="X259" s="91">
        <f>SUMIFS('Đơn giá'!C:C,'Đơn giá'!B:B,'XUẤT (2)'!O259)</f>
        <v>85000</v>
      </c>
      <c r="Y259" s="92">
        <f>Q259*X259</f>
        <v>85000</v>
      </c>
      <c r="Z259" s="232"/>
      <c r="AA259" s="85" t="s">
        <v>988</v>
      </c>
      <c r="AB259" s="90">
        <f t="shared" si="62"/>
        <v>1</v>
      </c>
      <c r="AC259" s="91">
        <f t="shared" si="63"/>
        <v>5000</v>
      </c>
    </row>
    <row r="260" spans="1:30" ht="56.4" customHeight="1" x14ac:dyDescent="0.3">
      <c r="A260" s="85">
        <v>8</v>
      </c>
      <c r="B260" s="85" t="s">
        <v>987</v>
      </c>
      <c r="C260" s="325" t="s">
        <v>986</v>
      </c>
      <c r="D260" s="495" t="s">
        <v>683</v>
      </c>
      <c r="E260" s="495" t="s">
        <v>90</v>
      </c>
      <c r="F260" s="102"/>
      <c r="G260" s="102"/>
      <c r="H260" s="102">
        <v>11</v>
      </c>
      <c r="I260" s="102"/>
      <c r="J260" s="85"/>
      <c r="K260" s="85"/>
      <c r="L260" s="90"/>
      <c r="M260" s="85" t="s">
        <v>33</v>
      </c>
      <c r="N260" s="150" t="s">
        <v>989</v>
      </c>
      <c r="O260" s="90" t="s">
        <v>39</v>
      </c>
      <c r="P260" s="90"/>
      <c r="Q260" s="90"/>
      <c r="R260" s="90"/>
      <c r="S260" s="90"/>
      <c r="T260" s="90">
        <v>10</v>
      </c>
      <c r="U260" s="90"/>
      <c r="V260" s="90">
        <v>1</v>
      </c>
      <c r="W260" s="157">
        <f t="shared" si="61"/>
        <v>11</v>
      </c>
      <c r="X260" s="91">
        <f>SUMIFS('Đơn giá'!C:C,'Đơn giá'!B:B,'XUẤT (2)'!O260)</f>
        <v>52000</v>
      </c>
      <c r="Y260" s="92">
        <f>T260*X260</f>
        <v>520000</v>
      </c>
      <c r="Z260" s="232"/>
      <c r="AA260" s="150" t="s">
        <v>989</v>
      </c>
      <c r="AB260" s="90">
        <f t="shared" si="62"/>
        <v>10</v>
      </c>
      <c r="AC260" s="91">
        <f t="shared" si="63"/>
        <v>50000</v>
      </c>
    </row>
  </sheetData>
  <autoFilter ref="A5:AE247" xr:uid="{00000000-0001-0000-0000-000000000000}">
    <filterColumn colId="12">
      <filters>
        <filter val="Công ty"/>
        <filter val="Xí nghiệp"/>
      </filters>
    </filterColumn>
  </autoFilter>
  <mergeCells count="59">
    <mergeCell ref="J3:J4"/>
    <mergeCell ref="K3:K4"/>
    <mergeCell ref="L3:L4"/>
    <mergeCell ref="P3:W3"/>
    <mergeCell ref="A29:A30"/>
    <mergeCell ref="B29:B30"/>
    <mergeCell ref="C29:C30"/>
    <mergeCell ref="D29:D30"/>
    <mergeCell ref="L29:L30"/>
    <mergeCell ref="A3:A4"/>
    <mergeCell ref="B3:B4"/>
    <mergeCell ref="C3:C4"/>
    <mergeCell ref="D3:D4"/>
    <mergeCell ref="E3:E4"/>
    <mergeCell ref="F3:I3"/>
    <mergeCell ref="B39:B40"/>
    <mergeCell ref="C39:C40"/>
    <mergeCell ref="N39:N40"/>
    <mergeCell ref="A47:A48"/>
    <mergeCell ref="B47:B48"/>
    <mergeCell ref="C47:C48"/>
    <mergeCell ref="D47:D48"/>
    <mergeCell ref="A55:A56"/>
    <mergeCell ref="B55:B56"/>
    <mergeCell ref="C55:C56"/>
    <mergeCell ref="A81:A82"/>
    <mergeCell ref="B81:B82"/>
    <mergeCell ref="C81:C82"/>
    <mergeCell ref="C111:C113"/>
    <mergeCell ref="D99:D100"/>
    <mergeCell ref="D81:D82"/>
    <mergeCell ref="E81:E82"/>
    <mergeCell ref="A87:A88"/>
    <mergeCell ref="B87:B88"/>
    <mergeCell ref="C87:C88"/>
    <mergeCell ref="A89:A90"/>
    <mergeCell ref="B89:B90"/>
    <mergeCell ref="C89:C90"/>
    <mergeCell ref="A91:A92"/>
    <mergeCell ref="B91:B92"/>
    <mergeCell ref="C91:C92"/>
    <mergeCell ref="B99:B100"/>
    <mergeCell ref="C99:C100"/>
    <mergeCell ref="C258:C259"/>
    <mergeCell ref="D111:D113"/>
    <mergeCell ref="E111:E113"/>
    <mergeCell ref="A218:A219"/>
    <mergeCell ref="C218:C219"/>
    <mergeCell ref="A189:A190"/>
    <mergeCell ref="C189:C190"/>
    <mergeCell ref="A203:A204"/>
    <mergeCell ref="C203:C204"/>
    <mergeCell ref="C208:C209"/>
    <mergeCell ref="A215:A216"/>
    <mergeCell ref="A147:A148"/>
    <mergeCell ref="B147:B148"/>
    <mergeCell ref="C147:C148"/>
    <mergeCell ref="A111:A113"/>
    <mergeCell ref="B111:B113"/>
  </mergeCells>
  <conditionalFormatting sqref="C49">
    <cfRule type="duplicateValues" dxfId="345" priority="269"/>
  </conditionalFormatting>
  <conditionalFormatting sqref="C50:C52">
    <cfRule type="duplicateValues" dxfId="344" priority="268"/>
  </conditionalFormatting>
  <conditionalFormatting sqref="J37">
    <cfRule type="duplicateValues" dxfId="343" priority="297"/>
  </conditionalFormatting>
  <conditionalFormatting sqref="J41">
    <cfRule type="duplicateValues" dxfId="342" priority="291"/>
  </conditionalFormatting>
  <conditionalFormatting sqref="J42">
    <cfRule type="duplicateValues" dxfId="341" priority="285"/>
  </conditionalFormatting>
  <conditionalFormatting sqref="J43">
    <cfRule type="duplicateValues" dxfId="340" priority="281"/>
  </conditionalFormatting>
  <conditionalFormatting sqref="J45:J46">
    <cfRule type="duplicateValues" dxfId="339" priority="278"/>
  </conditionalFormatting>
  <conditionalFormatting sqref="J47">
    <cfRule type="duplicateValues" dxfId="338" priority="274"/>
  </conditionalFormatting>
  <conditionalFormatting sqref="J48:J49">
    <cfRule type="duplicateValues" dxfId="337" priority="273"/>
  </conditionalFormatting>
  <conditionalFormatting sqref="J51">
    <cfRule type="duplicateValues" dxfId="336" priority="265"/>
  </conditionalFormatting>
  <conditionalFormatting sqref="J52">
    <cfRule type="duplicateValues" dxfId="335" priority="261"/>
  </conditionalFormatting>
  <conditionalFormatting sqref="J57">
    <cfRule type="duplicateValues" dxfId="334" priority="255"/>
  </conditionalFormatting>
  <conditionalFormatting sqref="J58">
    <cfRule type="duplicateValues" dxfId="333" priority="252"/>
  </conditionalFormatting>
  <conditionalFormatting sqref="J61">
    <cfRule type="duplicateValues" dxfId="332" priority="249"/>
  </conditionalFormatting>
  <conditionalFormatting sqref="J62">
    <cfRule type="duplicateValues" dxfId="331" priority="248"/>
  </conditionalFormatting>
  <conditionalFormatting sqref="J64">
    <cfRule type="duplicateValues" dxfId="330" priority="245"/>
  </conditionalFormatting>
  <conditionalFormatting sqref="J66">
    <cfRule type="duplicateValues" dxfId="329" priority="241"/>
  </conditionalFormatting>
  <conditionalFormatting sqref="J67">
    <cfRule type="duplicateValues" dxfId="328" priority="234"/>
  </conditionalFormatting>
  <conditionalFormatting sqref="J68">
    <cfRule type="duplicateValues" dxfId="327" priority="238"/>
  </conditionalFormatting>
  <conditionalFormatting sqref="J69:J73">
    <cfRule type="duplicateValues" dxfId="326" priority="331"/>
  </conditionalFormatting>
  <conditionalFormatting sqref="J77">
    <cfRule type="duplicateValues" dxfId="325" priority="229"/>
  </conditionalFormatting>
  <conditionalFormatting sqref="J95">
    <cfRule type="duplicateValues" dxfId="324" priority="212"/>
  </conditionalFormatting>
  <conditionalFormatting sqref="J108:J110">
    <cfRule type="duplicateValues" dxfId="323" priority="196"/>
  </conditionalFormatting>
  <conditionalFormatting sqref="J120">
    <cfRule type="duplicateValues" dxfId="322" priority="159"/>
  </conditionalFormatting>
  <conditionalFormatting sqref="J122">
    <cfRule type="duplicateValues" dxfId="321" priority="156"/>
  </conditionalFormatting>
  <conditionalFormatting sqref="J123">
    <cfRule type="duplicateValues" dxfId="320" priority="154"/>
  </conditionalFormatting>
  <conditionalFormatting sqref="J124">
    <cfRule type="duplicateValues" dxfId="319" priority="151"/>
  </conditionalFormatting>
  <conditionalFormatting sqref="J132">
    <cfRule type="duplicateValues" dxfId="318" priority="145"/>
  </conditionalFormatting>
  <conditionalFormatting sqref="J139">
    <cfRule type="duplicateValues" dxfId="317" priority="138"/>
  </conditionalFormatting>
  <conditionalFormatting sqref="J147">
    <cfRule type="duplicateValues" dxfId="316" priority="135"/>
  </conditionalFormatting>
  <conditionalFormatting sqref="J148">
    <cfRule type="duplicateValues" dxfId="315" priority="134"/>
  </conditionalFormatting>
  <conditionalFormatting sqref="J155">
    <cfRule type="duplicateValues" dxfId="314" priority="121"/>
  </conditionalFormatting>
  <conditionalFormatting sqref="J159">
    <cfRule type="duplicateValues" dxfId="313" priority="125"/>
  </conditionalFormatting>
  <conditionalFormatting sqref="J164">
    <cfRule type="duplicateValues" dxfId="312" priority="117"/>
  </conditionalFormatting>
  <conditionalFormatting sqref="J166">
    <cfRule type="duplicateValues" dxfId="311" priority="115"/>
  </conditionalFormatting>
  <conditionalFormatting sqref="J168">
    <cfRule type="duplicateValues" dxfId="310" priority="111"/>
  </conditionalFormatting>
  <conditionalFormatting sqref="J169">
    <cfRule type="duplicateValues" dxfId="309" priority="108"/>
  </conditionalFormatting>
  <conditionalFormatting sqref="J171">
    <cfRule type="duplicateValues" dxfId="308" priority="105"/>
  </conditionalFormatting>
  <conditionalFormatting sqref="J175">
    <cfRule type="duplicateValues" dxfId="307" priority="103"/>
  </conditionalFormatting>
  <conditionalFormatting sqref="J184">
    <cfRule type="duplicateValues" dxfId="306" priority="87"/>
  </conditionalFormatting>
  <conditionalFormatting sqref="J193">
    <cfRule type="duplicateValues" dxfId="305" priority="56"/>
  </conditionalFormatting>
  <conditionalFormatting sqref="J194">
    <cfRule type="duplicateValues" dxfId="304" priority="79"/>
  </conditionalFormatting>
  <conditionalFormatting sqref="J195">
    <cfRule type="duplicateValues" dxfId="303" priority="76"/>
  </conditionalFormatting>
  <conditionalFormatting sqref="J196">
    <cfRule type="duplicateValues" dxfId="302" priority="73"/>
  </conditionalFormatting>
  <conditionalFormatting sqref="J197:J198">
    <cfRule type="duplicateValues" dxfId="301" priority="70"/>
  </conditionalFormatting>
  <conditionalFormatting sqref="J199">
    <cfRule type="duplicateValues" dxfId="300" priority="65"/>
  </conditionalFormatting>
  <conditionalFormatting sqref="J200">
    <cfRule type="duplicateValues" dxfId="299" priority="62"/>
  </conditionalFormatting>
  <conditionalFormatting sqref="J201">
    <cfRule type="duplicateValues" dxfId="298" priority="59"/>
  </conditionalFormatting>
  <conditionalFormatting sqref="J213">
    <cfRule type="duplicateValues" dxfId="297" priority="40"/>
  </conditionalFormatting>
  <conditionalFormatting sqref="J214">
    <cfRule type="duplicateValues" dxfId="296" priority="38"/>
  </conditionalFormatting>
  <conditionalFormatting sqref="J223">
    <cfRule type="duplicateValues" dxfId="295" priority="29"/>
  </conditionalFormatting>
  <conditionalFormatting sqref="J229">
    <cfRule type="duplicateValues" dxfId="294" priority="23"/>
  </conditionalFormatting>
  <conditionalFormatting sqref="J231">
    <cfRule type="duplicateValues" dxfId="293" priority="20"/>
  </conditionalFormatting>
  <conditionalFormatting sqref="J244">
    <cfRule type="duplicateValues" dxfId="292" priority="12"/>
  </conditionalFormatting>
  <conditionalFormatting sqref="M193">
    <cfRule type="duplicateValues" dxfId="291" priority="55"/>
  </conditionalFormatting>
  <conditionalFormatting sqref="N6">
    <cfRule type="duplicateValues" dxfId="290" priority="316"/>
  </conditionalFormatting>
  <conditionalFormatting sqref="N7">
    <cfRule type="duplicateValues" dxfId="289" priority="315"/>
  </conditionalFormatting>
  <conditionalFormatting sqref="N9">
    <cfRule type="duplicateValues" dxfId="288" priority="311"/>
  </conditionalFormatting>
  <conditionalFormatting sqref="N10">
    <cfRule type="duplicateValues" dxfId="287" priority="7"/>
  </conditionalFormatting>
  <conditionalFormatting sqref="N15">
    <cfRule type="duplicateValues" dxfId="286" priority="309"/>
  </conditionalFormatting>
  <conditionalFormatting sqref="N16">
    <cfRule type="duplicateValues" dxfId="285" priority="308"/>
  </conditionalFormatting>
  <conditionalFormatting sqref="N17">
    <cfRule type="duplicateValues" dxfId="284" priority="319"/>
  </conditionalFormatting>
  <conditionalFormatting sqref="N18:N19">
    <cfRule type="duplicateValues" dxfId="283" priority="310"/>
  </conditionalFormatting>
  <conditionalFormatting sqref="N20">
    <cfRule type="duplicateValues" dxfId="282" priority="318"/>
  </conditionalFormatting>
  <conditionalFormatting sqref="N21">
    <cfRule type="duplicateValues" dxfId="281" priority="313"/>
  </conditionalFormatting>
  <conditionalFormatting sqref="N22">
    <cfRule type="duplicateValues" dxfId="280" priority="314"/>
  </conditionalFormatting>
  <conditionalFormatting sqref="N24">
    <cfRule type="duplicateValues" dxfId="279" priority="312"/>
  </conditionalFormatting>
  <conditionalFormatting sqref="N26">
    <cfRule type="duplicateValues" dxfId="278" priority="307"/>
  </conditionalFormatting>
  <conditionalFormatting sqref="N27">
    <cfRule type="duplicateValues" dxfId="277" priority="305"/>
  </conditionalFormatting>
  <conditionalFormatting sqref="N28">
    <cfRule type="duplicateValues" dxfId="276" priority="303"/>
  </conditionalFormatting>
  <conditionalFormatting sqref="N29:N30">
    <cfRule type="duplicateValues" dxfId="275" priority="302"/>
  </conditionalFormatting>
  <conditionalFormatting sqref="N31">
    <cfRule type="duplicateValues" dxfId="274" priority="301"/>
  </conditionalFormatting>
  <conditionalFormatting sqref="N33">
    <cfRule type="duplicateValues" dxfId="273" priority="298"/>
  </conditionalFormatting>
  <conditionalFormatting sqref="N37">
    <cfRule type="duplicateValues" dxfId="272" priority="296"/>
  </conditionalFormatting>
  <conditionalFormatting sqref="N38">
    <cfRule type="duplicateValues" dxfId="271" priority="294"/>
  </conditionalFormatting>
  <conditionalFormatting sqref="N41">
    <cfRule type="duplicateValues" dxfId="270" priority="290"/>
  </conditionalFormatting>
  <conditionalFormatting sqref="N42">
    <cfRule type="duplicateValues" dxfId="269" priority="284"/>
  </conditionalFormatting>
  <conditionalFormatting sqref="N43">
    <cfRule type="duplicateValues" dxfId="268" priority="280"/>
  </conditionalFormatting>
  <conditionalFormatting sqref="N44">
    <cfRule type="duplicateValues" dxfId="267" priority="282"/>
  </conditionalFormatting>
  <conditionalFormatting sqref="N46">
    <cfRule type="duplicateValues" dxfId="266" priority="276"/>
  </conditionalFormatting>
  <conditionalFormatting sqref="N50">
    <cfRule type="duplicateValues" dxfId="265" priority="267"/>
  </conditionalFormatting>
  <conditionalFormatting sqref="N51">
    <cfRule type="duplicateValues" dxfId="264" priority="264"/>
  </conditionalFormatting>
  <conditionalFormatting sqref="N52">
    <cfRule type="duplicateValues" dxfId="263" priority="260"/>
  </conditionalFormatting>
  <conditionalFormatting sqref="N53">
    <cfRule type="duplicateValues" dxfId="262" priority="163"/>
  </conditionalFormatting>
  <conditionalFormatting sqref="N54">
    <cfRule type="duplicateValues" dxfId="261" priority="160"/>
  </conditionalFormatting>
  <conditionalFormatting sqref="N55:N56">
    <cfRule type="duplicateValues" dxfId="260" priority="258"/>
  </conditionalFormatting>
  <conditionalFormatting sqref="N57">
    <cfRule type="duplicateValues" dxfId="259" priority="254"/>
  </conditionalFormatting>
  <conditionalFormatting sqref="N58">
    <cfRule type="duplicateValues" dxfId="258" priority="251"/>
  </conditionalFormatting>
  <conditionalFormatting sqref="N59">
    <cfRule type="duplicateValues" dxfId="257" priority="169"/>
  </conditionalFormatting>
  <conditionalFormatting sqref="N61">
    <cfRule type="duplicateValues" dxfId="256" priority="247"/>
  </conditionalFormatting>
  <conditionalFormatting sqref="N64">
    <cfRule type="duplicateValues" dxfId="255" priority="244"/>
  </conditionalFormatting>
  <conditionalFormatting sqref="N65">
    <cfRule type="duplicateValues" dxfId="254" priority="242"/>
  </conditionalFormatting>
  <conditionalFormatting sqref="N66">
    <cfRule type="duplicateValues" dxfId="253" priority="240"/>
  </conditionalFormatting>
  <conditionalFormatting sqref="N67">
    <cfRule type="duplicateValues" dxfId="252" priority="226"/>
  </conditionalFormatting>
  <conditionalFormatting sqref="N68">
    <cfRule type="duplicateValues" dxfId="251" priority="239"/>
  </conditionalFormatting>
  <conditionalFormatting sqref="N69">
    <cfRule type="duplicateValues" dxfId="250" priority="237"/>
  </conditionalFormatting>
  <conditionalFormatting sqref="N70">
    <cfRule type="duplicateValues" dxfId="249" priority="6"/>
  </conditionalFormatting>
  <conditionalFormatting sqref="N71">
    <cfRule type="duplicateValues" dxfId="248" priority="233"/>
  </conditionalFormatting>
  <conditionalFormatting sqref="N72">
    <cfRule type="duplicateValues" dxfId="247" priority="232"/>
  </conditionalFormatting>
  <conditionalFormatting sqref="N73">
    <cfRule type="duplicateValues" dxfId="246" priority="219"/>
  </conditionalFormatting>
  <conditionalFormatting sqref="N77">
    <cfRule type="duplicateValues" dxfId="245" priority="228"/>
  </conditionalFormatting>
  <conditionalFormatting sqref="N79">
    <cfRule type="duplicateValues" dxfId="244" priority="223"/>
  </conditionalFormatting>
  <conditionalFormatting sqref="N84">
    <cfRule type="duplicateValues" dxfId="243" priority="31"/>
  </conditionalFormatting>
  <conditionalFormatting sqref="N85">
    <cfRule type="duplicateValues" dxfId="242" priority="221"/>
  </conditionalFormatting>
  <conditionalFormatting sqref="N87:N88">
    <cfRule type="duplicateValues" dxfId="241" priority="172"/>
  </conditionalFormatting>
  <conditionalFormatting sqref="N89">
    <cfRule type="duplicateValues" dxfId="240" priority="214"/>
  </conditionalFormatting>
  <conditionalFormatting sqref="N90">
    <cfRule type="duplicateValues" dxfId="239" priority="213"/>
  </conditionalFormatting>
  <conditionalFormatting sqref="N91">
    <cfRule type="duplicateValues" dxfId="238" priority="207"/>
  </conditionalFormatting>
  <conditionalFormatting sqref="N92">
    <cfRule type="duplicateValues" dxfId="237" priority="206"/>
  </conditionalFormatting>
  <conditionalFormatting sqref="N94">
    <cfRule type="duplicateValues" dxfId="236" priority="218"/>
  </conditionalFormatting>
  <conditionalFormatting sqref="N95">
    <cfRule type="duplicateValues" dxfId="235" priority="211"/>
  </conditionalFormatting>
  <conditionalFormatting sqref="N96">
    <cfRule type="duplicateValues" dxfId="234" priority="209"/>
  </conditionalFormatting>
  <conditionalFormatting sqref="N98">
    <cfRule type="duplicateValues" dxfId="233" priority="205"/>
  </conditionalFormatting>
  <conditionalFormatting sqref="N99:N100">
    <cfRule type="duplicateValues" dxfId="232" priority="204"/>
  </conditionalFormatting>
  <conditionalFormatting sqref="N101">
    <cfRule type="duplicateValues" dxfId="231" priority="81"/>
  </conditionalFormatting>
  <conditionalFormatting sqref="N104">
    <cfRule type="duplicateValues" dxfId="230" priority="200"/>
  </conditionalFormatting>
  <conditionalFormatting sqref="N105">
    <cfRule type="duplicateValues" dxfId="229" priority="170"/>
  </conditionalFormatting>
  <conditionalFormatting sqref="N106">
    <cfRule type="duplicateValues" dxfId="228" priority="198"/>
  </conditionalFormatting>
  <conditionalFormatting sqref="N107">
    <cfRule type="duplicateValues" dxfId="227" priority="197"/>
  </conditionalFormatting>
  <conditionalFormatting sqref="N108">
    <cfRule type="duplicateValues" dxfId="226" priority="195"/>
  </conditionalFormatting>
  <conditionalFormatting sqref="N109">
    <cfRule type="duplicateValues" dxfId="225" priority="192"/>
  </conditionalFormatting>
  <conditionalFormatting sqref="N110">
    <cfRule type="duplicateValues" dxfId="224" priority="190"/>
  </conditionalFormatting>
  <conditionalFormatting sqref="N111:N113">
    <cfRule type="duplicateValues" dxfId="223" priority="203"/>
  </conditionalFormatting>
  <conditionalFormatting sqref="N114">
    <cfRule type="duplicateValues" dxfId="222" priority="201"/>
  </conditionalFormatting>
  <conditionalFormatting sqref="N118">
    <cfRule type="duplicateValues" dxfId="221" priority="189"/>
  </conditionalFormatting>
  <conditionalFormatting sqref="N120:N121">
    <cfRule type="duplicateValues" dxfId="220" priority="171"/>
  </conditionalFormatting>
  <conditionalFormatting sqref="N122">
    <cfRule type="duplicateValues" dxfId="219" priority="155"/>
  </conditionalFormatting>
  <conditionalFormatting sqref="N123">
    <cfRule type="duplicateValues" dxfId="218" priority="153"/>
  </conditionalFormatting>
  <conditionalFormatting sqref="N124">
    <cfRule type="duplicateValues" dxfId="217" priority="150"/>
  </conditionalFormatting>
  <conditionalFormatting sqref="N126">
    <cfRule type="duplicateValues" dxfId="216" priority="152"/>
  </conditionalFormatting>
  <conditionalFormatting sqref="N127">
    <cfRule type="duplicateValues" dxfId="215" priority="147"/>
  </conditionalFormatting>
  <conditionalFormatting sqref="N128">
    <cfRule type="duplicateValues" dxfId="214" priority="146"/>
  </conditionalFormatting>
  <conditionalFormatting sqref="N137">
    <cfRule type="duplicateValues" dxfId="213" priority="143"/>
  </conditionalFormatting>
  <conditionalFormatting sqref="N138">
    <cfRule type="duplicateValues" dxfId="212" priority="142"/>
  </conditionalFormatting>
  <conditionalFormatting sqref="N139">
    <cfRule type="duplicateValues" dxfId="211" priority="139"/>
  </conditionalFormatting>
  <conditionalFormatting sqref="N140">
    <cfRule type="duplicateValues" dxfId="210" priority="42"/>
  </conditionalFormatting>
  <conditionalFormatting sqref="N143">
    <cfRule type="duplicateValues" dxfId="209" priority="140"/>
  </conditionalFormatting>
  <conditionalFormatting sqref="N144">
    <cfRule type="duplicateValues" dxfId="208" priority="136"/>
  </conditionalFormatting>
  <conditionalFormatting sqref="N145:N148 N8 N11:N14 N152">
    <cfRule type="duplicateValues" dxfId="207" priority="323"/>
  </conditionalFormatting>
  <conditionalFormatting sqref="N149">
    <cfRule type="duplicateValues" dxfId="206" priority="129"/>
  </conditionalFormatting>
  <conditionalFormatting sqref="N150">
    <cfRule type="duplicateValues" dxfId="205" priority="130"/>
  </conditionalFormatting>
  <conditionalFormatting sqref="N153">
    <cfRule type="duplicateValues" dxfId="204" priority="128"/>
  </conditionalFormatting>
  <conditionalFormatting sqref="N155">
    <cfRule type="duplicateValues" dxfId="203" priority="120"/>
  </conditionalFormatting>
  <conditionalFormatting sqref="N156">
    <cfRule type="duplicateValues" dxfId="202" priority="127"/>
  </conditionalFormatting>
  <conditionalFormatting sqref="N159">
    <cfRule type="duplicateValues" dxfId="201" priority="124"/>
  </conditionalFormatting>
  <conditionalFormatting sqref="N166">
    <cfRule type="duplicateValues" dxfId="200" priority="114"/>
  </conditionalFormatting>
  <conditionalFormatting sqref="N168">
    <cfRule type="duplicateValues" dxfId="199" priority="110"/>
  </conditionalFormatting>
  <conditionalFormatting sqref="N169">
    <cfRule type="duplicateValues" dxfId="198" priority="107"/>
  </conditionalFormatting>
  <conditionalFormatting sqref="N171">
    <cfRule type="duplicateValues" dxfId="197" priority="96"/>
  </conditionalFormatting>
  <conditionalFormatting sqref="N174">
    <cfRule type="duplicateValues" dxfId="196" priority="104"/>
  </conditionalFormatting>
  <conditionalFormatting sqref="N177">
    <cfRule type="duplicateValues" dxfId="195" priority="100"/>
  </conditionalFormatting>
  <conditionalFormatting sqref="N178">
    <cfRule type="duplicateValues" dxfId="194" priority="95"/>
  </conditionalFormatting>
  <conditionalFormatting sqref="N179">
    <cfRule type="duplicateValues" dxfId="193" priority="94"/>
  </conditionalFormatting>
  <conditionalFormatting sqref="N180">
    <cfRule type="duplicateValues" dxfId="192" priority="92"/>
  </conditionalFormatting>
  <conditionalFormatting sqref="N182">
    <cfRule type="duplicateValues" dxfId="191" priority="89"/>
  </conditionalFormatting>
  <conditionalFormatting sqref="N183">
    <cfRule type="duplicateValues" dxfId="190" priority="90"/>
  </conditionalFormatting>
  <conditionalFormatting sqref="N185:N186">
    <cfRule type="duplicateValues" dxfId="189" priority="85"/>
  </conditionalFormatting>
  <conditionalFormatting sqref="N187:N190">
    <cfRule type="duplicateValues" dxfId="188" priority="84"/>
  </conditionalFormatting>
  <conditionalFormatting sqref="N191 N193">
    <cfRule type="duplicateValues" dxfId="187" priority="82"/>
  </conditionalFormatting>
  <conditionalFormatting sqref="N194">
    <cfRule type="duplicateValues" dxfId="186" priority="78"/>
  </conditionalFormatting>
  <conditionalFormatting sqref="N195">
    <cfRule type="duplicateValues" dxfId="185" priority="75"/>
  </conditionalFormatting>
  <conditionalFormatting sqref="N196">
    <cfRule type="duplicateValues" dxfId="184" priority="72"/>
  </conditionalFormatting>
  <conditionalFormatting sqref="N197">
    <cfRule type="duplicateValues" dxfId="183" priority="69"/>
  </conditionalFormatting>
  <conditionalFormatting sqref="N198">
    <cfRule type="duplicateValues" dxfId="182" priority="67"/>
  </conditionalFormatting>
  <conditionalFormatting sqref="N199">
    <cfRule type="duplicateValues" dxfId="181" priority="64"/>
  </conditionalFormatting>
  <conditionalFormatting sqref="N200">
    <cfRule type="duplicateValues" dxfId="180" priority="61"/>
  </conditionalFormatting>
  <conditionalFormatting sqref="N201">
    <cfRule type="duplicateValues" dxfId="179" priority="58"/>
  </conditionalFormatting>
  <conditionalFormatting sqref="N202">
    <cfRule type="duplicateValues" dxfId="178" priority="80"/>
  </conditionalFormatting>
  <conditionalFormatting sqref="N203:N204">
    <cfRule type="duplicateValues" dxfId="177" priority="53"/>
  </conditionalFormatting>
  <conditionalFormatting sqref="N205">
    <cfRule type="duplicateValues" dxfId="176" priority="51"/>
  </conditionalFormatting>
  <conditionalFormatting sqref="N206">
    <cfRule type="duplicateValues" dxfId="175" priority="50"/>
  </conditionalFormatting>
  <conditionalFormatting sqref="N210">
    <cfRule type="duplicateValues" dxfId="174" priority="47"/>
  </conditionalFormatting>
  <conditionalFormatting sqref="N212">
    <cfRule type="duplicateValues" dxfId="173" priority="46"/>
  </conditionalFormatting>
  <conditionalFormatting sqref="N214">
    <cfRule type="duplicateValues" dxfId="172" priority="37"/>
  </conditionalFormatting>
  <conditionalFormatting sqref="N217">
    <cfRule type="duplicateValues" dxfId="171" priority="35"/>
  </conditionalFormatting>
  <conditionalFormatting sqref="N220">
    <cfRule type="duplicateValues" dxfId="170" priority="32"/>
  </conditionalFormatting>
  <conditionalFormatting sqref="N223">
    <cfRule type="duplicateValues" dxfId="169" priority="28"/>
  </conditionalFormatting>
  <conditionalFormatting sqref="N224">
    <cfRule type="duplicateValues" dxfId="168" priority="26"/>
  </conditionalFormatting>
  <conditionalFormatting sqref="N225">
    <cfRule type="duplicateValues" dxfId="167" priority="25"/>
  </conditionalFormatting>
  <conditionalFormatting sqref="N227:N228">
    <cfRule type="duplicateValues" dxfId="166" priority="24"/>
  </conditionalFormatting>
  <conditionalFormatting sqref="N229">
    <cfRule type="duplicateValues" dxfId="165" priority="22"/>
  </conditionalFormatting>
  <conditionalFormatting sqref="N231">
    <cfRule type="duplicateValues" dxfId="164" priority="14"/>
  </conditionalFormatting>
  <conditionalFormatting sqref="N234:N235">
    <cfRule type="duplicateValues" dxfId="163" priority="19"/>
  </conditionalFormatting>
  <conditionalFormatting sqref="N238:N239">
    <cfRule type="duplicateValues" dxfId="162" priority="16"/>
  </conditionalFormatting>
  <conditionalFormatting sqref="N240">
    <cfRule type="duplicateValues" dxfId="161" priority="15"/>
  </conditionalFormatting>
  <conditionalFormatting sqref="N243">
    <cfRule type="duplicateValues" dxfId="160" priority="13"/>
  </conditionalFormatting>
  <conditionalFormatting sqref="N244">
    <cfRule type="duplicateValues" dxfId="159" priority="11"/>
  </conditionalFormatting>
  <conditionalFormatting sqref="AA14">
    <cfRule type="duplicateValues" dxfId="158" priority="185"/>
    <cfRule type="duplicateValues" dxfId="157" priority="186"/>
  </conditionalFormatting>
  <conditionalFormatting sqref="AA15">
    <cfRule type="duplicateValues" dxfId="156" priority="183"/>
    <cfRule type="duplicateValues" dxfId="155" priority="184"/>
  </conditionalFormatting>
  <conditionalFormatting sqref="AA16">
    <cfRule type="duplicateValues" dxfId="154" priority="181"/>
    <cfRule type="duplicateValues" dxfId="153" priority="182"/>
  </conditionalFormatting>
  <conditionalFormatting sqref="AA19">
    <cfRule type="duplicateValues" dxfId="152" priority="179"/>
  </conditionalFormatting>
  <conditionalFormatting sqref="AA20">
    <cfRule type="duplicateValues" dxfId="151" priority="180"/>
  </conditionalFormatting>
  <conditionalFormatting sqref="AA21">
    <cfRule type="duplicateValues" dxfId="150" priority="177"/>
  </conditionalFormatting>
  <conditionalFormatting sqref="AA22">
    <cfRule type="duplicateValues" dxfId="149" priority="178"/>
  </conditionalFormatting>
  <conditionalFormatting sqref="AA23">
    <cfRule type="duplicateValues" dxfId="148" priority="173"/>
    <cfRule type="duplicateValues" dxfId="147" priority="174"/>
  </conditionalFormatting>
  <conditionalFormatting sqref="AA24">
    <cfRule type="duplicateValues" dxfId="146" priority="176"/>
  </conditionalFormatting>
  <conditionalFormatting sqref="AA25">
    <cfRule type="duplicateValues" dxfId="145" priority="175"/>
  </conditionalFormatting>
  <conditionalFormatting sqref="AA26">
    <cfRule type="duplicateValues" dxfId="144" priority="306"/>
  </conditionalFormatting>
  <conditionalFormatting sqref="AA27">
    <cfRule type="duplicateValues" dxfId="143" priority="304"/>
  </conditionalFormatting>
  <conditionalFormatting sqref="AA28">
    <cfRule type="duplicateValues" dxfId="142" priority="300"/>
  </conditionalFormatting>
  <conditionalFormatting sqref="AA29">
    <cfRule type="duplicateValues" dxfId="141" priority="188"/>
  </conditionalFormatting>
  <conditionalFormatting sqref="AA30">
    <cfRule type="duplicateValues" dxfId="140" priority="187"/>
  </conditionalFormatting>
  <conditionalFormatting sqref="AA31:AA33">
    <cfRule type="duplicateValues" dxfId="139" priority="299"/>
  </conditionalFormatting>
  <conditionalFormatting sqref="AA34">
    <cfRule type="duplicateValues" dxfId="138" priority="288"/>
  </conditionalFormatting>
  <conditionalFormatting sqref="AA35">
    <cfRule type="duplicateValues" dxfId="137" priority="287"/>
  </conditionalFormatting>
  <conditionalFormatting sqref="AA36">
    <cfRule type="duplicateValues" dxfId="136" priority="286"/>
  </conditionalFormatting>
  <conditionalFormatting sqref="AA37">
    <cfRule type="duplicateValues" dxfId="135" priority="295"/>
  </conditionalFormatting>
  <conditionalFormatting sqref="AA38">
    <cfRule type="duplicateValues" dxfId="134" priority="293"/>
  </conditionalFormatting>
  <conditionalFormatting sqref="AA39">
    <cfRule type="duplicateValues" dxfId="133" priority="292"/>
  </conditionalFormatting>
  <conditionalFormatting sqref="AA40">
    <cfRule type="duplicateValues" dxfId="132" priority="270"/>
  </conditionalFormatting>
  <conditionalFormatting sqref="AA41">
    <cfRule type="duplicateValues" dxfId="131" priority="289"/>
  </conditionalFormatting>
  <conditionalFormatting sqref="AA42">
    <cfRule type="duplicateValues" dxfId="130" priority="283"/>
  </conditionalFormatting>
  <conditionalFormatting sqref="AA43">
    <cfRule type="duplicateValues" dxfId="129" priority="279"/>
  </conditionalFormatting>
  <conditionalFormatting sqref="AA45">
    <cfRule type="duplicateValues" dxfId="128" priority="277"/>
  </conditionalFormatting>
  <conditionalFormatting sqref="AA46">
    <cfRule type="duplicateValues" dxfId="127" priority="275"/>
  </conditionalFormatting>
  <conditionalFormatting sqref="AA47">
    <cfRule type="duplicateValues" dxfId="126" priority="272"/>
  </conditionalFormatting>
  <conditionalFormatting sqref="AA48">
    <cfRule type="duplicateValues" dxfId="125" priority="271"/>
  </conditionalFormatting>
  <conditionalFormatting sqref="AA49">
    <cfRule type="duplicateValues" dxfId="124" priority="266"/>
  </conditionalFormatting>
  <conditionalFormatting sqref="AA50">
    <cfRule type="duplicateValues" dxfId="123" priority="262"/>
  </conditionalFormatting>
  <conditionalFormatting sqref="AA51">
    <cfRule type="duplicateValues" dxfId="122" priority="263"/>
  </conditionalFormatting>
  <conditionalFormatting sqref="AA52">
    <cfRule type="duplicateValues" dxfId="121" priority="259"/>
  </conditionalFormatting>
  <conditionalFormatting sqref="AA53">
    <cfRule type="duplicateValues" dxfId="120" priority="162"/>
  </conditionalFormatting>
  <conditionalFormatting sqref="AA54">
    <cfRule type="duplicateValues" dxfId="119" priority="161"/>
  </conditionalFormatting>
  <conditionalFormatting sqref="AA55">
    <cfRule type="duplicateValues" dxfId="118" priority="257"/>
  </conditionalFormatting>
  <conditionalFormatting sqref="AA56">
    <cfRule type="duplicateValues" dxfId="117" priority="256"/>
  </conditionalFormatting>
  <conditionalFormatting sqref="AA57">
    <cfRule type="duplicateValues" dxfId="116" priority="253"/>
  </conditionalFormatting>
  <conditionalFormatting sqref="AA58">
    <cfRule type="duplicateValues" dxfId="115" priority="250"/>
  </conditionalFormatting>
  <conditionalFormatting sqref="AA61">
    <cfRule type="duplicateValues" dxfId="114" priority="246"/>
  </conditionalFormatting>
  <conditionalFormatting sqref="AA63">
    <cfRule type="duplicateValues" dxfId="113" priority="83"/>
  </conditionalFormatting>
  <conditionalFormatting sqref="AA64">
    <cfRule type="duplicateValues" dxfId="112" priority="243"/>
  </conditionalFormatting>
  <conditionalFormatting sqref="AA65">
    <cfRule type="duplicateValues" dxfId="111" priority="157"/>
  </conditionalFormatting>
  <conditionalFormatting sqref="AA66">
    <cfRule type="duplicateValues" dxfId="110" priority="168"/>
  </conditionalFormatting>
  <conditionalFormatting sqref="AA67">
    <cfRule type="duplicateValues" dxfId="109" priority="225"/>
  </conditionalFormatting>
  <conditionalFormatting sqref="AA68">
    <cfRule type="duplicateValues" dxfId="108" priority="236"/>
  </conditionalFormatting>
  <conditionalFormatting sqref="AA69:AA73">
    <cfRule type="duplicateValues" dxfId="107" priority="235"/>
  </conditionalFormatting>
  <conditionalFormatting sqref="AA74">
    <cfRule type="duplicateValues" dxfId="106" priority="231"/>
  </conditionalFormatting>
  <conditionalFormatting sqref="AA77">
    <cfRule type="duplicateValues" dxfId="105" priority="227"/>
  </conditionalFormatting>
  <conditionalFormatting sqref="AA78">
    <cfRule type="duplicateValues" dxfId="104" priority="224"/>
  </conditionalFormatting>
  <conditionalFormatting sqref="AA83">
    <cfRule type="duplicateValues" dxfId="103" priority="222"/>
  </conditionalFormatting>
  <conditionalFormatting sqref="AA84">
    <cfRule type="duplicateValues" dxfId="102" priority="30"/>
  </conditionalFormatting>
  <conditionalFormatting sqref="AA85">
    <cfRule type="duplicateValues" dxfId="101" priority="220"/>
  </conditionalFormatting>
  <conditionalFormatting sqref="AA89">
    <cfRule type="duplicateValues" dxfId="100" priority="216"/>
  </conditionalFormatting>
  <conditionalFormatting sqref="AA90">
    <cfRule type="duplicateValues" dxfId="99" priority="215"/>
  </conditionalFormatting>
  <conditionalFormatting sqref="AA93:AA94">
    <cfRule type="duplicateValues" dxfId="98" priority="217"/>
  </conditionalFormatting>
  <conditionalFormatting sqref="AA95">
    <cfRule type="duplicateValues" dxfId="97" priority="210"/>
  </conditionalFormatting>
  <conditionalFormatting sqref="AA96">
    <cfRule type="duplicateValues" dxfId="96" priority="208"/>
  </conditionalFormatting>
  <conditionalFormatting sqref="AA99">
    <cfRule type="duplicateValues" dxfId="95" priority="167"/>
  </conditionalFormatting>
  <conditionalFormatting sqref="AA100">
    <cfRule type="duplicateValues" dxfId="94" priority="44"/>
  </conditionalFormatting>
  <conditionalFormatting sqref="AA101">
    <cfRule type="duplicateValues" dxfId="93" priority="166"/>
  </conditionalFormatting>
  <conditionalFormatting sqref="AA103">
    <cfRule type="duplicateValues" dxfId="92" priority="202"/>
  </conditionalFormatting>
  <conditionalFormatting sqref="AA104">
    <cfRule type="duplicateValues" dxfId="91" priority="199"/>
  </conditionalFormatting>
  <conditionalFormatting sqref="AA105">
    <cfRule type="duplicateValues" dxfId="90" priority="165"/>
  </conditionalFormatting>
  <conditionalFormatting sqref="AA106">
    <cfRule type="duplicateValues" dxfId="89" priority="164"/>
  </conditionalFormatting>
  <conditionalFormatting sqref="AA107">
    <cfRule type="duplicateValues" dxfId="88" priority="193"/>
  </conditionalFormatting>
  <conditionalFormatting sqref="AA108">
    <cfRule type="duplicateValues" dxfId="87" priority="194"/>
  </conditionalFormatting>
  <conditionalFormatting sqref="AA109:AA110">
    <cfRule type="duplicateValues" dxfId="86" priority="191"/>
  </conditionalFormatting>
  <conditionalFormatting sqref="AA120">
    <cfRule type="duplicateValues" dxfId="85" priority="158"/>
  </conditionalFormatting>
  <conditionalFormatting sqref="AA122">
    <cfRule type="duplicateValues" dxfId="84" priority="41"/>
  </conditionalFormatting>
  <conditionalFormatting sqref="AA123">
    <cfRule type="duplicateValues" dxfId="83" priority="148"/>
  </conditionalFormatting>
  <conditionalFormatting sqref="AA124">
    <cfRule type="duplicateValues" dxfId="82" priority="149"/>
  </conditionalFormatting>
  <conditionalFormatting sqref="AA134">
    <cfRule type="duplicateValues" dxfId="81" priority="144"/>
  </conditionalFormatting>
  <conditionalFormatting sqref="AA137">
    <cfRule type="duplicateValues" dxfId="80" priority="45"/>
  </conditionalFormatting>
  <conditionalFormatting sqref="AA138">
    <cfRule type="duplicateValues" dxfId="79" priority="141"/>
  </conditionalFormatting>
  <conditionalFormatting sqref="AA139">
    <cfRule type="duplicateValues" dxfId="78" priority="137"/>
  </conditionalFormatting>
  <conditionalFormatting sqref="AA147">
    <cfRule type="duplicateValues" dxfId="77" priority="133"/>
  </conditionalFormatting>
  <conditionalFormatting sqref="AA148">
    <cfRule type="duplicateValues" dxfId="76" priority="132"/>
  </conditionalFormatting>
  <conditionalFormatting sqref="AA149">
    <cfRule type="duplicateValues" dxfId="75" priority="131"/>
  </conditionalFormatting>
  <conditionalFormatting sqref="AA152">
    <cfRule type="duplicateValues" dxfId="74" priority="122"/>
  </conditionalFormatting>
  <conditionalFormatting sqref="AA155">
    <cfRule type="duplicateValues" dxfId="73" priority="119"/>
  </conditionalFormatting>
  <conditionalFormatting sqref="AA159">
    <cfRule type="duplicateValues" dxfId="72" priority="123"/>
  </conditionalFormatting>
  <conditionalFormatting sqref="AA163">
    <cfRule type="duplicateValues" dxfId="71" priority="118"/>
  </conditionalFormatting>
  <conditionalFormatting sqref="AA164">
    <cfRule type="duplicateValues" dxfId="70" priority="116"/>
  </conditionalFormatting>
  <conditionalFormatting sqref="AA166">
    <cfRule type="duplicateValues" dxfId="69" priority="113"/>
  </conditionalFormatting>
  <conditionalFormatting sqref="AA167">
    <cfRule type="duplicateValues" dxfId="68" priority="112"/>
  </conditionalFormatting>
  <conditionalFormatting sqref="AA168">
    <cfRule type="duplicateValues" dxfId="67" priority="109"/>
  </conditionalFormatting>
  <conditionalFormatting sqref="AA169">
    <cfRule type="duplicateValues" dxfId="66" priority="106"/>
  </conditionalFormatting>
  <conditionalFormatting sqref="AA171">
    <cfRule type="duplicateValues" dxfId="65" priority="99"/>
  </conditionalFormatting>
  <conditionalFormatting sqref="AA174">
    <cfRule type="duplicateValues" dxfId="64" priority="101"/>
  </conditionalFormatting>
  <conditionalFormatting sqref="AA175">
    <cfRule type="duplicateValues" dxfId="63" priority="102"/>
  </conditionalFormatting>
  <conditionalFormatting sqref="AA178">
    <cfRule type="duplicateValues" dxfId="62" priority="97"/>
  </conditionalFormatting>
  <conditionalFormatting sqref="AA179">
    <cfRule type="duplicateValues" dxfId="61" priority="93"/>
  </conditionalFormatting>
  <conditionalFormatting sqref="AA180">
    <cfRule type="duplicateValues" dxfId="60" priority="91"/>
  </conditionalFormatting>
  <conditionalFormatting sqref="AA181 AA183 AA185:AA192">
    <cfRule type="duplicateValues" dxfId="59" priority="330"/>
  </conditionalFormatting>
  <conditionalFormatting sqref="AA182">
    <cfRule type="duplicateValues" dxfId="58" priority="88"/>
  </conditionalFormatting>
  <conditionalFormatting sqref="AA184">
    <cfRule type="duplicateValues" dxfId="57" priority="86"/>
  </conditionalFormatting>
  <conditionalFormatting sqref="AA193">
    <cfRule type="duplicateValues" dxfId="56" priority="54"/>
  </conditionalFormatting>
  <conditionalFormatting sqref="AA194">
    <cfRule type="duplicateValues" dxfId="55" priority="77"/>
  </conditionalFormatting>
  <conditionalFormatting sqref="AA195">
    <cfRule type="duplicateValues" dxfId="54" priority="74"/>
  </conditionalFormatting>
  <conditionalFormatting sqref="AA196">
    <cfRule type="duplicateValues" dxfId="53" priority="71"/>
  </conditionalFormatting>
  <conditionalFormatting sqref="AA197">
    <cfRule type="duplicateValues" dxfId="52" priority="68"/>
  </conditionalFormatting>
  <conditionalFormatting sqref="AA198">
    <cfRule type="duplicateValues" dxfId="51" priority="66"/>
  </conditionalFormatting>
  <conditionalFormatting sqref="AA199">
    <cfRule type="duplicateValues" dxfId="50" priority="63"/>
  </conditionalFormatting>
  <conditionalFormatting sqref="AA200">
    <cfRule type="duplicateValues" dxfId="49" priority="60"/>
  </conditionalFormatting>
  <conditionalFormatting sqref="AA201">
    <cfRule type="duplicateValues" dxfId="48" priority="57"/>
  </conditionalFormatting>
  <conditionalFormatting sqref="AA203:AA204">
    <cfRule type="duplicateValues" dxfId="47" priority="52"/>
  </conditionalFormatting>
  <conditionalFormatting sqref="AA205">
    <cfRule type="duplicateValues" dxfId="46" priority="49"/>
  </conditionalFormatting>
  <conditionalFormatting sqref="AA213">
    <cfRule type="duplicateValues" dxfId="45" priority="39"/>
  </conditionalFormatting>
  <conditionalFormatting sqref="AA214">
    <cfRule type="duplicateValues" dxfId="44" priority="36"/>
  </conditionalFormatting>
  <conditionalFormatting sqref="AA217">
    <cfRule type="duplicateValues" dxfId="43" priority="34"/>
  </conditionalFormatting>
  <conditionalFormatting sqref="AA218:AA219">
    <cfRule type="duplicateValues" dxfId="42" priority="33"/>
  </conditionalFormatting>
  <conditionalFormatting sqref="AA223">
    <cfRule type="duplicateValues" dxfId="41" priority="27"/>
  </conditionalFormatting>
  <conditionalFormatting sqref="AA229">
    <cfRule type="duplicateValues" dxfId="40" priority="21"/>
  </conditionalFormatting>
  <conditionalFormatting sqref="AA234">
    <cfRule type="duplicateValues" dxfId="39" priority="18"/>
  </conditionalFormatting>
  <conditionalFormatting sqref="AA235">
    <cfRule type="duplicateValues" dxfId="38" priority="17"/>
  </conditionalFormatting>
  <conditionalFormatting sqref="AA244">
    <cfRule type="duplicateValues" dxfId="37" priority="10"/>
  </conditionalFormatting>
  <conditionalFormatting sqref="AA257">
    <cfRule type="duplicateValues" dxfId="36" priority="3"/>
  </conditionalFormatting>
  <conditionalFormatting sqref="AD74">
    <cfRule type="duplicateValues" dxfId="35" priority="230"/>
  </conditionalFormatting>
  <conditionalFormatting sqref="N192">
    <cfRule type="duplicateValues" dxfId="34" priority="1"/>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C96CC7BB-8321-49B4-9CC6-4332E571C42E}">
          <x14:formula1>
            <xm:f>'Đơn giá'!$F$4:$F$5</xm:f>
          </x14:formula1>
          <xm:sqref>AA139 M143:M156 M71:M73 N139 M132:M141 M120 M122:M124 M191:M192 M101 M99 M94:M96 M91 M89 M84:M85 M79 M77 N156 M168:M169 M206 M166 M182:M183 M194:M201 M203:M204 M210 M118 M177:M180 M126:M130 M159 M187 M212 M107:M113 M257:M259 M171:M175</xm:sqref>
        </x14:dataValidation>
        <x14:dataValidation type="list" allowBlank="1" showInputMessage="1" showErrorMessage="1" xr:uid="{A1DEA853-880C-4A92-BD09-17E3AC4C6A59}">
          <x14:formula1>
            <xm:f>'Đơn giá'!$B$4:$B$9</xm:f>
          </x14:formula1>
          <xm:sqref>AA105 N105 N126:N128 N138 AA138 P140:P141 O126:O156 AA180 N180:N181 AA184 N99:N100 N183:N184 AA99:AA101 N111:N121 O243:O247 O24:O124 O256:O259 O158:O225 O227:O241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T200"/>
  <sheetViews>
    <sheetView zoomScale="70" zoomScaleNormal="70" workbookViewId="0">
      <pane ySplit="6" topLeftCell="A77" activePane="bottomLeft" state="frozen"/>
      <selection pane="bottomLeft" activeCell="B108" sqref="B108"/>
    </sheetView>
  </sheetViews>
  <sheetFormatPr defaultColWidth="9.109375" defaultRowHeight="18" x14ac:dyDescent="0.3"/>
  <cols>
    <col min="1" max="1" width="7.6640625" style="14" customWidth="1"/>
    <col min="2" max="2" width="31.44140625" style="14" customWidth="1"/>
    <col min="3" max="3" width="26" style="17" customWidth="1"/>
    <col min="4" max="4" width="20.6640625" style="17" customWidth="1"/>
    <col min="5" max="15" width="15" style="14" customWidth="1"/>
    <col min="16" max="16" width="17.109375" style="14" customWidth="1"/>
    <col min="17" max="17" width="12.33203125" style="18" bestFit="1" customWidth="1"/>
    <col min="18" max="18" width="9.109375" style="18"/>
    <col min="19" max="19" width="43" style="14" customWidth="1"/>
    <col min="20" max="20" width="16.33203125" style="14" customWidth="1"/>
    <col min="21" max="16384" width="9.109375" style="14"/>
  </cols>
  <sheetData>
    <row r="1" spans="1:20" ht="18.75" customHeight="1" x14ac:dyDescent="0.3">
      <c r="A1" s="446" t="s">
        <v>83</v>
      </c>
      <c r="B1" s="446" t="s">
        <v>84</v>
      </c>
      <c r="C1" s="446" t="s">
        <v>85</v>
      </c>
      <c r="D1" s="446" t="s">
        <v>86</v>
      </c>
      <c r="E1" s="146" t="s">
        <v>12</v>
      </c>
      <c r="F1" s="20"/>
      <c r="G1" s="20"/>
      <c r="H1" s="20"/>
      <c r="I1" s="20"/>
      <c r="J1" s="20"/>
      <c r="K1" s="20"/>
      <c r="L1" s="20"/>
      <c r="M1" s="20"/>
      <c r="N1" s="20"/>
      <c r="O1" s="20"/>
      <c r="P1" s="20"/>
      <c r="Q1" s="19"/>
    </row>
    <row r="2" spans="1:20" x14ac:dyDescent="0.3">
      <c r="A2" s="446"/>
      <c r="B2" s="446"/>
      <c r="C2" s="446"/>
      <c r="D2" s="446"/>
      <c r="E2" s="20" t="s">
        <v>26</v>
      </c>
      <c r="F2" s="20"/>
      <c r="G2" s="20" t="s">
        <v>29</v>
      </c>
      <c r="H2" s="20"/>
      <c r="I2" s="20" t="s">
        <v>35</v>
      </c>
      <c r="J2" s="20"/>
      <c r="K2" s="20" t="s">
        <v>38</v>
      </c>
      <c r="L2" s="20"/>
      <c r="M2" s="20" t="s">
        <v>39</v>
      </c>
      <c r="N2" s="20"/>
      <c r="O2" s="20" t="s">
        <v>42</v>
      </c>
      <c r="P2" s="20"/>
      <c r="Q2" s="21"/>
    </row>
    <row r="3" spans="1:20" x14ac:dyDescent="0.3">
      <c r="A3" s="446"/>
      <c r="B3" s="446"/>
      <c r="C3" s="446"/>
      <c r="D3" s="446"/>
      <c r="E3" s="1" t="s">
        <v>7</v>
      </c>
      <c r="F3" s="1" t="s">
        <v>87</v>
      </c>
      <c r="G3" s="1" t="s">
        <v>7</v>
      </c>
      <c r="H3" s="1" t="s">
        <v>87</v>
      </c>
      <c r="I3" s="1" t="s">
        <v>7</v>
      </c>
      <c r="J3" s="1" t="s">
        <v>87</v>
      </c>
      <c r="K3" s="1" t="s">
        <v>7</v>
      </c>
      <c r="L3" s="1" t="s">
        <v>87</v>
      </c>
      <c r="M3" s="1" t="s">
        <v>7</v>
      </c>
      <c r="N3" s="1" t="s">
        <v>87</v>
      </c>
      <c r="O3" s="1" t="s">
        <v>7</v>
      </c>
      <c r="P3" s="1" t="s">
        <v>87</v>
      </c>
      <c r="Q3" s="178" t="s">
        <v>33</v>
      </c>
    </row>
    <row r="4" spans="1:20" s="27" customFormat="1" ht="17.399999999999999" x14ac:dyDescent="0.3">
      <c r="A4" s="179"/>
      <c r="B4" s="179" t="s">
        <v>23</v>
      </c>
      <c r="C4" s="180"/>
      <c r="D4" s="180"/>
      <c r="E4" s="181">
        <f>SUM(E7:E200)</f>
        <v>1029</v>
      </c>
      <c r="F4" s="181">
        <f t="shared" ref="F4:P4" si="0">SUM(F7:F200)</f>
        <v>100842000</v>
      </c>
      <c r="G4" s="181">
        <f t="shared" si="0"/>
        <v>75</v>
      </c>
      <c r="H4" s="181">
        <f t="shared" si="0"/>
        <v>6375000</v>
      </c>
      <c r="I4" s="181">
        <f t="shared" si="0"/>
        <v>10</v>
      </c>
      <c r="J4" s="181">
        <f t="shared" si="0"/>
        <v>930000</v>
      </c>
      <c r="K4" s="181">
        <f t="shared" si="0"/>
        <v>6</v>
      </c>
      <c r="L4" s="181">
        <f t="shared" si="0"/>
        <v>636000</v>
      </c>
      <c r="M4" s="181">
        <f t="shared" si="0"/>
        <v>106</v>
      </c>
      <c r="N4" s="181">
        <f t="shared" si="0"/>
        <v>5512000</v>
      </c>
      <c r="O4" s="181">
        <f t="shared" si="0"/>
        <v>119</v>
      </c>
      <c r="P4" s="181">
        <f t="shared" si="0"/>
        <v>5712000</v>
      </c>
      <c r="Q4" s="25"/>
      <c r="R4" s="25"/>
    </row>
    <row r="5" spans="1:20" s="27" customFormat="1" ht="17.399999999999999" x14ac:dyDescent="0.3">
      <c r="A5" s="179"/>
      <c r="B5" s="179" t="s">
        <v>493</v>
      </c>
      <c r="C5" s="180"/>
      <c r="D5" s="180"/>
      <c r="E5" s="181">
        <f>SUMIFS(XUẤT!P:P,XUẤT!$M:$M,CBCNV!$Q$3)-E4</f>
        <v>0</v>
      </c>
      <c r="F5" s="181"/>
      <c r="G5" s="181">
        <f>SUMIFS(XUẤT!Q:Q,XUẤT!M:M,CBCNV!$Q$3)-CBCNV!G4</f>
        <v>0</v>
      </c>
      <c r="H5" s="181"/>
      <c r="I5" s="181">
        <f>SUMIFS(XUẤT!R:R,XUẤT!$M:$M,CBCNV!$Q$3)-CBCNV!I4</f>
        <v>0</v>
      </c>
      <c r="J5" s="181"/>
      <c r="K5" s="181">
        <f>SUMIFS(XUẤT!S:S,XUẤT!M:M,CBCNV!$Q$3)-CBCNV!K4</f>
        <v>0</v>
      </c>
      <c r="L5" s="181"/>
      <c r="M5" s="181">
        <f>SUMIFS(XUẤT!T:T,XUẤT!M:M,CBCNV!$Q$3)-CBCNV!M4</f>
        <v>7</v>
      </c>
      <c r="N5" s="181"/>
      <c r="O5" s="181">
        <f>SUMIFS(XUẤT!U:U,XUẤT!M:M,CBCNV!$Q$3)-CBCNV!O4</f>
        <v>5</v>
      </c>
      <c r="P5" s="181"/>
      <c r="Q5" s="25"/>
      <c r="R5" s="25"/>
    </row>
    <row r="6" spans="1:20" s="27" customFormat="1" ht="17.399999999999999" x14ac:dyDescent="0.3">
      <c r="A6" s="22"/>
      <c r="B6" s="22"/>
      <c r="C6" s="23"/>
      <c r="D6" s="23"/>
      <c r="E6" s="24"/>
      <c r="F6" s="24"/>
      <c r="G6" s="24"/>
      <c r="H6" s="24"/>
      <c r="I6" s="24"/>
      <c r="J6" s="24"/>
      <c r="K6" s="24"/>
      <c r="L6" s="24"/>
      <c r="M6" s="24"/>
      <c r="N6" s="24"/>
      <c r="O6" s="24"/>
      <c r="P6" s="24"/>
      <c r="Q6" s="25"/>
      <c r="R6" s="26"/>
    </row>
    <row r="7" spans="1:20" s="136" customFormat="1" x14ac:dyDescent="0.3">
      <c r="A7" s="132">
        <v>1</v>
      </c>
      <c r="B7" s="28" t="s">
        <v>88</v>
      </c>
      <c r="C7" s="133" t="s">
        <v>89</v>
      </c>
      <c r="D7" s="133" t="s">
        <v>90</v>
      </c>
      <c r="E7" s="134">
        <f>SUMIFS(XUẤT!P:P,XUẤT!N:N,CBCNV!B7,XUẤT!O:O,CBCNV!$E$2)</f>
        <v>50</v>
      </c>
      <c r="F7" s="135">
        <f t="shared" ref="F7:F38" si="1">E7*$T$10</f>
        <v>4900000</v>
      </c>
      <c r="G7" s="134">
        <f>SUMIFS(XUẤT!Q:Q,XUẤT!N:N,CBCNV!B7,XUẤT!O:O,CBCNV!$G$2)</f>
        <v>0</v>
      </c>
      <c r="H7" s="134">
        <f t="shared" ref="H7:H38" si="2">G7*$T$8</f>
        <v>0</v>
      </c>
      <c r="I7" s="134">
        <f>SUMIFS(XUẤT!R:R,XUẤT!N:N,CBCNV!B7,XUẤT!O:O,CBCNV!$I$2)</f>
        <v>0</v>
      </c>
      <c r="J7" s="135">
        <f t="shared" ref="J7:J38" si="3">I7*$T$9</f>
        <v>0</v>
      </c>
      <c r="K7" s="134">
        <f>SUMIFS(XUẤT!S:S,XUẤT!N:N,CBCNV!B7,XUẤT!O:O,CBCNV!$K$2)</f>
        <v>0</v>
      </c>
      <c r="L7" s="135">
        <f t="shared" ref="L7:L38" si="4">K7*$T$11</f>
        <v>0</v>
      </c>
      <c r="M7" s="134">
        <f>SUMIFS(XUẤT!T:T,XUẤT!N:N,CBCNV!B7,XUẤT!O:O,CBCNV!$M$2)</f>
        <v>0</v>
      </c>
      <c r="N7" s="135">
        <f t="shared" ref="N7:N38" si="5">M7*$T$12</f>
        <v>0</v>
      </c>
      <c r="O7" s="134">
        <f>SUMIFS(XUẤT!U:U,XUẤT!N:N,CBCNV!B7,XUẤT!O:O,CBCNV!$O$2)</f>
        <v>0</v>
      </c>
      <c r="P7" s="135">
        <f t="shared" ref="P7:P38" si="6">O7*$T$13</f>
        <v>0</v>
      </c>
      <c r="Q7" s="29"/>
      <c r="R7" s="30" t="s">
        <v>3</v>
      </c>
      <c r="S7" s="4" t="s">
        <v>19</v>
      </c>
      <c r="T7" s="4" t="s">
        <v>20</v>
      </c>
    </row>
    <row r="8" spans="1:20" s="140" customFormat="1" x14ac:dyDescent="0.3">
      <c r="A8" s="137">
        <v>2</v>
      </c>
      <c r="B8" s="10" t="s">
        <v>91</v>
      </c>
      <c r="C8" s="137" t="s">
        <v>92</v>
      </c>
      <c r="D8" s="137" t="s">
        <v>90</v>
      </c>
      <c r="E8" s="134">
        <f>SUMIFS(XUẤT!P:P,XUẤT!N:N,CBCNV!B8,XUẤT!O:O,CBCNV!$E$2)</f>
        <v>0</v>
      </c>
      <c r="F8" s="139">
        <f t="shared" si="1"/>
        <v>0</v>
      </c>
      <c r="G8" s="134">
        <f>SUMIFS(XUẤT!Q:Q,XUẤT!N:N,CBCNV!B8,XUẤT!O:O,CBCNV!$G$2)</f>
        <v>0</v>
      </c>
      <c r="H8" s="138">
        <f t="shared" si="2"/>
        <v>0</v>
      </c>
      <c r="I8" s="134">
        <f>SUMIFS(XUẤT!R:R,XUẤT!N:N,CBCNV!B8,XUẤT!O:O,CBCNV!$I$2)</f>
        <v>0</v>
      </c>
      <c r="J8" s="139">
        <f t="shared" si="3"/>
        <v>0</v>
      </c>
      <c r="K8" s="134">
        <f>SUMIFS(XUẤT!S:S,XUẤT!N:N,CBCNV!B8,XUẤT!O:O,CBCNV!$K$2)</f>
        <v>0</v>
      </c>
      <c r="L8" s="139">
        <f t="shared" si="4"/>
        <v>0</v>
      </c>
      <c r="M8" s="134">
        <f>SUMIFS(XUẤT!T:T,XUẤT!N:N,CBCNV!B8,XUẤT!O:O,CBCNV!$M$2)</f>
        <v>0</v>
      </c>
      <c r="N8" s="139">
        <f t="shared" si="5"/>
        <v>0</v>
      </c>
      <c r="O8" s="134">
        <f>SUMIFS(XUẤT!U:U,XUẤT!N:N,CBCNV!B8,XUẤT!O:O,CBCNV!$O$2)</f>
        <v>0</v>
      </c>
      <c r="P8" s="139">
        <f t="shared" si="6"/>
        <v>0</v>
      </c>
      <c r="Q8" s="29"/>
      <c r="R8" s="31">
        <v>1</v>
      </c>
      <c r="S8" s="5" t="s">
        <v>29</v>
      </c>
      <c r="T8" s="6">
        <v>85000</v>
      </c>
    </row>
    <row r="9" spans="1:20" s="140" customFormat="1" x14ac:dyDescent="0.3">
      <c r="A9" s="137">
        <v>3</v>
      </c>
      <c r="B9" s="10" t="s">
        <v>93</v>
      </c>
      <c r="C9" s="137" t="s">
        <v>94</v>
      </c>
      <c r="D9" s="137" t="s">
        <v>90</v>
      </c>
      <c r="E9" s="134">
        <f>SUMIFS(XUẤT!P:P,XUẤT!N:N,CBCNV!B9,XUẤT!O:O,CBCNV!$E$2)</f>
        <v>0</v>
      </c>
      <c r="F9" s="139">
        <f t="shared" si="1"/>
        <v>0</v>
      </c>
      <c r="G9" s="134">
        <f>SUMIFS(XUẤT!Q:Q,XUẤT!N:N,CBCNV!B9,XUẤT!O:O,CBCNV!$G$2)</f>
        <v>0</v>
      </c>
      <c r="H9" s="138">
        <f t="shared" si="2"/>
        <v>0</v>
      </c>
      <c r="I9" s="134">
        <f>SUMIFS(XUẤT!R:R,XUẤT!N:N,CBCNV!B9,XUẤT!O:O,CBCNV!$I$2)</f>
        <v>0</v>
      </c>
      <c r="J9" s="139">
        <f t="shared" si="3"/>
        <v>0</v>
      </c>
      <c r="K9" s="134">
        <f>SUMIFS(XUẤT!S:S,XUẤT!N:N,CBCNV!B9,XUẤT!O:O,CBCNV!$K$2)</f>
        <v>0</v>
      </c>
      <c r="L9" s="139">
        <f t="shared" si="4"/>
        <v>0</v>
      </c>
      <c r="M9" s="134">
        <f>SUMIFS(XUẤT!T:T,XUẤT!N:N,CBCNV!B9,XUẤT!O:O,CBCNV!$M$2)</f>
        <v>0</v>
      </c>
      <c r="N9" s="139">
        <f t="shared" si="5"/>
        <v>0</v>
      </c>
      <c r="O9" s="134">
        <f>SUMIFS(XUẤT!U:U,XUẤT!N:N,CBCNV!B9,XUẤT!O:O,CBCNV!$O$2)</f>
        <v>0</v>
      </c>
      <c r="P9" s="139">
        <f t="shared" si="6"/>
        <v>0</v>
      </c>
      <c r="Q9" s="29"/>
      <c r="R9" s="31">
        <v>2</v>
      </c>
      <c r="S9" s="5" t="s">
        <v>35</v>
      </c>
      <c r="T9" s="6">
        <v>93000</v>
      </c>
    </row>
    <row r="10" spans="1:20" s="140" customFormat="1" x14ac:dyDescent="0.3">
      <c r="A10" s="137">
        <v>4</v>
      </c>
      <c r="B10" s="10" t="s">
        <v>95</v>
      </c>
      <c r="C10" s="137" t="s">
        <v>94</v>
      </c>
      <c r="D10" s="137" t="s">
        <v>90</v>
      </c>
      <c r="E10" s="134">
        <f>SUMIFS(XUẤT!P:P,XUẤT!N:N,CBCNV!B10,XUẤT!O:O,CBCNV!$E$2)</f>
        <v>2</v>
      </c>
      <c r="F10" s="139">
        <f t="shared" si="1"/>
        <v>196000</v>
      </c>
      <c r="G10" s="134">
        <f>SUMIFS(XUẤT!Q:Q,XUẤT!N:N,CBCNV!B10,XUẤT!O:O,CBCNV!$G$2)</f>
        <v>0</v>
      </c>
      <c r="H10" s="138">
        <f t="shared" si="2"/>
        <v>0</v>
      </c>
      <c r="I10" s="134">
        <f>SUMIFS(XUẤT!R:R,XUẤT!N:N,CBCNV!B10,XUẤT!O:O,CBCNV!$I$2)</f>
        <v>0</v>
      </c>
      <c r="J10" s="139">
        <f t="shared" si="3"/>
        <v>0</v>
      </c>
      <c r="K10" s="134">
        <f>SUMIFS(XUẤT!S:S,XUẤT!N:N,CBCNV!B10,XUẤT!O:O,CBCNV!$K$2)</f>
        <v>0</v>
      </c>
      <c r="L10" s="139">
        <f t="shared" si="4"/>
        <v>0</v>
      </c>
      <c r="M10" s="134">
        <f>SUMIFS(XUẤT!T:T,XUẤT!N:N,CBCNV!B10,XUẤT!O:O,CBCNV!$M$2)</f>
        <v>0</v>
      </c>
      <c r="N10" s="139">
        <f t="shared" si="5"/>
        <v>0</v>
      </c>
      <c r="O10" s="134">
        <f>SUMIFS(XUẤT!U:U,XUẤT!N:N,CBCNV!B10,XUẤT!O:O,CBCNV!$O$2)</f>
        <v>0</v>
      </c>
      <c r="P10" s="139">
        <f t="shared" si="6"/>
        <v>0</v>
      </c>
      <c r="Q10" s="29"/>
      <c r="R10" s="31">
        <v>3</v>
      </c>
      <c r="S10" s="5" t="s">
        <v>26</v>
      </c>
      <c r="T10" s="6">
        <v>98000</v>
      </c>
    </row>
    <row r="11" spans="1:20" s="140" customFormat="1" x14ac:dyDescent="0.3">
      <c r="A11" s="137">
        <v>5</v>
      </c>
      <c r="B11" s="10" t="s">
        <v>96</v>
      </c>
      <c r="C11" s="137" t="s">
        <v>97</v>
      </c>
      <c r="D11" s="137" t="s">
        <v>90</v>
      </c>
      <c r="E11" s="134">
        <f>SUMIFS(XUẤT!P:P,XUẤT!N:N,CBCNV!B11,XUẤT!O:O,CBCNV!$E$2)</f>
        <v>2</v>
      </c>
      <c r="F11" s="139">
        <f t="shared" si="1"/>
        <v>196000</v>
      </c>
      <c r="G11" s="134">
        <f>SUMIFS(XUẤT!Q:Q,XUẤT!N:N,CBCNV!B11,XUẤT!O:O,CBCNV!$G$2)</f>
        <v>10</v>
      </c>
      <c r="H11" s="138">
        <f t="shared" si="2"/>
        <v>850000</v>
      </c>
      <c r="I11" s="134">
        <f>SUMIFS(XUẤT!R:R,XUẤT!N:N,CBCNV!B11,XUẤT!O:O,CBCNV!$I$2)</f>
        <v>0</v>
      </c>
      <c r="J11" s="139">
        <f t="shared" si="3"/>
        <v>0</v>
      </c>
      <c r="K11" s="134">
        <f>SUMIFS(XUẤT!S:S,XUẤT!N:N,CBCNV!B11,XUẤT!O:O,CBCNV!$K$2)</f>
        <v>0</v>
      </c>
      <c r="L11" s="139">
        <f t="shared" si="4"/>
        <v>0</v>
      </c>
      <c r="M11" s="134">
        <f>SUMIFS(XUẤT!T:T,XUẤT!N:N,CBCNV!B11,XUẤT!O:O,CBCNV!$M$2)</f>
        <v>0</v>
      </c>
      <c r="N11" s="139">
        <f t="shared" si="5"/>
        <v>0</v>
      </c>
      <c r="O11" s="134">
        <f>SUMIFS(XUẤT!U:U,XUẤT!N:N,CBCNV!B11,XUẤT!O:O,CBCNV!$O$2)</f>
        <v>0</v>
      </c>
      <c r="P11" s="139">
        <f t="shared" si="6"/>
        <v>0</v>
      </c>
      <c r="Q11" s="29"/>
      <c r="R11" s="31">
        <v>4</v>
      </c>
      <c r="S11" s="5" t="s">
        <v>38</v>
      </c>
      <c r="T11" s="6">
        <v>106000</v>
      </c>
    </row>
    <row r="12" spans="1:20" s="140" customFormat="1" x14ac:dyDescent="0.3">
      <c r="A12" s="137">
        <v>6</v>
      </c>
      <c r="B12" s="10" t="s">
        <v>98</v>
      </c>
      <c r="C12" s="137" t="s">
        <v>99</v>
      </c>
      <c r="D12" s="137" t="s">
        <v>90</v>
      </c>
      <c r="E12" s="134">
        <f>SUMIFS(XUẤT!P:P,XUẤT!N:N,CBCNV!B12,XUẤT!O:O,CBCNV!$E$2)</f>
        <v>2</v>
      </c>
      <c r="F12" s="139">
        <f t="shared" si="1"/>
        <v>196000</v>
      </c>
      <c r="G12" s="134">
        <f>SUMIFS(XUẤT!Q:Q,XUẤT!N:N,CBCNV!B12,XUẤT!O:O,CBCNV!$G$2)</f>
        <v>1</v>
      </c>
      <c r="H12" s="138">
        <f t="shared" si="2"/>
        <v>85000</v>
      </c>
      <c r="I12" s="134">
        <f>SUMIFS(XUẤT!R:R,XUẤT!N:N,CBCNV!B12,XUẤT!O:O,CBCNV!$I$2)</f>
        <v>0</v>
      </c>
      <c r="J12" s="139">
        <f t="shared" si="3"/>
        <v>0</v>
      </c>
      <c r="K12" s="134">
        <f>SUMIFS(XUẤT!S:S,XUẤT!N:N,CBCNV!B12,XUẤT!O:O,CBCNV!$K$2)</f>
        <v>0</v>
      </c>
      <c r="L12" s="139">
        <f t="shared" si="4"/>
        <v>0</v>
      </c>
      <c r="M12" s="134">
        <f>SUMIFS(XUẤT!T:T,XUẤT!N:N,CBCNV!B12,XUẤT!O:O,CBCNV!$M$2)</f>
        <v>19</v>
      </c>
      <c r="N12" s="139">
        <f t="shared" si="5"/>
        <v>988000</v>
      </c>
      <c r="O12" s="134">
        <f>SUMIFS(XUẤT!U:U,XUẤT!N:N,CBCNV!B12,XUẤT!O:O,CBCNV!$O$2)</f>
        <v>1</v>
      </c>
      <c r="P12" s="139">
        <f t="shared" si="6"/>
        <v>48000</v>
      </c>
      <c r="Q12" s="29"/>
      <c r="R12" s="31">
        <v>5</v>
      </c>
      <c r="S12" s="5" t="s">
        <v>39</v>
      </c>
      <c r="T12" s="6">
        <v>52000</v>
      </c>
    </row>
    <row r="13" spans="1:20" s="140" customFormat="1" x14ac:dyDescent="0.3">
      <c r="A13" s="137">
        <v>7</v>
      </c>
      <c r="B13" s="10" t="s">
        <v>100</v>
      </c>
      <c r="C13" s="137" t="s">
        <v>99</v>
      </c>
      <c r="D13" s="137" t="s">
        <v>90</v>
      </c>
      <c r="E13" s="134">
        <f>SUMIFS(XUẤT!P:P,XUẤT!N:N,CBCNV!B13,XUẤT!O:O,CBCNV!$E$2)</f>
        <v>0</v>
      </c>
      <c r="F13" s="139">
        <f t="shared" si="1"/>
        <v>0</v>
      </c>
      <c r="G13" s="134">
        <f>SUMIFS(XUẤT!Q:Q,XUẤT!N:N,CBCNV!B13,XUẤT!O:O,CBCNV!$G$2)</f>
        <v>0</v>
      </c>
      <c r="H13" s="138">
        <f t="shared" si="2"/>
        <v>0</v>
      </c>
      <c r="I13" s="134">
        <f>SUMIFS(XUẤT!R:R,XUẤT!N:N,CBCNV!B13,XUẤT!O:O,CBCNV!$I$2)</f>
        <v>0</v>
      </c>
      <c r="J13" s="139">
        <f t="shared" si="3"/>
        <v>0</v>
      </c>
      <c r="K13" s="134">
        <f>SUMIFS(XUẤT!S:S,XUẤT!N:N,CBCNV!B13,XUẤT!O:O,CBCNV!$K$2)</f>
        <v>0</v>
      </c>
      <c r="L13" s="139">
        <f t="shared" si="4"/>
        <v>0</v>
      </c>
      <c r="M13" s="134">
        <f>SUMIFS(XUẤT!T:T,XUẤT!N:N,CBCNV!B13,XUẤT!O:O,CBCNV!$M$2)</f>
        <v>0</v>
      </c>
      <c r="N13" s="139">
        <f t="shared" si="5"/>
        <v>0</v>
      </c>
      <c r="O13" s="134">
        <f>SUMIFS(XUẤT!U:U,XUẤT!N:N,CBCNV!B13,XUẤT!O:O,CBCNV!$O$2)</f>
        <v>0</v>
      </c>
      <c r="P13" s="139">
        <f t="shared" si="6"/>
        <v>0</v>
      </c>
      <c r="Q13" s="29"/>
      <c r="R13" s="31">
        <v>6</v>
      </c>
      <c r="S13" s="5" t="s">
        <v>42</v>
      </c>
      <c r="T13" s="6">
        <v>48000</v>
      </c>
    </row>
    <row r="14" spans="1:20" s="140" customFormat="1" x14ac:dyDescent="0.3">
      <c r="A14" s="137">
        <v>8</v>
      </c>
      <c r="B14" s="10" t="s">
        <v>101</v>
      </c>
      <c r="C14" s="137" t="s">
        <v>99</v>
      </c>
      <c r="D14" s="137" t="s">
        <v>90</v>
      </c>
      <c r="E14" s="134">
        <f>SUMIFS(XUẤT!P:P,XUẤT!N:N,CBCNV!B14,XUẤT!O:O,CBCNV!$E$2)</f>
        <v>4</v>
      </c>
      <c r="F14" s="139">
        <f t="shared" si="1"/>
        <v>392000</v>
      </c>
      <c r="G14" s="134">
        <f>SUMIFS(XUẤT!Q:Q,XUẤT!N:N,CBCNV!B14,XUẤT!O:O,CBCNV!$G$2)</f>
        <v>3</v>
      </c>
      <c r="H14" s="138">
        <f t="shared" si="2"/>
        <v>255000</v>
      </c>
      <c r="I14" s="134">
        <f>SUMIFS(XUẤT!R:R,XUẤT!N:N,CBCNV!B14,XUẤT!O:O,CBCNV!$I$2)</f>
        <v>0</v>
      </c>
      <c r="J14" s="139">
        <f t="shared" si="3"/>
        <v>0</v>
      </c>
      <c r="K14" s="134">
        <f>SUMIFS(XUẤT!S:S,XUẤT!N:N,CBCNV!B14,XUẤT!O:O,CBCNV!$K$2)</f>
        <v>0</v>
      </c>
      <c r="L14" s="139">
        <f t="shared" si="4"/>
        <v>0</v>
      </c>
      <c r="M14" s="134">
        <f>SUMIFS(XUẤT!T:T,XUẤT!N:N,CBCNV!B14,XUẤT!O:O,CBCNV!$M$2)</f>
        <v>0</v>
      </c>
      <c r="N14" s="139">
        <f t="shared" si="5"/>
        <v>0</v>
      </c>
      <c r="O14" s="134">
        <f>SUMIFS(XUẤT!U:U,XUẤT!N:N,CBCNV!B14,XUẤT!O:O,CBCNV!$O$2)</f>
        <v>0</v>
      </c>
      <c r="P14" s="139">
        <f t="shared" si="6"/>
        <v>0</v>
      </c>
      <c r="Q14" s="32"/>
      <c r="R14" s="18"/>
    </row>
    <row r="15" spans="1:20" s="140" customFormat="1" x14ac:dyDescent="0.3">
      <c r="A15" s="137">
        <v>9</v>
      </c>
      <c r="B15" s="10" t="s">
        <v>102</v>
      </c>
      <c r="C15" s="137" t="s">
        <v>99</v>
      </c>
      <c r="D15" s="137" t="s">
        <v>90</v>
      </c>
      <c r="E15" s="134">
        <f>SUMIFS(XUẤT!P:P,XUẤT!N:N,CBCNV!B15,XUẤT!O:O,CBCNV!$E$2)</f>
        <v>0</v>
      </c>
      <c r="F15" s="139">
        <f t="shared" si="1"/>
        <v>0</v>
      </c>
      <c r="G15" s="134">
        <f>SUMIFS(XUẤT!Q:Q,XUẤT!N:N,CBCNV!B15,XUẤT!O:O,CBCNV!$G$2)</f>
        <v>0</v>
      </c>
      <c r="H15" s="138">
        <f t="shared" si="2"/>
        <v>0</v>
      </c>
      <c r="I15" s="134">
        <f>SUMIFS(XUẤT!R:R,XUẤT!N:N,CBCNV!B15,XUẤT!O:O,CBCNV!$I$2)</f>
        <v>0</v>
      </c>
      <c r="J15" s="139">
        <f t="shared" si="3"/>
        <v>0</v>
      </c>
      <c r="K15" s="134">
        <f>SUMIFS(XUẤT!S:S,XUẤT!N:N,CBCNV!B15,XUẤT!O:O,CBCNV!$K$2)</f>
        <v>0</v>
      </c>
      <c r="L15" s="139">
        <f t="shared" si="4"/>
        <v>0</v>
      </c>
      <c r="M15" s="134">
        <f>SUMIFS(XUẤT!T:T,XUẤT!N:N,CBCNV!B15,XUẤT!O:O,CBCNV!$M$2)</f>
        <v>0</v>
      </c>
      <c r="N15" s="139">
        <f t="shared" si="5"/>
        <v>0</v>
      </c>
      <c r="O15" s="134">
        <f>SUMIFS(XUẤT!U:U,XUẤT!N:N,CBCNV!B15,XUẤT!O:O,CBCNV!$O$2)</f>
        <v>0</v>
      </c>
      <c r="P15" s="139">
        <f t="shared" si="6"/>
        <v>0</v>
      </c>
      <c r="Q15" s="32"/>
      <c r="R15" s="18"/>
    </row>
    <row r="16" spans="1:20" s="140" customFormat="1" x14ac:dyDescent="0.3">
      <c r="A16" s="137">
        <v>10</v>
      </c>
      <c r="B16" s="10" t="s">
        <v>103</v>
      </c>
      <c r="C16" s="137" t="s">
        <v>99</v>
      </c>
      <c r="D16" s="137" t="s">
        <v>90</v>
      </c>
      <c r="E16" s="134">
        <f>SUMIFS(XUẤT!P:P,XUẤT!N:N,CBCNV!B16,XUẤT!O:O,CBCNV!$E$2)</f>
        <v>20</v>
      </c>
      <c r="F16" s="139">
        <f t="shared" si="1"/>
        <v>1960000</v>
      </c>
      <c r="G16" s="134">
        <f>SUMIFS(XUẤT!Q:Q,XUẤT!N:N,CBCNV!B16,XUẤT!O:O,CBCNV!$G$2)</f>
        <v>0</v>
      </c>
      <c r="H16" s="138">
        <f t="shared" si="2"/>
        <v>0</v>
      </c>
      <c r="I16" s="134">
        <f>SUMIFS(XUẤT!R:R,XUẤT!N:N,CBCNV!B16,XUẤT!O:O,CBCNV!$I$2)</f>
        <v>0</v>
      </c>
      <c r="J16" s="139">
        <f t="shared" si="3"/>
        <v>0</v>
      </c>
      <c r="K16" s="134">
        <f>SUMIFS(XUẤT!S:S,XUẤT!N:N,CBCNV!B16,XUẤT!O:O,CBCNV!$K$2)</f>
        <v>0</v>
      </c>
      <c r="L16" s="139">
        <f t="shared" si="4"/>
        <v>0</v>
      </c>
      <c r="M16" s="134">
        <f>SUMIFS(XUẤT!T:T,XUẤT!N:N,CBCNV!B16,XUẤT!O:O,CBCNV!$M$2)</f>
        <v>0</v>
      </c>
      <c r="N16" s="139">
        <f t="shared" si="5"/>
        <v>0</v>
      </c>
      <c r="O16" s="134">
        <f>SUMIFS(XUẤT!U:U,XUẤT!N:N,CBCNV!B16,XUẤT!O:O,CBCNV!$O$2)</f>
        <v>4</v>
      </c>
      <c r="P16" s="139">
        <f t="shared" si="6"/>
        <v>192000</v>
      </c>
      <c r="Q16" s="32"/>
      <c r="R16" s="18"/>
    </row>
    <row r="17" spans="1:20" s="140" customFormat="1" x14ac:dyDescent="0.3">
      <c r="A17" s="137">
        <v>11</v>
      </c>
      <c r="B17" s="10" t="s">
        <v>104</v>
      </c>
      <c r="C17" s="137" t="s">
        <v>99</v>
      </c>
      <c r="D17" s="137" t="s">
        <v>90</v>
      </c>
      <c r="E17" s="134">
        <f>SUMIFS(XUẤT!P:P,XUẤT!N:N,CBCNV!B17,XUẤT!O:O,CBCNV!$E$2)</f>
        <v>10</v>
      </c>
      <c r="F17" s="139">
        <f t="shared" si="1"/>
        <v>980000</v>
      </c>
      <c r="G17" s="134">
        <f>SUMIFS(XUẤT!Q:Q,XUẤT!N:N,CBCNV!B17,XUẤT!O:O,CBCNV!$G$2)</f>
        <v>0</v>
      </c>
      <c r="H17" s="138">
        <f t="shared" si="2"/>
        <v>0</v>
      </c>
      <c r="I17" s="134">
        <f>SUMIFS(XUẤT!R:R,XUẤT!N:N,CBCNV!B17,XUẤT!O:O,CBCNV!$I$2)</f>
        <v>0</v>
      </c>
      <c r="J17" s="139">
        <f t="shared" si="3"/>
        <v>0</v>
      </c>
      <c r="K17" s="134">
        <f>SUMIFS(XUẤT!S:S,XUẤT!N:N,CBCNV!B17,XUẤT!O:O,CBCNV!$K$2)</f>
        <v>6</v>
      </c>
      <c r="L17" s="139">
        <f t="shared" si="4"/>
        <v>636000</v>
      </c>
      <c r="M17" s="134">
        <f>SUMIFS(XUẤT!T:T,XUẤT!N:N,CBCNV!B17,XUẤT!O:O,CBCNV!$M$2)</f>
        <v>6</v>
      </c>
      <c r="N17" s="139">
        <f t="shared" si="5"/>
        <v>312000</v>
      </c>
      <c r="O17" s="134">
        <f>SUMIFS(XUẤT!U:U,XUẤT!N:N,CBCNV!B17,XUẤT!O:O,CBCNV!$O$2)</f>
        <v>9</v>
      </c>
      <c r="P17" s="139">
        <f t="shared" si="6"/>
        <v>432000</v>
      </c>
      <c r="Q17" s="32"/>
      <c r="R17" s="18"/>
    </row>
    <row r="18" spans="1:20" s="140" customFormat="1" x14ac:dyDescent="0.3">
      <c r="A18" s="137">
        <v>12</v>
      </c>
      <c r="B18" s="10" t="s">
        <v>105</v>
      </c>
      <c r="C18" s="137" t="s">
        <v>99</v>
      </c>
      <c r="D18" s="137" t="s">
        <v>90</v>
      </c>
      <c r="E18" s="134">
        <f>SUMIFS(XUẤT!P:P,XUẤT!N:N,CBCNV!B18,XUẤT!O:O,CBCNV!$E$2)</f>
        <v>0</v>
      </c>
      <c r="F18" s="139">
        <f t="shared" si="1"/>
        <v>0</v>
      </c>
      <c r="G18" s="134">
        <f>SUMIFS(XUẤT!Q:Q,XUẤT!N:N,CBCNV!B18,XUẤT!O:O,CBCNV!$G$2)</f>
        <v>0</v>
      </c>
      <c r="H18" s="138">
        <f t="shared" si="2"/>
        <v>0</v>
      </c>
      <c r="I18" s="134">
        <f>SUMIFS(XUẤT!R:R,XUẤT!N:N,CBCNV!B18,XUẤT!O:O,CBCNV!$I$2)</f>
        <v>0</v>
      </c>
      <c r="J18" s="139">
        <f t="shared" si="3"/>
        <v>0</v>
      </c>
      <c r="K18" s="134">
        <f>SUMIFS(XUẤT!S:S,XUẤT!N:N,CBCNV!B18,XUẤT!O:O,CBCNV!$K$2)</f>
        <v>0</v>
      </c>
      <c r="L18" s="139">
        <f t="shared" si="4"/>
        <v>0</v>
      </c>
      <c r="M18" s="134">
        <f>SUMIFS(XUẤT!T:T,XUẤT!N:N,CBCNV!B18,XUẤT!O:O,CBCNV!$M$2)</f>
        <v>0</v>
      </c>
      <c r="N18" s="139">
        <f t="shared" si="5"/>
        <v>0</v>
      </c>
      <c r="O18" s="134">
        <f>SUMIFS(XUẤT!U:U,XUẤT!N:N,CBCNV!B18,XUẤT!O:O,CBCNV!$O$2)</f>
        <v>0</v>
      </c>
      <c r="P18" s="139">
        <f t="shared" si="6"/>
        <v>0</v>
      </c>
      <c r="Q18" s="32"/>
      <c r="R18" s="18"/>
    </row>
    <row r="19" spans="1:20" s="140" customFormat="1" x14ac:dyDescent="0.3">
      <c r="A19" s="137">
        <v>13</v>
      </c>
      <c r="B19" s="10" t="s">
        <v>106</v>
      </c>
      <c r="C19" s="137" t="s">
        <v>99</v>
      </c>
      <c r="D19" s="137" t="s">
        <v>90</v>
      </c>
      <c r="E19" s="134">
        <f>SUMIFS(XUẤT!P:P,XUẤT!N:N,CBCNV!B19,XUẤT!O:O,CBCNV!$E$2)</f>
        <v>2</v>
      </c>
      <c r="F19" s="139">
        <f t="shared" si="1"/>
        <v>196000</v>
      </c>
      <c r="G19" s="134">
        <f>SUMIFS(XUẤT!Q:Q,XUẤT!N:N,CBCNV!B19,XUẤT!O:O,CBCNV!$G$2)</f>
        <v>0</v>
      </c>
      <c r="H19" s="138">
        <f t="shared" si="2"/>
        <v>0</v>
      </c>
      <c r="I19" s="134">
        <f>SUMIFS(XUẤT!R:R,XUẤT!N:N,CBCNV!B19,XUẤT!O:O,CBCNV!$I$2)</f>
        <v>0</v>
      </c>
      <c r="J19" s="139">
        <f t="shared" si="3"/>
        <v>0</v>
      </c>
      <c r="K19" s="134">
        <f>SUMIFS(XUẤT!S:S,XUẤT!N:N,CBCNV!B19,XUẤT!O:O,CBCNV!$K$2)</f>
        <v>0</v>
      </c>
      <c r="L19" s="139">
        <f t="shared" si="4"/>
        <v>0</v>
      </c>
      <c r="M19" s="134">
        <f>SUMIFS(XUẤT!T:T,XUẤT!N:N,CBCNV!B19,XUẤT!O:O,CBCNV!$M$2)</f>
        <v>0</v>
      </c>
      <c r="N19" s="139">
        <f t="shared" si="5"/>
        <v>0</v>
      </c>
      <c r="O19" s="134">
        <f>SUMIFS(XUẤT!U:U,XUẤT!N:N,CBCNV!B19,XUẤT!O:O,CBCNV!$O$2)</f>
        <v>0</v>
      </c>
      <c r="P19" s="139">
        <f t="shared" si="6"/>
        <v>0</v>
      </c>
      <c r="Q19" s="32"/>
      <c r="R19" s="18"/>
    </row>
    <row r="20" spans="1:20" s="140" customFormat="1" x14ac:dyDescent="0.3">
      <c r="A20" s="137">
        <v>14</v>
      </c>
      <c r="B20" s="10" t="s">
        <v>57</v>
      </c>
      <c r="C20" s="137" t="s">
        <v>99</v>
      </c>
      <c r="D20" s="137" t="s">
        <v>90</v>
      </c>
      <c r="E20" s="134">
        <f>SUMIFS(XUẤT!P:P,XUẤT!N:N,CBCNV!B20,XUẤT!O:O,CBCNV!$E$2)</f>
        <v>10</v>
      </c>
      <c r="F20" s="139">
        <f t="shared" si="1"/>
        <v>980000</v>
      </c>
      <c r="G20" s="134">
        <f>SUMIFS(XUẤT!Q:Q,XUẤT!N:N,CBCNV!B20,XUẤT!O:O,CBCNV!$G$2)</f>
        <v>0</v>
      </c>
      <c r="H20" s="138">
        <f t="shared" si="2"/>
        <v>0</v>
      </c>
      <c r="I20" s="134">
        <f>SUMIFS(XUẤT!R:R,XUẤT!N:N,CBCNV!B20,XUẤT!O:O,CBCNV!$I$2)</f>
        <v>0</v>
      </c>
      <c r="J20" s="139">
        <f t="shared" si="3"/>
        <v>0</v>
      </c>
      <c r="K20" s="134">
        <f>SUMIFS(XUẤT!S:S,XUẤT!N:N,CBCNV!B20,XUẤT!O:O,CBCNV!$K$2)</f>
        <v>0</v>
      </c>
      <c r="L20" s="139">
        <f t="shared" si="4"/>
        <v>0</v>
      </c>
      <c r="M20" s="134">
        <f>SUMIFS(XUẤT!T:T,XUẤT!N:N,CBCNV!B20,XUẤT!O:O,CBCNV!$M$2)</f>
        <v>0</v>
      </c>
      <c r="N20" s="139">
        <f t="shared" si="5"/>
        <v>0</v>
      </c>
      <c r="O20" s="134">
        <f>SUMIFS(XUẤT!U:U,XUẤT!N:N,CBCNV!B20,XUẤT!O:O,CBCNV!$O$2)</f>
        <v>0</v>
      </c>
      <c r="P20" s="139">
        <f t="shared" si="6"/>
        <v>0</v>
      </c>
      <c r="Q20" s="32"/>
      <c r="R20" s="18"/>
    </row>
    <row r="21" spans="1:20" s="140" customFormat="1" x14ac:dyDescent="0.3">
      <c r="A21" s="137">
        <v>15</v>
      </c>
      <c r="B21" s="10" t="s">
        <v>107</v>
      </c>
      <c r="C21" s="137" t="s">
        <v>99</v>
      </c>
      <c r="D21" s="137" t="s">
        <v>90</v>
      </c>
      <c r="E21" s="134">
        <f>SUMIFS(XUẤT!P:P,XUẤT!N:N,CBCNV!B21,XUẤT!O:O,CBCNV!$E$2)</f>
        <v>13</v>
      </c>
      <c r="F21" s="139">
        <f t="shared" si="1"/>
        <v>1274000</v>
      </c>
      <c r="G21" s="134">
        <f>SUMIFS(XUẤT!Q:Q,XUẤT!N:N,CBCNV!B21,XUẤT!O:O,CBCNV!$G$2)</f>
        <v>0</v>
      </c>
      <c r="H21" s="138">
        <f t="shared" si="2"/>
        <v>0</v>
      </c>
      <c r="I21" s="134">
        <f>SUMIFS(XUẤT!R:R,XUẤT!N:N,CBCNV!B21,XUẤT!O:O,CBCNV!$I$2)</f>
        <v>0</v>
      </c>
      <c r="J21" s="139">
        <f t="shared" si="3"/>
        <v>0</v>
      </c>
      <c r="K21" s="134">
        <f>SUMIFS(XUẤT!S:S,XUẤT!N:N,CBCNV!B21,XUẤT!O:O,CBCNV!$K$2)</f>
        <v>0</v>
      </c>
      <c r="L21" s="139">
        <f t="shared" si="4"/>
        <v>0</v>
      </c>
      <c r="M21" s="134">
        <f>SUMIFS(XUẤT!T:T,XUẤT!N:N,CBCNV!B21,XUẤT!O:O,CBCNV!$M$2)</f>
        <v>0</v>
      </c>
      <c r="N21" s="139">
        <f t="shared" si="5"/>
        <v>0</v>
      </c>
      <c r="O21" s="134">
        <f>SUMIFS(XUẤT!U:U,XUẤT!N:N,CBCNV!B21,XUẤT!O:O,CBCNV!$O$2)</f>
        <v>0</v>
      </c>
      <c r="P21" s="139">
        <f t="shared" si="6"/>
        <v>0</v>
      </c>
      <c r="Q21" s="32"/>
      <c r="R21" s="18"/>
    </row>
    <row r="22" spans="1:20" s="140" customFormat="1" x14ac:dyDescent="0.3">
      <c r="A22" s="137">
        <v>16</v>
      </c>
      <c r="B22" s="10" t="s">
        <v>108</v>
      </c>
      <c r="C22" s="137" t="s">
        <v>109</v>
      </c>
      <c r="D22" s="137" t="s">
        <v>90</v>
      </c>
      <c r="E22" s="134">
        <f>SUMIFS(XUẤT!P:P,XUẤT!N:N,CBCNV!B22,XUẤT!O:O,CBCNV!$E$2)</f>
        <v>1</v>
      </c>
      <c r="F22" s="139">
        <f t="shared" si="1"/>
        <v>98000</v>
      </c>
      <c r="G22" s="134">
        <f>SUMIFS(XUẤT!Q:Q,XUẤT!N:N,CBCNV!B22,XUẤT!O:O,CBCNV!$G$2)</f>
        <v>0</v>
      </c>
      <c r="H22" s="138">
        <f t="shared" si="2"/>
        <v>0</v>
      </c>
      <c r="I22" s="134">
        <f>SUMIFS(XUẤT!R:R,XUẤT!N:N,CBCNV!B22,XUẤT!O:O,CBCNV!$I$2)</f>
        <v>10</v>
      </c>
      <c r="J22" s="139">
        <f t="shared" si="3"/>
        <v>930000</v>
      </c>
      <c r="K22" s="134">
        <f>SUMIFS(XUẤT!S:S,XUẤT!N:N,CBCNV!B22,XUẤT!O:O,CBCNV!$K$2)</f>
        <v>0</v>
      </c>
      <c r="L22" s="139">
        <f t="shared" si="4"/>
        <v>0</v>
      </c>
      <c r="M22" s="134">
        <f>SUMIFS(XUẤT!T:T,XUẤT!N:N,CBCNV!B22,XUẤT!O:O,CBCNV!$M$2)</f>
        <v>0</v>
      </c>
      <c r="N22" s="139">
        <f t="shared" si="5"/>
        <v>0</v>
      </c>
      <c r="O22" s="134">
        <f>SUMIFS(XUẤT!U:U,XUẤT!N:N,CBCNV!B22,XUẤT!O:O,CBCNV!$O$2)</f>
        <v>0</v>
      </c>
      <c r="P22" s="139">
        <f t="shared" si="6"/>
        <v>0</v>
      </c>
      <c r="Q22" s="32"/>
      <c r="R22" s="18"/>
    </row>
    <row r="23" spans="1:20" s="140" customFormat="1" x14ac:dyDescent="0.3">
      <c r="A23" s="137">
        <v>17</v>
      </c>
      <c r="B23" s="10" t="s">
        <v>110</v>
      </c>
      <c r="C23" s="137" t="s">
        <v>111</v>
      </c>
      <c r="D23" s="137" t="s">
        <v>90</v>
      </c>
      <c r="E23" s="134">
        <f>SUMIFS(XUẤT!P:P,XUẤT!N:N,CBCNV!B23,XUẤT!O:O,CBCNV!$E$2)</f>
        <v>0</v>
      </c>
      <c r="F23" s="139">
        <f t="shared" si="1"/>
        <v>0</v>
      </c>
      <c r="G23" s="134">
        <f>SUMIFS(XUẤT!Q:Q,XUẤT!N:N,CBCNV!B23,XUẤT!O:O,CBCNV!$G$2)</f>
        <v>0</v>
      </c>
      <c r="H23" s="138">
        <f t="shared" si="2"/>
        <v>0</v>
      </c>
      <c r="I23" s="134">
        <f>SUMIFS(XUẤT!R:R,XUẤT!N:N,CBCNV!B23,XUẤT!O:O,CBCNV!$I$2)</f>
        <v>0</v>
      </c>
      <c r="J23" s="139">
        <f t="shared" si="3"/>
        <v>0</v>
      </c>
      <c r="K23" s="134">
        <f>SUMIFS(XUẤT!S:S,XUẤT!N:N,CBCNV!B23,XUẤT!O:O,CBCNV!$K$2)</f>
        <v>0</v>
      </c>
      <c r="L23" s="139">
        <f t="shared" si="4"/>
        <v>0</v>
      </c>
      <c r="M23" s="134">
        <f>SUMIFS(XUẤT!T:T,XUẤT!N:N,CBCNV!B23,XUẤT!O:O,CBCNV!$M$2)</f>
        <v>0</v>
      </c>
      <c r="N23" s="139">
        <f t="shared" si="5"/>
        <v>0</v>
      </c>
      <c r="O23" s="134">
        <f>SUMIFS(XUẤT!U:U,XUẤT!N:N,CBCNV!B23,XUẤT!O:O,CBCNV!$O$2)</f>
        <v>0</v>
      </c>
      <c r="P23" s="139">
        <f t="shared" si="6"/>
        <v>0</v>
      </c>
      <c r="Q23" s="32"/>
      <c r="R23" s="18"/>
    </row>
    <row r="24" spans="1:20" s="136" customFormat="1" x14ac:dyDescent="0.3">
      <c r="A24" s="137">
        <v>18</v>
      </c>
      <c r="B24" s="33" t="s">
        <v>112</v>
      </c>
      <c r="C24" s="137" t="s">
        <v>113</v>
      </c>
      <c r="D24" s="137" t="s">
        <v>90</v>
      </c>
      <c r="E24" s="134">
        <f>SUMIFS(XUẤT!P:P,XUẤT!N:N,CBCNV!B24,XUẤT!O:O,CBCNV!$E$2)</f>
        <v>0</v>
      </c>
      <c r="F24" s="139">
        <f t="shared" si="1"/>
        <v>0</v>
      </c>
      <c r="G24" s="134">
        <f>SUMIFS(XUẤT!Q:Q,XUẤT!N:N,CBCNV!B24,XUẤT!O:O,CBCNV!$G$2)</f>
        <v>0</v>
      </c>
      <c r="H24" s="138">
        <f t="shared" si="2"/>
        <v>0</v>
      </c>
      <c r="I24" s="134">
        <f>SUMIFS(XUẤT!R:R,XUẤT!N:N,CBCNV!B24,XUẤT!O:O,CBCNV!$I$2)</f>
        <v>0</v>
      </c>
      <c r="J24" s="139">
        <f t="shared" si="3"/>
        <v>0</v>
      </c>
      <c r="K24" s="134">
        <f>SUMIFS(XUẤT!S:S,XUẤT!N:N,CBCNV!B24,XUẤT!O:O,CBCNV!$K$2)</f>
        <v>0</v>
      </c>
      <c r="L24" s="139">
        <f t="shared" si="4"/>
        <v>0</v>
      </c>
      <c r="M24" s="134">
        <f>SUMIFS(XUẤT!T:T,XUẤT!N:N,CBCNV!B24,XUẤT!O:O,CBCNV!$M$2)</f>
        <v>0</v>
      </c>
      <c r="N24" s="139">
        <f t="shared" si="5"/>
        <v>0</v>
      </c>
      <c r="O24" s="134">
        <f>SUMIFS(XUẤT!U:U,XUẤT!N:N,CBCNV!B24,XUẤT!O:O,CBCNV!$O$2)</f>
        <v>0</v>
      </c>
      <c r="P24" s="139">
        <f t="shared" si="6"/>
        <v>0</v>
      </c>
      <c r="Q24" s="32"/>
      <c r="R24" s="18"/>
      <c r="S24" s="140"/>
      <c r="T24" s="140"/>
    </row>
    <row r="25" spans="1:20" s="140" customFormat="1" x14ac:dyDescent="0.3">
      <c r="A25" s="137">
        <v>19</v>
      </c>
      <c r="B25" s="33" t="s">
        <v>114</v>
      </c>
      <c r="C25" s="137" t="s">
        <v>113</v>
      </c>
      <c r="D25" s="137" t="s">
        <v>90</v>
      </c>
      <c r="E25" s="134">
        <f>SUMIFS(XUẤT!P:P,XUẤT!N:N,CBCNV!B25,XUẤT!O:O,CBCNV!$E$2)</f>
        <v>0</v>
      </c>
      <c r="F25" s="139">
        <f t="shared" si="1"/>
        <v>0</v>
      </c>
      <c r="G25" s="134">
        <f>SUMIFS(XUẤT!Q:Q,XUẤT!N:N,CBCNV!B25,XUẤT!O:O,CBCNV!$G$2)</f>
        <v>0</v>
      </c>
      <c r="H25" s="138">
        <f t="shared" si="2"/>
        <v>0</v>
      </c>
      <c r="I25" s="134">
        <f>SUMIFS(XUẤT!R:R,XUẤT!N:N,CBCNV!B25,XUẤT!O:O,CBCNV!$I$2)</f>
        <v>0</v>
      </c>
      <c r="J25" s="139">
        <f t="shared" si="3"/>
        <v>0</v>
      </c>
      <c r="K25" s="134">
        <f>SUMIFS(XUẤT!S:S,XUẤT!N:N,CBCNV!B25,XUẤT!O:O,CBCNV!$K$2)</f>
        <v>0</v>
      </c>
      <c r="L25" s="139">
        <f t="shared" si="4"/>
        <v>0</v>
      </c>
      <c r="M25" s="134">
        <f>SUMIFS(XUẤT!T:T,XUẤT!N:N,CBCNV!B25,XUẤT!O:O,CBCNV!$M$2)</f>
        <v>0</v>
      </c>
      <c r="N25" s="139">
        <f t="shared" si="5"/>
        <v>0</v>
      </c>
      <c r="O25" s="134">
        <f>SUMIFS(XUẤT!U:U,XUẤT!N:N,CBCNV!B25,XUẤT!O:O,CBCNV!$O$2)</f>
        <v>0</v>
      </c>
      <c r="P25" s="139">
        <f t="shared" si="6"/>
        <v>0</v>
      </c>
      <c r="Q25" s="32"/>
      <c r="R25" s="18"/>
    </row>
    <row r="26" spans="1:20" s="140" customFormat="1" x14ac:dyDescent="0.3">
      <c r="A26" s="137"/>
      <c r="B26" s="33" t="s">
        <v>685</v>
      </c>
      <c r="C26" s="137" t="s">
        <v>688</v>
      </c>
      <c r="D26" s="137" t="s">
        <v>90</v>
      </c>
      <c r="E26" s="134">
        <f>SUMIFS(XUẤT!P:P,XUẤT!N:N,CBCNV!B26,XUẤT!O:O,CBCNV!$E$2)</f>
        <v>5</v>
      </c>
      <c r="F26" s="139">
        <f t="shared" si="1"/>
        <v>490000</v>
      </c>
      <c r="G26" s="134">
        <f>SUMIFS(XUẤT!Q:Q,XUẤT!N:N,CBCNV!B26,XUẤT!O:O,CBCNV!$G$2)</f>
        <v>0</v>
      </c>
      <c r="H26" s="138">
        <f t="shared" si="2"/>
        <v>0</v>
      </c>
      <c r="I26" s="134">
        <f>SUMIFS(XUẤT!R:R,XUẤT!N:N,CBCNV!B26,XUẤT!O:O,CBCNV!$I$2)</f>
        <v>0</v>
      </c>
      <c r="J26" s="139">
        <f t="shared" si="3"/>
        <v>0</v>
      </c>
      <c r="K26" s="134">
        <f>SUMIFS(XUẤT!S:S,XUẤT!N:N,CBCNV!B26,XUẤT!O:O,CBCNV!$K$2)</f>
        <v>0</v>
      </c>
      <c r="L26" s="139">
        <f t="shared" si="4"/>
        <v>0</v>
      </c>
      <c r="M26" s="134">
        <f>SUMIFS(XUẤT!T:T,XUẤT!N:N,CBCNV!B26,XUẤT!O:O,CBCNV!$M$2)</f>
        <v>0</v>
      </c>
      <c r="N26" s="139">
        <f t="shared" si="5"/>
        <v>0</v>
      </c>
      <c r="O26" s="134">
        <f>SUMIFS(XUẤT!U:U,XUẤT!N:N,CBCNV!B26,XUẤT!O:O,CBCNV!$O$2)</f>
        <v>0</v>
      </c>
      <c r="P26" s="139">
        <f t="shared" si="6"/>
        <v>0</v>
      </c>
      <c r="Q26" s="32"/>
      <c r="R26" s="18"/>
    </row>
    <row r="27" spans="1:20" s="140" customFormat="1" x14ac:dyDescent="0.3">
      <c r="A27" s="137">
        <v>20</v>
      </c>
      <c r="B27" s="34" t="s">
        <v>115</v>
      </c>
      <c r="C27" s="141" t="s">
        <v>116</v>
      </c>
      <c r="D27" s="141" t="s">
        <v>90</v>
      </c>
      <c r="E27" s="134">
        <f>SUMIFS(XUẤT!P:P,XUẤT!N:N,CBCNV!B27,XUẤT!O:O,CBCNV!$E$2)</f>
        <v>0</v>
      </c>
      <c r="F27" s="139">
        <f t="shared" si="1"/>
        <v>0</v>
      </c>
      <c r="G27" s="134">
        <f>SUMIFS(XUẤT!Q:Q,XUẤT!N:N,CBCNV!B27,XUẤT!O:O,CBCNV!$G$2)</f>
        <v>0</v>
      </c>
      <c r="H27" s="138">
        <f t="shared" si="2"/>
        <v>0</v>
      </c>
      <c r="I27" s="134">
        <f>SUMIFS(XUẤT!R:R,XUẤT!N:N,CBCNV!B27,XUẤT!O:O,CBCNV!$I$2)</f>
        <v>0</v>
      </c>
      <c r="J27" s="139">
        <f t="shared" si="3"/>
        <v>0</v>
      </c>
      <c r="K27" s="134">
        <f>SUMIFS(XUẤT!S:S,XUẤT!N:N,CBCNV!B27,XUẤT!O:O,CBCNV!$K$2)</f>
        <v>0</v>
      </c>
      <c r="L27" s="139">
        <f t="shared" si="4"/>
        <v>0</v>
      </c>
      <c r="M27" s="134">
        <f>SUMIFS(XUẤT!T:T,XUẤT!N:N,CBCNV!B27,XUẤT!O:O,CBCNV!$M$2)</f>
        <v>0</v>
      </c>
      <c r="N27" s="139">
        <f t="shared" si="5"/>
        <v>0</v>
      </c>
      <c r="O27" s="134">
        <f>SUMIFS(XUẤT!U:U,XUẤT!N:N,CBCNV!B27,XUẤT!O:O,CBCNV!$O$2)</f>
        <v>0</v>
      </c>
      <c r="P27" s="139">
        <f t="shared" si="6"/>
        <v>0</v>
      </c>
      <c r="Q27" s="32"/>
      <c r="R27" s="21"/>
      <c r="S27" s="136"/>
      <c r="T27" s="136"/>
    </row>
    <row r="28" spans="1:20" s="140" customFormat="1" x14ac:dyDescent="0.3">
      <c r="A28" s="137">
        <v>21</v>
      </c>
      <c r="B28" s="10" t="s">
        <v>44</v>
      </c>
      <c r="C28" s="137" t="s">
        <v>117</v>
      </c>
      <c r="D28" s="137" t="s">
        <v>90</v>
      </c>
      <c r="E28" s="134">
        <f>SUMIFS(XUẤT!P:P,XUẤT!N:N,CBCNV!B28,XUẤT!O:O,CBCNV!$E$2)</f>
        <v>0</v>
      </c>
      <c r="F28" s="139">
        <f t="shared" si="1"/>
        <v>0</v>
      </c>
      <c r="G28" s="134">
        <f>SUMIFS(XUẤT!Q:Q,XUẤT!N:N,CBCNV!B28,XUẤT!O:O,CBCNV!$G$2)</f>
        <v>0</v>
      </c>
      <c r="H28" s="138">
        <f t="shared" si="2"/>
        <v>0</v>
      </c>
      <c r="I28" s="134">
        <f>SUMIFS(XUẤT!R:R,XUẤT!N:N,CBCNV!B28,XUẤT!O:O,CBCNV!$I$2)</f>
        <v>0</v>
      </c>
      <c r="J28" s="139">
        <f t="shared" si="3"/>
        <v>0</v>
      </c>
      <c r="K28" s="134">
        <f>SUMIFS(XUẤT!S:S,XUẤT!N:N,CBCNV!B28,XUẤT!O:O,CBCNV!$K$2)</f>
        <v>0</v>
      </c>
      <c r="L28" s="139">
        <f t="shared" si="4"/>
        <v>0</v>
      </c>
      <c r="M28" s="134">
        <f>SUMIFS(XUẤT!T:T,XUẤT!N:N,CBCNV!B28,XUẤT!O:O,CBCNV!$M$2)</f>
        <v>0</v>
      </c>
      <c r="N28" s="139">
        <f t="shared" si="5"/>
        <v>0</v>
      </c>
      <c r="O28" s="134">
        <f>SUMIFS(XUẤT!U:U,XUẤT!N:N,CBCNV!B28,XUẤT!O:O,CBCNV!$O$2)</f>
        <v>0</v>
      </c>
      <c r="P28" s="139">
        <f t="shared" si="6"/>
        <v>0</v>
      </c>
      <c r="Q28" s="32"/>
      <c r="R28" s="18"/>
    </row>
    <row r="29" spans="1:20" s="140" customFormat="1" x14ac:dyDescent="0.3">
      <c r="A29" s="137">
        <v>22</v>
      </c>
      <c r="B29" s="10" t="s">
        <v>118</v>
      </c>
      <c r="C29" s="137" t="s">
        <v>119</v>
      </c>
      <c r="D29" s="137" t="s">
        <v>90</v>
      </c>
      <c r="E29" s="134">
        <f>SUMIFS(XUẤT!P:P,XUẤT!N:N,CBCNV!B29,XUẤT!O:O,CBCNV!$E$2)</f>
        <v>1</v>
      </c>
      <c r="F29" s="139">
        <f t="shared" si="1"/>
        <v>98000</v>
      </c>
      <c r="G29" s="134">
        <f>SUMIFS(XUẤT!Q:Q,XUẤT!N:N,CBCNV!B29,XUẤT!O:O,CBCNV!$G$2)</f>
        <v>0</v>
      </c>
      <c r="H29" s="138">
        <f t="shared" si="2"/>
        <v>0</v>
      </c>
      <c r="I29" s="134">
        <f>SUMIFS(XUẤT!R:R,XUẤT!N:N,CBCNV!B29,XUẤT!O:O,CBCNV!$I$2)</f>
        <v>0</v>
      </c>
      <c r="J29" s="139">
        <f t="shared" si="3"/>
        <v>0</v>
      </c>
      <c r="K29" s="134">
        <f>SUMIFS(XUẤT!S:S,XUẤT!N:N,CBCNV!B29,XUẤT!O:O,CBCNV!$K$2)</f>
        <v>0</v>
      </c>
      <c r="L29" s="139">
        <f t="shared" si="4"/>
        <v>0</v>
      </c>
      <c r="M29" s="134">
        <f>SUMIFS(XUẤT!T:T,XUẤT!N:N,CBCNV!B29,XUẤT!O:O,CBCNV!$M$2)</f>
        <v>0</v>
      </c>
      <c r="N29" s="139">
        <f t="shared" si="5"/>
        <v>0</v>
      </c>
      <c r="O29" s="134">
        <f>SUMIFS(XUẤT!U:U,XUẤT!N:N,CBCNV!B29,XUẤT!O:O,CBCNV!$O$2)</f>
        <v>0</v>
      </c>
      <c r="P29" s="139">
        <f t="shared" si="6"/>
        <v>0</v>
      </c>
      <c r="Q29" s="32"/>
      <c r="R29" s="18"/>
    </row>
    <row r="30" spans="1:20" s="136" customFormat="1" x14ac:dyDescent="0.3">
      <c r="A30" s="137">
        <v>23</v>
      </c>
      <c r="B30" s="10" t="s">
        <v>120</v>
      </c>
      <c r="C30" s="137" t="s">
        <v>119</v>
      </c>
      <c r="D30" s="137" t="s">
        <v>90</v>
      </c>
      <c r="E30" s="134">
        <f>SUMIFS(XUẤT!P:P,XUẤT!N:N,CBCNV!B30,XUẤT!O:O,CBCNV!$E$2)</f>
        <v>0</v>
      </c>
      <c r="F30" s="139">
        <f t="shared" si="1"/>
        <v>0</v>
      </c>
      <c r="G30" s="134">
        <f>SUMIFS(XUẤT!Q:Q,XUẤT!N:N,CBCNV!B30,XUẤT!O:O,CBCNV!$G$2)</f>
        <v>0</v>
      </c>
      <c r="H30" s="138">
        <f t="shared" si="2"/>
        <v>0</v>
      </c>
      <c r="I30" s="134">
        <f>SUMIFS(XUẤT!R:R,XUẤT!N:N,CBCNV!B30,XUẤT!O:O,CBCNV!$I$2)</f>
        <v>0</v>
      </c>
      <c r="J30" s="139">
        <f t="shared" si="3"/>
        <v>0</v>
      </c>
      <c r="K30" s="134">
        <f>SUMIFS(XUẤT!S:S,XUẤT!N:N,CBCNV!B30,XUẤT!O:O,CBCNV!$K$2)</f>
        <v>0</v>
      </c>
      <c r="L30" s="139">
        <f t="shared" si="4"/>
        <v>0</v>
      </c>
      <c r="M30" s="134">
        <f>SUMIFS(XUẤT!T:T,XUẤT!N:N,CBCNV!B30,XUẤT!O:O,CBCNV!$M$2)</f>
        <v>0</v>
      </c>
      <c r="N30" s="139">
        <f t="shared" si="5"/>
        <v>0</v>
      </c>
      <c r="O30" s="134">
        <f>SUMIFS(XUẤT!U:U,XUẤT!N:N,CBCNV!B30,XUẤT!O:O,CBCNV!$O$2)</f>
        <v>0</v>
      </c>
      <c r="P30" s="139">
        <f t="shared" si="6"/>
        <v>0</v>
      </c>
      <c r="Q30" s="32"/>
      <c r="R30" s="18"/>
      <c r="S30" s="140"/>
      <c r="T30" s="140"/>
    </row>
    <row r="31" spans="1:20" s="140" customFormat="1" x14ac:dyDescent="0.3">
      <c r="A31" s="137">
        <v>24</v>
      </c>
      <c r="B31" s="10" t="s">
        <v>121</v>
      </c>
      <c r="C31" s="137" t="s">
        <v>119</v>
      </c>
      <c r="D31" s="137" t="s">
        <v>90</v>
      </c>
      <c r="E31" s="134">
        <f>SUMIFS(XUẤT!P:P,XUẤT!N:N,CBCNV!B31,XUẤT!O:O,CBCNV!$E$2)</f>
        <v>0</v>
      </c>
      <c r="F31" s="139">
        <f t="shared" si="1"/>
        <v>0</v>
      </c>
      <c r="G31" s="134">
        <f>SUMIFS(XUẤT!Q:Q,XUẤT!N:N,CBCNV!B31,XUẤT!O:O,CBCNV!$G$2)</f>
        <v>0</v>
      </c>
      <c r="H31" s="138">
        <f t="shared" si="2"/>
        <v>0</v>
      </c>
      <c r="I31" s="134">
        <f>SUMIFS(XUẤT!R:R,XUẤT!N:N,CBCNV!B31,XUẤT!O:O,CBCNV!$I$2)</f>
        <v>0</v>
      </c>
      <c r="J31" s="139">
        <f t="shared" si="3"/>
        <v>0</v>
      </c>
      <c r="K31" s="134">
        <f>SUMIFS(XUẤT!S:S,XUẤT!N:N,CBCNV!B31,XUẤT!O:O,CBCNV!$K$2)</f>
        <v>0</v>
      </c>
      <c r="L31" s="139">
        <f t="shared" si="4"/>
        <v>0</v>
      </c>
      <c r="M31" s="134">
        <f>SUMIFS(XUẤT!T:T,XUẤT!N:N,CBCNV!B31,XUẤT!O:O,CBCNV!$M$2)</f>
        <v>0</v>
      </c>
      <c r="N31" s="139">
        <f t="shared" si="5"/>
        <v>0</v>
      </c>
      <c r="O31" s="134">
        <f>SUMIFS(XUẤT!U:U,XUẤT!N:N,CBCNV!B31,XUẤT!O:O,CBCNV!$O$2)</f>
        <v>0</v>
      </c>
      <c r="P31" s="139">
        <f t="shared" si="6"/>
        <v>0</v>
      </c>
      <c r="Q31" s="32"/>
      <c r="R31" s="18"/>
    </row>
    <row r="32" spans="1:20" s="140" customFormat="1" x14ac:dyDescent="0.3">
      <c r="A32" s="137">
        <v>25</v>
      </c>
      <c r="B32" s="10" t="s">
        <v>122</v>
      </c>
      <c r="C32" s="137" t="s">
        <v>119</v>
      </c>
      <c r="D32" s="137" t="s">
        <v>90</v>
      </c>
      <c r="E32" s="134">
        <f>SUMIFS(XUẤT!P:P,XUẤT!N:N,CBCNV!B32,XUẤT!O:O,CBCNV!$E$2)</f>
        <v>0</v>
      </c>
      <c r="F32" s="139">
        <f t="shared" si="1"/>
        <v>0</v>
      </c>
      <c r="G32" s="134">
        <f>SUMIFS(XUẤT!Q:Q,XUẤT!N:N,CBCNV!B32,XUẤT!O:O,CBCNV!$G$2)</f>
        <v>0</v>
      </c>
      <c r="H32" s="138">
        <f t="shared" si="2"/>
        <v>0</v>
      </c>
      <c r="I32" s="134">
        <f>SUMIFS(XUẤT!R:R,XUẤT!N:N,CBCNV!B32,XUẤT!O:O,CBCNV!$I$2)</f>
        <v>0</v>
      </c>
      <c r="J32" s="139">
        <f t="shared" si="3"/>
        <v>0</v>
      </c>
      <c r="K32" s="134">
        <f>SUMIFS(XUẤT!S:S,XUẤT!N:N,CBCNV!B32,XUẤT!O:O,CBCNV!$K$2)</f>
        <v>0</v>
      </c>
      <c r="L32" s="139">
        <f t="shared" si="4"/>
        <v>0</v>
      </c>
      <c r="M32" s="134">
        <f>SUMIFS(XUẤT!T:T,XUẤT!N:N,CBCNV!B32,XUẤT!O:O,CBCNV!$M$2)</f>
        <v>0</v>
      </c>
      <c r="N32" s="139">
        <f t="shared" si="5"/>
        <v>0</v>
      </c>
      <c r="O32" s="134">
        <f>SUMIFS(XUẤT!U:U,XUẤT!N:N,CBCNV!B32,XUẤT!O:O,CBCNV!$O$2)</f>
        <v>0</v>
      </c>
      <c r="P32" s="139">
        <f t="shared" si="6"/>
        <v>0</v>
      </c>
      <c r="Q32" s="32"/>
      <c r="R32" s="18"/>
    </row>
    <row r="33" spans="1:20" s="140" customFormat="1" x14ac:dyDescent="0.3">
      <c r="A33" s="137">
        <v>26</v>
      </c>
      <c r="B33" s="34" t="s">
        <v>123</v>
      </c>
      <c r="C33" s="141" t="s">
        <v>124</v>
      </c>
      <c r="D33" s="141" t="s">
        <v>90</v>
      </c>
      <c r="E33" s="134">
        <f>SUMIFS(XUẤT!P:P,XUẤT!N:N,CBCNV!B33,XUẤT!O:O,CBCNV!$E$2)</f>
        <v>10</v>
      </c>
      <c r="F33" s="139">
        <f t="shared" si="1"/>
        <v>980000</v>
      </c>
      <c r="G33" s="134">
        <f>SUMIFS(XUẤT!Q:Q,XUẤT!N:N,CBCNV!B33,XUẤT!O:O,CBCNV!$G$2)</f>
        <v>0</v>
      </c>
      <c r="H33" s="138">
        <f t="shared" si="2"/>
        <v>0</v>
      </c>
      <c r="I33" s="134">
        <f>SUMIFS(XUẤT!R:R,XUẤT!N:N,CBCNV!B33,XUẤT!O:O,CBCNV!$I$2)</f>
        <v>0</v>
      </c>
      <c r="J33" s="139">
        <f t="shared" si="3"/>
        <v>0</v>
      </c>
      <c r="K33" s="134">
        <f>SUMIFS(XUẤT!S:S,XUẤT!N:N,CBCNV!B33,XUẤT!O:O,CBCNV!$K$2)</f>
        <v>0</v>
      </c>
      <c r="L33" s="139">
        <f t="shared" si="4"/>
        <v>0</v>
      </c>
      <c r="M33" s="134">
        <f>SUMIFS(XUẤT!T:T,XUẤT!N:N,CBCNV!B33,XUẤT!O:O,CBCNV!$M$2)</f>
        <v>0</v>
      </c>
      <c r="N33" s="139">
        <f t="shared" si="5"/>
        <v>0</v>
      </c>
      <c r="O33" s="134">
        <f>SUMIFS(XUẤT!U:U,XUẤT!N:N,CBCNV!B33,XUẤT!O:O,CBCNV!$O$2)</f>
        <v>0</v>
      </c>
      <c r="P33" s="139">
        <f t="shared" si="6"/>
        <v>0</v>
      </c>
      <c r="Q33" s="32"/>
      <c r="R33" s="21"/>
      <c r="S33" s="136"/>
      <c r="T33" s="136"/>
    </row>
    <row r="34" spans="1:20" s="140" customFormat="1" x14ac:dyDescent="0.3">
      <c r="A34" s="137">
        <v>27</v>
      </c>
      <c r="B34" s="10" t="s">
        <v>125</v>
      </c>
      <c r="C34" s="137" t="s">
        <v>126</v>
      </c>
      <c r="D34" s="137" t="s">
        <v>90</v>
      </c>
      <c r="E34" s="134">
        <f>SUMIFS(XUẤT!P:P,XUẤT!N:N,CBCNV!B34,XUẤT!O:O,CBCNV!$E$2)</f>
        <v>0</v>
      </c>
      <c r="F34" s="139">
        <f t="shared" si="1"/>
        <v>0</v>
      </c>
      <c r="G34" s="134">
        <f>SUMIFS(XUẤT!Q:Q,XUẤT!N:N,CBCNV!B34,XUẤT!O:O,CBCNV!$G$2)</f>
        <v>20</v>
      </c>
      <c r="H34" s="138">
        <f t="shared" si="2"/>
        <v>1700000</v>
      </c>
      <c r="I34" s="134">
        <f>SUMIFS(XUẤT!R:R,XUẤT!N:N,CBCNV!B34,XUẤT!O:O,CBCNV!$I$2)</f>
        <v>0</v>
      </c>
      <c r="J34" s="139">
        <f t="shared" si="3"/>
        <v>0</v>
      </c>
      <c r="K34" s="134">
        <f>SUMIFS(XUẤT!S:S,XUẤT!N:N,CBCNV!B34,XUẤT!O:O,CBCNV!$K$2)</f>
        <v>0</v>
      </c>
      <c r="L34" s="139">
        <f t="shared" si="4"/>
        <v>0</v>
      </c>
      <c r="M34" s="134">
        <f>SUMIFS(XUẤT!T:T,XUẤT!N:N,CBCNV!B34,XUẤT!O:O,CBCNV!$M$2)</f>
        <v>0</v>
      </c>
      <c r="N34" s="139">
        <f t="shared" si="5"/>
        <v>0</v>
      </c>
      <c r="O34" s="134">
        <f>SUMIFS(XUẤT!U:U,XUẤT!N:N,CBCNV!B34,XUẤT!O:O,CBCNV!$O$2)</f>
        <v>0</v>
      </c>
      <c r="P34" s="139">
        <f t="shared" si="6"/>
        <v>0</v>
      </c>
      <c r="Q34" s="32"/>
      <c r="R34" s="18"/>
    </row>
    <row r="35" spans="1:20" s="140" customFormat="1" x14ac:dyDescent="0.3">
      <c r="A35" s="137">
        <v>28</v>
      </c>
      <c r="B35" s="10" t="s">
        <v>127</v>
      </c>
      <c r="C35" s="137" t="s">
        <v>128</v>
      </c>
      <c r="D35" s="137" t="s">
        <v>90</v>
      </c>
      <c r="E35" s="134">
        <f>SUMIFS(XUẤT!P:P,XUẤT!N:N,CBCNV!B35,XUẤT!O:O,CBCNV!$E$2)</f>
        <v>0</v>
      </c>
      <c r="F35" s="139">
        <f t="shared" si="1"/>
        <v>0</v>
      </c>
      <c r="G35" s="134">
        <f>SUMIFS(XUẤT!Q:Q,XUẤT!N:N,CBCNV!B35,XUẤT!O:O,CBCNV!$G$2)</f>
        <v>4</v>
      </c>
      <c r="H35" s="138">
        <f t="shared" si="2"/>
        <v>340000</v>
      </c>
      <c r="I35" s="134">
        <f>SUMIFS(XUẤT!R:R,XUẤT!N:N,CBCNV!B35,XUẤT!O:O,CBCNV!$I$2)</f>
        <v>0</v>
      </c>
      <c r="J35" s="139">
        <f t="shared" si="3"/>
        <v>0</v>
      </c>
      <c r="K35" s="134">
        <f>SUMIFS(XUẤT!S:S,XUẤT!N:N,CBCNV!B35,XUẤT!O:O,CBCNV!$K$2)</f>
        <v>0</v>
      </c>
      <c r="L35" s="139">
        <f t="shared" si="4"/>
        <v>0</v>
      </c>
      <c r="M35" s="134">
        <f>SUMIFS(XUẤT!T:T,XUẤT!N:N,CBCNV!B35,XUẤT!O:O,CBCNV!$M$2)</f>
        <v>0</v>
      </c>
      <c r="N35" s="139">
        <f t="shared" si="5"/>
        <v>0</v>
      </c>
      <c r="O35" s="134">
        <f>SUMIFS(XUẤT!U:U,XUẤT!N:N,CBCNV!B35,XUẤT!O:O,CBCNV!$O$2)</f>
        <v>0</v>
      </c>
      <c r="P35" s="139">
        <f t="shared" si="6"/>
        <v>0</v>
      </c>
      <c r="Q35" s="32"/>
      <c r="R35" s="18"/>
    </row>
    <row r="36" spans="1:20" s="140" customFormat="1" x14ac:dyDescent="0.3">
      <c r="A36" s="137">
        <v>29</v>
      </c>
      <c r="B36" s="10" t="s">
        <v>129</v>
      </c>
      <c r="C36" s="137" t="s">
        <v>130</v>
      </c>
      <c r="D36" s="137" t="s">
        <v>90</v>
      </c>
      <c r="E36" s="134">
        <f>SUMIFS(XUẤT!P:P,XUẤT!N:N,CBCNV!B36,XUẤT!O:O,CBCNV!$E$2)</f>
        <v>0</v>
      </c>
      <c r="F36" s="139">
        <f t="shared" si="1"/>
        <v>0</v>
      </c>
      <c r="G36" s="134">
        <f>SUMIFS(XUẤT!Q:Q,XUẤT!N:N,CBCNV!B36,XUẤT!O:O,CBCNV!$G$2)</f>
        <v>0</v>
      </c>
      <c r="H36" s="138">
        <f t="shared" si="2"/>
        <v>0</v>
      </c>
      <c r="I36" s="134">
        <f>SUMIFS(XUẤT!R:R,XUẤT!N:N,CBCNV!B36,XUẤT!O:O,CBCNV!$I$2)</f>
        <v>0</v>
      </c>
      <c r="J36" s="139">
        <f t="shared" si="3"/>
        <v>0</v>
      </c>
      <c r="K36" s="134">
        <f>SUMIFS(XUẤT!S:S,XUẤT!N:N,CBCNV!B36,XUẤT!O:O,CBCNV!$K$2)</f>
        <v>0</v>
      </c>
      <c r="L36" s="139">
        <f t="shared" si="4"/>
        <v>0</v>
      </c>
      <c r="M36" s="134">
        <f>SUMIFS(XUẤT!T:T,XUẤT!N:N,CBCNV!B36,XUẤT!O:O,CBCNV!$M$2)</f>
        <v>0</v>
      </c>
      <c r="N36" s="139">
        <f t="shared" si="5"/>
        <v>0</v>
      </c>
      <c r="O36" s="134">
        <f>SUMIFS(XUẤT!U:U,XUẤT!N:N,CBCNV!B36,XUẤT!O:O,CBCNV!$O$2)</f>
        <v>0</v>
      </c>
      <c r="P36" s="139">
        <f t="shared" si="6"/>
        <v>0</v>
      </c>
      <c r="Q36" s="32"/>
      <c r="R36" s="18"/>
    </row>
    <row r="37" spans="1:20" s="140" customFormat="1" x14ac:dyDescent="0.3">
      <c r="A37" s="137">
        <v>30</v>
      </c>
      <c r="B37" s="10" t="s">
        <v>131</v>
      </c>
      <c r="C37" s="137" t="s">
        <v>130</v>
      </c>
      <c r="D37" s="137" t="s">
        <v>90</v>
      </c>
      <c r="E37" s="134">
        <f>SUMIFS(XUẤT!P:P,XUẤT!N:N,CBCNV!B37,XUẤT!O:O,CBCNV!$E$2)</f>
        <v>0</v>
      </c>
      <c r="F37" s="139">
        <f t="shared" si="1"/>
        <v>0</v>
      </c>
      <c r="G37" s="134">
        <f>SUMIFS(XUẤT!Q:Q,XUẤT!N:N,CBCNV!B37,XUẤT!O:O,CBCNV!$G$2)</f>
        <v>0</v>
      </c>
      <c r="H37" s="138">
        <f t="shared" si="2"/>
        <v>0</v>
      </c>
      <c r="I37" s="134">
        <f>SUMIFS(XUẤT!R:R,XUẤT!N:N,CBCNV!B37,XUẤT!O:O,CBCNV!$I$2)</f>
        <v>0</v>
      </c>
      <c r="J37" s="139">
        <f t="shared" si="3"/>
        <v>0</v>
      </c>
      <c r="K37" s="134">
        <f>SUMIFS(XUẤT!S:S,XUẤT!N:N,CBCNV!B37,XUẤT!O:O,CBCNV!$K$2)</f>
        <v>0</v>
      </c>
      <c r="L37" s="139">
        <f t="shared" si="4"/>
        <v>0</v>
      </c>
      <c r="M37" s="134">
        <f>SUMIFS(XUẤT!T:T,XUẤT!N:N,CBCNV!B37,XUẤT!O:O,CBCNV!$M$2)</f>
        <v>0</v>
      </c>
      <c r="N37" s="139">
        <f t="shared" si="5"/>
        <v>0</v>
      </c>
      <c r="O37" s="134">
        <f>SUMIFS(XUẤT!U:U,XUẤT!N:N,CBCNV!B37,XUẤT!O:O,CBCNV!$O$2)</f>
        <v>0</v>
      </c>
      <c r="P37" s="139">
        <f t="shared" si="6"/>
        <v>0</v>
      </c>
      <c r="Q37" s="32"/>
      <c r="R37" s="18"/>
    </row>
    <row r="38" spans="1:20" s="140" customFormat="1" x14ac:dyDescent="0.3">
      <c r="A38" s="137">
        <v>31</v>
      </c>
      <c r="B38" s="10" t="s">
        <v>132</v>
      </c>
      <c r="C38" s="137" t="s">
        <v>133</v>
      </c>
      <c r="D38" s="137" t="s">
        <v>90</v>
      </c>
      <c r="E38" s="134">
        <f>SUMIFS(XUẤT!P:P,XUẤT!N:N,CBCNV!B38,XUẤT!O:O,CBCNV!$E$2)</f>
        <v>23</v>
      </c>
      <c r="F38" s="139">
        <f t="shared" si="1"/>
        <v>2254000</v>
      </c>
      <c r="G38" s="134">
        <f>SUMIFS(XUẤT!Q:Q,XUẤT!N:N,CBCNV!B38,XUẤT!O:O,CBCNV!$G$2)</f>
        <v>0</v>
      </c>
      <c r="H38" s="138">
        <f t="shared" si="2"/>
        <v>0</v>
      </c>
      <c r="I38" s="134">
        <f>SUMIFS(XUẤT!R:R,XUẤT!N:N,CBCNV!B38,XUẤT!O:O,CBCNV!$I$2)</f>
        <v>0</v>
      </c>
      <c r="J38" s="139">
        <f t="shared" si="3"/>
        <v>0</v>
      </c>
      <c r="K38" s="134">
        <f>SUMIFS(XUẤT!S:S,XUẤT!N:N,CBCNV!B38,XUẤT!O:O,CBCNV!$K$2)</f>
        <v>0</v>
      </c>
      <c r="L38" s="139">
        <f t="shared" si="4"/>
        <v>0</v>
      </c>
      <c r="M38" s="134">
        <f>SUMIFS(XUẤT!T:T,XUẤT!N:N,CBCNV!B38,XUẤT!O:O,CBCNV!$M$2)</f>
        <v>0</v>
      </c>
      <c r="N38" s="139">
        <f t="shared" si="5"/>
        <v>0</v>
      </c>
      <c r="O38" s="134">
        <f>SUMIFS(XUẤT!U:U,XUẤT!N:N,CBCNV!B38,XUẤT!O:O,CBCNV!$O$2)</f>
        <v>0</v>
      </c>
      <c r="P38" s="139">
        <f t="shared" si="6"/>
        <v>0</v>
      </c>
      <c r="Q38" s="32"/>
      <c r="R38" s="18"/>
    </row>
    <row r="39" spans="1:20" s="140" customFormat="1" x14ac:dyDescent="0.3">
      <c r="A39" s="137">
        <v>32</v>
      </c>
      <c r="B39" s="10" t="s">
        <v>134</v>
      </c>
      <c r="C39" s="137" t="s">
        <v>135</v>
      </c>
      <c r="D39" s="137" t="s">
        <v>90</v>
      </c>
      <c r="E39" s="134">
        <f>SUMIFS(XUẤT!P:P,XUẤT!N:N,CBCNV!B39,XUẤT!O:O,CBCNV!$E$2)</f>
        <v>1</v>
      </c>
      <c r="F39" s="139">
        <f t="shared" ref="F39:F70" si="7">E39*$T$10</f>
        <v>98000</v>
      </c>
      <c r="G39" s="134">
        <f>SUMIFS(XUẤT!Q:Q,XUẤT!N:N,CBCNV!B39,XUẤT!O:O,CBCNV!$G$2)</f>
        <v>0</v>
      </c>
      <c r="H39" s="138">
        <f t="shared" ref="H39:H70" si="8">G39*$T$8</f>
        <v>0</v>
      </c>
      <c r="I39" s="134">
        <f>SUMIFS(XUẤT!R:R,XUẤT!N:N,CBCNV!B39,XUẤT!O:O,CBCNV!$I$2)</f>
        <v>0</v>
      </c>
      <c r="J39" s="139">
        <f t="shared" ref="J39:J70" si="9">I39*$T$9</f>
        <v>0</v>
      </c>
      <c r="K39" s="134">
        <f>SUMIFS(XUẤT!S:S,XUẤT!N:N,CBCNV!B39,XUẤT!O:O,CBCNV!$K$2)</f>
        <v>0</v>
      </c>
      <c r="L39" s="139">
        <f t="shared" ref="L39:L70" si="10">K39*$T$11</f>
        <v>0</v>
      </c>
      <c r="M39" s="134">
        <f>SUMIFS(XUẤT!T:T,XUẤT!N:N,CBCNV!B39,XUẤT!O:O,CBCNV!$M$2)</f>
        <v>0</v>
      </c>
      <c r="N39" s="139">
        <f t="shared" ref="N39:N70" si="11">M39*$T$12</f>
        <v>0</v>
      </c>
      <c r="O39" s="134">
        <f>SUMIFS(XUẤT!U:U,XUẤT!N:N,CBCNV!B39,XUẤT!O:O,CBCNV!$O$2)</f>
        <v>0</v>
      </c>
      <c r="P39" s="139">
        <f t="shared" ref="P39:P70" si="12">O39*$T$13</f>
        <v>0</v>
      </c>
      <c r="Q39" s="32"/>
      <c r="R39" s="18"/>
    </row>
    <row r="40" spans="1:20" s="140" customFormat="1" x14ac:dyDescent="0.3">
      <c r="A40" s="137">
        <v>33</v>
      </c>
      <c r="B40" s="10" t="s">
        <v>136</v>
      </c>
      <c r="C40" s="137" t="s">
        <v>135</v>
      </c>
      <c r="D40" s="137" t="s">
        <v>90</v>
      </c>
      <c r="E40" s="134">
        <f>SUMIFS(XUẤT!P:P,XUẤT!N:N,CBCNV!B40,XUẤT!O:O,CBCNV!$E$2)</f>
        <v>16</v>
      </c>
      <c r="F40" s="139">
        <f t="shared" si="7"/>
        <v>1568000</v>
      </c>
      <c r="G40" s="134">
        <f>SUMIFS(XUẤT!Q:Q,XUẤT!N:N,CBCNV!B40,XUẤT!O:O,CBCNV!$G$2)</f>
        <v>0</v>
      </c>
      <c r="H40" s="138">
        <f t="shared" si="8"/>
        <v>0</v>
      </c>
      <c r="I40" s="134">
        <f>SUMIFS(XUẤT!R:R,XUẤT!N:N,CBCNV!B40,XUẤT!O:O,CBCNV!$I$2)</f>
        <v>0</v>
      </c>
      <c r="J40" s="139">
        <f t="shared" si="9"/>
        <v>0</v>
      </c>
      <c r="K40" s="134">
        <f>SUMIFS(XUẤT!S:S,XUẤT!N:N,CBCNV!B40,XUẤT!O:O,CBCNV!$K$2)</f>
        <v>0</v>
      </c>
      <c r="L40" s="139">
        <f t="shared" si="10"/>
        <v>0</v>
      </c>
      <c r="M40" s="134">
        <f>SUMIFS(XUẤT!T:T,XUẤT!N:N,CBCNV!B40,XUẤT!O:O,CBCNV!$M$2)</f>
        <v>0</v>
      </c>
      <c r="N40" s="139">
        <f t="shared" si="11"/>
        <v>0</v>
      </c>
      <c r="O40" s="134">
        <f>SUMIFS(XUẤT!U:U,XUẤT!N:N,CBCNV!B40,XUẤT!O:O,CBCNV!$O$2)</f>
        <v>0</v>
      </c>
      <c r="P40" s="139">
        <f t="shared" si="12"/>
        <v>0</v>
      </c>
      <c r="Q40" s="32"/>
      <c r="R40" s="18"/>
    </row>
    <row r="41" spans="1:20" s="140" customFormat="1" x14ac:dyDescent="0.3">
      <c r="A41" s="137">
        <v>34</v>
      </c>
      <c r="B41" s="10" t="s">
        <v>137</v>
      </c>
      <c r="C41" s="137" t="s">
        <v>135</v>
      </c>
      <c r="D41" s="137" t="s">
        <v>90</v>
      </c>
      <c r="E41" s="134">
        <f>SUMIFS(XUẤT!P:P,XUẤT!N:N,CBCNV!B41,XUẤT!O:O,CBCNV!$E$2)</f>
        <v>0</v>
      </c>
      <c r="F41" s="139">
        <f t="shared" si="7"/>
        <v>0</v>
      </c>
      <c r="G41" s="134">
        <f>SUMIFS(XUẤT!Q:Q,XUẤT!N:N,CBCNV!B41,XUẤT!O:O,CBCNV!$G$2)</f>
        <v>0</v>
      </c>
      <c r="H41" s="138">
        <f t="shared" si="8"/>
        <v>0</v>
      </c>
      <c r="I41" s="134">
        <f>SUMIFS(XUẤT!R:R,XUẤT!N:N,CBCNV!B41,XUẤT!O:O,CBCNV!$I$2)</f>
        <v>0</v>
      </c>
      <c r="J41" s="139">
        <f t="shared" si="9"/>
        <v>0</v>
      </c>
      <c r="K41" s="134">
        <f>SUMIFS(XUẤT!S:S,XUẤT!N:N,CBCNV!B41,XUẤT!O:O,CBCNV!$K$2)</f>
        <v>0</v>
      </c>
      <c r="L41" s="139">
        <f t="shared" si="10"/>
        <v>0</v>
      </c>
      <c r="M41" s="134">
        <f>SUMIFS(XUẤT!T:T,XUẤT!N:N,CBCNV!B41,XUẤT!O:O,CBCNV!$M$2)</f>
        <v>0</v>
      </c>
      <c r="N41" s="139">
        <f t="shared" si="11"/>
        <v>0</v>
      </c>
      <c r="O41" s="134">
        <f>SUMIFS(XUẤT!U:U,XUẤT!N:N,CBCNV!B41,XUẤT!O:O,CBCNV!$O$2)</f>
        <v>0</v>
      </c>
      <c r="P41" s="139">
        <f t="shared" si="12"/>
        <v>0</v>
      </c>
      <c r="Q41" s="32"/>
      <c r="R41" s="18"/>
    </row>
    <row r="42" spans="1:20" s="140" customFormat="1" x14ac:dyDescent="0.3">
      <c r="A42" s="137">
        <v>35</v>
      </c>
      <c r="B42" s="10" t="s">
        <v>138</v>
      </c>
      <c r="C42" s="137" t="s">
        <v>135</v>
      </c>
      <c r="D42" s="137" t="s">
        <v>90</v>
      </c>
      <c r="E42" s="134">
        <f>SUMIFS(XUẤT!P:P,XUẤT!N:N,CBCNV!B42,XUẤT!O:O,CBCNV!$E$2)</f>
        <v>0</v>
      </c>
      <c r="F42" s="139">
        <f t="shared" si="7"/>
        <v>0</v>
      </c>
      <c r="G42" s="134">
        <f>SUMIFS(XUẤT!Q:Q,XUẤT!N:N,CBCNV!B42,XUẤT!O:O,CBCNV!$G$2)</f>
        <v>0</v>
      </c>
      <c r="H42" s="138">
        <f t="shared" si="8"/>
        <v>0</v>
      </c>
      <c r="I42" s="134">
        <f>SUMIFS(XUẤT!R:R,XUẤT!N:N,CBCNV!B42,XUẤT!O:O,CBCNV!$I$2)</f>
        <v>0</v>
      </c>
      <c r="J42" s="139">
        <f t="shared" si="9"/>
        <v>0</v>
      </c>
      <c r="K42" s="134">
        <f>SUMIFS(XUẤT!S:S,XUẤT!N:N,CBCNV!B42,XUẤT!O:O,CBCNV!$K$2)</f>
        <v>0</v>
      </c>
      <c r="L42" s="139">
        <f t="shared" si="10"/>
        <v>0</v>
      </c>
      <c r="M42" s="134">
        <f>SUMIFS(XUẤT!T:T,XUẤT!N:N,CBCNV!B42,XUẤT!O:O,CBCNV!$M$2)</f>
        <v>0</v>
      </c>
      <c r="N42" s="139">
        <f t="shared" si="11"/>
        <v>0</v>
      </c>
      <c r="O42" s="134">
        <f>SUMIFS(XUẤT!U:U,XUẤT!N:N,CBCNV!B42,XUẤT!O:O,CBCNV!$O$2)</f>
        <v>0</v>
      </c>
      <c r="P42" s="139">
        <f t="shared" si="12"/>
        <v>0</v>
      </c>
      <c r="Q42" s="32"/>
      <c r="R42" s="18"/>
    </row>
    <row r="43" spans="1:20" s="140" customFormat="1" x14ac:dyDescent="0.3">
      <c r="A43" s="137">
        <v>36</v>
      </c>
      <c r="B43" s="10" t="s">
        <v>139</v>
      </c>
      <c r="C43" s="137" t="s">
        <v>135</v>
      </c>
      <c r="D43" s="137" t="s">
        <v>90</v>
      </c>
      <c r="E43" s="134">
        <f>SUMIFS(XUẤT!P:P,XUẤT!N:N,CBCNV!B43,XUẤT!O:O,CBCNV!$E$2)</f>
        <v>6</v>
      </c>
      <c r="F43" s="139">
        <f t="shared" si="7"/>
        <v>588000</v>
      </c>
      <c r="G43" s="134">
        <f>SUMIFS(XUẤT!Q:Q,XUẤT!N:N,CBCNV!B43,XUẤT!O:O,CBCNV!$G$2)</f>
        <v>0</v>
      </c>
      <c r="H43" s="138">
        <f t="shared" si="8"/>
        <v>0</v>
      </c>
      <c r="I43" s="134">
        <f>SUMIFS(XUẤT!R:R,XUẤT!N:N,CBCNV!B43,XUẤT!O:O,CBCNV!$I$2)</f>
        <v>0</v>
      </c>
      <c r="J43" s="139">
        <f t="shared" si="9"/>
        <v>0</v>
      </c>
      <c r="K43" s="134">
        <f>SUMIFS(XUẤT!S:S,XUẤT!N:N,CBCNV!B43,XUẤT!O:O,CBCNV!$K$2)</f>
        <v>0</v>
      </c>
      <c r="L43" s="139">
        <f t="shared" si="10"/>
        <v>0</v>
      </c>
      <c r="M43" s="134">
        <f>SUMIFS(XUẤT!T:T,XUẤT!N:N,CBCNV!B43,XUẤT!O:O,CBCNV!$M$2)</f>
        <v>0</v>
      </c>
      <c r="N43" s="139">
        <f t="shared" si="11"/>
        <v>0</v>
      </c>
      <c r="O43" s="134">
        <f>SUMIFS(XUẤT!U:U,XUẤT!N:N,CBCNV!B43,XUẤT!O:O,CBCNV!$O$2)</f>
        <v>0</v>
      </c>
      <c r="P43" s="139">
        <f t="shared" si="12"/>
        <v>0</v>
      </c>
      <c r="Q43" s="32"/>
      <c r="R43" s="18"/>
    </row>
    <row r="44" spans="1:20" s="140" customFormat="1" x14ac:dyDescent="0.3">
      <c r="A44" s="137">
        <v>37</v>
      </c>
      <c r="B44" s="10" t="s">
        <v>140</v>
      </c>
      <c r="C44" s="137" t="s">
        <v>141</v>
      </c>
      <c r="D44" s="137" t="s">
        <v>90</v>
      </c>
      <c r="E44" s="134">
        <f>SUMIFS(XUẤT!P:P,XUẤT!N:N,CBCNV!B44,XUẤT!O:O,CBCNV!$E$2)</f>
        <v>16</v>
      </c>
      <c r="F44" s="139">
        <f t="shared" si="7"/>
        <v>1568000</v>
      </c>
      <c r="G44" s="134">
        <f>SUMIFS(XUẤT!Q:Q,XUẤT!N:N,CBCNV!B44,XUẤT!O:O,CBCNV!$G$2)</f>
        <v>0</v>
      </c>
      <c r="H44" s="138">
        <f t="shared" si="8"/>
        <v>0</v>
      </c>
      <c r="I44" s="134">
        <f>SUMIFS(XUẤT!R:R,XUẤT!N:N,CBCNV!B44,XUẤT!O:O,CBCNV!$I$2)</f>
        <v>0</v>
      </c>
      <c r="J44" s="139">
        <f t="shared" si="9"/>
        <v>0</v>
      </c>
      <c r="K44" s="134">
        <f>SUMIFS(XUẤT!S:S,XUẤT!N:N,CBCNV!B44,XUẤT!O:O,CBCNV!$K$2)</f>
        <v>0</v>
      </c>
      <c r="L44" s="139">
        <f t="shared" si="10"/>
        <v>0</v>
      </c>
      <c r="M44" s="134">
        <f>SUMIFS(XUẤT!T:T,XUẤT!N:N,CBCNV!B44,XUẤT!O:O,CBCNV!$M$2)</f>
        <v>0</v>
      </c>
      <c r="N44" s="139">
        <f t="shared" si="11"/>
        <v>0</v>
      </c>
      <c r="O44" s="134">
        <f>SUMIFS(XUẤT!U:U,XUẤT!N:N,CBCNV!B44,XUẤT!O:O,CBCNV!$O$2)</f>
        <v>0</v>
      </c>
      <c r="P44" s="139">
        <f t="shared" si="12"/>
        <v>0</v>
      </c>
      <c r="Q44" s="32"/>
      <c r="R44" s="18"/>
    </row>
    <row r="45" spans="1:20" s="140" customFormat="1" x14ac:dyDescent="0.3">
      <c r="A45" s="137">
        <v>38</v>
      </c>
      <c r="B45" s="10" t="s">
        <v>142</v>
      </c>
      <c r="C45" s="137" t="s">
        <v>143</v>
      </c>
      <c r="D45" s="137" t="s">
        <v>90</v>
      </c>
      <c r="E45" s="134">
        <f>SUMIFS(XUẤT!P:P,XUẤT!N:N,CBCNV!B45,XUẤT!O:O,CBCNV!$E$2)</f>
        <v>0</v>
      </c>
      <c r="F45" s="139">
        <f t="shared" si="7"/>
        <v>0</v>
      </c>
      <c r="G45" s="134">
        <f>SUMIFS(XUẤT!Q:Q,XUẤT!N:N,CBCNV!B45,XUẤT!O:O,CBCNV!$G$2)</f>
        <v>0</v>
      </c>
      <c r="H45" s="138">
        <f t="shared" si="8"/>
        <v>0</v>
      </c>
      <c r="I45" s="134">
        <f>SUMIFS(XUẤT!R:R,XUẤT!N:N,CBCNV!B45,XUẤT!O:O,CBCNV!$I$2)</f>
        <v>0</v>
      </c>
      <c r="J45" s="139">
        <f t="shared" si="9"/>
        <v>0</v>
      </c>
      <c r="K45" s="134">
        <f>SUMIFS(XUẤT!S:S,XUẤT!N:N,CBCNV!B45,XUẤT!O:O,CBCNV!$K$2)</f>
        <v>0</v>
      </c>
      <c r="L45" s="139">
        <f t="shared" si="10"/>
        <v>0</v>
      </c>
      <c r="M45" s="134">
        <f>SUMIFS(XUẤT!T:T,XUẤT!N:N,CBCNV!B45,XUẤT!O:O,CBCNV!$M$2)</f>
        <v>0</v>
      </c>
      <c r="N45" s="139">
        <f t="shared" si="11"/>
        <v>0</v>
      </c>
      <c r="O45" s="134">
        <f>SUMIFS(XUẤT!U:U,XUẤT!N:N,CBCNV!B45,XUẤT!O:O,CBCNV!$O$2)</f>
        <v>0</v>
      </c>
      <c r="P45" s="139">
        <f t="shared" si="12"/>
        <v>0</v>
      </c>
      <c r="Q45" s="32"/>
      <c r="R45" s="18"/>
    </row>
    <row r="46" spans="1:20" s="140" customFormat="1" x14ac:dyDescent="0.3">
      <c r="A46" s="137">
        <v>39</v>
      </c>
      <c r="B46" s="10" t="s">
        <v>144</v>
      </c>
      <c r="C46" s="137" t="s">
        <v>145</v>
      </c>
      <c r="D46" s="137" t="s">
        <v>90</v>
      </c>
      <c r="E46" s="134">
        <f>SUMIFS(XUẤT!P:P,XUẤT!N:N,CBCNV!B46,XUẤT!O:O,CBCNV!$E$2)</f>
        <v>4</v>
      </c>
      <c r="F46" s="139">
        <f t="shared" si="7"/>
        <v>392000</v>
      </c>
      <c r="G46" s="134">
        <f>SUMIFS(XUẤT!Q:Q,XUẤT!N:N,CBCNV!B46,XUẤT!O:O,CBCNV!$G$2)</f>
        <v>0</v>
      </c>
      <c r="H46" s="138">
        <f t="shared" si="8"/>
        <v>0</v>
      </c>
      <c r="I46" s="134">
        <f>SUMIFS(XUẤT!R:R,XUẤT!N:N,CBCNV!B46,XUẤT!O:O,CBCNV!$I$2)</f>
        <v>0</v>
      </c>
      <c r="J46" s="139">
        <f t="shared" si="9"/>
        <v>0</v>
      </c>
      <c r="K46" s="134">
        <f>SUMIFS(XUẤT!S:S,XUẤT!N:N,CBCNV!B46,XUẤT!O:O,CBCNV!$K$2)</f>
        <v>0</v>
      </c>
      <c r="L46" s="139">
        <f t="shared" si="10"/>
        <v>0</v>
      </c>
      <c r="M46" s="134">
        <f>SUMIFS(XUẤT!T:T,XUẤT!N:N,CBCNV!B46,XUẤT!O:O,CBCNV!$M$2)</f>
        <v>0</v>
      </c>
      <c r="N46" s="139">
        <f t="shared" si="11"/>
        <v>0</v>
      </c>
      <c r="O46" s="134">
        <f>SUMIFS(XUẤT!U:U,XUẤT!N:N,CBCNV!B46,XUẤT!O:O,CBCNV!$O$2)</f>
        <v>0</v>
      </c>
      <c r="P46" s="139">
        <f t="shared" si="12"/>
        <v>0</v>
      </c>
      <c r="Q46" s="32"/>
      <c r="R46" s="18"/>
    </row>
    <row r="47" spans="1:20" s="140" customFormat="1" x14ac:dyDescent="0.3">
      <c r="A47" s="137">
        <v>40</v>
      </c>
      <c r="B47" s="10" t="s">
        <v>146</v>
      </c>
      <c r="C47" s="137" t="s">
        <v>147</v>
      </c>
      <c r="D47" s="137" t="s">
        <v>90</v>
      </c>
      <c r="E47" s="134">
        <f>SUMIFS(XUẤT!P:P,XUẤT!N:N,CBCNV!B47,XUẤT!O:O,CBCNV!$E$2)</f>
        <v>0</v>
      </c>
      <c r="F47" s="139">
        <f t="shared" si="7"/>
        <v>0</v>
      </c>
      <c r="G47" s="134">
        <f>SUMIFS(XUẤT!Q:Q,XUẤT!N:N,CBCNV!B47,XUẤT!O:O,CBCNV!$G$2)</f>
        <v>0</v>
      </c>
      <c r="H47" s="138">
        <f t="shared" si="8"/>
        <v>0</v>
      </c>
      <c r="I47" s="134">
        <f>SUMIFS(XUẤT!R:R,XUẤT!N:N,CBCNV!B47,XUẤT!O:O,CBCNV!$I$2)</f>
        <v>0</v>
      </c>
      <c r="J47" s="139">
        <f t="shared" si="9"/>
        <v>0</v>
      </c>
      <c r="K47" s="134">
        <f>SUMIFS(XUẤT!S:S,XUẤT!N:N,CBCNV!B47,XUẤT!O:O,CBCNV!$K$2)</f>
        <v>0</v>
      </c>
      <c r="L47" s="139">
        <f t="shared" si="10"/>
        <v>0</v>
      </c>
      <c r="M47" s="134">
        <f>SUMIFS(XUẤT!T:T,XUẤT!N:N,CBCNV!B47,XUẤT!O:O,CBCNV!$M$2)</f>
        <v>0</v>
      </c>
      <c r="N47" s="139">
        <f t="shared" si="11"/>
        <v>0</v>
      </c>
      <c r="O47" s="134">
        <f>SUMIFS(XUẤT!U:U,XUẤT!N:N,CBCNV!B47,XUẤT!O:O,CBCNV!$O$2)</f>
        <v>0</v>
      </c>
      <c r="P47" s="139">
        <f t="shared" si="12"/>
        <v>0</v>
      </c>
      <c r="Q47" s="32"/>
      <c r="R47" s="18"/>
    </row>
    <row r="48" spans="1:20" s="140" customFormat="1" x14ac:dyDescent="0.3">
      <c r="A48" s="137">
        <v>41</v>
      </c>
      <c r="B48" s="10" t="s">
        <v>148</v>
      </c>
      <c r="C48" s="137" t="s">
        <v>147</v>
      </c>
      <c r="D48" s="137" t="s">
        <v>90</v>
      </c>
      <c r="E48" s="134">
        <f>SUMIFS(XUẤT!P:P,XUẤT!N:N,CBCNV!B48,XUẤT!O:O,CBCNV!$E$2)</f>
        <v>0</v>
      </c>
      <c r="F48" s="139">
        <f t="shared" si="7"/>
        <v>0</v>
      </c>
      <c r="G48" s="134">
        <f>SUMIFS(XUẤT!Q:Q,XUẤT!N:N,CBCNV!B48,XUẤT!O:O,CBCNV!$G$2)</f>
        <v>0</v>
      </c>
      <c r="H48" s="138">
        <f t="shared" si="8"/>
        <v>0</v>
      </c>
      <c r="I48" s="134">
        <f>SUMIFS(XUẤT!R:R,XUẤT!N:N,CBCNV!B48,XUẤT!O:O,CBCNV!$I$2)</f>
        <v>0</v>
      </c>
      <c r="J48" s="139">
        <f t="shared" si="9"/>
        <v>0</v>
      </c>
      <c r="K48" s="134">
        <f>SUMIFS(XUẤT!S:S,XUẤT!N:N,CBCNV!B48,XUẤT!O:O,CBCNV!$K$2)</f>
        <v>0</v>
      </c>
      <c r="L48" s="139">
        <f t="shared" si="10"/>
        <v>0</v>
      </c>
      <c r="M48" s="134">
        <f>SUMIFS(XUẤT!T:T,XUẤT!N:N,CBCNV!B48,XUẤT!O:O,CBCNV!$M$2)</f>
        <v>0</v>
      </c>
      <c r="N48" s="139">
        <f t="shared" si="11"/>
        <v>0</v>
      </c>
      <c r="O48" s="134">
        <f>SUMIFS(XUẤT!U:U,XUẤT!N:N,CBCNV!B48,XUẤT!O:O,CBCNV!$O$2)</f>
        <v>0</v>
      </c>
      <c r="P48" s="139">
        <f t="shared" si="12"/>
        <v>0</v>
      </c>
      <c r="Q48" s="32"/>
      <c r="R48" s="18"/>
    </row>
    <row r="49" spans="1:20" s="140" customFormat="1" x14ac:dyDescent="0.3">
      <c r="A49" s="137">
        <v>42</v>
      </c>
      <c r="C49" s="137" t="s">
        <v>147</v>
      </c>
      <c r="D49" s="137" t="s">
        <v>90</v>
      </c>
      <c r="E49" s="134">
        <f>SUMIFS(XUẤT!P:P,XUẤT!N:N,XUẤT!N250,XUẤT!O:O,CBCNV!$E$2)</f>
        <v>30</v>
      </c>
      <c r="F49" s="139">
        <f t="shared" si="7"/>
        <v>2940000</v>
      </c>
      <c r="G49" s="134">
        <f>SUMIFS(XUẤT!Q:Q,XUẤT!N:N,XUẤT!N250,XUẤT!O:O,CBCNV!$G$2)</f>
        <v>0</v>
      </c>
      <c r="H49" s="138">
        <f t="shared" si="8"/>
        <v>0</v>
      </c>
      <c r="I49" s="134">
        <f>SUMIFS(XUẤT!R:R,XUẤT!N:N,XUẤT!N250,XUẤT!O:O,CBCNV!$I$2)</f>
        <v>0</v>
      </c>
      <c r="J49" s="139">
        <f t="shared" si="9"/>
        <v>0</v>
      </c>
      <c r="K49" s="134">
        <f>SUMIFS(XUẤT!S:S,XUẤT!N:N,XUẤT!N250,XUẤT!O:O,CBCNV!$K$2)</f>
        <v>0</v>
      </c>
      <c r="L49" s="139">
        <f t="shared" si="10"/>
        <v>0</v>
      </c>
      <c r="M49" s="134">
        <f>SUMIFS(XUẤT!T:T,XUẤT!N:N,XUẤT!N250,XUẤT!O:O,CBCNV!$M$2)</f>
        <v>0</v>
      </c>
      <c r="N49" s="139">
        <f t="shared" si="11"/>
        <v>0</v>
      </c>
      <c r="O49" s="134">
        <f>SUMIFS(XUẤT!U:U,XUẤT!N:N,XUẤT!N250,XUẤT!O:O,CBCNV!$O$2)</f>
        <v>0</v>
      </c>
      <c r="P49" s="139">
        <f t="shared" si="12"/>
        <v>0</v>
      </c>
      <c r="Q49" s="32"/>
      <c r="R49" s="18"/>
    </row>
    <row r="50" spans="1:20" s="140" customFormat="1" x14ac:dyDescent="0.3">
      <c r="A50" s="137">
        <v>43</v>
      </c>
      <c r="B50" s="10" t="s">
        <v>149</v>
      </c>
      <c r="C50" s="137" t="s">
        <v>147</v>
      </c>
      <c r="D50" s="137" t="s">
        <v>90</v>
      </c>
      <c r="E50" s="134">
        <f>SUMIFS(XUẤT!P:P,XUẤT!N:N,CBCNV!B50,XUẤT!O:O,CBCNV!$E$2)</f>
        <v>0</v>
      </c>
      <c r="F50" s="139">
        <f t="shared" si="7"/>
        <v>0</v>
      </c>
      <c r="G50" s="134">
        <f>SUMIFS(XUẤT!Q:Q,XUẤT!N:N,CBCNV!B50,XUẤT!O:O,CBCNV!$G$2)</f>
        <v>0</v>
      </c>
      <c r="H50" s="138">
        <f t="shared" si="8"/>
        <v>0</v>
      </c>
      <c r="I50" s="134">
        <f>SUMIFS(XUẤT!R:R,XUẤT!N:N,CBCNV!B50,XUẤT!O:O,CBCNV!$I$2)</f>
        <v>0</v>
      </c>
      <c r="J50" s="139">
        <f t="shared" si="9"/>
        <v>0</v>
      </c>
      <c r="K50" s="134">
        <f>SUMIFS(XUẤT!S:S,XUẤT!N:N,CBCNV!B50,XUẤT!O:O,CBCNV!$K$2)</f>
        <v>0</v>
      </c>
      <c r="L50" s="139">
        <f t="shared" si="10"/>
        <v>0</v>
      </c>
      <c r="M50" s="134">
        <f>SUMIFS(XUẤT!T:T,XUẤT!N:N,CBCNV!B50,XUẤT!O:O,CBCNV!$M$2)</f>
        <v>0</v>
      </c>
      <c r="N50" s="139">
        <f t="shared" si="11"/>
        <v>0</v>
      </c>
      <c r="O50" s="134">
        <f>SUMIFS(XUẤT!U:U,XUẤT!N:N,CBCNV!B50,XUẤT!O:O,CBCNV!$O$2)</f>
        <v>0</v>
      </c>
      <c r="P50" s="139">
        <f t="shared" si="12"/>
        <v>0</v>
      </c>
      <c r="Q50" s="32"/>
      <c r="R50" s="18"/>
    </row>
    <row r="51" spans="1:20" s="140" customFormat="1" x14ac:dyDescent="0.3">
      <c r="A51" s="137">
        <v>44</v>
      </c>
      <c r="B51" s="10" t="s">
        <v>150</v>
      </c>
      <c r="C51" s="137" t="s">
        <v>151</v>
      </c>
      <c r="D51" s="137" t="s">
        <v>90</v>
      </c>
      <c r="E51" s="134">
        <f>SUMIFS(XUẤT!P:P,XUẤT!N:N,CBCNV!B51,XUẤT!O:O,CBCNV!$E$2)</f>
        <v>2</v>
      </c>
      <c r="F51" s="139">
        <f t="shared" si="7"/>
        <v>196000</v>
      </c>
      <c r="G51" s="134">
        <f>SUMIFS(XUẤT!Q:Q,XUẤT!N:N,CBCNV!B51,XUẤT!O:O,CBCNV!$G$2)</f>
        <v>0</v>
      </c>
      <c r="H51" s="138">
        <f t="shared" si="8"/>
        <v>0</v>
      </c>
      <c r="I51" s="134">
        <f>SUMIFS(XUẤT!R:R,XUẤT!N:N,CBCNV!B51,XUẤT!O:O,CBCNV!$I$2)</f>
        <v>0</v>
      </c>
      <c r="J51" s="139">
        <f t="shared" si="9"/>
        <v>0</v>
      </c>
      <c r="K51" s="134">
        <f>SUMIFS(XUẤT!S:S,XUẤT!N:N,CBCNV!B51,XUẤT!O:O,CBCNV!$K$2)</f>
        <v>0</v>
      </c>
      <c r="L51" s="139">
        <f t="shared" si="10"/>
        <v>0</v>
      </c>
      <c r="M51" s="134">
        <f>SUMIFS(XUẤT!T:T,XUẤT!N:N,CBCNV!B51,XUẤT!O:O,CBCNV!$M$2)</f>
        <v>5</v>
      </c>
      <c r="N51" s="139">
        <f t="shared" si="11"/>
        <v>260000</v>
      </c>
      <c r="O51" s="134">
        <f>SUMIFS(XUẤT!U:U,XUẤT!N:N,CBCNV!B51,XUẤT!O:O,CBCNV!$O$2)</f>
        <v>0</v>
      </c>
      <c r="P51" s="139">
        <f t="shared" si="12"/>
        <v>0</v>
      </c>
      <c r="Q51" s="32"/>
      <c r="R51" s="18"/>
    </row>
    <row r="52" spans="1:20" s="140" customFormat="1" x14ac:dyDescent="0.3">
      <c r="A52" s="137">
        <v>45</v>
      </c>
      <c r="B52" s="10" t="s">
        <v>152</v>
      </c>
      <c r="C52" s="137" t="s">
        <v>147</v>
      </c>
      <c r="D52" s="137" t="s">
        <v>90</v>
      </c>
      <c r="E52" s="134">
        <f>SUMIFS(XUẤT!P:P,XUẤT!N:N,CBCNV!B52,XUẤT!O:O,CBCNV!$E$2)</f>
        <v>0</v>
      </c>
      <c r="F52" s="139">
        <f t="shared" si="7"/>
        <v>0</v>
      </c>
      <c r="G52" s="134">
        <f>SUMIFS(XUẤT!Q:Q,XUẤT!N:N,CBCNV!B52,XUẤT!O:O,CBCNV!$G$2)</f>
        <v>0</v>
      </c>
      <c r="H52" s="138">
        <f t="shared" si="8"/>
        <v>0</v>
      </c>
      <c r="I52" s="134">
        <f>SUMIFS(XUẤT!R:R,XUẤT!N:N,CBCNV!B52,XUẤT!O:O,CBCNV!$I$2)</f>
        <v>0</v>
      </c>
      <c r="J52" s="139">
        <f t="shared" si="9"/>
        <v>0</v>
      </c>
      <c r="K52" s="134">
        <f>SUMIFS(XUẤT!S:S,XUẤT!N:N,CBCNV!B52,XUẤT!O:O,CBCNV!$K$2)</f>
        <v>0</v>
      </c>
      <c r="L52" s="139">
        <f t="shared" si="10"/>
        <v>0</v>
      </c>
      <c r="M52" s="134">
        <f>SUMIFS(XUẤT!T:T,XUẤT!N:N,CBCNV!B52,XUẤT!O:O,CBCNV!$M$2)</f>
        <v>0</v>
      </c>
      <c r="N52" s="139">
        <f t="shared" si="11"/>
        <v>0</v>
      </c>
      <c r="O52" s="134">
        <f>SUMIFS(XUẤT!U:U,XUẤT!N:N,CBCNV!B52,XUẤT!O:O,CBCNV!$O$2)</f>
        <v>0</v>
      </c>
      <c r="P52" s="139">
        <f t="shared" si="12"/>
        <v>0</v>
      </c>
      <c r="Q52" s="32"/>
      <c r="R52" s="18"/>
    </row>
    <row r="53" spans="1:20" s="140" customFormat="1" x14ac:dyDescent="0.3">
      <c r="A53" s="137">
        <v>46</v>
      </c>
      <c r="B53" s="10" t="s">
        <v>153</v>
      </c>
      <c r="C53" s="137" t="s">
        <v>154</v>
      </c>
      <c r="D53" s="137" t="s">
        <v>90</v>
      </c>
      <c r="E53" s="134">
        <f>SUMIFS(XUẤT!P:P,XUẤT!N:N,CBCNV!B53,XUẤT!O:O,CBCNV!$E$2)</f>
        <v>4</v>
      </c>
      <c r="F53" s="139">
        <f t="shared" si="7"/>
        <v>392000</v>
      </c>
      <c r="G53" s="134">
        <f>SUMIFS(XUẤT!Q:Q,XUẤT!N:N,CBCNV!B53,XUẤT!O:O,CBCNV!$G$2)</f>
        <v>0</v>
      </c>
      <c r="H53" s="138">
        <f t="shared" si="8"/>
        <v>0</v>
      </c>
      <c r="I53" s="134">
        <f>SUMIFS(XUẤT!R:R,XUẤT!N:N,CBCNV!B53,XUẤT!O:O,CBCNV!$I$2)</f>
        <v>0</v>
      </c>
      <c r="J53" s="139">
        <f t="shared" si="9"/>
        <v>0</v>
      </c>
      <c r="K53" s="134">
        <f>SUMIFS(XUẤT!S:S,XUẤT!N:N,CBCNV!B53,XUẤT!O:O,CBCNV!$K$2)</f>
        <v>0</v>
      </c>
      <c r="L53" s="139">
        <f t="shared" si="10"/>
        <v>0</v>
      </c>
      <c r="M53" s="134">
        <f>SUMIFS(XUẤT!T:T,XUẤT!N:N,CBCNV!B53,XUẤT!O:O,CBCNV!$M$2)</f>
        <v>0</v>
      </c>
      <c r="N53" s="139">
        <f t="shared" si="11"/>
        <v>0</v>
      </c>
      <c r="O53" s="134">
        <f>SUMIFS(XUẤT!U:U,XUẤT!N:N,CBCNV!B53,XUẤT!O:O,CBCNV!$O$2)</f>
        <v>0</v>
      </c>
      <c r="P53" s="139">
        <f t="shared" si="12"/>
        <v>0</v>
      </c>
      <c r="Q53" s="32"/>
      <c r="R53" s="18"/>
    </row>
    <row r="54" spans="1:20" s="140" customFormat="1" x14ac:dyDescent="0.3">
      <c r="A54" s="137">
        <v>47</v>
      </c>
      <c r="B54" s="10" t="s">
        <v>155</v>
      </c>
      <c r="C54" s="137" t="s">
        <v>156</v>
      </c>
      <c r="D54" s="137" t="s">
        <v>90</v>
      </c>
      <c r="E54" s="134">
        <f>SUMIFS(XUẤT!P:P,XUẤT!N:N,CBCNV!B54,XUẤT!O:O,CBCNV!$E$2)</f>
        <v>10</v>
      </c>
      <c r="F54" s="139">
        <f t="shared" si="7"/>
        <v>980000</v>
      </c>
      <c r="G54" s="134">
        <f>SUMIFS(XUẤT!Q:Q,XUẤT!N:N,CBCNV!B54,XUẤT!O:O,CBCNV!$G$2)</f>
        <v>0</v>
      </c>
      <c r="H54" s="138">
        <f t="shared" si="8"/>
        <v>0</v>
      </c>
      <c r="I54" s="134">
        <f>SUMIFS(XUẤT!R:R,XUẤT!N:N,CBCNV!B54,XUẤT!O:O,CBCNV!$I$2)</f>
        <v>0</v>
      </c>
      <c r="J54" s="139">
        <f t="shared" si="9"/>
        <v>0</v>
      </c>
      <c r="K54" s="134">
        <f>SUMIFS(XUẤT!S:S,XUẤT!N:N,CBCNV!B54,XUẤT!O:O,CBCNV!$K$2)</f>
        <v>0</v>
      </c>
      <c r="L54" s="139">
        <f t="shared" si="10"/>
        <v>0</v>
      </c>
      <c r="M54" s="134">
        <f>SUMIFS(XUẤT!T:T,XUẤT!N:N,CBCNV!B54,XUẤT!O:O,CBCNV!$M$2)</f>
        <v>0</v>
      </c>
      <c r="N54" s="139">
        <f t="shared" si="11"/>
        <v>0</v>
      </c>
      <c r="O54" s="134">
        <f>SUMIFS(XUẤT!U:U,XUẤT!N:N,CBCNV!B54,XUẤT!O:O,CBCNV!$O$2)</f>
        <v>0</v>
      </c>
      <c r="P54" s="139">
        <f t="shared" si="12"/>
        <v>0</v>
      </c>
      <c r="Q54" s="32"/>
      <c r="R54" s="18"/>
    </row>
    <row r="55" spans="1:20" s="140" customFormat="1" x14ac:dyDescent="0.3">
      <c r="A55" s="137">
        <v>48</v>
      </c>
      <c r="B55" s="10" t="s">
        <v>157</v>
      </c>
      <c r="C55" s="137" t="s">
        <v>147</v>
      </c>
      <c r="D55" s="137" t="s">
        <v>90</v>
      </c>
      <c r="E55" s="134">
        <f>SUMIFS(XUẤT!P:P,XUẤT!N:N,CBCNV!B55,XUẤT!O:O,CBCNV!$E$2)</f>
        <v>0</v>
      </c>
      <c r="F55" s="139">
        <f t="shared" si="7"/>
        <v>0</v>
      </c>
      <c r="G55" s="134">
        <f>SUMIFS(XUẤT!Q:Q,XUẤT!N:N,CBCNV!B55,XUẤT!O:O,CBCNV!$G$2)</f>
        <v>0</v>
      </c>
      <c r="H55" s="138">
        <f t="shared" si="8"/>
        <v>0</v>
      </c>
      <c r="I55" s="134">
        <f>SUMIFS(XUẤT!R:R,XUẤT!N:N,CBCNV!B55,XUẤT!O:O,CBCNV!$I$2)</f>
        <v>0</v>
      </c>
      <c r="J55" s="139">
        <f t="shared" si="9"/>
        <v>0</v>
      </c>
      <c r="K55" s="134">
        <f>SUMIFS(XUẤT!S:S,XUẤT!N:N,CBCNV!B55,XUẤT!O:O,CBCNV!$K$2)</f>
        <v>0</v>
      </c>
      <c r="L55" s="139">
        <f t="shared" si="10"/>
        <v>0</v>
      </c>
      <c r="M55" s="134">
        <f>SUMIFS(XUẤT!T:T,XUẤT!N:N,CBCNV!B55,XUẤT!O:O,CBCNV!$M$2)</f>
        <v>0</v>
      </c>
      <c r="N55" s="139">
        <f t="shared" si="11"/>
        <v>0</v>
      </c>
      <c r="O55" s="134">
        <f>SUMIFS(XUẤT!U:U,XUẤT!N:N,CBCNV!B55,XUẤT!O:O,CBCNV!$O$2)</f>
        <v>0</v>
      </c>
      <c r="P55" s="139">
        <f t="shared" si="12"/>
        <v>0</v>
      </c>
      <c r="Q55" s="32"/>
      <c r="R55" s="18"/>
    </row>
    <row r="56" spans="1:20" s="136" customFormat="1" x14ac:dyDescent="0.3">
      <c r="A56" s="137">
        <v>49</v>
      </c>
      <c r="B56" s="10" t="s">
        <v>158</v>
      </c>
      <c r="C56" s="137" t="s">
        <v>159</v>
      </c>
      <c r="D56" s="137" t="s">
        <v>90</v>
      </c>
      <c r="E56" s="134">
        <f>SUMIFS(XUẤT!P:P,XUẤT!N:N,CBCNV!B56,XUẤT!O:O,CBCNV!$E$2)</f>
        <v>0</v>
      </c>
      <c r="F56" s="139">
        <f t="shared" si="7"/>
        <v>0</v>
      </c>
      <c r="G56" s="134">
        <f>SUMIFS(XUẤT!Q:Q,XUẤT!N:N,CBCNV!B56,XUẤT!O:O,CBCNV!$G$2)</f>
        <v>0</v>
      </c>
      <c r="H56" s="138">
        <f t="shared" si="8"/>
        <v>0</v>
      </c>
      <c r="I56" s="134">
        <f>SUMIFS(XUẤT!R:R,XUẤT!N:N,CBCNV!B56,XUẤT!O:O,CBCNV!$I$2)</f>
        <v>0</v>
      </c>
      <c r="J56" s="139">
        <f t="shared" si="9"/>
        <v>0</v>
      </c>
      <c r="K56" s="134">
        <f>SUMIFS(XUẤT!S:S,XUẤT!N:N,CBCNV!B56,XUẤT!O:O,CBCNV!$K$2)</f>
        <v>0</v>
      </c>
      <c r="L56" s="139">
        <f t="shared" si="10"/>
        <v>0</v>
      </c>
      <c r="M56" s="134">
        <f>SUMIFS(XUẤT!T:T,XUẤT!N:N,CBCNV!B56,XUẤT!O:O,CBCNV!$M$2)</f>
        <v>0</v>
      </c>
      <c r="N56" s="139">
        <f t="shared" si="11"/>
        <v>0</v>
      </c>
      <c r="O56" s="134">
        <f>SUMIFS(XUẤT!U:U,XUẤT!N:N,CBCNV!B56,XUẤT!O:O,CBCNV!$O$2)</f>
        <v>0</v>
      </c>
      <c r="P56" s="139">
        <f t="shared" si="12"/>
        <v>0</v>
      </c>
      <c r="Q56" s="32"/>
      <c r="R56" s="18"/>
      <c r="S56" s="140"/>
      <c r="T56" s="140"/>
    </row>
    <row r="57" spans="1:20" s="140" customFormat="1" x14ac:dyDescent="0.3">
      <c r="A57" s="137">
        <v>50</v>
      </c>
      <c r="B57" s="10" t="s">
        <v>37</v>
      </c>
      <c r="C57" s="137" t="s">
        <v>160</v>
      </c>
      <c r="D57" s="137" t="s">
        <v>90</v>
      </c>
      <c r="E57" s="134">
        <f>SUMIFS(XUẤT!P:P,XUẤT!N:N,CBCNV!B57,XUẤT!O:O,CBCNV!$E$2)</f>
        <v>143</v>
      </c>
      <c r="F57" s="139">
        <f t="shared" si="7"/>
        <v>14014000</v>
      </c>
      <c r="G57" s="134">
        <f>SUMIFS(XUẤT!Q:Q,XUẤT!N:N,CBCNV!B57,XUẤT!O:O,CBCNV!$G$2)</f>
        <v>20</v>
      </c>
      <c r="H57" s="138">
        <f t="shared" si="8"/>
        <v>1700000</v>
      </c>
      <c r="I57" s="134">
        <f>SUMIFS(XUẤT!R:R,XUẤT!N:N,CBCNV!B57,XUẤT!O:O,CBCNV!$I$2)</f>
        <v>0</v>
      </c>
      <c r="J57" s="139">
        <f t="shared" si="9"/>
        <v>0</v>
      </c>
      <c r="K57" s="134">
        <f>SUMIFS(XUẤT!S:S,XUẤT!N:N,CBCNV!B57,XUẤT!O:O,CBCNV!$K$2)</f>
        <v>0</v>
      </c>
      <c r="L57" s="139">
        <f t="shared" si="10"/>
        <v>0</v>
      </c>
      <c r="M57" s="134">
        <f>SUMIFS(XUẤT!T:T,XUẤT!N:N,CBCNV!B57,XUẤT!O:O,CBCNV!$M$2)</f>
        <v>8</v>
      </c>
      <c r="N57" s="139">
        <f t="shared" si="11"/>
        <v>416000</v>
      </c>
      <c r="O57" s="134">
        <f>SUMIFS(XUẤT!U:U,XUẤT!N:N,CBCNV!B57,XUẤT!O:O,CBCNV!$O$2)</f>
        <v>24</v>
      </c>
      <c r="P57" s="139">
        <f t="shared" si="12"/>
        <v>1152000</v>
      </c>
      <c r="Q57" s="32"/>
      <c r="R57" s="18"/>
    </row>
    <row r="58" spans="1:20" s="140" customFormat="1" x14ac:dyDescent="0.3">
      <c r="A58" s="137">
        <v>51</v>
      </c>
      <c r="B58" s="142" t="s">
        <v>161</v>
      </c>
      <c r="C58" s="137" t="s">
        <v>160</v>
      </c>
      <c r="D58" s="137" t="s">
        <v>90</v>
      </c>
      <c r="E58" s="134">
        <f>SUMIFS(XUẤT!P:P,XUẤT!N:N,CBCNV!B58,XUẤT!O:O,CBCNV!$E$2)</f>
        <v>0</v>
      </c>
      <c r="F58" s="139">
        <f t="shared" si="7"/>
        <v>0</v>
      </c>
      <c r="G58" s="134">
        <f>SUMIFS(XUẤT!Q:Q,XUẤT!N:N,CBCNV!B58,XUẤT!O:O,CBCNV!$G$2)</f>
        <v>0</v>
      </c>
      <c r="H58" s="138">
        <f t="shared" si="8"/>
        <v>0</v>
      </c>
      <c r="I58" s="134">
        <f>SUMIFS(XUẤT!R:R,XUẤT!N:N,CBCNV!B58,XUẤT!O:O,CBCNV!$I$2)</f>
        <v>0</v>
      </c>
      <c r="J58" s="139">
        <f t="shared" si="9"/>
        <v>0</v>
      </c>
      <c r="K58" s="134">
        <f>SUMIFS(XUẤT!S:S,XUẤT!N:N,CBCNV!B58,XUẤT!O:O,CBCNV!$K$2)</f>
        <v>0</v>
      </c>
      <c r="L58" s="139">
        <f t="shared" si="10"/>
        <v>0</v>
      </c>
      <c r="M58" s="134">
        <f>SUMIFS(XUẤT!T:T,XUẤT!N:N,CBCNV!B58,XUẤT!O:O,CBCNV!$M$2)</f>
        <v>0</v>
      </c>
      <c r="N58" s="139">
        <f t="shared" si="11"/>
        <v>0</v>
      </c>
      <c r="O58" s="134">
        <f>SUMIFS(XUẤT!U:U,XUẤT!N:N,CBCNV!B58,XUẤT!O:O,CBCNV!$O$2)</f>
        <v>0</v>
      </c>
      <c r="P58" s="139">
        <f t="shared" si="12"/>
        <v>0</v>
      </c>
      <c r="Q58" s="32"/>
      <c r="R58" s="18"/>
    </row>
    <row r="59" spans="1:20" s="140" customFormat="1" x14ac:dyDescent="0.3">
      <c r="A59" s="137">
        <v>52</v>
      </c>
      <c r="B59" s="34" t="s">
        <v>162</v>
      </c>
      <c r="C59" s="141" t="s">
        <v>163</v>
      </c>
      <c r="D59" s="141" t="s">
        <v>164</v>
      </c>
      <c r="E59" s="134">
        <f>SUMIFS(XUẤT!P:P,XUẤT!N:N,CBCNV!B59,XUẤT!O:O,CBCNV!$E$2)</f>
        <v>90</v>
      </c>
      <c r="F59" s="139">
        <f t="shared" si="7"/>
        <v>8820000</v>
      </c>
      <c r="G59" s="134">
        <f>SUMIFS(XUẤT!Q:Q,XUẤT!N:N,CBCNV!B59,XUẤT!O:O,CBCNV!$G$2)</f>
        <v>0</v>
      </c>
      <c r="H59" s="138">
        <f t="shared" si="8"/>
        <v>0</v>
      </c>
      <c r="I59" s="134">
        <f>SUMIFS(XUẤT!R:R,XUẤT!N:N,CBCNV!B59,XUẤT!O:O,CBCNV!$I$2)</f>
        <v>0</v>
      </c>
      <c r="J59" s="139">
        <f t="shared" si="9"/>
        <v>0</v>
      </c>
      <c r="K59" s="134">
        <f>SUMIFS(XUẤT!S:S,XUẤT!N:N,CBCNV!B59,XUẤT!O:O,CBCNV!$K$2)</f>
        <v>0</v>
      </c>
      <c r="L59" s="139">
        <f t="shared" si="10"/>
        <v>0</v>
      </c>
      <c r="M59" s="134">
        <f>SUMIFS(XUẤT!T:T,XUẤT!N:N,CBCNV!B59,XUẤT!O:O,CBCNV!$M$2)</f>
        <v>0</v>
      </c>
      <c r="N59" s="139">
        <f t="shared" si="11"/>
        <v>0</v>
      </c>
      <c r="O59" s="134">
        <f>SUMIFS(XUẤT!U:U,XUẤT!N:N,CBCNV!B59,XUẤT!O:O,CBCNV!$O$2)</f>
        <v>0</v>
      </c>
      <c r="P59" s="139">
        <f t="shared" si="12"/>
        <v>0</v>
      </c>
      <c r="Q59" s="32"/>
      <c r="R59" s="21"/>
      <c r="S59" s="136"/>
      <c r="T59" s="136"/>
    </row>
    <row r="60" spans="1:20" s="140" customFormat="1" x14ac:dyDescent="0.3">
      <c r="A60" s="137">
        <v>53</v>
      </c>
      <c r="B60" s="10" t="s">
        <v>165</v>
      </c>
      <c r="C60" s="137" t="s">
        <v>166</v>
      </c>
      <c r="D60" s="137" t="s">
        <v>164</v>
      </c>
      <c r="E60" s="134">
        <f>SUMIFS(XUẤT!P:P,XUẤT!N:N,CBCNV!B60,XUẤT!O:O,CBCNV!$E$2)</f>
        <v>0</v>
      </c>
      <c r="F60" s="139">
        <f t="shared" si="7"/>
        <v>0</v>
      </c>
      <c r="G60" s="134">
        <f>SUMIFS(XUẤT!Q:Q,XUẤT!N:N,CBCNV!B60,XUẤT!O:O,CBCNV!$G$2)</f>
        <v>0</v>
      </c>
      <c r="H60" s="138">
        <f t="shared" si="8"/>
        <v>0</v>
      </c>
      <c r="I60" s="134">
        <f>SUMIFS(XUẤT!R:R,XUẤT!N:N,CBCNV!B60,XUẤT!O:O,CBCNV!$I$2)</f>
        <v>0</v>
      </c>
      <c r="J60" s="139">
        <f t="shared" si="9"/>
        <v>0</v>
      </c>
      <c r="K60" s="134">
        <f>SUMIFS(XUẤT!S:S,XUẤT!N:N,CBCNV!B60,XUẤT!O:O,CBCNV!$K$2)</f>
        <v>0</v>
      </c>
      <c r="L60" s="139">
        <f t="shared" si="10"/>
        <v>0</v>
      </c>
      <c r="M60" s="134">
        <f>SUMIFS(XUẤT!T:T,XUẤT!N:N,CBCNV!B60,XUẤT!O:O,CBCNV!$M$2)</f>
        <v>0</v>
      </c>
      <c r="N60" s="139">
        <f t="shared" si="11"/>
        <v>0</v>
      </c>
      <c r="O60" s="134">
        <f>SUMIFS(XUẤT!U:U,XUẤT!N:N,CBCNV!B60,XUẤT!O:O,CBCNV!$O$2)</f>
        <v>0</v>
      </c>
      <c r="P60" s="139">
        <f t="shared" si="12"/>
        <v>0</v>
      </c>
      <c r="Q60" s="32"/>
      <c r="R60" s="18"/>
    </row>
    <row r="61" spans="1:20" s="140" customFormat="1" x14ac:dyDescent="0.3">
      <c r="A61" s="137">
        <v>54</v>
      </c>
      <c r="B61" s="10" t="s">
        <v>43</v>
      </c>
      <c r="C61" s="137" t="s">
        <v>166</v>
      </c>
      <c r="D61" s="137" t="s">
        <v>164</v>
      </c>
      <c r="E61" s="134">
        <f>SUMIFS(XUẤT!P:P,XUẤT!N:N,CBCNV!B61,XUẤT!O:O,CBCNV!$E$2)</f>
        <v>0</v>
      </c>
      <c r="F61" s="139">
        <f t="shared" si="7"/>
        <v>0</v>
      </c>
      <c r="G61" s="134">
        <f>SUMIFS(XUẤT!Q:Q,XUẤT!N:N,CBCNV!B61,XUẤT!O:O,CBCNV!$G$2)</f>
        <v>0</v>
      </c>
      <c r="H61" s="138">
        <f t="shared" si="8"/>
        <v>0</v>
      </c>
      <c r="I61" s="134">
        <f>SUMIFS(XUẤT!R:R,XUẤT!N:N,CBCNV!B61,XUẤT!O:O,CBCNV!$I$2)</f>
        <v>0</v>
      </c>
      <c r="J61" s="139">
        <f t="shared" si="9"/>
        <v>0</v>
      </c>
      <c r="K61" s="134">
        <f>SUMIFS(XUẤT!S:S,XUẤT!N:N,CBCNV!B61,XUẤT!O:O,CBCNV!$K$2)</f>
        <v>0</v>
      </c>
      <c r="L61" s="139">
        <f t="shared" si="10"/>
        <v>0</v>
      </c>
      <c r="M61" s="134">
        <f>SUMIFS(XUẤT!T:T,XUẤT!N:N,CBCNV!B61,XUẤT!O:O,CBCNV!$M$2)</f>
        <v>10</v>
      </c>
      <c r="N61" s="139">
        <f t="shared" si="11"/>
        <v>520000</v>
      </c>
      <c r="O61" s="134">
        <f>SUMIFS(XUẤT!U:U,XUẤT!N:N,CBCNV!B61,XUẤT!O:O,CBCNV!$O$2)</f>
        <v>30</v>
      </c>
      <c r="P61" s="139">
        <f t="shared" si="12"/>
        <v>1440000</v>
      </c>
      <c r="Q61" s="32"/>
      <c r="R61" s="18"/>
    </row>
    <row r="62" spans="1:20" s="140" customFormat="1" x14ac:dyDescent="0.3">
      <c r="A62" s="137">
        <v>55</v>
      </c>
      <c r="B62" s="10" t="s">
        <v>167</v>
      </c>
      <c r="C62" s="137" t="s">
        <v>111</v>
      </c>
      <c r="D62" s="137" t="s">
        <v>164</v>
      </c>
      <c r="E62" s="134">
        <f>SUMIFS(XUẤT!P:P,XUẤT!N:N,CBCNV!B62,XUẤT!O:O,CBCNV!$E$2)</f>
        <v>0</v>
      </c>
      <c r="F62" s="139">
        <f t="shared" si="7"/>
        <v>0</v>
      </c>
      <c r="G62" s="134">
        <f>SUMIFS(XUẤT!Q:Q,XUẤT!N:N,CBCNV!B62,XUẤT!O:O,CBCNV!$G$2)</f>
        <v>0</v>
      </c>
      <c r="H62" s="138">
        <f t="shared" si="8"/>
        <v>0</v>
      </c>
      <c r="I62" s="134">
        <f>SUMIFS(XUẤT!R:R,XUẤT!N:N,CBCNV!B62,XUẤT!O:O,CBCNV!$I$2)</f>
        <v>0</v>
      </c>
      <c r="J62" s="139">
        <f t="shared" si="9"/>
        <v>0</v>
      </c>
      <c r="K62" s="134">
        <f>SUMIFS(XUẤT!S:S,XUẤT!N:N,CBCNV!B62,XUẤT!O:O,CBCNV!$K$2)</f>
        <v>0</v>
      </c>
      <c r="L62" s="139">
        <f t="shared" si="10"/>
        <v>0</v>
      </c>
      <c r="M62" s="134">
        <f>SUMIFS(XUẤT!T:T,XUẤT!N:N,CBCNV!B62,XUẤT!O:O,CBCNV!$M$2)</f>
        <v>0</v>
      </c>
      <c r="N62" s="139">
        <f t="shared" si="11"/>
        <v>0</v>
      </c>
      <c r="O62" s="134">
        <f>SUMIFS(XUẤT!U:U,XUẤT!N:N,CBCNV!B62,XUẤT!O:O,CBCNV!$O$2)</f>
        <v>0</v>
      </c>
      <c r="P62" s="139">
        <f t="shared" si="12"/>
        <v>0</v>
      </c>
      <c r="Q62" s="32"/>
      <c r="R62" s="18"/>
    </row>
    <row r="63" spans="1:20" s="140" customFormat="1" x14ac:dyDescent="0.3">
      <c r="A63" s="137">
        <v>56</v>
      </c>
      <c r="B63" s="10" t="s">
        <v>168</v>
      </c>
      <c r="C63" s="137" t="s">
        <v>111</v>
      </c>
      <c r="D63" s="137" t="s">
        <v>164</v>
      </c>
      <c r="E63" s="134">
        <f>SUMIFS(XUẤT!P:P,XUẤT!N:N,CBCNV!B63,XUẤT!O:O,CBCNV!$E$2)</f>
        <v>0</v>
      </c>
      <c r="F63" s="139">
        <f t="shared" si="7"/>
        <v>0</v>
      </c>
      <c r="G63" s="134">
        <f>SUMIFS(XUẤT!Q:Q,XUẤT!N:N,CBCNV!B63,XUẤT!O:O,CBCNV!$G$2)</f>
        <v>0</v>
      </c>
      <c r="H63" s="138">
        <f t="shared" si="8"/>
        <v>0</v>
      </c>
      <c r="I63" s="134">
        <f>SUMIFS(XUẤT!R:R,XUẤT!N:N,CBCNV!B63,XUẤT!O:O,CBCNV!$I$2)</f>
        <v>0</v>
      </c>
      <c r="J63" s="139">
        <f t="shared" si="9"/>
        <v>0</v>
      </c>
      <c r="K63" s="134">
        <f>SUMIFS(XUẤT!S:S,XUẤT!N:N,CBCNV!B63,XUẤT!O:O,CBCNV!$K$2)</f>
        <v>0</v>
      </c>
      <c r="L63" s="139">
        <f t="shared" si="10"/>
        <v>0</v>
      </c>
      <c r="M63" s="134">
        <f>SUMIFS(XUẤT!T:T,XUẤT!N:N,CBCNV!B63,XUẤT!O:O,CBCNV!$M$2)</f>
        <v>0</v>
      </c>
      <c r="N63" s="139">
        <f t="shared" si="11"/>
        <v>0</v>
      </c>
      <c r="O63" s="134">
        <f>SUMIFS(XUẤT!U:U,XUẤT!N:N,CBCNV!B63,XUẤT!O:O,CBCNV!$O$2)</f>
        <v>0</v>
      </c>
      <c r="P63" s="139">
        <f t="shared" si="12"/>
        <v>0</v>
      </c>
      <c r="Q63" s="32"/>
      <c r="R63" s="18"/>
    </row>
    <row r="64" spans="1:20" s="140" customFormat="1" x14ac:dyDescent="0.3">
      <c r="A64" s="137">
        <v>57</v>
      </c>
      <c r="B64" s="10" t="s">
        <v>169</v>
      </c>
      <c r="C64" s="137" t="s">
        <v>111</v>
      </c>
      <c r="D64" s="137" t="s">
        <v>164</v>
      </c>
      <c r="E64" s="134">
        <f>SUMIFS(XUẤT!P:P,XUẤT!N:N,CBCNV!B64,XUẤT!O:O,CBCNV!$E$2)</f>
        <v>0</v>
      </c>
      <c r="F64" s="139">
        <f t="shared" si="7"/>
        <v>0</v>
      </c>
      <c r="G64" s="134">
        <f>SUMIFS(XUẤT!Q:Q,XUẤT!N:N,CBCNV!B64,XUẤT!O:O,CBCNV!$G$2)</f>
        <v>0</v>
      </c>
      <c r="H64" s="138">
        <f t="shared" si="8"/>
        <v>0</v>
      </c>
      <c r="I64" s="134">
        <f>SUMIFS(XUẤT!R:R,XUẤT!N:N,CBCNV!B64,XUẤT!O:O,CBCNV!$I$2)</f>
        <v>0</v>
      </c>
      <c r="J64" s="139">
        <f t="shared" si="9"/>
        <v>0</v>
      </c>
      <c r="K64" s="134">
        <f>SUMIFS(XUẤT!S:S,XUẤT!N:N,CBCNV!B64,XUẤT!O:O,CBCNV!$K$2)</f>
        <v>0</v>
      </c>
      <c r="L64" s="139">
        <f t="shared" si="10"/>
        <v>0</v>
      </c>
      <c r="M64" s="134">
        <f>SUMIFS(XUẤT!T:T,XUẤT!N:N,CBCNV!B64,XUẤT!O:O,CBCNV!$M$2)</f>
        <v>0</v>
      </c>
      <c r="N64" s="139">
        <f t="shared" si="11"/>
        <v>0</v>
      </c>
      <c r="O64" s="134">
        <f>SUMIFS(XUẤT!U:U,XUẤT!N:N,CBCNV!B64,XUẤT!O:O,CBCNV!$O$2)</f>
        <v>0</v>
      </c>
      <c r="P64" s="139">
        <f t="shared" si="12"/>
        <v>0</v>
      </c>
      <c r="Q64" s="32"/>
      <c r="R64" s="18"/>
    </row>
    <row r="65" spans="1:20" s="140" customFormat="1" x14ac:dyDescent="0.3">
      <c r="A65" s="137">
        <v>58</v>
      </c>
      <c r="B65" s="10" t="s">
        <v>170</v>
      </c>
      <c r="C65" s="137" t="s">
        <v>111</v>
      </c>
      <c r="D65" s="137" t="s">
        <v>164</v>
      </c>
      <c r="E65" s="134">
        <f>SUMIFS(XUẤT!P:P,XUẤT!N:N,CBCNV!B65,XUẤT!O:O,CBCNV!$E$2)</f>
        <v>0</v>
      </c>
      <c r="F65" s="139">
        <f t="shared" si="7"/>
        <v>0</v>
      </c>
      <c r="G65" s="134">
        <f>SUMIFS(XUẤT!Q:Q,XUẤT!N:N,CBCNV!B65,XUẤT!O:O,CBCNV!$G$2)</f>
        <v>0</v>
      </c>
      <c r="H65" s="138">
        <f t="shared" si="8"/>
        <v>0</v>
      </c>
      <c r="I65" s="134">
        <f>SUMIFS(XUẤT!R:R,XUẤT!N:N,CBCNV!B65,XUẤT!O:O,CBCNV!$I$2)</f>
        <v>0</v>
      </c>
      <c r="J65" s="139">
        <f t="shared" si="9"/>
        <v>0</v>
      </c>
      <c r="K65" s="134">
        <f>SUMIFS(XUẤT!S:S,XUẤT!N:N,CBCNV!B65,XUẤT!O:O,CBCNV!$K$2)</f>
        <v>0</v>
      </c>
      <c r="L65" s="139">
        <f t="shared" si="10"/>
        <v>0</v>
      </c>
      <c r="M65" s="134">
        <f>SUMIFS(XUẤT!T:T,XUẤT!N:N,CBCNV!B65,XUẤT!O:O,CBCNV!$M$2)</f>
        <v>0</v>
      </c>
      <c r="N65" s="139">
        <f t="shared" si="11"/>
        <v>0</v>
      </c>
      <c r="O65" s="134">
        <f>SUMIFS(XUẤT!U:U,XUẤT!N:N,CBCNV!B65,XUẤT!O:O,CBCNV!$O$2)</f>
        <v>0</v>
      </c>
      <c r="P65" s="139">
        <f t="shared" si="12"/>
        <v>0</v>
      </c>
      <c r="Q65" s="32"/>
      <c r="R65" s="18"/>
    </row>
    <row r="66" spans="1:20" s="140" customFormat="1" x14ac:dyDescent="0.3">
      <c r="A66" s="137">
        <v>59</v>
      </c>
      <c r="B66" s="10" t="s">
        <v>171</v>
      </c>
      <c r="C66" s="137" t="s">
        <v>111</v>
      </c>
      <c r="D66" s="137" t="s">
        <v>164</v>
      </c>
      <c r="E66" s="134">
        <f>SUMIFS(XUẤT!P:P,XUẤT!N:N,CBCNV!B66,XUẤT!O:O,CBCNV!$E$2)</f>
        <v>10</v>
      </c>
      <c r="F66" s="139">
        <f t="shared" si="7"/>
        <v>980000</v>
      </c>
      <c r="G66" s="134">
        <f>SUMIFS(XUẤT!Q:Q,XUẤT!N:N,CBCNV!B66,XUẤT!O:O,CBCNV!$G$2)</f>
        <v>0</v>
      </c>
      <c r="H66" s="138">
        <f t="shared" si="8"/>
        <v>0</v>
      </c>
      <c r="I66" s="134">
        <f>SUMIFS(XUẤT!R:R,XUẤT!N:N,CBCNV!B66,XUẤT!O:O,CBCNV!$I$2)</f>
        <v>0</v>
      </c>
      <c r="J66" s="139">
        <f t="shared" si="9"/>
        <v>0</v>
      </c>
      <c r="K66" s="134">
        <f>SUMIFS(XUẤT!S:S,XUẤT!N:N,CBCNV!B66,XUẤT!O:O,CBCNV!$K$2)</f>
        <v>0</v>
      </c>
      <c r="L66" s="139">
        <f t="shared" si="10"/>
        <v>0</v>
      </c>
      <c r="M66" s="134">
        <f>SUMIFS(XUẤT!T:T,XUẤT!N:N,CBCNV!B66,XUẤT!O:O,CBCNV!$M$2)</f>
        <v>0</v>
      </c>
      <c r="N66" s="139">
        <f t="shared" si="11"/>
        <v>0</v>
      </c>
      <c r="O66" s="134">
        <f>SUMIFS(XUẤT!U:U,XUẤT!N:N,CBCNV!B66,XUẤT!O:O,CBCNV!$O$2)</f>
        <v>0</v>
      </c>
      <c r="P66" s="139">
        <f t="shared" si="12"/>
        <v>0</v>
      </c>
      <c r="Q66" s="32"/>
      <c r="R66" s="18"/>
    </row>
    <row r="67" spans="1:20" s="140" customFormat="1" x14ac:dyDescent="0.3">
      <c r="A67" s="137">
        <v>60</v>
      </c>
      <c r="B67" s="10" t="s">
        <v>172</v>
      </c>
      <c r="C67" s="137" t="s">
        <v>111</v>
      </c>
      <c r="D67" s="137" t="s">
        <v>164</v>
      </c>
      <c r="E67" s="134">
        <f>SUMIFS(XUẤT!P:P,XUẤT!N:N,CBCNV!B67,XUẤT!O:O,CBCNV!$E$2)</f>
        <v>0</v>
      </c>
      <c r="F67" s="139">
        <f t="shared" si="7"/>
        <v>0</v>
      </c>
      <c r="G67" s="134">
        <f>SUMIFS(XUẤT!Q:Q,XUẤT!N:N,CBCNV!B67,XUẤT!O:O,CBCNV!$G$2)</f>
        <v>0</v>
      </c>
      <c r="H67" s="138">
        <f t="shared" si="8"/>
        <v>0</v>
      </c>
      <c r="I67" s="134">
        <f>SUMIFS(XUẤT!R:R,XUẤT!N:N,CBCNV!B67,XUẤT!O:O,CBCNV!$I$2)</f>
        <v>0</v>
      </c>
      <c r="J67" s="139">
        <f t="shared" si="9"/>
        <v>0</v>
      </c>
      <c r="K67" s="134">
        <f>SUMIFS(XUẤT!S:S,XUẤT!N:N,CBCNV!B67,XUẤT!O:O,CBCNV!$K$2)</f>
        <v>0</v>
      </c>
      <c r="L67" s="139">
        <f t="shared" si="10"/>
        <v>0</v>
      </c>
      <c r="M67" s="134">
        <f>SUMIFS(XUẤT!T:T,XUẤT!N:N,CBCNV!B67,XUẤT!O:O,CBCNV!$M$2)</f>
        <v>0</v>
      </c>
      <c r="N67" s="139">
        <f t="shared" si="11"/>
        <v>0</v>
      </c>
      <c r="O67" s="134">
        <f>SUMIFS(XUẤT!U:U,XUẤT!N:N,CBCNV!B67,XUẤT!O:O,CBCNV!$O$2)</f>
        <v>0</v>
      </c>
      <c r="P67" s="139">
        <f t="shared" si="12"/>
        <v>0</v>
      </c>
      <c r="Q67" s="32"/>
      <c r="R67" s="18"/>
    </row>
    <row r="68" spans="1:20" s="140" customFormat="1" x14ac:dyDescent="0.3">
      <c r="A68" s="137">
        <v>61</v>
      </c>
      <c r="B68" s="10" t="s">
        <v>173</v>
      </c>
      <c r="C68" s="137" t="s">
        <v>174</v>
      </c>
      <c r="D68" s="137" t="s">
        <v>164</v>
      </c>
      <c r="E68" s="134">
        <f>SUMIFS(XUẤT!P:P,XUẤT!N:N,CBCNV!B68,XUẤT!O:O,CBCNV!$E$2)</f>
        <v>0</v>
      </c>
      <c r="F68" s="139">
        <f t="shared" si="7"/>
        <v>0</v>
      </c>
      <c r="G68" s="134">
        <f>SUMIFS(XUẤT!Q:Q,XUẤT!N:N,CBCNV!B68,XUẤT!O:O,CBCNV!$G$2)</f>
        <v>0</v>
      </c>
      <c r="H68" s="138">
        <f t="shared" si="8"/>
        <v>0</v>
      </c>
      <c r="I68" s="134">
        <f>SUMIFS(XUẤT!R:R,XUẤT!N:N,CBCNV!B68,XUẤT!O:O,CBCNV!$I$2)</f>
        <v>0</v>
      </c>
      <c r="J68" s="139">
        <f t="shared" si="9"/>
        <v>0</v>
      </c>
      <c r="K68" s="134">
        <f>SUMIFS(XUẤT!S:S,XUẤT!N:N,CBCNV!B68,XUẤT!O:O,CBCNV!$K$2)</f>
        <v>0</v>
      </c>
      <c r="L68" s="139">
        <f t="shared" si="10"/>
        <v>0</v>
      </c>
      <c r="M68" s="134">
        <f>SUMIFS(XUẤT!T:T,XUẤT!N:N,CBCNV!B68,XUẤT!O:O,CBCNV!$M$2)</f>
        <v>0</v>
      </c>
      <c r="N68" s="139">
        <f t="shared" si="11"/>
        <v>0</v>
      </c>
      <c r="O68" s="134">
        <f>SUMIFS(XUẤT!U:U,XUẤT!N:N,CBCNV!B68,XUẤT!O:O,CBCNV!$O$2)</f>
        <v>0</v>
      </c>
      <c r="P68" s="139">
        <f t="shared" si="12"/>
        <v>0</v>
      </c>
      <c r="Q68" s="32"/>
      <c r="R68" s="18"/>
    </row>
    <row r="69" spans="1:20" s="140" customFormat="1" x14ac:dyDescent="0.3">
      <c r="A69" s="137">
        <v>62</v>
      </c>
      <c r="B69" s="10" t="s">
        <v>175</v>
      </c>
      <c r="C69" s="137" t="s">
        <v>174</v>
      </c>
      <c r="D69" s="137" t="s">
        <v>164</v>
      </c>
      <c r="E69" s="134">
        <f>SUMIFS(XUẤT!P:P,XUẤT!N:N,CBCNV!B69,XUẤT!O:O,CBCNV!$E$2)</f>
        <v>0</v>
      </c>
      <c r="F69" s="139">
        <f t="shared" si="7"/>
        <v>0</v>
      </c>
      <c r="G69" s="134">
        <f>SUMIFS(XUẤT!Q:Q,XUẤT!N:N,CBCNV!B69,XUẤT!O:O,CBCNV!$G$2)</f>
        <v>0</v>
      </c>
      <c r="H69" s="138">
        <f t="shared" si="8"/>
        <v>0</v>
      </c>
      <c r="I69" s="134">
        <f>SUMIFS(XUẤT!R:R,XUẤT!N:N,CBCNV!B69,XUẤT!O:O,CBCNV!$I$2)</f>
        <v>0</v>
      </c>
      <c r="J69" s="139">
        <f t="shared" si="9"/>
        <v>0</v>
      </c>
      <c r="K69" s="134">
        <f>SUMIFS(XUẤT!S:S,XUẤT!N:N,CBCNV!B69,XUẤT!O:O,CBCNV!$K$2)</f>
        <v>0</v>
      </c>
      <c r="L69" s="139">
        <f t="shared" si="10"/>
        <v>0</v>
      </c>
      <c r="M69" s="134">
        <f>SUMIFS(XUẤT!T:T,XUẤT!N:N,CBCNV!B69,XUẤT!O:O,CBCNV!$M$2)</f>
        <v>0</v>
      </c>
      <c r="N69" s="139">
        <f t="shared" si="11"/>
        <v>0</v>
      </c>
      <c r="O69" s="134">
        <f>SUMIFS(XUẤT!U:U,XUẤT!N:N,CBCNV!B69,XUẤT!O:O,CBCNV!$O$2)</f>
        <v>0</v>
      </c>
      <c r="P69" s="139">
        <f t="shared" si="12"/>
        <v>0</v>
      </c>
      <c r="Q69" s="32"/>
      <c r="R69" s="18"/>
    </row>
    <row r="70" spans="1:20" s="140" customFormat="1" x14ac:dyDescent="0.3">
      <c r="A70" s="137">
        <v>63</v>
      </c>
      <c r="B70" s="10" t="s">
        <v>176</v>
      </c>
      <c r="C70" s="137" t="s">
        <v>174</v>
      </c>
      <c r="D70" s="137" t="s">
        <v>164</v>
      </c>
      <c r="E70" s="134">
        <f>SUMIFS(XUẤT!P:P,XUẤT!N:N,CBCNV!B70,XUẤT!O:O,CBCNV!$E$2)</f>
        <v>2</v>
      </c>
      <c r="F70" s="139">
        <f t="shared" si="7"/>
        <v>196000</v>
      </c>
      <c r="G70" s="134">
        <f>SUMIFS(XUẤT!Q:Q,XUẤT!N:N,CBCNV!B70,XUẤT!O:O,CBCNV!$G$2)</f>
        <v>0</v>
      </c>
      <c r="H70" s="138">
        <f t="shared" si="8"/>
        <v>0</v>
      </c>
      <c r="I70" s="134">
        <f>SUMIFS(XUẤT!R:R,XUẤT!N:N,CBCNV!B70,XUẤT!O:O,CBCNV!$I$2)</f>
        <v>0</v>
      </c>
      <c r="J70" s="139">
        <f t="shared" si="9"/>
        <v>0</v>
      </c>
      <c r="K70" s="134">
        <f>SUMIFS(XUẤT!S:S,XUẤT!N:N,CBCNV!B70,XUẤT!O:O,CBCNV!$K$2)</f>
        <v>0</v>
      </c>
      <c r="L70" s="139">
        <f t="shared" si="10"/>
        <v>0</v>
      </c>
      <c r="M70" s="134">
        <f>SUMIFS(XUẤT!T:T,XUẤT!N:N,CBCNV!B70,XUẤT!O:O,CBCNV!$M$2)</f>
        <v>0</v>
      </c>
      <c r="N70" s="139">
        <f t="shared" si="11"/>
        <v>0</v>
      </c>
      <c r="O70" s="134">
        <f>SUMIFS(XUẤT!U:U,XUẤT!N:N,CBCNV!B70,XUẤT!O:O,CBCNV!$O$2)</f>
        <v>0</v>
      </c>
      <c r="P70" s="139">
        <f t="shared" si="12"/>
        <v>0</v>
      </c>
      <c r="Q70" s="32"/>
      <c r="R70" s="18"/>
    </row>
    <row r="71" spans="1:20" s="136" customFormat="1" x14ac:dyDescent="0.3">
      <c r="A71" s="137">
        <v>64</v>
      </c>
      <c r="B71" s="10" t="s">
        <v>177</v>
      </c>
      <c r="C71" s="137" t="s">
        <v>174</v>
      </c>
      <c r="D71" s="137" t="s">
        <v>164</v>
      </c>
      <c r="E71" s="134">
        <f>SUMIFS(XUẤT!P:P,XUẤT!N:N,CBCNV!B71,XUẤT!O:O,CBCNV!$E$2)</f>
        <v>5</v>
      </c>
      <c r="F71" s="139">
        <f t="shared" ref="F71:F102" si="13">E71*$T$10</f>
        <v>490000</v>
      </c>
      <c r="G71" s="134">
        <f>SUMIFS(XUẤT!Q:Q,XUẤT!N:N,CBCNV!B71,XUẤT!O:O,CBCNV!$G$2)</f>
        <v>0</v>
      </c>
      <c r="H71" s="138">
        <f t="shared" ref="H71:H102" si="14">G71*$T$8</f>
        <v>0</v>
      </c>
      <c r="I71" s="134">
        <f>SUMIFS(XUẤT!R:R,XUẤT!N:N,CBCNV!B71,XUẤT!O:O,CBCNV!$I$2)</f>
        <v>0</v>
      </c>
      <c r="J71" s="139">
        <f t="shared" ref="J71:J102" si="15">I71*$T$9</f>
        <v>0</v>
      </c>
      <c r="K71" s="134">
        <f>SUMIFS(XUẤT!S:S,XUẤT!N:N,CBCNV!B71,XUẤT!O:O,CBCNV!$K$2)</f>
        <v>0</v>
      </c>
      <c r="L71" s="139">
        <f t="shared" ref="L71:L102" si="16">K71*$T$11</f>
        <v>0</v>
      </c>
      <c r="M71" s="134">
        <f>SUMIFS(XUẤT!T:T,XUẤT!N:N,CBCNV!B71,XUẤT!O:O,CBCNV!$M$2)</f>
        <v>0</v>
      </c>
      <c r="N71" s="139">
        <f t="shared" ref="N71:N102" si="17">M71*$T$12</f>
        <v>0</v>
      </c>
      <c r="O71" s="134">
        <f>SUMIFS(XUẤT!U:U,XUẤT!N:N,CBCNV!B71,XUẤT!O:O,CBCNV!$O$2)</f>
        <v>0</v>
      </c>
      <c r="P71" s="139">
        <f t="shared" ref="P71:P102" si="18">O71*$T$13</f>
        <v>0</v>
      </c>
      <c r="Q71" s="32"/>
      <c r="R71" s="18"/>
      <c r="S71" s="140"/>
      <c r="T71" s="140"/>
    </row>
    <row r="72" spans="1:20" s="140" customFormat="1" x14ac:dyDescent="0.3">
      <c r="A72" s="137">
        <v>65</v>
      </c>
      <c r="B72" s="10" t="s">
        <v>178</v>
      </c>
      <c r="C72" s="137" t="s">
        <v>174</v>
      </c>
      <c r="D72" s="137" t="s">
        <v>164</v>
      </c>
      <c r="E72" s="134">
        <f>SUMIFS(XUẤT!P:P,XUẤT!N:N,CBCNV!B72,XUẤT!O:O,CBCNV!$E$2)</f>
        <v>10</v>
      </c>
      <c r="F72" s="139">
        <f t="shared" si="13"/>
        <v>980000</v>
      </c>
      <c r="G72" s="134">
        <f>SUMIFS(XUẤT!Q:Q,XUẤT!N:N,CBCNV!B72,XUẤT!O:O,CBCNV!$G$2)</f>
        <v>0</v>
      </c>
      <c r="H72" s="138">
        <f t="shared" si="14"/>
        <v>0</v>
      </c>
      <c r="I72" s="134">
        <f>SUMIFS(XUẤT!R:R,XUẤT!N:N,CBCNV!B72,XUẤT!O:O,CBCNV!$I$2)</f>
        <v>0</v>
      </c>
      <c r="J72" s="139">
        <f t="shared" si="15"/>
        <v>0</v>
      </c>
      <c r="K72" s="134">
        <f>SUMIFS(XUẤT!S:S,XUẤT!N:N,CBCNV!B72,XUẤT!O:O,CBCNV!$K$2)</f>
        <v>0</v>
      </c>
      <c r="L72" s="139">
        <f t="shared" si="16"/>
        <v>0</v>
      </c>
      <c r="M72" s="134">
        <f>SUMIFS(XUẤT!T:T,XUẤT!N:N,CBCNV!B72,XUẤT!O:O,CBCNV!$M$2)</f>
        <v>0</v>
      </c>
      <c r="N72" s="139">
        <f t="shared" si="17"/>
        <v>0</v>
      </c>
      <c r="O72" s="134">
        <f>SUMIFS(XUẤT!U:U,XUẤT!N:N,CBCNV!B72,XUẤT!O:O,CBCNV!$O$2)</f>
        <v>0</v>
      </c>
      <c r="P72" s="139">
        <f t="shared" si="18"/>
        <v>0</v>
      </c>
      <c r="Q72" s="32"/>
      <c r="R72" s="18"/>
    </row>
    <row r="73" spans="1:20" s="140" customFormat="1" x14ac:dyDescent="0.3">
      <c r="A73" s="137">
        <v>66</v>
      </c>
      <c r="B73" s="142" t="s">
        <v>179</v>
      </c>
      <c r="C73" s="137" t="s">
        <v>180</v>
      </c>
      <c r="D73" s="137" t="s">
        <v>164</v>
      </c>
      <c r="E73" s="134">
        <f>SUMIFS(XUẤT!P:P,XUẤT!N:N,CBCNV!B73,XUẤT!O:O,CBCNV!$E$2)</f>
        <v>10</v>
      </c>
      <c r="F73" s="139">
        <f t="shared" si="13"/>
        <v>980000</v>
      </c>
      <c r="G73" s="134">
        <f>SUMIFS(XUẤT!Q:Q,XUẤT!N:N,CBCNV!B73,XUẤT!O:O,CBCNV!$G$2)</f>
        <v>0</v>
      </c>
      <c r="H73" s="138">
        <f t="shared" si="14"/>
        <v>0</v>
      </c>
      <c r="I73" s="134">
        <f>SUMIFS(XUẤT!R:R,XUẤT!N:N,CBCNV!B73,XUẤT!O:O,CBCNV!$I$2)</f>
        <v>0</v>
      </c>
      <c r="J73" s="139">
        <f t="shared" si="15"/>
        <v>0</v>
      </c>
      <c r="K73" s="134">
        <f>SUMIFS(XUẤT!S:S,XUẤT!N:N,CBCNV!B73,XUẤT!O:O,CBCNV!$K$2)</f>
        <v>0</v>
      </c>
      <c r="L73" s="139">
        <f t="shared" si="16"/>
        <v>0</v>
      </c>
      <c r="M73" s="134">
        <f>SUMIFS(XUẤT!T:T,XUẤT!N:N,CBCNV!B73,XUẤT!O:O,CBCNV!$M$2)</f>
        <v>0</v>
      </c>
      <c r="N73" s="139">
        <f t="shared" si="17"/>
        <v>0</v>
      </c>
      <c r="O73" s="134">
        <f>SUMIFS(XUẤT!U:U,XUẤT!N:N,CBCNV!B73,XUẤT!O:O,CBCNV!$O$2)</f>
        <v>0</v>
      </c>
      <c r="P73" s="139">
        <f t="shared" si="18"/>
        <v>0</v>
      </c>
      <c r="Q73" s="32"/>
      <c r="R73" s="18"/>
    </row>
    <row r="74" spans="1:20" s="140" customFormat="1" x14ac:dyDescent="0.3">
      <c r="A74" s="137">
        <v>67</v>
      </c>
      <c r="B74" s="34" t="s">
        <v>181</v>
      </c>
      <c r="C74" s="141" t="s">
        <v>182</v>
      </c>
      <c r="D74" s="141" t="s">
        <v>183</v>
      </c>
      <c r="E74" s="134">
        <f>SUMIFS(XUẤT!P:P,XUẤT!N:N,CBCNV!B74,XUẤT!O:O,CBCNV!$E$2)</f>
        <v>0</v>
      </c>
      <c r="F74" s="139">
        <f t="shared" si="13"/>
        <v>0</v>
      </c>
      <c r="G74" s="134">
        <f>SUMIFS(XUẤT!Q:Q,XUẤT!N:N,CBCNV!B74,XUẤT!O:O,CBCNV!$G$2)</f>
        <v>0</v>
      </c>
      <c r="H74" s="138">
        <f t="shared" si="14"/>
        <v>0</v>
      </c>
      <c r="I74" s="134">
        <f>SUMIFS(XUẤT!R:R,XUẤT!N:N,CBCNV!B74,XUẤT!O:O,CBCNV!$I$2)</f>
        <v>0</v>
      </c>
      <c r="J74" s="139">
        <f t="shared" si="15"/>
        <v>0</v>
      </c>
      <c r="K74" s="134">
        <f>SUMIFS(XUẤT!S:S,XUẤT!N:N,CBCNV!B74,XUẤT!O:O,CBCNV!$K$2)</f>
        <v>0</v>
      </c>
      <c r="L74" s="139">
        <f t="shared" si="16"/>
        <v>0</v>
      </c>
      <c r="M74" s="134">
        <f>SUMIFS(XUẤT!T:T,XUẤT!N:N,CBCNV!B74,XUẤT!O:O,CBCNV!$M$2)</f>
        <v>0</v>
      </c>
      <c r="N74" s="139">
        <f t="shared" si="17"/>
        <v>0</v>
      </c>
      <c r="O74" s="134">
        <f>SUMIFS(XUẤT!U:U,XUẤT!N:N,CBCNV!B74,XUẤT!O:O,CBCNV!$O$2)</f>
        <v>0</v>
      </c>
      <c r="P74" s="139">
        <f t="shared" si="18"/>
        <v>0</v>
      </c>
      <c r="Q74" s="32"/>
      <c r="R74" s="21"/>
      <c r="S74" s="136"/>
      <c r="T74" s="136"/>
    </row>
    <row r="75" spans="1:20" s="140" customFormat="1" x14ac:dyDescent="0.3">
      <c r="A75" s="137">
        <v>68</v>
      </c>
      <c r="B75" s="10" t="s">
        <v>184</v>
      </c>
      <c r="C75" s="137" t="s">
        <v>185</v>
      </c>
      <c r="D75" s="137" t="s">
        <v>183</v>
      </c>
      <c r="E75" s="134">
        <f>SUMIFS(XUẤT!P:P,XUẤT!N:N,CBCNV!B75,XUẤT!O:O,CBCNV!$E$2)</f>
        <v>0</v>
      </c>
      <c r="F75" s="139">
        <f t="shared" si="13"/>
        <v>0</v>
      </c>
      <c r="G75" s="134">
        <f>SUMIFS(XUẤT!Q:Q,XUẤT!N:N,CBCNV!B75,XUẤT!O:O,CBCNV!$G$2)</f>
        <v>0</v>
      </c>
      <c r="H75" s="138">
        <f t="shared" si="14"/>
        <v>0</v>
      </c>
      <c r="I75" s="134">
        <f>SUMIFS(XUẤT!R:R,XUẤT!N:N,CBCNV!B75,XUẤT!O:O,CBCNV!$I$2)</f>
        <v>0</v>
      </c>
      <c r="J75" s="139">
        <f t="shared" si="15"/>
        <v>0</v>
      </c>
      <c r="K75" s="134">
        <f>SUMIFS(XUẤT!S:S,XUẤT!N:N,CBCNV!B75,XUẤT!O:O,CBCNV!$K$2)</f>
        <v>0</v>
      </c>
      <c r="L75" s="139">
        <f t="shared" si="16"/>
        <v>0</v>
      </c>
      <c r="M75" s="134">
        <f>SUMIFS(XUẤT!T:T,XUẤT!N:N,CBCNV!B75,XUẤT!O:O,CBCNV!$M$2)</f>
        <v>0</v>
      </c>
      <c r="N75" s="139">
        <f t="shared" si="17"/>
        <v>0</v>
      </c>
      <c r="O75" s="134">
        <f>SUMIFS(XUẤT!U:U,XUẤT!N:N,CBCNV!B75,XUẤT!O:O,CBCNV!$O$2)</f>
        <v>0</v>
      </c>
      <c r="P75" s="139">
        <f t="shared" si="18"/>
        <v>0</v>
      </c>
      <c r="Q75" s="32"/>
      <c r="R75" s="18"/>
    </row>
    <row r="76" spans="1:20" s="140" customFormat="1" x14ac:dyDescent="0.3">
      <c r="A76" s="137">
        <v>69</v>
      </c>
      <c r="B76" s="10" t="s">
        <v>186</v>
      </c>
      <c r="C76" s="137" t="s">
        <v>185</v>
      </c>
      <c r="D76" s="137" t="s">
        <v>183</v>
      </c>
      <c r="E76" s="134">
        <f>SUMIFS(XUẤT!P:P,XUẤT!N:N,CBCNV!B76,XUẤT!O:O,CBCNV!$E$2)</f>
        <v>0</v>
      </c>
      <c r="F76" s="139">
        <f t="shared" si="13"/>
        <v>0</v>
      </c>
      <c r="G76" s="134">
        <f>SUMIFS(XUẤT!Q:Q,XUẤT!N:N,CBCNV!B76,XUẤT!O:O,CBCNV!$G$2)</f>
        <v>0</v>
      </c>
      <c r="H76" s="138">
        <f t="shared" si="14"/>
        <v>0</v>
      </c>
      <c r="I76" s="134">
        <f>SUMIFS(XUẤT!R:R,XUẤT!N:N,CBCNV!B76,XUẤT!O:O,CBCNV!$I$2)</f>
        <v>0</v>
      </c>
      <c r="J76" s="139">
        <f t="shared" si="15"/>
        <v>0</v>
      </c>
      <c r="K76" s="134">
        <f>SUMIFS(XUẤT!S:S,XUẤT!N:N,CBCNV!B76,XUẤT!O:O,CBCNV!$K$2)</f>
        <v>0</v>
      </c>
      <c r="L76" s="139">
        <f t="shared" si="16"/>
        <v>0</v>
      </c>
      <c r="M76" s="134">
        <f>SUMIFS(XUẤT!T:T,XUẤT!N:N,CBCNV!B76,XUẤT!O:O,CBCNV!$M$2)</f>
        <v>0</v>
      </c>
      <c r="N76" s="139">
        <f t="shared" si="17"/>
        <v>0</v>
      </c>
      <c r="O76" s="134">
        <f>SUMIFS(XUẤT!U:U,XUẤT!N:N,CBCNV!B76,XUẤT!O:O,CBCNV!$O$2)</f>
        <v>0</v>
      </c>
      <c r="P76" s="139">
        <f t="shared" si="18"/>
        <v>0</v>
      </c>
      <c r="Q76" s="32"/>
      <c r="R76" s="18"/>
    </row>
    <row r="77" spans="1:20" s="140" customFormat="1" x14ac:dyDescent="0.3">
      <c r="A77" s="137">
        <v>70</v>
      </c>
      <c r="B77" s="10" t="s">
        <v>187</v>
      </c>
      <c r="C77" s="137" t="s">
        <v>111</v>
      </c>
      <c r="D77" s="137" t="s">
        <v>183</v>
      </c>
      <c r="E77" s="134">
        <f>SUMIFS(XUẤT!P:P,XUẤT!N:N,CBCNV!B77,XUẤT!O:O,CBCNV!$E$2)</f>
        <v>0</v>
      </c>
      <c r="F77" s="139">
        <f t="shared" si="13"/>
        <v>0</v>
      </c>
      <c r="G77" s="134">
        <f>SUMIFS(XUẤT!Q:Q,XUẤT!N:N,CBCNV!B77,XUẤT!O:O,CBCNV!$G$2)</f>
        <v>0</v>
      </c>
      <c r="H77" s="138">
        <f t="shared" si="14"/>
        <v>0</v>
      </c>
      <c r="I77" s="134">
        <f>SUMIFS(XUẤT!R:R,XUẤT!N:N,CBCNV!B77,XUẤT!O:O,CBCNV!$I$2)</f>
        <v>0</v>
      </c>
      <c r="J77" s="139">
        <f t="shared" si="15"/>
        <v>0</v>
      </c>
      <c r="K77" s="134">
        <f>SUMIFS(XUẤT!S:S,XUẤT!N:N,CBCNV!B77,XUẤT!O:O,CBCNV!$K$2)</f>
        <v>0</v>
      </c>
      <c r="L77" s="139">
        <f t="shared" si="16"/>
        <v>0</v>
      </c>
      <c r="M77" s="134">
        <f>SUMIFS(XUẤT!T:T,XUẤT!N:N,CBCNV!B77,XUẤT!O:O,CBCNV!$M$2)</f>
        <v>0</v>
      </c>
      <c r="N77" s="139">
        <f t="shared" si="17"/>
        <v>0</v>
      </c>
      <c r="O77" s="134">
        <f>SUMIFS(XUẤT!U:U,XUẤT!N:N,CBCNV!B77,XUẤT!O:O,CBCNV!$O$2)</f>
        <v>0</v>
      </c>
      <c r="P77" s="139">
        <f t="shared" si="18"/>
        <v>0</v>
      </c>
      <c r="Q77" s="32"/>
      <c r="R77" s="18"/>
    </row>
    <row r="78" spans="1:20" s="140" customFormat="1" x14ac:dyDescent="0.3">
      <c r="A78" s="137">
        <v>71</v>
      </c>
      <c r="B78" s="10" t="s">
        <v>188</v>
      </c>
      <c r="C78" s="137" t="s">
        <v>111</v>
      </c>
      <c r="D78" s="137" t="s">
        <v>183</v>
      </c>
      <c r="E78" s="134">
        <f>SUMIFS(XUẤT!P:P,XUẤT!N:N,CBCNV!B78,XUẤT!O:O,CBCNV!$E$2)</f>
        <v>0</v>
      </c>
      <c r="F78" s="139">
        <f t="shared" si="13"/>
        <v>0</v>
      </c>
      <c r="G78" s="134">
        <f>SUMIFS(XUẤT!Q:Q,XUẤT!N:N,CBCNV!B78,XUẤT!O:O,CBCNV!$G$2)</f>
        <v>0</v>
      </c>
      <c r="H78" s="138">
        <f t="shared" si="14"/>
        <v>0</v>
      </c>
      <c r="I78" s="134">
        <f>SUMIFS(XUẤT!R:R,XUẤT!N:N,CBCNV!B78,XUẤT!O:O,CBCNV!$I$2)</f>
        <v>0</v>
      </c>
      <c r="J78" s="139">
        <f t="shared" si="15"/>
        <v>0</v>
      </c>
      <c r="K78" s="134">
        <f>SUMIFS(XUẤT!S:S,XUẤT!N:N,CBCNV!B78,XUẤT!O:O,CBCNV!$K$2)</f>
        <v>0</v>
      </c>
      <c r="L78" s="139">
        <f t="shared" si="16"/>
        <v>0</v>
      </c>
      <c r="M78" s="134">
        <f>SUMIFS(XUẤT!T:T,XUẤT!N:N,CBCNV!B78,XUẤT!O:O,CBCNV!$M$2)</f>
        <v>0</v>
      </c>
      <c r="N78" s="139">
        <f t="shared" si="17"/>
        <v>0</v>
      </c>
      <c r="O78" s="134">
        <f>SUMIFS(XUẤT!U:U,XUẤT!N:N,CBCNV!B78,XUẤT!O:O,CBCNV!$O$2)</f>
        <v>0</v>
      </c>
      <c r="P78" s="139">
        <f t="shared" si="18"/>
        <v>0</v>
      </c>
      <c r="Q78" s="32"/>
      <c r="R78" s="18"/>
    </row>
    <row r="79" spans="1:20" s="140" customFormat="1" x14ac:dyDescent="0.3">
      <c r="A79" s="137">
        <v>72</v>
      </c>
      <c r="B79" s="10" t="s">
        <v>189</v>
      </c>
      <c r="C79" s="137" t="s">
        <v>111</v>
      </c>
      <c r="D79" s="137" t="s">
        <v>183</v>
      </c>
      <c r="E79" s="134">
        <f>SUMIFS(XUẤT!P:P,XUẤT!N:N,CBCNV!B79,XUẤT!O:O,CBCNV!$E$2)</f>
        <v>0</v>
      </c>
      <c r="F79" s="139">
        <f t="shared" si="13"/>
        <v>0</v>
      </c>
      <c r="G79" s="134">
        <f>SUMIFS(XUẤT!Q:Q,XUẤT!N:N,CBCNV!B79,XUẤT!O:O,CBCNV!$G$2)</f>
        <v>0</v>
      </c>
      <c r="H79" s="138">
        <f t="shared" si="14"/>
        <v>0</v>
      </c>
      <c r="I79" s="134">
        <f>SUMIFS(XUẤT!R:R,XUẤT!N:N,CBCNV!B79,XUẤT!O:O,CBCNV!$I$2)</f>
        <v>0</v>
      </c>
      <c r="J79" s="139">
        <f t="shared" si="15"/>
        <v>0</v>
      </c>
      <c r="K79" s="134">
        <f>SUMIFS(XUẤT!S:S,XUẤT!N:N,CBCNV!B79,XUẤT!O:O,CBCNV!$K$2)</f>
        <v>0</v>
      </c>
      <c r="L79" s="139">
        <f t="shared" si="16"/>
        <v>0</v>
      </c>
      <c r="M79" s="134">
        <f>SUMIFS(XUẤT!T:T,XUẤT!N:N,CBCNV!B79,XUẤT!O:O,CBCNV!$M$2)</f>
        <v>0</v>
      </c>
      <c r="N79" s="139">
        <f t="shared" si="17"/>
        <v>0</v>
      </c>
      <c r="O79" s="134">
        <f>SUMIFS(XUẤT!U:U,XUẤT!N:N,CBCNV!B79,XUẤT!O:O,CBCNV!$O$2)</f>
        <v>0</v>
      </c>
      <c r="P79" s="139">
        <f t="shared" si="18"/>
        <v>0</v>
      </c>
      <c r="Q79" s="32"/>
      <c r="R79" s="18"/>
    </row>
    <row r="80" spans="1:20" s="140" customFormat="1" x14ac:dyDescent="0.3">
      <c r="A80" s="137">
        <v>73</v>
      </c>
      <c r="B80" s="10" t="s">
        <v>190</v>
      </c>
      <c r="C80" s="137" t="s">
        <v>111</v>
      </c>
      <c r="D80" s="137" t="s">
        <v>183</v>
      </c>
      <c r="E80" s="134">
        <f>SUMIFS(XUẤT!P:P,XUẤT!N:N,CBCNV!B80,XUẤT!O:O,CBCNV!$E$2)</f>
        <v>0</v>
      </c>
      <c r="F80" s="139">
        <f t="shared" si="13"/>
        <v>0</v>
      </c>
      <c r="G80" s="134">
        <f>SUMIFS(XUẤT!Q:Q,XUẤT!N:N,CBCNV!B80,XUẤT!O:O,CBCNV!$G$2)</f>
        <v>0</v>
      </c>
      <c r="H80" s="138">
        <f t="shared" si="14"/>
        <v>0</v>
      </c>
      <c r="I80" s="134">
        <f>SUMIFS(XUẤT!R:R,XUẤT!N:N,CBCNV!B80,XUẤT!O:O,CBCNV!$I$2)</f>
        <v>0</v>
      </c>
      <c r="J80" s="139">
        <f t="shared" si="15"/>
        <v>0</v>
      </c>
      <c r="K80" s="134">
        <f>SUMIFS(XUẤT!S:S,XUẤT!N:N,CBCNV!B80,XUẤT!O:O,CBCNV!$K$2)</f>
        <v>0</v>
      </c>
      <c r="L80" s="139">
        <f t="shared" si="16"/>
        <v>0</v>
      </c>
      <c r="M80" s="134">
        <f>SUMIFS(XUẤT!T:T,XUẤT!N:N,CBCNV!B80,XUẤT!O:O,CBCNV!$M$2)</f>
        <v>0</v>
      </c>
      <c r="N80" s="139">
        <f t="shared" si="17"/>
        <v>0</v>
      </c>
      <c r="O80" s="134">
        <f>SUMIFS(XUẤT!U:U,XUẤT!N:N,CBCNV!B80,XUẤT!O:O,CBCNV!$O$2)</f>
        <v>0</v>
      </c>
      <c r="P80" s="139">
        <f t="shared" si="18"/>
        <v>0</v>
      </c>
      <c r="Q80" s="32"/>
      <c r="R80" s="18"/>
    </row>
    <row r="81" spans="1:20" s="140" customFormat="1" x14ac:dyDescent="0.3">
      <c r="A81" s="137">
        <v>74</v>
      </c>
      <c r="B81" s="10" t="s">
        <v>191</v>
      </c>
      <c r="C81" s="137" t="s">
        <v>111</v>
      </c>
      <c r="D81" s="137" t="s">
        <v>183</v>
      </c>
      <c r="E81" s="134">
        <f>SUMIFS(XUẤT!P:P,XUẤT!N:N,CBCNV!B81,XUẤT!O:O,CBCNV!$E$2)</f>
        <v>0</v>
      </c>
      <c r="F81" s="139">
        <f t="shared" si="13"/>
        <v>0</v>
      </c>
      <c r="G81" s="134">
        <f>SUMIFS(XUẤT!Q:Q,XUẤT!N:N,CBCNV!B81,XUẤT!O:O,CBCNV!$G$2)</f>
        <v>0</v>
      </c>
      <c r="H81" s="138">
        <f t="shared" si="14"/>
        <v>0</v>
      </c>
      <c r="I81" s="134">
        <f>SUMIFS(XUẤT!R:R,XUẤT!N:N,CBCNV!B81,XUẤT!O:O,CBCNV!$I$2)</f>
        <v>0</v>
      </c>
      <c r="J81" s="139">
        <f t="shared" si="15"/>
        <v>0</v>
      </c>
      <c r="K81" s="134">
        <f>SUMIFS(XUẤT!S:S,XUẤT!N:N,CBCNV!B81,XUẤT!O:O,CBCNV!$K$2)</f>
        <v>0</v>
      </c>
      <c r="L81" s="139">
        <f t="shared" si="16"/>
        <v>0</v>
      </c>
      <c r="M81" s="134">
        <f>SUMIFS(XUẤT!T:T,XUẤT!N:N,CBCNV!B81,XUẤT!O:O,CBCNV!$M$2)</f>
        <v>0</v>
      </c>
      <c r="N81" s="139">
        <f t="shared" si="17"/>
        <v>0</v>
      </c>
      <c r="O81" s="134">
        <f>SUMIFS(XUẤT!U:U,XUẤT!N:N,CBCNV!B81,XUẤT!O:O,CBCNV!$O$2)</f>
        <v>0</v>
      </c>
      <c r="P81" s="139">
        <f t="shared" si="18"/>
        <v>0</v>
      </c>
      <c r="Q81" s="32"/>
      <c r="R81" s="18"/>
    </row>
    <row r="82" spans="1:20" s="140" customFormat="1" x14ac:dyDescent="0.3">
      <c r="A82" s="137">
        <v>75</v>
      </c>
      <c r="B82" s="10" t="s">
        <v>192</v>
      </c>
      <c r="C82" s="137" t="s">
        <v>111</v>
      </c>
      <c r="D82" s="137" t="s">
        <v>183</v>
      </c>
      <c r="E82" s="134">
        <f>SUMIFS(XUẤT!P:P,XUẤT!N:N,CBCNV!B82,XUẤT!O:O,CBCNV!$E$2)</f>
        <v>0</v>
      </c>
      <c r="F82" s="139">
        <f t="shared" si="13"/>
        <v>0</v>
      </c>
      <c r="G82" s="134">
        <f>SUMIFS(XUẤT!Q:Q,XUẤT!N:N,CBCNV!B82,XUẤT!O:O,CBCNV!$G$2)</f>
        <v>0</v>
      </c>
      <c r="H82" s="138">
        <f t="shared" si="14"/>
        <v>0</v>
      </c>
      <c r="I82" s="134">
        <f>SUMIFS(XUẤT!R:R,XUẤT!N:N,CBCNV!B82,XUẤT!O:O,CBCNV!$I$2)</f>
        <v>0</v>
      </c>
      <c r="J82" s="139">
        <f t="shared" si="15"/>
        <v>0</v>
      </c>
      <c r="K82" s="134">
        <f>SUMIFS(XUẤT!S:S,XUẤT!N:N,CBCNV!B82,XUẤT!O:O,CBCNV!$K$2)</f>
        <v>0</v>
      </c>
      <c r="L82" s="139">
        <f t="shared" si="16"/>
        <v>0</v>
      </c>
      <c r="M82" s="134">
        <f>SUMIFS(XUẤT!T:T,XUẤT!N:N,CBCNV!B82,XUẤT!O:O,CBCNV!$M$2)</f>
        <v>0</v>
      </c>
      <c r="N82" s="139">
        <f t="shared" si="17"/>
        <v>0</v>
      </c>
      <c r="O82" s="134">
        <f>SUMIFS(XUẤT!U:U,XUẤT!N:N,CBCNV!B82,XUẤT!O:O,CBCNV!$O$2)</f>
        <v>0</v>
      </c>
      <c r="P82" s="139">
        <f t="shared" si="18"/>
        <v>0</v>
      </c>
      <c r="Q82" s="32"/>
      <c r="R82" s="18"/>
    </row>
    <row r="83" spans="1:20" s="140" customFormat="1" x14ac:dyDescent="0.3">
      <c r="A83" s="137">
        <v>76</v>
      </c>
      <c r="B83" s="10" t="s">
        <v>193</v>
      </c>
      <c r="C83" s="137" t="s">
        <v>180</v>
      </c>
      <c r="D83" s="137" t="s">
        <v>183</v>
      </c>
      <c r="E83" s="134">
        <f>SUMIFS(XUẤT!P:P,XUẤT!N:N,CBCNV!B83,XUẤT!O:O,CBCNV!$E$2)</f>
        <v>22</v>
      </c>
      <c r="F83" s="139">
        <f t="shared" si="13"/>
        <v>2156000</v>
      </c>
      <c r="G83" s="134">
        <f>SUMIFS(XUẤT!Q:Q,XUẤT!N:N,CBCNV!B83,XUẤT!O:O,CBCNV!$G$2)</f>
        <v>0</v>
      </c>
      <c r="H83" s="138">
        <f t="shared" si="14"/>
        <v>0</v>
      </c>
      <c r="I83" s="134">
        <f>SUMIFS(XUẤT!R:R,XUẤT!N:N,CBCNV!B83,XUẤT!O:O,CBCNV!$I$2)</f>
        <v>0</v>
      </c>
      <c r="J83" s="139">
        <f t="shared" si="15"/>
        <v>0</v>
      </c>
      <c r="K83" s="134">
        <f>SUMIFS(XUẤT!S:S,XUẤT!N:N,CBCNV!B83,XUẤT!O:O,CBCNV!$K$2)</f>
        <v>0</v>
      </c>
      <c r="L83" s="139">
        <f t="shared" si="16"/>
        <v>0</v>
      </c>
      <c r="M83" s="134">
        <f>SUMIFS(XUẤT!T:T,XUẤT!N:N,CBCNV!B83,XUẤT!O:O,CBCNV!$M$2)</f>
        <v>0</v>
      </c>
      <c r="N83" s="139">
        <f t="shared" si="17"/>
        <v>0</v>
      </c>
      <c r="O83" s="134">
        <f>SUMIFS(XUẤT!U:U,XUẤT!N:N,CBCNV!B83,XUẤT!O:O,CBCNV!$O$2)</f>
        <v>0</v>
      </c>
      <c r="P83" s="139">
        <f t="shared" si="18"/>
        <v>0</v>
      </c>
      <c r="Q83" s="32"/>
      <c r="R83" s="18"/>
    </row>
    <row r="84" spans="1:20" s="140" customFormat="1" x14ac:dyDescent="0.3">
      <c r="A84" s="137">
        <v>77</v>
      </c>
      <c r="B84" s="10" t="s">
        <v>194</v>
      </c>
      <c r="C84" s="137" t="s">
        <v>180</v>
      </c>
      <c r="D84" s="137" t="s">
        <v>183</v>
      </c>
      <c r="E84" s="134">
        <f>SUMIFS(XUẤT!P:P,XUẤT!N:N,CBCNV!B84,XUẤT!O:O,CBCNV!$E$2)</f>
        <v>0</v>
      </c>
      <c r="F84" s="139">
        <f t="shared" si="13"/>
        <v>0</v>
      </c>
      <c r="G84" s="134">
        <f>SUMIFS(XUẤT!Q:Q,XUẤT!N:N,CBCNV!B84,XUẤT!O:O,CBCNV!$G$2)</f>
        <v>0</v>
      </c>
      <c r="H84" s="138">
        <f t="shared" si="14"/>
        <v>0</v>
      </c>
      <c r="I84" s="134">
        <f>SUMIFS(XUẤT!R:R,XUẤT!N:N,CBCNV!B84,XUẤT!O:O,CBCNV!$I$2)</f>
        <v>0</v>
      </c>
      <c r="J84" s="139">
        <f t="shared" si="15"/>
        <v>0</v>
      </c>
      <c r="K84" s="134">
        <f>SUMIFS(XUẤT!S:S,XUẤT!N:N,CBCNV!B84,XUẤT!O:O,CBCNV!$K$2)</f>
        <v>0</v>
      </c>
      <c r="L84" s="139">
        <f t="shared" si="16"/>
        <v>0</v>
      </c>
      <c r="M84" s="134">
        <f>SUMIFS(XUẤT!T:T,XUẤT!N:N,CBCNV!B84,XUẤT!O:O,CBCNV!$M$2)</f>
        <v>0</v>
      </c>
      <c r="N84" s="139">
        <f t="shared" si="17"/>
        <v>0</v>
      </c>
      <c r="O84" s="134">
        <f>SUMIFS(XUẤT!U:U,XUẤT!N:N,CBCNV!B84,XUẤT!O:O,CBCNV!$O$2)</f>
        <v>0</v>
      </c>
      <c r="P84" s="139">
        <f t="shared" si="18"/>
        <v>0</v>
      </c>
      <c r="Q84" s="32"/>
      <c r="R84" s="18"/>
    </row>
    <row r="85" spans="1:20" s="140" customFormat="1" x14ac:dyDescent="0.3">
      <c r="A85" s="137">
        <v>78</v>
      </c>
      <c r="B85" s="10" t="s">
        <v>62</v>
      </c>
      <c r="C85" s="137" t="s">
        <v>195</v>
      </c>
      <c r="D85" s="137" t="s">
        <v>183</v>
      </c>
      <c r="E85" s="134">
        <f>SUMIFS(XUẤT!P:P,XUẤT!N:N,CBCNV!B85,XUẤT!O:O,CBCNV!$E$2)</f>
        <v>28</v>
      </c>
      <c r="F85" s="139">
        <f t="shared" si="13"/>
        <v>2744000</v>
      </c>
      <c r="G85" s="134">
        <f>SUMIFS(XUẤT!Q:Q,XUẤT!N:N,CBCNV!B85,XUẤT!O:O,CBCNV!$G$2)</f>
        <v>0</v>
      </c>
      <c r="H85" s="138">
        <f t="shared" si="14"/>
        <v>0</v>
      </c>
      <c r="I85" s="134">
        <f>SUMIFS(XUẤT!R:R,XUẤT!N:N,CBCNV!B85,XUẤT!O:O,CBCNV!$I$2)</f>
        <v>0</v>
      </c>
      <c r="J85" s="139">
        <f t="shared" si="15"/>
        <v>0</v>
      </c>
      <c r="K85" s="134">
        <f>SUMIFS(XUẤT!S:S,XUẤT!N:N,CBCNV!B85,XUẤT!O:O,CBCNV!$K$2)</f>
        <v>0</v>
      </c>
      <c r="L85" s="139">
        <f t="shared" si="16"/>
        <v>0</v>
      </c>
      <c r="M85" s="134">
        <f>SUMIFS(XUẤT!T:T,XUẤT!N:N,CBCNV!B85,XUẤT!O:O,CBCNV!$M$2)</f>
        <v>0</v>
      </c>
      <c r="N85" s="139">
        <f t="shared" si="17"/>
        <v>0</v>
      </c>
      <c r="O85" s="134">
        <f>SUMIFS(XUẤT!U:U,XUẤT!N:N,CBCNV!B85,XUẤT!O:O,CBCNV!$O$2)</f>
        <v>0</v>
      </c>
      <c r="P85" s="139">
        <f t="shared" si="18"/>
        <v>0</v>
      </c>
      <c r="Q85" s="32"/>
      <c r="R85" s="18"/>
    </row>
    <row r="86" spans="1:20" s="140" customFormat="1" x14ac:dyDescent="0.3">
      <c r="A86" s="137">
        <v>79</v>
      </c>
      <c r="B86" s="10" t="s">
        <v>196</v>
      </c>
      <c r="C86" s="137" t="s">
        <v>195</v>
      </c>
      <c r="D86" s="137" t="s">
        <v>183</v>
      </c>
      <c r="E86" s="134">
        <f>SUMIFS(XUẤT!P:P,XUẤT!N:N,CBCNV!B86,XUẤT!O:O,CBCNV!$E$2)</f>
        <v>0</v>
      </c>
      <c r="F86" s="139">
        <f t="shared" si="13"/>
        <v>0</v>
      </c>
      <c r="G86" s="134">
        <f>SUMIFS(XUẤT!Q:Q,XUẤT!N:N,CBCNV!B86,XUẤT!O:O,CBCNV!$G$2)</f>
        <v>0</v>
      </c>
      <c r="H86" s="138">
        <f t="shared" si="14"/>
        <v>0</v>
      </c>
      <c r="I86" s="134">
        <f>SUMIFS(XUẤT!R:R,XUẤT!N:N,CBCNV!B86,XUẤT!O:O,CBCNV!$I$2)</f>
        <v>0</v>
      </c>
      <c r="J86" s="139">
        <f t="shared" si="15"/>
        <v>0</v>
      </c>
      <c r="K86" s="134">
        <f>SUMIFS(XUẤT!S:S,XUẤT!N:N,CBCNV!B86,XUẤT!O:O,CBCNV!$K$2)</f>
        <v>0</v>
      </c>
      <c r="L86" s="139">
        <f t="shared" si="16"/>
        <v>0</v>
      </c>
      <c r="M86" s="134">
        <f>SUMIFS(XUẤT!T:T,XUẤT!N:N,CBCNV!B86,XUẤT!O:O,CBCNV!$M$2)</f>
        <v>0</v>
      </c>
      <c r="N86" s="139">
        <f t="shared" si="17"/>
        <v>0</v>
      </c>
      <c r="O86" s="134">
        <f>SUMIFS(XUẤT!U:U,XUẤT!N:N,CBCNV!B86,XUẤT!O:O,CBCNV!$O$2)</f>
        <v>0</v>
      </c>
      <c r="P86" s="139">
        <f t="shared" si="18"/>
        <v>0</v>
      </c>
      <c r="Q86" s="32"/>
      <c r="R86" s="18"/>
    </row>
    <row r="87" spans="1:20" s="136" customFormat="1" x14ac:dyDescent="0.3">
      <c r="A87" s="137">
        <v>80</v>
      </c>
      <c r="B87" s="10" t="s">
        <v>197</v>
      </c>
      <c r="C87" s="137" t="s">
        <v>195</v>
      </c>
      <c r="D87" s="137" t="s">
        <v>183</v>
      </c>
      <c r="E87" s="134">
        <f>SUMIFS(XUẤT!P:P,XUẤT!N:N,CBCNV!B87,XUẤT!O:O,CBCNV!$E$2)</f>
        <v>0</v>
      </c>
      <c r="F87" s="139">
        <f t="shared" si="13"/>
        <v>0</v>
      </c>
      <c r="G87" s="134">
        <f>SUMIFS(XUẤT!Q:Q,XUẤT!N:N,CBCNV!B87,XUẤT!O:O,CBCNV!$G$2)</f>
        <v>0</v>
      </c>
      <c r="H87" s="138">
        <f t="shared" si="14"/>
        <v>0</v>
      </c>
      <c r="I87" s="134">
        <f>SUMIFS(XUẤT!R:R,XUẤT!N:N,CBCNV!B87,XUẤT!O:O,CBCNV!$I$2)</f>
        <v>0</v>
      </c>
      <c r="J87" s="139">
        <f t="shared" si="15"/>
        <v>0</v>
      </c>
      <c r="K87" s="134">
        <f>SUMIFS(XUẤT!S:S,XUẤT!N:N,CBCNV!B87,XUẤT!O:O,CBCNV!$K$2)</f>
        <v>0</v>
      </c>
      <c r="L87" s="139">
        <f t="shared" si="16"/>
        <v>0</v>
      </c>
      <c r="M87" s="134">
        <f>SUMIFS(XUẤT!T:T,XUẤT!N:N,CBCNV!B87,XUẤT!O:O,CBCNV!$M$2)</f>
        <v>0</v>
      </c>
      <c r="N87" s="139">
        <f t="shared" si="17"/>
        <v>0</v>
      </c>
      <c r="O87" s="134">
        <f>SUMIFS(XUẤT!U:U,XUẤT!N:N,CBCNV!B87,XUẤT!O:O,CBCNV!$O$2)</f>
        <v>0</v>
      </c>
      <c r="P87" s="139">
        <f t="shared" si="18"/>
        <v>0</v>
      </c>
      <c r="Q87" s="32"/>
      <c r="R87" s="18"/>
      <c r="S87" s="140"/>
      <c r="T87" s="140"/>
    </row>
    <row r="88" spans="1:20" s="140" customFormat="1" x14ac:dyDescent="0.3">
      <c r="A88" s="137">
        <v>81</v>
      </c>
      <c r="B88" s="10" t="s">
        <v>198</v>
      </c>
      <c r="C88" s="137" t="s">
        <v>199</v>
      </c>
      <c r="D88" s="137" t="s">
        <v>183</v>
      </c>
      <c r="E88" s="134">
        <f>SUMIFS(XUẤT!P:P,XUẤT!N:N,CBCNV!B88,XUẤT!O:O,CBCNV!$E$2)</f>
        <v>13</v>
      </c>
      <c r="F88" s="139">
        <f t="shared" si="13"/>
        <v>1274000</v>
      </c>
      <c r="G88" s="134">
        <f>SUMIFS(XUẤT!Q:Q,XUẤT!N:N,CBCNV!B88,XUẤT!O:O,CBCNV!$G$2)</f>
        <v>0</v>
      </c>
      <c r="H88" s="138">
        <f t="shared" si="14"/>
        <v>0</v>
      </c>
      <c r="I88" s="134">
        <f>SUMIFS(XUẤT!R:R,XUẤT!N:N,CBCNV!B88,XUẤT!O:O,CBCNV!$I$2)</f>
        <v>0</v>
      </c>
      <c r="J88" s="139">
        <f t="shared" si="15"/>
        <v>0</v>
      </c>
      <c r="K88" s="134">
        <f>SUMIFS(XUẤT!S:S,XUẤT!N:N,CBCNV!B88,XUẤT!O:O,CBCNV!$K$2)</f>
        <v>0</v>
      </c>
      <c r="L88" s="139">
        <f t="shared" si="16"/>
        <v>0</v>
      </c>
      <c r="M88" s="134">
        <f>SUMIFS(XUẤT!T:T,XUẤT!N:N,CBCNV!B88,XUẤT!O:O,CBCNV!$M$2)</f>
        <v>0</v>
      </c>
      <c r="N88" s="139">
        <f t="shared" si="17"/>
        <v>0</v>
      </c>
      <c r="O88" s="134">
        <f>SUMIFS(XUẤT!U:U,XUẤT!N:N,CBCNV!B88,XUẤT!O:O,CBCNV!$O$2)</f>
        <v>0</v>
      </c>
      <c r="P88" s="139">
        <f t="shared" si="18"/>
        <v>0</v>
      </c>
      <c r="Q88" s="32"/>
      <c r="R88" s="18"/>
    </row>
    <row r="89" spans="1:20" s="140" customFormat="1" x14ac:dyDescent="0.3">
      <c r="A89" s="137">
        <v>82</v>
      </c>
      <c r="B89" s="10" t="s">
        <v>200</v>
      </c>
      <c r="C89" s="137" t="s">
        <v>180</v>
      </c>
      <c r="D89" s="137" t="s">
        <v>183</v>
      </c>
      <c r="E89" s="134">
        <f>SUMIFS(XUẤT!P:P,XUẤT!N:N,CBCNV!B89,XUẤT!O:O,CBCNV!$E$2)</f>
        <v>10</v>
      </c>
      <c r="F89" s="139">
        <f t="shared" si="13"/>
        <v>980000</v>
      </c>
      <c r="G89" s="134">
        <f>SUMIFS(XUẤT!Q:Q,XUẤT!N:N,CBCNV!B89,XUẤT!O:O,CBCNV!$G$2)</f>
        <v>0</v>
      </c>
      <c r="H89" s="138">
        <f t="shared" si="14"/>
        <v>0</v>
      </c>
      <c r="I89" s="134">
        <f>SUMIFS(XUẤT!R:R,XUẤT!N:N,CBCNV!B89,XUẤT!O:O,CBCNV!$I$2)</f>
        <v>0</v>
      </c>
      <c r="J89" s="139">
        <f t="shared" si="15"/>
        <v>0</v>
      </c>
      <c r="K89" s="134">
        <f>SUMIFS(XUẤT!S:S,XUẤT!N:N,CBCNV!B89,XUẤT!O:O,CBCNV!$K$2)</f>
        <v>0</v>
      </c>
      <c r="L89" s="139">
        <f t="shared" si="16"/>
        <v>0</v>
      </c>
      <c r="M89" s="134">
        <f>SUMIFS(XUẤT!T:T,XUẤT!N:N,CBCNV!B89,XUẤT!O:O,CBCNV!$M$2)</f>
        <v>7</v>
      </c>
      <c r="N89" s="139">
        <f t="shared" si="17"/>
        <v>364000</v>
      </c>
      <c r="O89" s="134">
        <f>SUMIFS(XUẤT!U:U,XUẤT!N:N,CBCNV!B89,XUẤT!O:O,CBCNV!$O$2)</f>
        <v>0</v>
      </c>
      <c r="P89" s="139">
        <f t="shared" si="18"/>
        <v>0</v>
      </c>
      <c r="Q89" s="32"/>
      <c r="R89" s="32">
        <f>E4+G4+I4+K4+M4+O4</f>
        <v>1345</v>
      </c>
    </row>
    <row r="90" spans="1:20" s="140" customFormat="1" x14ac:dyDescent="0.3">
      <c r="A90" s="137">
        <v>83</v>
      </c>
      <c r="B90" s="34" t="s">
        <v>201</v>
      </c>
      <c r="C90" s="141" t="s">
        <v>163</v>
      </c>
      <c r="D90" s="141" t="s">
        <v>202</v>
      </c>
      <c r="E90" s="134">
        <f>SUMIFS(XUẤT!P:P,XUẤT!N:N,CBCNV!B90,XUẤT!O:O,CBCNV!$E$2)</f>
        <v>40</v>
      </c>
      <c r="F90" s="139">
        <f t="shared" si="13"/>
        <v>3920000</v>
      </c>
      <c r="G90" s="134">
        <f>SUMIFS(XUẤT!Q:Q,XUẤT!N:N,CBCNV!B90,XUẤT!O:O,CBCNV!$G$2)</f>
        <v>0</v>
      </c>
      <c r="H90" s="138">
        <f t="shared" si="14"/>
        <v>0</v>
      </c>
      <c r="I90" s="134">
        <f>SUMIFS(XUẤT!R:R,XUẤT!N:N,CBCNV!B90,XUẤT!O:O,CBCNV!$I$2)</f>
        <v>0</v>
      </c>
      <c r="J90" s="139">
        <f t="shared" si="15"/>
        <v>0</v>
      </c>
      <c r="K90" s="134">
        <f>SUMIFS(XUẤT!S:S,XUẤT!N:N,CBCNV!B90,XUẤT!O:O,CBCNV!$K$2)</f>
        <v>0</v>
      </c>
      <c r="L90" s="139">
        <f t="shared" si="16"/>
        <v>0</v>
      </c>
      <c r="M90" s="134">
        <f>SUMIFS(XUẤT!T:T,XUẤT!N:N,CBCNV!B90,XUẤT!O:O,CBCNV!$M$2)</f>
        <v>0</v>
      </c>
      <c r="N90" s="139">
        <f t="shared" si="17"/>
        <v>0</v>
      </c>
      <c r="O90" s="134">
        <f>SUMIFS(XUẤT!U:U,XUẤT!N:N,CBCNV!B90,XUẤT!O:O,CBCNV!$O$2)</f>
        <v>0</v>
      </c>
      <c r="P90" s="139">
        <f t="shared" si="18"/>
        <v>0</v>
      </c>
      <c r="Q90" s="32"/>
      <c r="R90" s="21"/>
      <c r="S90" s="136"/>
      <c r="T90" s="136"/>
    </row>
    <row r="91" spans="1:20" s="140" customFormat="1" x14ac:dyDescent="0.3">
      <c r="A91" s="137">
        <v>84</v>
      </c>
      <c r="B91" s="10" t="s">
        <v>203</v>
      </c>
      <c r="C91" s="137" t="s">
        <v>166</v>
      </c>
      <c r="D91" s="137" t="s">
        <v>202</v>
      </c>
      <c r="E91" s="134">
        <f>SUMIFS(XUẤT!P:P,XUẤT!N:N,CBCNV!B91,XUẤT!O:O,CBCNV!$E$2)</f>
        <v>0</v>
      </c>
      <c r="F91" s="139">
        <f t="shared" si="13"/>
        <v>0</v>
      </c>
      <c r="G91" s="134">
        <f>SUMIFS(XUẤT!Q:Q,XUẤT!N:N,CBCNV!B91,XUẤT!O:O,CBCNV!$G$2)</f>
        <v>0</v>
      </c>
      <c r="H91" s="138">
        <f t="shared" si="14"/>
        <v>0</v>
      </c>
      <c r="I91" s="134">
        <f>SUMIFS(XUẤT!R:R,XUẤT!N:N,CBCNV!B91,XUẤT!O:O,CBCNV!$I$2)</f>
        <v>0</v>
      </c>
      <c r="J91" s="139">
        <f t="shared" si="15"/>
        <v>0</v>
      </c>
      <c r="K91" s="134">
        <f>SUMIFS(XUẤT!S:S,XUẤT!N:N,CBCNV!B91,XUẤT!O:O,CBCNV!$K$2)</f>
        <v>0</v>
      </c>
      <c r="L91" s="139">
        <f t="shared" si="16"/>
        <v>0</v>
      </c>
      <c r="M91" s="134">
        <f>SUMIFS(XUẤT!T:T,XUẤT!N:N,CBCNV!B91,XUẤT!O:O,CBCNV!$M$2)</f>
        <v>0</v>
      </c>
      <c r="N91" s="139">
        <f t="shared" si="17"/>
        <v>0</v>
      </c>
      <c r="O91" s="134">
        <f>SUMIFS(XUẤT!U:U,XUẤT!N:N,CBCNV!B91,XUẤT!O:O,CBCNV!$O$2)</f>
        <v>0</v>
      </c>
      <c r="P91" s="139">
        <f t="shared" si="18"/>
        <v>0</v>
      </c>
      <c r="Q91" s="32"/>
      <c r="R91" s="18"/>
    </row>
    <row r="92" spans="1:20" s="140" customFormat="1" x14ac:dyDescent="0.3">
      <c r="A92" s="137">
        <v>85</v>
      </c>
      <c r="B92" s="10" t="s">
        <v>204</v>
      </c>
      <c r="C92" s="137" t="s">
        <v>166</v>
      </c>
      <c r="D92" s="137" t="s">
        <v>202</v>
      </c>
      <c r="E92" s="134">
        <f>SUMIFS(XUẤT!P:P,XUẤT!N:N,CBCNV!B92,XUẤT!O:O,CBCNV!$E$2)</f>
        <v>10</v>
      </c>
      <c r="F92" s="139">
        <f t="shared" si="13"/>
        <v>980000</v>
      </c>
      <c r="G92" s="134">
        <f>SUMIFS(XUẤT!Q:Q,XUẤT!N:N,CBCNV!B92,XUẤT!O:O,CBCNV!$G$2)</f>
        <v>0</v>
      </c>
      <c r="H92" s="138">
        <f t="shared" si="14"/>
        <v>0</v>
      </c>
      <c r="I92" s="134">
        <f>SUMIFS(XUẤT!R:R,XUẤT!N:N,CBCNV!B92,XUẤT!O:O,CBCNV!$I$2)</f>
        <v>0</v>
      </c>
      <c r="J92" s="139">
        <f t="shared" si="15"/>
        <v>0</v>
      </c>
      <c r="K92" s="134">
        <f>SUMIFS(XUẤT!S:S,XUẤT!N:N,CBCNV!B92,XUẤT!O:O,CBCNV!$K$2)</f>
        <v>0</v>
      </c>
      <c r="L92" s="139">
        <f t="shared" si="16"/>
        <v>0</v>
      </c>
      <c r="M92" s="134">
        <f>SUMIFS(XUẤT!T:T,XUẤT!N:N,CBCNV!B92,XUẤT!O:O,CBCNV!$M$2)</f>
        <v>0</v>
      </c>
      <c r="N92" s="139">
        <f t="shared" si="17"/>
        <v>0</v>
      </c>
      <c r="O92" s="134">
        <f>SUMIFS(XUẤT!U:U,XUẤT!N:N,CBCNV!B92,XUẤT!O:O,CBCNV!$O$2)</f>
        <v>0</v>
      </c>
      <c r="P92" s="139">
        <f t="shared" si="18"/>
        <v>0</v>
      </c>
      <c r="Q92" s="32"/>
      <c r="R92" s="18"/>
    </row>
    <row r="93" spans="1:20" s="140" customFormat="1" x14ac:dyDescent="0.3">
      <c r="A93" s="137">
        <v>86</v>
      </c>
      <c r="B93" s="10" t="s">
        <v>205</v>
      </c>
      <c r="C93" s="137" t="s">
        <v>111</v>
      </c>
      <c r="D93" s="137" t="s">
        <v>202</v>
      </c>
      <c r="E93" s="134">
        <f>SUMIFS(XUẤT!P:P,XUẤT!N:N,CBCNV!B93,XUẤT!O:O,CBCNV!$E$2)</f>
        <v>0</v>
      </c>
      <c r="F93" s="139">
        <f t="shared" si="13"/>
        <v>0</v>
      </c>
      <c r="G93" s="134">
        <f>SUMIFS(XUẤT!Q:Q,XUẤT!N:N,CBCNV!B93,XUẤT!O:O,CBCNV!$G$2)</f>
        <v>0</v>
      </c>
      <c r="H93" s="138">
        <f t="shared" si="14"/>
        <v>0</v>
      </c>
      <c r="I93" s="134">
        <f>SUMIFS(XUẤT!R:R,XUẤT!N:N,CBCNV!B93,XUẤT!O:O,CBCNV!$I$2)</f>
        <v>0</v>
      </c>
      <c r="J93" s="139">
        <f t="shared" si="15"/>
        <v>0</v>
      </c>
      <c r="K93" s="134">
        <f>SUMIFS(XUẤT!S:S,XUẤT!N:N,CBCNV!B93,XUẤT!O:O,CBCNV!$K$2)</f>
        <v>0</v>
      </c>
      <c r="L93" s="139">
        <f t="shared" si="16"/>
        <v>0</v>
      </c>
      <c r="M93" s="134">
        <f>SUMIFS(XUẤT!T:T,XUẤT!N:N,CBCNV!B93,XUẤT!O:O,CBCNV!$M$2)</f>
        <v>0</v>
      </c>
      <c r="N93" s="139">
        <f t="shared" si="17"/>
        <v>0</v>
      </c>
      <c r="O93" s="134">
        <f>SUMIFS(XUẤT!U:U,XUẤT!N:N,CBCNV!B93,XUẤT!O:O,CBCNV!$O$2)</f>
        <v>0</v>
      </c>
      <c r="P93" s="139">
        <f t="shared" si="18"/>
        <v>0</v>
      </c>
      <c r="Q93" s="32"/>
      <c r="R93" s="18"/>
    </row>
    <row r="94" spans="1:20" s="140" customFormat="1" x14ac:dyDescent="0.3">
      <c r="A94" s="137">
        <v>87</v>
      </c>
      <c r="B94" s="10" t="s">
        <v>206</v>
      </c>
      <c r="C94" s="137" t="s">
        <v>111</v>
      </c>
      <c r="D94" s="137" t="s">
        <v>202</v>
      </c>
      <c r="E94" s="134">
        <f>SUMIFS(XUẤT!P:P,XUẤT!N:N,CBCNV!B94,XUẤT!O:O,CBCNV!$E$2)</f>
        <v>0</v>
      </c>
      <c r="F94" s="139">
        <f t="shared" si="13"/>
        <v>0</v>
      </c>
      <c r="G94" s="134">
        <f>SUMIFS(XUẤT!Q:Q,XUẤT!N:N,CBCNV!B94,XUẤT!O:O,CBCNV!$G$2)</f>
        <v>0</v>
      </c>
      <c r="H94" s="138">
        <f t="shared" si="14"/>
        <v>0</v>
      </c>
      <c r="I94" s="134">
        <f>SUMIFS(XUẤT!R:R,XUẤT!N:N,CBCNV!B94,XUẤT!O:O,CBCNV!$I$2)</f>
        <v>0</v>
      </c>
      <c r="J94" s="139">
        <f t="shared" si="15"/>
        <v>0</v>
      </c>
      <c r="K94" s="134">
        <f>SUMIFS(XUẤT!S:S,XUẤT!N:N,CBCNV!B94,XUẤT!O:O,CBCNV!$K$2)</f>
        <v>0</v>
      </c>
      <c r="L94" s="139">
        <f t="shared" si="16"/>
        <v>0</v>
      </c>
      <c r="M94" s="134">
        <f>SUMIFS(XUẤT!T:T,XUẤT!N:N,CBCNV!B94,XUẤT!O:O,CBCNV!$M$2)</f>
        <v>0</v>
      </c>
      <c r="N94" s="139">
        <f t="shared" si="17"/>
        <v>0</v>
      </c>
      <c r="O94" s="134">
        <f>SUMIFS(XUẤT!U:U,XUẤT!N:N,CBCNV!B94,XUẤT!O:O,CBCNV!$O$2)</f>
        <v>0</v>
      </c>
      <c r="P94" s="139">
        <f t="shared" si="18"/>
        <v>0</v>
      </c>
      <c r="Q94" s="32"/>
      <c r="R94" s="18"/>
    </row>
    <row r="95" spans="1:20" s="140" customFormat="1" x14ac:dyDescent="0.3">
      <c r="A95" s="137">
        <v>88</v>
      </c>
      <c r="B95" s="10" t="s">
        <v>207</v>
      </c>
      <c r="C95" s="137" t="s">
        <v>111</v>
      </c>
      <c r="D95" s="137" t="s">
        <v>202</v>
      </c>
      <c r="E95" s="134">
        <f>SUMIFS(XUẤT!P:P,XUẤT!N:N,CBCNV!B95,XUẤT!O:O,CBCNV!$E$2)</f>
        <v>0</v>
      </c>
      <c r="F95" s="139">
        <f t="shared" si="13"/>
        <v>0</v>
      </c>
      <c r="G95" s="134">
        <f>SUMIFS(XUẤT!Q:Q,XUẤT!N:N,CBCNV!B95,XUẤT!O:O,CBCNV!$G$2)</f>
        <v>0</v>
      </c>
      <c r="H95" s="138">
        <f t="shared" si="14"/>
        <v>0</v>
      </c>
      <c r="I95" s="134">
        <f>SUMIFS(XUẤT!R:R,XUẤT!N:N,CBCNV!B95,XUẤT!O:O,CBCNV!$I$2)</f>
        <v>0</v>
      </c>
      <c r="J95" s="139">
        <f t="shared" si="15"/>
        <v>0</v>
      </c>
      <c r="K95" s="134">
        <f>SUMIFS(XUẤT!S:S,XUẤT!N:N,CBCNV!B95,XUẤT!O:O,CBCNV!$K$2)</f>
        <v>0</v>
      </c>
      <c r="L95" s="139">
        <f t="shared" si="16"/>
        <v>0</v>
      </c>
      <c r="M95" s="134">
        <f>SUMIFS(XUẤT!T:T,XUẤT!N:N,CBCNV!B95,XUẤT!O:O,CBCNV!$M$2)</f>
        <v>0</v>
      </c>
      <c r="N95" s="139">
        <f t="shared" si="17"/>
        <v>0</v>
      </c>
      <c r="O95" s="134">
        <f>SUMIFS(XUẤT!U:U,XUẤT!N:N,CBCNV!B95,XUẤT!O:O,CBCNV!$O$2)</f>
        <v>0</v>
      </c>
      <c r="P95" s="139">
        <f t="shared" si="18"/>
        <v>0</v>
      </c>
      <c r="Q95" s="32"/>
      <c r="R95" s="18"/>
    </row>
    <row r="96" spans="1:20" s="140" customFormat="1" x14ac:dyDescent="0.3">
      <c r="A96" s="137">
        <v>89</v>
      </c>
      <c r="B96" s="10" t="s">
        <v>208</v>
      </c>
      <c r="C96" s="137" t="s">
        <v>111</v>
      </c>
      <c r="D96" s="137" t="s">
        <v>202</v>
      </c>
      <c r="E96" s="134">
        <f>SUMIFS(XUẤT!P:P,XUẤT!N:N,CBCNV!B96,XUẤT!O:O,CBCNV!$E$2)</f>
        <v>0</v>
      </c>
      <c r="F96" s="139">
        <f t="shared" si="13"/>
        <v>0</v>
      </c>
      <c r="G96" s="134">
        <f>SUMIFS(XUẤT!Q:Q,XUẤT!N:N,CBCNV!B96,XUẤT!O:O,CBCNV!$G$2)</f>
        <v>0</v>
      </c>
      <c r="H96" s="138">
        <f t="shared" si="14"/>
        <v>0</v>
      </c>
      <c r="I96" s="134">
        <f>SUMIFS(XUẤT!R:R,XUẤT!N:N,CBCNV!B96,XUẤT!O:O,CBCNV!$I$2)</f>
        <v>0</v>
      </c>
      <c r="J96" s="139">
        <f t="shared" si="15"/>
        <v>0</v>
      </c>
      <c r="K96" s="134">
        <f>SUMIFS(XUẤT!S:S,XUẤT!N:N,CBCNV!B96,XUẤT!O:O,CBCNV!$K$2)</f>
        <v>0</v>
      </c>
      <c r="L96" s="139">
        <f t="shared" si="16"/>
        <v>0</v>
      </c>
      <c r="M96" s="134">
        <f>SUMIFS(XUẤT!T:T,XUẤT!N:N,CBCNV!B96,XUẤT!O:O,CBCNV!$M$2)</f>
        <v>0</v>
      </c>
      <c r="N96" s="139">
        <f t="shared" si="17"/>
        <v>0</v>
      </c>
      <c r="O96" s="134">
        <f>SUMIFS(XUẤT!U:U,XUẤT!N:N,CBCNV!B96,XUẤT!O:O,CBCNV!$O$2)</f>
        <v>0</v>
      </c>
      <c r="P96" s="139">
        <f t="shared" si="18"/>
        <v>0</v>
      </c>
      <c r="Q96" s="32"/>
      <c r="R96" s="18"/>
    </row>
    <row r="97" spans="1:20" s="140" customFormat="1" x14ac:dyDescent="0.3">
      <c r="A97" s="137">
        <v>90</v>
      </c>
      <c r="B97" s="10" t="s">
        <v>209</v>
      </c>
      <c r="C97" s="137" t="s">
        <v>111</v>
      </c>
      <c r="D97" s="137" t="s">
        <v>202</v>
      </c>
      <c r="E97" s="134">
        <f>SUMIFS(XUẤT!P:P,XUẤT!N:N,CBCNV!B97,XUẤT!O:O,CBCNV!$E$2)</f>
        <v>0</v>
      </c>
      <c r="F97" s="139">
        <f t="shared" si="13"/>
        <v>0</v>
      </c>
      <c r="G97" s="134">
        <f>SUMIFS(XUẤT!Q:Q,XUẤT!N:N,CBCNV!B97,XUẤT!O:O,CBCNV!$G$2)</f>
        <v>0</v>
      </c>
      <c r="H97" s="138">
        <f t="shared" si="14"/>
        <v>0</v>
      </c>
      <c r="I97" s="134">
        <f>SUMIFS(XUẤT!R:R,XUẤT!N:N,CBCNV!B97,XUẤT!O:O,CBCNV!$I$2)</f>
        <v>0</v>
      </c>
      <c r="J97" s="139">
        <f t="shared" si="15"/>
        <v>0</v>
      </c>
      <c r="K97" s="134">
        <f>SUMIFS(XUẤT!S:S,XUẤT!N:N,CBCNV!B97,XUẤT!O:O,CBCNV!$K$2)</f>
        <v>0</v>
      </c>
      <c r="L97" s="139">
        <f t="shared" si="16"/>
        <v>0</v>
      </c>
      <c r="M97" s="134">
        <f>SUMIFS(XUẤT!T:T,XUẤT!N:N,CBCNV!B97,XUẤT!O:O,CBCNV!$M$2)</f>
        <v>0</v>
      </c>
      <c r="N97" s="139">
        <f t="shared" si="17"/>
        <v>0</v>
      </c>
      <c r="O97" s="134">
        <f>SUMIFS(XUẤT!U:U,XUẤT!N:N,CBCNV!B97,XUẤT!O:O,CBCNV!$O$2)</f>
        <v>0</v>
      </c>
      <c r="P97" s="139">
        <f t="shared" si="18"/>
        <v>0</v>
      </c>
      <c r="Q97" s="32"/>
      <c r="R97" s="18"/>
    </row>
    <row r="98" spans="1:20" s="140" customFormat="1" x14ac:dyDescent="0.3">
      <c r="A98" s="137">
        <v>91</v>
      </c>
      <c r="B98" s="10" t="s">
        <v>210</v>
      </c>
      <c r="C98" s="137" t="s">
        <v>111</v>
      </c>
      <c r="D98" s="137" t="s">
        <v>202</v>
      </c>
      <c r="E98" s="134">
        <f>SUMIFS(XUẤT!P:P,XUẤT!N:N,CBCNV!B98,XUẤT!O:O,CBCNV!$E$2)</f>
        <v>0</v>
      </c>
      <c r="F98" s="139">
        <f t="shared" si="13"/>
        <v>0</v>
      </c>
      <c r="G98" s="134">
        <f>SUMIFS(XUẤT!Q:Q,XUẤT!N:N,CBCNV!B98,XUẤT!O:O,CBCNV!$G$2)</f>
        <v>0</v>
      </c>
      <c r="H98" s="138">
        <f t="shared" si="14"/>
        <v>0</v>
      </c>
      <c r="I98" s="134">
        <f>SUMIFS(XUẤT!R:R,XUẤT!N:N,CBCNV!B98,XUẤT!O:O,CBCNV!$I$2)</f>
        <v>0</v>
      </c>
      <c r="J98" s="139">
        <f t="shared" si="15"/>
        <v>0</v>
      </c>
      <c r="K98" s="134">
        <f>SUMIFS(XUẤT!S:S,XUẤT!N:N,CBCNV!B98,XUẤT!O:O,CBCNV!$K$2)</f>
        <v>0</v>
      </c>
      <c r="L98" s="139">
        <f t="shared" si="16"/>
        <v>0</v>
      </c>
      <c r="M98" s="134">
        <f>SUMIFS(XUẤT!T:T,XUẤT!N:N,CBCNV!B98,XUẤT!O:O,CBCNV!$M$2)</f>
        <v>0</v>
      </c>
      <c r="N98" s="139">
        <f t="shared" si="17"/>
        <v>0</v>
      </c>
      <c r="O98" s="134">
        <f>SUMIFS(XUẤT!U:U,XUẤT!N:N,CBCNV!B98,XUẤT!O:O,CBCNV!$O$2)</f>
        <v>0</v>
      </c>
      <c r="P98" s="139">
        <f t="shared" si="18"/>
        <v>0</v>
      </c>
      <c r="Q98" s="32"/>
      <c r="R98" s="18"/>
    </row>
    <row r="99" spans="1:20" s="140" customFormat="1" x14ac:dyDescent="0.3">
      <c r="A99" s="137">
        <v>92</v>
      </c>
      <c r="B99" s="10" t="s">
        <v>211</v>
      </c>
      <c r="C99" s="137" t="s">
        <v>180</v>
      </c>
      <c r="D99" s="137" t="s">
        <v>202</v>
      </c>
      <c r="E99" s="134">
        <f>SUMIFS(XUẤT!P:P,XUẤT!N:N,CBCNV!B99,XUẤT!O:O,CBCNV!$E$2)</f>
        <v>0</v>
      </c>
      <c r="F99" s="139">
        <f t="shared" si="13"/>
        <v>0</v>
      </c>
      <c r="G99" s="134">
        <f>SUMIFS(XUẤT!Q:Q,XUẤT!N:N,CBCNV!B99,XUẤT!O:O,CBCNV!$G$2)</f>
        <v>0</v>
      </c>
      <c r="H99" s="138">
        <f t="shared" si="14"/>
        <v>0</v>
      </c>
      <c r="I99" s="134">
        <f>SUMIFS(XUẤT!R:R,XUẤT!N:N,CBCNV!B99,XUẤT!O:O,CBCNV!$I$2)</f>
        <v>0</v>
      </c>
      <c r="J99" s="139">
        <f t="shared" si="15"/>
        <v>0</v>
      </c>
      <c r="K99" s="134">
        <f>SUMIFS(XUẤT!S:S,XUẤT!N:N,CBCNV!B99,XUẤT!O:O,CBCNV!$K$2)</f>
        <v>0</v>
      </c>
      <c r="L99" s="139">
        <f t="shared" si="16"/>
        <v>0</v>
      </c>
      <c r="M99" s="134">
        <f>SUMIFS(XUẤT!T:T,XUẤT!N:N,CBCNV!B99,XUẤT!O:O,CBCNV!$M$2)</f>
        <v>6</v>
      </c>
      <c r="N99" s="139">
        <f t="shared" si="17"/>
        <v>312000</v>
      </c>
      <c r="O99" s="134">
        <f>SUMIFS(XUẤT!U:U,XUẤT!N:N,CBCNV!B99,XUẤT!O:O,CBCNV!$O$2)</f>
        <v>0</v>
      </c>
      <c r="P99" s="139">
        <f t="shared" si="18"/>
        <v>0</v>
      </c>
      <c r="Q99" s="32"/>
      <c r="R99" s="18"/>
    </row>
    <row r="100" spans="1:20" s="140" customFormat="1" x14ac:dyDescent="0.3">
      <c r="A100" s="137">
        <v>93</v>
      </c>
      <c r="B100" s="10" t="s">
        <v>212</v>
      </c>
      <c r="C100" s="137" t="s">
        <v>180</v>
      </c>
      <c r="D100" s="137" t="s">
        <v>202</v>
      </c>
      <c r="E100" s="134">
        <f>SUMIFS(XUẤT!P:P,XUẤT!N:N,CBCNV!B100,XUẤT!O:O,CBCNV!$E$2)</f>
        <v>0</v>
      </c>
      <c r="F100" s="139">
        <f t="shared" si="13"/>
        <v>0</v>
      </c>
      <c r="G100" s="134">
        <f>SUMIFS(XUẤT!Q:Q,XUẤT!N:N,CBCNV!B100,XUẤT!O:O,CBCNV!$G$2)</f>
        <v>0</v>
      </c>
      <c r="H100" s="138">
        <f t="shared" si="14"/>
        <v>0</v>
      </c>
      <c r="I100" s="134">
        <f>SUMIFS(XUẤT!R:R,XUẤT!N:N,CBCNV!B100,XUẤT!O:O,CBCNV!$I$2)</f>
        <v>0</v>
      </c>
      <c r="J100" s="139">
        <f t="shared" si="15"/>
        <v>0</v>
      </c>
      <c r="K100" s="134">
        <f>SUMIFS(XUẤT!S:S,XUẤT!N:N,CBCNV!B100,XUẤT!O:O,CBCNV!$K$2)</f>
        <v>0</v>
      </c>
      <c r="L100" s="139">
        <f t="shared" si="16"/>
        <v>0</v>
      </c>
      <c r="M100" s="134">
        <f>SUMIFS(XUẤT!T:T,XUẤT!N:N,CBCNV!B100,XUẤT!O:O,CBCNV!$M$2)</f>
        <v>0</v>
      </c>
      <c r="N100" s="139">
        <f t="shared" si="17"/>
        <v>0</v>
      </c>
      <c r="O100" s="134">
        <f>SUMIFS(XUẤT!U:U,XUẤT!N:N,CBCNV!B100,XUẤT!O:O,CBCNV!$O$2)</f>
        <v>0</v>
      </c>
      <c r="P100" s="139">
        <f t="shared" si="18"/>
        <v>0</v>
      </c>
      <c r="Q100" s="32"/>
      <c r="R100" s="18"/>
    </row>
    <row r="101" spans="1:20" s="140" customFormat="1" x14ac:dyDescent="0.3">
      <c r="A101" s="137">
        <v>94</v>
      </c>
      <c r="B101" s="10" t="s">
        <v>213</v>
      </c>
      <c r="C101" s="137" t="s">
        <v>180</v>
      </c>
      <c r="D101" s="137" t="s">
        <v>202</v>
      </c>
      <c r="E101" s="134">
        <f>SUMIFS(XUẤT!P:P,XUẤT!N:N,CBCNV!B101,XUẤT!O:O,CBCNV!$E$2)</f>
        <v>0</v>
      </c>
      <c r="F101" s="139">
        <f t="shared" si="13"/>
        <v>0</v>
      </c>
      <c r="G101" s="134">
        <f>SUMIFS(XUẤT!Q:Q,XUẤT!N:N,CBCNV!B101,XUẤT!O:O,CBCNV!$G$2)</f>
        <v>0</v>
      </c>
      <c r="H101" s="138">
        <f t="shared" si="14"/>
        <v>0</v>
      </c>
      <c r="I101" s="134">
        <f>SUMIFS(XUẤT!R:R,XUẤT!N:N,CBCNV!B101,XUẤT!O:O,CBCNV!$I$2)</f>
        <v>0</v>
      </c>
      <c r="J101" s="139">
        <f t="shared" si="15"/>
        <v>0</v>
      </c>
      <c r="K101" s="134">
        <f>SUMIFS(XUẤT!S:S,XUẤT!N:N,CBCNV!B101,XUẤT!O:O,CBCNV!$K$2)</f>
        <v>0</v>
      </c>
      <c r="L101" s="139">
        <f t="shared" si="16"/>
        <v>0</v>
      </c>
      <c r="M101" s="134">
        <f>SUMIFS(XUẤT!T:T,XUẤT!N:N,CBCNV!B101,XUẤT!O:O,CBCNV!$M$2)</f>
        <v>2</v>
      </c>
      <c r="N101" s="139">
        <f t="shared" si="17"/>
        <v>104000</v>
      </c>
      <c r="O101" s="134">
        <f>SUMIFS(XUẤT!U:U,XUẤT!N:N,CBCNV!B101,XUẤT!O:O,CBCNV!$O$2)</f>
        <v>0</v>
      </c>
      <c r="P101" s="139">
        <f t="shared" si="18"/>
        <v>0</v>
      </c>
      <c r="Q101" s="32"/>
      <c r="R101" s="18"/>
    </row>
    <row r="102" spans="1:20" s="140" customFormat="1" x14ac:dyDescent="0.3">
      <c r="A102" s="137">
        <v>95</v>
      </c>
      <c r="B102" s="10" t="s">
        <v>214</v>
      </c>
      <c r="C102" s="137" t="s">
        <v>180</v>
      </c>
      <c r="D102" s="137" t="s">
        <v>202</v>
      </c>
      <c r="E102" s="134">
        <f>SUMIFS(XUẤT!P:P,XUẤT!N:N,CBCNV!B102,XUẤT!O:O,CBCNV!$E$2)</f>
        <v>0</v>
      </c>
      <c r="F102" s="139">
        <f t="shared" si="13"/>
        <v>0</v>
      </c>
      <c r="G102" s="134">
        <f>SUMIFS(XUẤT!Q:Q,XUẤT!N:N,CBCNV!B102,XUẤT!O:O,CBCNV!$G$2)</f>
        <v>2</v>
      </c>
      <c r="H102" s="138">
        <f t="shared" si="14"/>
        <v>170000</v>
      </c>
      <c r="I102" s="134">
        <f>SUMIFS(XUẤT!R:R,XUẤT!N:N,CBCNV!B102,XUẤT!O:O,CBCNV!$I$2)</f>
        <v>0</v>
      </c>
      <c r="J102" s="139">
        <f t="shared" si="15"/>
        <v>0</v>
      </c>
      <c r="K102" s="134">
        <f>SUMIFS(XUẤT!S:S,XUẤT!N:N,CBCNV!B102,XUẤT!O:O,CBCNV!$K$2)</f>
        <v>0</v>
      </c>
      <c r="L102" s="139">
        <f t="shared" si="16"/>
        <v>0</v>
      </c>
      <c r="M102" s="134">
        <f>SUMIFS(XUẤT!T:T,XUẤT!N:N,CBCNV!B102,XUẤT!O:O,CBCNV!$M$2)</f>
        <v>2</v>
      </c>
      <c r="N102" s="139">
        <f t="shared" si="17"/>
        <v>104000</v>
      </c>
      <c r="O102" s="134">
        <f>SUMIFS(XUẤT!U:U,XUẤT!N:N,CBCNV!B102,XUẤT!O:O,CBCNV!$O$2)</f>
        <v>0</v>
      </c>
      <c r="P102" s="139">
        <f t="shared" si="18"/>
        <v>0</v>
      </c>
      <c r="Q102" s="32"/>
      <c r="R102" s="18"/>
    </row>
    <row r="103" spans="1:20" s="140" customFormat="1" x14ac:dyDescent="0.3">
      <c r="A103" s="137">
        <v>96</v>
      </c>
      <c r="B103" s="10" t="s">
        <v>215</v>
      </c>
      <c r="C103" s="137" t="s">
        <v>180</v>
      </c>
      <c r="D103" s="137" t="s">
        <v>202</v>
      </c>
      <c r="E103" s="134">
        <f>SUMIFS(XUẤT!P:P,XUẤT!N:N,CBCNV!B103,XUẤT!O:O,CBCNV!$E$2)</f>
        <v>0</v>
      </c>
      <c r="F103" s="139">
        <f t="shared" ref="F103:F134" si="19">E103*$T$10</f>
        <v>0</v>
      </c>
      <c r="G103" s="134">
        <f>SUMIFS(XUẤT!Q:Q,XUẤT!N:N,CBCNV!B103,XUẤT!O:O,CBCNV!$G$2)</f>
        <v>0</v>
      </c>
      <c r="H103" s="138">
        <f t="shared" ref="H103:H134" si="20">G103*$T$8</f>
        <v>0</v>
      </c>
      <c r="I103" s="134">
        <f>SUMIFS(XUẤT!R:R,XUẤT!N:N,CBCNV!B103,XUẤT!O:O,CBCNV!$I$2)</f>
        <v>0</v>
      </c>
      <c r="J103" s="139">
        <f t="shared" ref="J103:J134" si="21">I103*$T$9</f>
        <v>0</v>
      </c>
      <c r="K103" s="134">
        <f>SUMIFS(XUẤT!S:S,XUẤT!N:N,CBCNV!B103,XUẤT!O:O,CBCNV!$K$2)</f>
        <v>0</v>
      </c>
      <c r="L103" s="139">
        <f t="shared" ref="L103:L134" si="22">K103*$T$11</f>
        <v>0</v>
      </c>
      <c r="M103" s="134">
        <f>SUMIFS(XUẤT!T:T,XUẤT!N:N,CBCNV!B103,XUẤT!O:O,CBCNV!$M$2)</f>
        <v>0</v>
      </c>
      <c r="N103" s="139">
        <f t="shared" ref="N103:N134" si="23">M103*$T$12</f>
        <v>0</v>
      </c>
      <c r="O103" s="134">
        <f>SUMIFS(XUẤT!U:U,XUẤT!N:N,CBCNV!B103,XUẤT!O:O,CBCNV!$O$2)</f>
        <v>0</v>
      </c>
      <c r="P103" s="139">
        <f t="shared" ref="P103:P134" si="24">O103*$T$13</f>
        <v>0</v>
      </c>
      <c r="Q103" s="32"/>
      <c r="R103" s="18"/>
    </row>
    <row r="104" spans="1:20" s="140" customFormat="1" x14ac:dyDescent="0.3">
      <c r="A104" s="137">
        <v>97</v>
      </c>
      <c r="B104" s="10" t="s">
        <v>216</v>
      </c>
      <c r="C104" s="137" t="s">
        <v>180</v>
      </c>
      <c r="D104" s="137" t="s">
        <v>202</v>
      </c>
      <c r="E104" s="134">
        <f>SUMIFS(XUẤT!P:P,XUẤT!N:N,CBCNV!B104,XUẤT!O:O,CBCNV!$E$2)</f>
        <v>0</v>
      </c>
      <c r="F104" s="139">
        <f t="shared" si="19"/>
        <v>0</v>
      </c>
      <c r="G104" s="134">
        <f>SUMIFS(XUẤT!Q:Q,XUẤT!N:N,CBCNV!B104,XUẤT!O:O,CBCNV!$G$2)</f>
        <v>0</v>
      </c>
      <c r="H104" s="138">
        <f t="shared" si="20"/>
        <v>0</v>
      </c>
      <c r="I104" s="134">
        <f>SUMIFS(XUẤT!R:R,XUẤT!N:N,CBCNV!B104,XUẤT!O:O,CBCNV!$I$2)</f>
        <v>0</v>
      </c>
      <c r="J104" s="139">
        <f t="shared" si="21"/>
        <v>0</v>
      </c>
      <c r="K104" s="134">
        <f>SUMIFS(XUẤT!S:S,XUẤT!N:N,CBCNV!B104,XUẤT!O:O,CBCNV!$K$2)</f>
        <v>0</v>
      </c>
      <c r="L104" s="139">
        <f t="shared" si="22"/>
        <v>0</v>
      </c>
      <c r="M104" s="134">
        <f>SUMIFS(XUẤT!T:T,XUẤT!N:N,CBCNV!B104,XUẤT!O:O,CBCNV!$M$2)</f>
        <v>0</v>
      </c>
      <c r="N104" s="139">
        <f t="shared" si="23"/>
        <v>0</v>
      </c>
      <c r="O104" s="134">
        <f>SUMIFS(XUẤT!U:U,XUẤT!N:N,CBCNV!B104,XUẤT!O:O,CBCNV!$O$2)</f>
        <v>0</v>
      </c>
      <c r="P104" s="139">
        <f t="shared" si="24"/>
        <v>0</v>
      </c>
      <c r="Q104" s="32"/>
      <c r="R104" s="18"/>
    </row>
    <row r="105" spans="1:20" s="140" customFormat="1" x14ac:dyDescent="0.3">
      <c r="A105" s="137">
        <v>98</v>
      </c>
      <c r="B105" s="142" t="s">
        <v>217</v>
      </c>
      <c r="C105" s="137" t="s">
        <v>180</v>
      </c>
      <c r="D105" s="137" t="s">
        <v>202</v>
      </c>
      <c r="E105" s="134">
        <f>SUMIFS(XUẤT!P:P,XUẤT!N:N,CBCNV!B105,XUẤT!O:O,CBCNV!$E$2)</f>
        <v>0</v>
      </c>
      <c r="F105" s="139">
        <f t="shared" si="19"/>
        <v>0</v>
      </c>
      <c r="G105" s="134">
        <f>SUMIFS(XUẤT!Q:Q,XUẤT!N:N,CBCNV!B105,XUẤT!O:O,CBCNV!$G$2)</f>
        <v>0</v>
      </c>
      <c r="H105" s="138">
        <f t="shared" si="20"/>
        <v>0</v>
      </c>
      <c r="I105" s="134">
        <f>SUMIFS(XUẤT!R:R,XUẤT!N:N,CBCNV!B105,XUẤT!O:O,CBCNV!$I$2)</f>
        <v>0</v>
      </c>
      <c r="J105" s="139">
        <f t="shared" si="21"/>
        <v>0</v>
      </c>
      <c r="K105" s="134">
        <f>SUMIFS(XUẤT!S:S,XUẤT!N:N,CBCNV!B105,XUẤT!O:O,CBCNV!$K$2)</f>
        <v>0</v>
      </c>
      <c r="L105" s="139">
        <f t="shared" si="22"/>
        <v>0</v>
      </c>
      <c r="M105" s="134">
        <f>SUMIFS(XUẤT!T:T,XUẤT!N:N,CBCNV!B105,XUẤT!O:O,CBCNV!$M$2)</f>
        <v>0</v>
      </c>
      <c r="N105" s="139">
        <f t="shared" si="23"/>
        <v>0</v>
      </c>
      <c r="O105" s="134">
        <f>SUMIFS(XUẤT!U:U,XUẤT!N:N,CBCNV!B105,XUẤT!O:O,CBCNV!$O$2)</f>
        <v>30</v>
      </c>
      <c r="P105" s="139">
        <f t="shared" si="24"/>
        <v>1440000</v>
      </c>
      <c r="Q105" s="32"/>
      <c r="R105" s="18"/>
    </row>
    <row r="106" spans="1:20" s="140" customFormat="1" x14ac:dyDescent="0.3">
      <c r="A106" s="137">
        <v>99</v>
      </c>
      <c r="B106" s="10" t="s">
        <v>218</v>
      </c>
      <c r="C106" s="137" t="s">
        <v>199</v>
      </c>
      <c r="D106" s="137" t="s">
        <v>202</v>
      </c>
      <c r="E106" s="134">
        <f>SUMIFS(XUẤT!P:P,XUẤT!N:N,CBCNV!B106,XUẤT!O:O,CBCNV!$E$2)</f>
        <v>0</v>
      </c>
      <c r="F106" s="139">
        <f t="shared" si="19"/>
        <v>0</v>
      </c>
      <c r="G106" s="134">
        <f>SUMIFS(XUẤT!Q:Q,XUẤT!N:N,CBCNV!B106,XUẤT!O:O,CBCNV!$G$2)</f>
        <v>0</v>
      </c>
      <c r="H106" s="138">
        <f t="shared" si="20"/>
        <v>0</v>
      </c>
      <c r="I106" s="134">
        <f>SUMIFS(XUẤT!R:R,XUẤT!N:N,CBCNV!B106,XUẤT!O:O,CBCNV!$I$2)</f>
        <v>0</v>
      </c>
      <c r="J106" s="139">
        <f t="shared" si="21"/>
        <v>0</v>
      </c>
      <c r="K106" s="134">
        <f>SUMIFS(XUẤT!S:S,XUẤT!N:N,CBCNV!B106,XUẤT!O:O,CBCNV!$K$2)</f>
        <v>0</v>
      </c>
      <c r="L106" s="139">
        <f t="shared" si="22"/>
        <v>0</v>
      </c>
      <c r="M106" s="134">
        <f>SUMIFS(XUẤT!T:T,XUẤT!N:N,CBCNV!B106,XUẤT!O:O,CBCNV!$M$2)</f>
        <v>0</v>
      </c>
      <c r="N106" s="139">
        <f t="shared" si="23"/>
        <v>0</v>
      </c>
      <c r="O106" s="134">
        <f>SUMIFS(XUẤT!U:U,XUẤT!N:N,CBCNV!B106,XUẤT!O:O,CBCNV!$O$2)</f>
        <v>0</v>
      </c>
      <c r="P106" s="139">
        <f t="shared" si="24"/>
        <v>0</v>
      </c>
      <c r="Q106" s="32"/>
      <c r="R106" s="18"/>
    </row>
    <row r="107" spans="1:20" s="140" customFormat="1" x14ac:dyDescent="0.3">
      <c r="A107" s="137">
        <v>100</v>
      </c>
      <c r="B107" s="10" t="s">
        <v>219</v>
      </c>
      <c r="C107" s="137" t="s">
        <v>199</v>
      </c>
      <c r="D107" s="137" t="s">
        <v>202</v>
      </c>
      <c r="E107" s="134">
        <f>SUMIFS(XUẤT!P:P,XUẤT!N:N,CBCNV!B107,XUẤT!O:O,CBCNV!$E$2)</f>
        <v>70</v>
      </c>
      <c r="F107" s="139">
        <f t="shared" si="19"/>
        <v>6860000</v>
      </c>
      <c r="G107" s="134">
        <f>SUMIFS(XUẤT!Q:Q,XUẤT!N:N,CBCNV!B107,XUẤT!O:O,CBCNV!$G$2)</f>
        <v>0</v>
      </c>
      <c r="H107" s="138">
        <f t="shared" si="20"/>
        <v>0</v>
      </c>
      <c r="I107" s="134">
        <f>SUMIFS(XUẤT!R:R,XUẤT!N:N,CBCNV!B107,XUẤT!O:O,CBCNV!$I$2)</f>
        <v>0</v>
      </c>
      <c r="J107" s="139">
        <f t="shared" si="21"/>
        <v>0</v>
      </c>
      <c r="K107" s="134">
        <f>SUMIFS(XUẤT!S:S,XUẤT!N:N,CBCNV!B107,XUẤT!O:O,CBCNV!$K$2)</f>
        <v>0</v>
      </c>
      <c r="L107" s="139">
        <f t="shared" si="22"/>
        <v>0</v>
      </c>
      <c r="M107" s="134">
        <f>SUMIFS(XUẤT!T:T,XUẤT!N:N,CBCNV!B107,XUẤT!O:O,CBCNV!$M$2)</f>
        <v>15</v>
      </c>
      <c r="N107" s="139">
        <f t="shared" si="23"/>
        <v>780000</v>
      </c>
      <c r="O107" s="134">
        <f>SUMIFS(XUẤT!U:U,XUẤT!N:N,CBCNV!B107,XUẤT!O:O,CBCNV!$O$2)</f>
        <v>10</v>
      </c>
      <c r="P107" s="139">
        <f t="shared" si="24"/>
        <v>480000</v>
      </c>
      <c r="Q107" s="32"/>
      <c r="R107" s="18"/>
    </row>
    <row r="108" spans="1:20" s="136" customFormat="1" x14ac:dyDescent="0.3">
      <c r="A108" s="137">
        <v>101</v>
      </c>
      <c r="B108" s="10" t="s">
        <v>220</v>
      </c>
      <c r="C108" s="137" t="s">
        <v>199</v>
      </c>
      <c r="D108" s="137" t="s">
        <v>202</v>
      </c>
      <c r="E108" s="134">
        <f>SUMIFS(XUẤT!P:P,XUẤT!N:N,CBCNV!B108,XUẤT!O:O,CBCNV!$E$2)</f>
        <v>10</v>
      </c>
      <c r="F108" s="139">
        <f t="shared" si="19"/>
        <v>980000</v>
      </c>
      <c r="G108" s="134">
        <f>SUMIFS(XUẤT!Q:Q,XUẤT!N:N,CBCNV!B108,XUẤT!O:O,CBCNV!$G$2)</f>
        <v>0</v>
      </c>
      <c r="H108" s="138">
        <f t="shared" si="20"/>
        <v>0</v>
      </c>
      <c r="I108" s="134">
        <f>SUMIFS(XUẤT!R:R,XUẤT!N:N,CBCNV!B108,XUẤT!O:O,CBCNV!$I$2)</f>
        <v>0</v>
      </c>
      <c r="J108" s="139">
        <f t="shared" si="21"/>
        <v>0</v>
      </c>
      <c r="K108" s="134">
        <f>SUMIFS(XUẤT!S:S,XUẤT!N:N,CBCNV!B108,XUẤT!O:O,CBCNV!$K$2)</f>
        <v>0</v>
      </c>
      <c r="L108" s="139">
        <f t="shared" si="22"/>
        <v>0</v>
      </c>
      <c r="M108" s="134">
        <f>SUMIFS(XUẤT!T:T,XUẤT!N:N,CBCNV!B108,XUẤT!O:O,CBCNV!$M$2)</f>
        <v>0</v>
      </c>
      <c r="N108" s="139">
        <f t="shared" si="23"/>
        <v>0</v>
      </c>
      <c r="O108" s="134">
        <f>SUMIFS(XUẤT!U:U,XUẤT!N:N,CBCNV!B108,XUẤT!O:O,CBCNV!$O$2)</f>
        <v>4</v>
      </c>
      <c r="P108" s="139">
        <f t="shared" si="24"/>
        <v>192000</v>
      </c>
      <c r="Q108" s="32"/>
      <c r="R108" s="18"/>
      <c r="S108" s="140"/>
      <c r="T108" s="140"/>
    </row>
    <row r="109" spans="1:20" s="140" customFormat="1" x14ac:dyDescent="0.3">
      <c r="A109" s="137">
        <v>102</v>
      </c>
      <c r="B109" s="10" t="s">
        <v>221</v>
      </c>
      <c r="C109" s="137" t="s">
        <v>199</v>
      </c>
      <c r="D109" s="137" t="s">
        <v>202</v>
      </c>
      <c r="E109" s="134">
        <f>SUMIFS(XUẤT!P:P,XUẤT!N:N,CBCNV!B109,XUẤT!O:O,CBCNV!$E$2)</f>
        <v>0</v>
      </c>
      <c r="F109" s="139">
        <f t="shared" si="19"/>
        <v>0</v>
      </c>
      <c r="G109" s="134">
        <f>SUMIFS(XUẤT!Q:Q,XUẤT!N:N,CBCNV!B109,XUẤT!O:O,CBCNV!$G$2)</f>
        <v>0</v>
      </c>
      <c r="H109" s="138">
        <f t="shared" si="20"/>
        <v>0</v>
      </c>
      <c r="I109" s="134">
        <f>SUMIFS(XUẤT!R:R,XUẤT!N:N,CBCNV!B109,XUẤT!O:O,CBCNV!$I$2)</f>
        <v>0</v>
      </c>
      <c r="J109" s="139">
        <f t="shared" si="21"/>
        <v>0</v>
      </c>
      <c r="K109" s="134">
        <f>SUMIFS(XUẤT!S:S,XUẤT!N:N,CBCNV!B109,XUẤT!O:O,CBCNV!$K$2)</f>
        <v>0</v>
      </c>
      <c r="L109" s="139">
        <f t="shared" si="22"/>
        <v>0</v>
      </c>
      <c r="M109" s="134">
        <f>SUMIFS(XUẤT!T:T,XUẤT!N:N,CBCNV!B109,XUẤT!O:O,CBCNV!$M$2)</f>
        <v>2</v>
      </c>
      <c r="N109" s="139">
        <f t="shared" si="23"/>
        <v>104000</v>
      </c>
      <c r="O109" s="134">
        <f>SUMIFS(XUẤT!U:U,XUẤT!N:N,CBCNV!B109,XUẤT!O:O,CBCNV!$O$2)</f>
        <v>0</v>
      </c>
      <c r="P109" s="139">
        <f t="shared" si="24"/>
        <v>0</v>
      </c>
      <c r="Q109" s="32"/>
      <c r="R109" s="18"/>
    </row>
    <row r="110" spans="1:20" s="140" customFormat="1" x14ac:dyDescent="0.3">
      <c r="A110" s="137">
        <v>103</v>
      </c>
      <c r="B110" s="10" t="s">
        <v>222</v>
      </c>
      <c r="C110" s="137" t="s">
        <v>199</v>
      </c>
      <c r="D110" s="137" t="s">
        <v>202</v>
      </c>
      <c r="E110" s="134">
        <f>SUMIFS(XUẤT!P:P,XUẤT!N:N,CBCNV!B110,XUẤT!O:O,CBCNV!$E$2)</f>
        <v>0</v>
      </c>
      <c r="F110" s="139">
        <f t="shared" si="19"/>
        <v>0</v>
      </c>
      <c r="G110" s="134">
        <f>SUMIFS(XUẤT!Q:Q,XUẤT!N:N,CBCNV!B110,XUẤT!O:O,CBCNV!$G$2)</f>
        <v>0</v>
      </c>
      <c r="H110" s="138">
        <f t="shared" si="20"/>
        <v>0</v>
      </c>
      <c r="I110" s="134">
        <f>SUMIFS(XUẤT!R:R,XUẤT!N:N,CBCNV!B110,XUẤT!O:O,CBCNV!$I$2)</f>
        <v>0</v>
      </c>
      <c r="J110" s="139">
        <f t="shared" si="21"/>
        <v>0</v>
      </c>
      <c r="K110" s="134">
        <f>SUMIFS(XUẤT!S:S,XUẤT!N:N,CBCNV!B110,XUẤT!O:O,CBCNV!$K$2)</f>
        <v>0</v>
      </c>
      <c r="L110" s="139">
        <f t="shared" si="22"/>
        <v>0</v>
      </c>
      <c r="M110" s="134">
        <f>SUMIFS(XUẤT!T:T,XUẤT!N:N,CBCNV!B110,XUẤT!O:O,CBCNV!$M$2)</f>
        <v>0</v>
      </c>
      <c r="N110" s="139">
        <f t="shared" si="23"/>
        <v>0</v>
      </c>
      <c r="O110" s="134">
        <f>SUMIFS(XUẤT!U:U,XUẤT!N:N,CBCNV!B110,XUẤT!O:O,CBCNV!$O$2)</f>
        <v>0</v>
      </c>
      <c r="P110" s="139">
        <f t="shared" si="24"/>
        <v>0</v>
      </c>
      <c r="Q110" s="32"/>
      <c r="R110" s="18"/>
    </row>
    <row r="111" spans="1:20" s="140" customFormat="1" x14ac:dyDescent="0.3">
      <c r="A111" s="137">
        <v>104</v>
      </c>
      <c r="B111" s="34" t="s">
        <v>49</v>
      </c>
      <c r="C111" s="141" t="s">
        <v>223</v>
      </c>
      <c r="D111" s="141" t="s">
        <v>224</v>
      </c>
      <c r="E111" s="134">
        <f>SUMIFS(XUẤT!P:P,XUẤT!N:N,CBCNV!B111,XUẤT!O:O,CBCNV!$E$2)</f>
        <v>131</v>
      </c>
      <c r="F111" s="139">
        <f t="shared" si="19"/>
        <v>12838000</v>
      </c>
      <c r="G111" s="134">
        <f>SUMIFS(XUẤT!Q:Q,XUẤT!N:N,CBCNV!B111,XUẤT!O:O,CBCNV!$G$2)</f>
        <v>0</v>
      </c>
      <c r="H111" s="138">
        <f t="shared" si="20"/>
        <v>0</v>
      </c>
      <c r="I111" s="134">
        <f>SUMIFS(XUẤT!R:R,XUẤT!N:N,CBCNV!B111,XUẤT!O:O,CBCNV!$I$2)</f>
        <v>0</v>
      </c>
      <c r="J111" s="139">
        <f t="shared" si="21"/>
        <v>0</v>
      </c>
      <c r="K111" s="134">
        <f>SUMIFS(XUẤT!S:S,XUẤT!N:N,CBCNV!B111,XUẤT!O:O,CBCNV!$K$2)</f>
        <v>0</v>
      </c>
      <c r="L111" s="139">
        <f t="shared" si="22"/>
        <v>0</v>
      </c>
      <c r="M111" s="134">
        <f>SUMIFS(XUẤT!T:T,XUẤT!N:N,CBCNV!B111,XUẤT!O:O,CBCNV!$M$2)</f>
        <v>0</v>
      </c>
      <c r="N111" s="139">
        <f t="shared" si="23"/>
        <v>0</v>
      </c>
      <c r="O111" s="134">
        <f>SUMIFS(XUẤT!U:U,XUẤT!N:N,CBCNV!B111,XUẤT!O:O,CBCNV!$O$2)</f>
        <v>0</v>
      </c>
      <c r="P111" s="139">
        <f t="shared" si="24"/>
        <v>0</v>
      </c>
      <c r="Q111" s="32"/>
      <c r="R111" s="21"/>
      <c r="S111" s="136"/>
      <c r="T111" s="136"/>
    </row>
    <row r="112" spans="1:20" s="140" customFormat="1" x14ac:dyDescent="0.3">
      <c r="A112" s="137">
        <v>105</v>
      </c>
      <c r="B112" s="10" t="s">
        <v>225</v>
      </c>
      <c r="C112" s="137" t="s">
        <v>166</v>
      </c>
      <c r="D112" s="137" t="s">
        <v>224</v>
      </c>
      <c r="E112" s="134">
        <f>SUMIFS(XUẤT!P:P,XUẤT!N:N,CBCNV!B112,XUẤT!O:O,CBCNV!$E$2)</f>
        <v>0</v>
      </c>
      <c r="F112" s="139">
        <f t="shared" si="19"/>
        <v>0</v>
      </c>
      <c r="G112" s="134">
        <f>SUMIFS(XUẤT!Q:Q,XUẤT!N:N,CBCNV!B112,XUẤT!O:O,CBCNV!$G$2)</f>
        <v>0</v>
      </c>
      <c r="H112" s="138">
        <f t="shared" si="20"/>
        <v>0</v>
      </c>
      <c r="I112" s="134">
        <f>SUMIFS(XUẤT!R:R,XUẤT!N:N,CBCNV!B112,XUẤT!O:O,CBCNV!$I$2)</f>
        <v>0</v>
      </c>
      <c r="J112" s="139">
        <f t="shared" si="21"/>
        <v>0</v>
      </c>
      <c r="K112" s="134">
        <f>SUMIFS(XUẤT!S:S,XUẤT!N:N,CBCNV!B112,XUẤT!O:O,CBCNV!$K$2)</f>
        <v>0</v>
      </c>
      <c r="L112" s="139">
        <f t="shared" si="22"/>
        <v>0</v>
      </c>
      <c r="M112" s="134">
        <f>SUMIFS(XUẤT!T:T,XUẤT!N:N,CBCNV!B112,XUẤT!O:O,CBCNV!$M$2)</f>
        <v>0</v>
      </c>
      <c r="N112" s="139">
        <f t="shared" si="23"/>
        <v>0</v>
      </c>
      <c r="O112" s="134">
        <f>SUMIFS(XUẤT!U:U,XUẤT!N:N,CBCNV!B112,XUẤT!O:O,CBCNV!$O$2)</f>
        <v>0</v>
      </c>
      <c r="P112" s="139">
        <f t="shared" si="24"/>
        <v>0</v>
      </c>
      <c r="Q112" s="32"/>
      <c r="R112" s="18"/>
    </row>
    <row r="113" spans="1:18" s="140" customFormat="1" x14ac:dyDescent="0.3">
      <c r="A113" s="137">
        <v>106</v>
      </c>
      <c r="B113" s="10" t="s">
        <v>226</v>
      </c>
      <c r="C113" s="137" t="s">
        <v>185</v>
      </c>
      <c r="D113" s="137" t="s">
        <v>224</v>
      </c>
      <c r="E113" s="134">
        <f>SUMIFS(XUẤT!P:P,XUẤT!N:N,CBCNV!B113,XUẤT!O:O,CBCNV!$E$2)</f>
        <v>0</v>
      </c>
      <c r="F113" s="139">
        <f t="shared" si="19"/>
        <v>0</v>
      </c>
      <c r="G113" s="134">
        <f>SUMIFS(XUẤT!Q:Q,XUẤT!N:N,CBCNV!B113,XUẤT!O:O,CBCNV!$G$2)</f>
        <v>0</v>
      </c>
      <c r="H113" s="138">
        <f t="shared" si="20"/>
        <v>0</v>
      </c>
      <c r="I113" s="134">
        <f>SUMIFS(XUẤT!R:R,XUẤT!N:N,CBCNV!B113,XUẤT!O:O,CBCNV!$I$2)</f>
        <v>0</v>
      </c>
      <c r="J113" s="139">
        <f t="shared" si="21"/>
        <v>0</v>
      </c>
      <c r="K113" s="134">
        <f>SUMIFS(XUẤT!S:S,XUẤT!N:N,CBCNV!B113,XUẤT!O:O,CBCNV!$K$2)</f>
        <v>0</v>
      </c>
      <c r="L113" s="139">
        <f t="shared" si="22"/>
        <v>0</v>
      </c>
      <c r="M113" s="134">
        <f>SUMIFS(XUẤT!T:T,XUẤT!N:N,CBCNV!B113,XUẤT!O:O,CBCNV!$M$2)</f>
        <v>0</v>
      </c>
      <c r="N113" s="139">
        <f t="shared" si="23"/>
        <v>0</v>
      </c>
      <c r="O113" s="134">
        <f>SUMIFS(XUẤT!U:U,XUẤT!N:N,CBCNV!B113,XUẤT!O:O,CBCNV!$O$2)</f>
        <v>0</v>
      </c>
      <c r="P113" s="139">
        <f t="shared" si="24"/>
        <v>0</v>
      </c>
      <c r="Q113" s="32"/>
      <c r="R113" s="18"/>
    </row>
    <row r="114" spans="1:18" s="140" customFormat="1" x14ac:dyDescent="0.3">
      <c r="A114" s="137">
        <v>107</v>
      </c>
      <c r="B114" s="10" t="s">
        <v>227</v>
      </c>
      <c r="C114" s="137" t="s">
        <v>111</v>
      </c>
      <c r="D114" s="137" t="s">
        <v>224</v>
      </c>
      <c r="E114" s="134">
        <f>SUMIFS(XUẤT!P:P,XUẤT!N:N,CBCNV!B114,XUẤT!O:O,CBCNV!$E$2)</f>
        <v>0</v>
      </c>
      <c r="F114" s="139">
        <f t="shared" si="19"/>
        <v>0</v>
      </c>
      <c r="G114" s="134">
        <f>SUMIFS(XUẤT!Q:Q,XUẤT!N:N,CBCNV!B114,XUẤT!O:O,CBCNV!$G$2)</f>
        <v>0</v>
      </c>
      <c r="H114" s="138">
        <f t="shared" si="20"/>
        <v>0</v>
      </c>
      <c r="I114" s="134">
        <f>SUMIFS(XUẤT!R:R,XUẤT!N:N,CBCNV!B114,XUẤT!O:O,CBCNV!$I$2)</f>
        <v>0</v>
      </c>
      <c r="J114" s="139">
        <f t="shared" si="21"/>
        <v>0</v>
      </c>
      <c r="K114" s="134">
        <f>SUMIFS(XUẤT!S:S,XUẤT!N:N,CBCNV!B114,XUẤT!O:O,CBCNV!$K$2)</f>
        <v>0</v>
      </c>
      <c r="L114" s="139">
        <f t="shared" si="22"/>
        <v>0</v>
      </c>
      <c r="M114" s="134">
        <f>SUMIFS(XUẤT!T:T,XUẤT!N:N,CBCNV!B114,XUẤT!O:O,CBCNV!$M$2)</f>
        <v>0</v>
      </c>
      <c r="N114" s="139">
        <f t="shared" si="23"/>
        <v>0</v>
      </c>
      <c r="O114" s="134">
        <f>SUMIFS(XUẤT!U:U,XUẤT!N:N,CBCNV!B114,XUẤT!O:O,CBCNV!$O$2)</f>
        <v>0</v>
      </c>
      <c r="P114" s="139">
        <f t="shared" si="24"/>
        <v>0</v>
      </c>
      <c r="Q114" s="32"/>
      <c r="R114" s="18"/>
    </row>
    <row r="115" spans="1:18" s="140" customFormat="1" x14ac:dyDescent="0.3">
      <c r="A115" s="137">
        <v>108</v>
      </c>
      <c r="B115" s="10" t="s">
        <v>228</v>
      </c>
      <c r="C115" s="137" t="s">
        <v>111</v>
      </c>
      <c r="D115" s="137" t="s">
        <v>224</v>
      </c>
      <c r="E115" s="134">
        <f>SUMIFS(XUẤT!P:P,XUẤT!N:N,CBCNV!B115,XUẤT!O:O,CBCNV!$E$2)</f>
        <v>0</v>
      </c>
      <c r="F115" s="139">
        <f t="shared" si="19"/>
        <v>0</v>
      </c>
      <c r="G115" s="134">
        <f>SUMIFS(XUẤT!Q:Q,XUẤT!N:N,CBCNV!B115,XUẤT!O:O,CBCNV!$G$2)</f>
        <v>0</v>
      </c>
      <c r="H115" s="138">
        <f t="shared" si="20"/>
        <v>0</v>
      </c>
      <c r="I115" s="134">
        <f>SUMIFS(XUẤT!R:R,XUẤT!N:N,CBCNV!B115,XUẤT!O:O,CBCNV!$I$2)</f>
        <v>0</v>
      </c>
      <c r="J115" s="139">
        <f t="shared" si="21"/>
        <v>0</v>
      </c>
      <c r="K115" s="134">
        <f>SUMIFS(XUẤT!S:S,XUẤT!N:N,CBCNV!B115,XUẤT!O:O,CBCNV!$K$2)</f>
        <v>0</v>
      </c>
      <c r="L115" s="139">
        <f t="shared" si="22"/>
        <v>0</v>
      </c>
      <c r="M115" s="134">
        <f>SUMIFS(XUẤT!T:T,XUẤT!N:N,CBCNV!B115,XUẤT!O:O,CBCNV!$M$2)</f>
        <v>0</v>
      </c>
      <c r="N115" s="139">
        <f t="shared" si="23"/>
        <v>0</v>
      </c>
      <c r="O115" s="134">
        <f>SUMIFS(XUẤT!U:U,XUẤT!N:N,CBCNV!B115,XUẤT!O:O,CBCNV!$O$2)</f>
        <v>0</v>
      </c>
      <c r="P115" s="139">
        <f t="shared" si="24"/>
        <v>0</v>
      </c>
      <c r="Q115" s="32"/>
      <c r="R115" s="18"/>
    </row>
    <row r="116" spans="1:18" s="140" customFormat="1" x14ac:dyDescent="0.3">
      <c r="A116" s="137">
        <v>109</v>
      </c>
      <c r="B116" s="10" t="s">
        <v>229</v>
      </c>
      <c r="C116" s="137" t="s">
        <v>111</v>
      </c>
      <c r="D116" s="137" t="s">
        <v>224</v>
      </c>
      <c r="E116" s="134">
        <f>SUMIFS(XUẤT!P:P,XUẤT!N:N,CBCNV!B116,XUẤT!O:O,CBCNV!$E$2)</f>
        <v>0</v>
      </c>
      <c r="F116" s="139">
        <f t="shared" si="19"/>
        <v>0</v>
      </c>
      <c r="G116" s="134">
        <f>SUMIFS(XUẤT!Q:Q,XUẤT!N:N,CBCNV!B116,XUẤT!O:O,CBCNV!$G$2)</f>
        <v>0</v>
      </c>
      <c r="H116" s="138">
        <f t="shared" si="20"/>
        <v>0</v>
      </c>
      <c r="I116" s="134">
        <f>SUMIFS(XUẤT!R:R,XUẤT!N:N,CBCNV!B116,XUẤT!O:O,CBCNV!$I$2)</f>
        <v>0</v>
      </c>
      <c r="J116" s="139">
        <f t="shared" si="21"/>
        <v>0</v>
      </c>
      <c r="K116" s="134">
        <f>SUMIFS(XUẤT!S:S,XUẤT!N:N,CBCNV!B116,XUẤT!O:O,CBCNV!$K$2)</f>
        <v>0</v>
      </c>
      <c r="L116" s="139">
        <f t="shared" si="22"/>
        <v>0</v>
      </c>
      <c r="M116" s="134">
        <f>SUMIFS(XUẤT!T:T,XUẤT!N:N,CBCNV!B116,XUẤT!O:O,CBCNV!$M$2)</f>
        <v>0</v>
      </c>
      <c r="N116" s="139">
        <f t="shared" si="23"/>
        <v>0</v>
      </c>
      <c r="O116" s="134">
        <f>SUMIFS(XUẤT!U:U,XUẤT!N:N,CBCNV!B116,XUẤT!O:O,CBCNV!$O$2)</f>
        <v>0</v>
      </c>
      <c r="P116" s="139">
        <f t="shared" si="24"/>
        <v>0</v>
      </c>
      <c r="Q116" s="32"/>
      <c r="R116" s="18"/>
    </row>
    <row r="117" spans="1:18" s="140" customFormat="1" x14ac:dyDescent="0.3">
      <c r="A117" s="137">
        <v>110</v>
      </c>
      <c r="B117" s="10" t="s">
        <v>230</v>
      </c>
      <c r="C117" s="137" t="s">
        <v>111</v>
      </c>
      <c r="D117" s="137" t="s">
        <v>224</v>
      </c>
      <c r="E117" s="134">
        <f>SUMIFS(XUẤT!P:P,XUẤT!N:N,CBCNV!B117,XUẤT!O:O,CBCNV!$E$2)</f>
        <v>10</v>
      </c>
      <c r="F117" s="139">
        <f t="shared" si="19"/>
        <v>980000</v>
      </c>
      <c r="G117" s="134">
        <f>SUMIFS(XUẤT!Q:Q,XUẤT!N:N,CBCNV!B117,XUẤT!O:O,CBCNV!$G$2)</f>
        <v>0</v>
      </c>
      <c r="H117" s="138">
        <f t="shared" si="20"/>
        <v>0</v>
      </c>
      <c r="I117" s="134">
        <f>SUMIFS(XUẤT!R:R,XUẤT!N:N,CBCNV!B117,XUẤT!O:O,CBCNV!$I$2)</f>
        <v>0</v>
      </c>
      <c r="J117" s="139">
        <f t="shared" si="21"/>
        <v>0</v>
      </c>
      <c r="K117" s="134">
        <f>SUMIFS(XUẤT!S:S,XUẤT!N:N,CBCNV!B117,XUẤT!O:O,CBCNV!$K$2)</f>
        <v>0</v>
      </c>
      <c r="L117" s="139">
        <f t="shared" si="22"/>
        <v>0</v>
      </c>
      <c r="M117" s="134">
        <f>SUMIFS(XUẤT!T:T,XUẤT!N:N,CBCNV!B117,XUẤT!O:O,CBCNV!$M$2)</f>
        <v>0</v>
      </c>
      <c r="N117" s="139">
        <f t="shared" si="23"/>
        <v>0</v>
      </c>
      <c r="O117" s="134">
        <f>SUMIFS(XUẤT!U:U,XUẤT!N:N,CBCNV!B117,XUẤT!O:O,CBCNV!$O$2)</f>
        <v>0</v>
      </c>
      <c r="P117" s="139">
        <f t="shared" si="24"/>
        <v>0</v>
      </c>
      <c r="Q117" s="32"/>
      <c r="R117" s="18"/>
    </row>
    <row r="118" spans="1:18" s="140" customFormat="1" x14ac:dyDescent="0.3">
      <c r="A118" s="137">
        <v>111</v>
      </c>
      <c r="B118" s="10" t="s">
        <v>231</v>
      </c>
      <c r="C118" s="137" t="s">
        <v>111</v>
      </c>
      <c r="D118" s="137" t="s">
        <v>224</v>
      </c>
      <c r="E118" s="134">
        <f>SUMIFS(XUẤT!P:P,XUẤT!N:N,CBCNV!B118,XUẤT!O:O,CBCNV!$E$2)</f>
        <v>0</v>
      </c>
      <c r="F118" s="139">
        <f t="shared" si="19"/>
        <v>0</v>
      </c>
      <c r="G118" s="134">
        <f>SUMIFS(XUẤT!Q:Q,XUẤT!N:N,CBCNV!B118,XUẤT!O:O,CBCNV!$G$2)</f>
        <v>0</v>
      </c>
      <c r="H118" s="138">
        <f t="shared" si="20"/>
        <v>0</v>
      </c>
      <c r="I118" s="134">
        <f>SUMIFS(XUẤT!R:R,XUẤT!N:N,CBCNV!B118,XUẤT!O:O,CBCNV!$I$2)</f>
        <v>0</v>
      </c>
      <c r="J118" s="139">
        <f t="shared" si="21"/>
        <v>0</v>
      </c>
      <c r="K118" s="134">
        <f>SUMIFS(XUẤT!S:S,XUẤT!N:N,CBCNV!B118,XUẤT!O:O,CBCNV!$K$2)</f>
        <v>0</v>
      </c>
      <c r="L118" s="139">
        <f t="shared" si="22"/>
        <v>0</v>
      </c>
      <c r="M118" s="134">
        <f>SUMIFS(XUẤT!T:T,XUẤT!N:N,CBCNV!B118,XUẤT!O:O,CBCNV!$M$2)</f>
        <v>0</v>
      </c>
      <c r="N118" s="139">
        <f t="shared" si="23"/>
        <v>0</v>
      </c>
      <c r="O118" s="134">
        <f>SUMIFS(XUẤT!U:U,XUẤT!N:N,CBCNV!B118,XUẤT!O:O,CBCNV!$O$2)</f>
        <v>0</v>
      </c>
      <c r="P118" s="139">
        <f t="shared" si="24"/>
        <v>0</v>
      </c>
      <c r="Q118" s="32"/>
      <c r="R118" s="18"/>
    </row>
    <row r="119" spans="1:18" s="140" customFormat="1" x14ac:dyDescent="0.3">
      <c r="A119" s="137">
        <v>112</v>
      </c>
      <c r="B119" s="10" t="s">
        <v>232</v>
      </c>
      <c r="C119" s="137" t="s">
        <v>180</v>
      </c>
      <c r="D119" s="137" t="s">
        <v>224</v>
      </c>
      <c r="E119" s="134">
        <f>SUMIFS(XUẤT!P:P,XUẤT!N:N,CBCNV!B119,XUẤT!O:O,CBCNV!$E$2)</f>
        <v>15</v>
      </c>
      <c r="F119" s="139">
        <f t="shared" si="19"/>
        <v>1470000</v>
      </c>
      <c r="G119" s="134">
        <f>SUMIFS(XUẤT!Q:Q,XUẤT!N:N,CBCNV!B119,XUẤT!O:O,CBCNV!$G$2)</f>
        <v>5</v>
      </c>
      <c r="H119" s="138">
        <f t="shared" si="20"/>
        <v>425000</v>
      </c>
      <c r="I119" s="134">
        <f>SUMIFS(XUẤT!R:R,XUẤT!N:N,CBCNV!B119,XUẤT!O:O,CBCNV!$I$2)</f>
        <v>0</v>
      </c>
      <c r="J119" s="139">
        <f t="shared" si="21"/>
        <v>0</v>
      </c>
      <c r="K119" s="134">
        <f>SUMIFS(XUẤT!S:S,XUẤT!N:N,CBCNV!B119,XUẤT!O:O,CBCNV!$K$2)</f>
        <v>0</v>
      </c>
      <c r="L119" s="139">
        <f t="shared" si="22"/>
        <v>0</v>
      </c>
      <c r="M119" s="134">
        <f>SUMIFS(XUẤT!T:T,XUẤT!N:N,CBCNV!B119,XUẤT!O:O,CBCNV!$M$2)</f>
        <v>0</v>
      </c>
      <c r="N119" s="139">
        <f t="shared" si="23"/>
        <v>0</v>
      </c>
      <c r="O119" s="134">
        <f>SUMIFS(XUẤT!U:U,XUẤT!N:N,CBCNV!B119,XUẤT!O:O,CBCNV!$O$2)</f>
        <v>0</v>
      </c>
      <c r="P119" s="139">
        <f t="shared" si="24"/>
        <v>0</v>
      </c>
      <c r="Q119" s="32"/>
      <c r="R119" s="18"/>
    </row>
    <row r="120" spans="1:18" s="140" customFormat="1" x14ac:dyDescent="0.3">
      <c r="A120" s="137">
        <v>113</v>
      </c>
      <c r="B120" s="10" t="s">
        <v>59</v>
      </c>
      <c r="C120" s="137" t="s">
        <v>180</v>
      </c>
      <c r="D120" s="137" t="s">
        <v>224</v>
      </c>
      <c r="E120" s="134">
        <f>SUMIFS(XUẤT!P:P,XUẤT!N:N,CBCNV!B120,XUẤT!O:O,CBCNV!$E$2)</f>
        <v>0</v>
      </c>
      <c r="F120" s="139">
        <f t="shared" si="19"/>
        <v>0</v>
      </c>
      <c r="G120" s="134">
        <f>SUMIFS(XUẤT!Q:Q,XUẤT!N:N,CBCNV!B120,XUẤT!O:O,CBCNV!$G$2)</f>
        <v>0</v>
      </c>
      <c r="H120" s="138">
        <f t="shared" si="20"/>
        <v>0</v>
      </c>
      <c r="I120" s="134">
        <f>SUMIFS(XUẤT!R:R,XUẤT!N:N,CBCNV!B120,XUẤT!O:O,CBCNV!$I$2)</f>
        <v>0</v>
      </c>
      <c r="J120" s="139">
        <f t="shared" si="21"/>
        <v>0</v>
      </c>
      <c r="K120" s="134">
        <f>SUMIFS(XUẤT!S:S,XUẤT!N:N,CBCNV!B120,XUẤT!O:O,CBCNV!$K$2)</f>
        <v>0</v>
      </c>
      <c r="L120" s="139">
        <f t="shared" si="22"/>
        <v>0</v>
      </c>
      <c r="M120" s="134">
        <f>SUMIFS(XUẤT!T:T,XUẤT!N:N,CBCNV!B120,XUẤT!O:O,CBCNV!$M$2)</f>
        <v>10</v>
      </c>
      <c r="N120" s="139">
        <f t="shared" si="23"/>
        <v>520000</v>
      </c>
      <c r="O120" s="134">
        <f>SUMIFS(XUẤT!U:U,XUẤT!N:N,CBCNV!B120,XUẤT!O:O,CBCNV!$O$2)</f>
        <v>5</v>
      </c>
      <c r="P120" s="139">
        <f t="shared" si="24"/>
        <v>240000</v>
      </c>
      <c r="Q120" s="32"/>
      <c r="R120" s="18"/>
    </row>
    <row r="121" spans="1:18" s="140" customFormat="1" x14ac:dyDescent="0.3">
      <c r="A121" s="137">
        <v>114</v>
      </c>
      <c r="B121" s="10" t="s">
        <v>233</v>
      </c>
      <c r="C121" s="137" t="s">
        <v>180</v>
      </c>
      <c r="D121" s="137" t="s">
        <v>224</v>
      </c>
      <c r="E121" s="134">
        <f>SUMIFS(XUẤT!P:P,XUẤT!N:N,CBCNV!B121,XUẤT!O:O,CBCNV!$E$2)</f>
        <v>0</v>
      </c>
      <c r="F121" s="139">
        <f t="shared" si="19"/>
        <v>0</v>
      </c>
      <c r="G121" s="134">
        <f>SUMIFS(XUẤT!Q:Q,XUẤT!N:N,CBCNV!B121,XUẤT!O:O,CBCNV!$G$2)</f>
        <v>0</v>
      </c>
      <c r="H121" s="138">
        <f t="shared" si="20"/>
        <v>0</v>
      </c>
      <c r="I121" s="134">
        <f>SUMIFS(XUẤT!R:R,XUẤT!N:N,CBCNV!B121,XUẤT!O:O,CBCNV!$I$2)</f>
        <v>0</v>
      </c>
      <c r="J121" s="139">
        <f t="shared" si="21"/>
        <v>0</v>
      </c>
      <c r="K121" s="134">
        <f>SUMIFS(XUẤT!S:S,XUẤT!N:N,CBCNV!B121,XUẤT!O:O,CBCNV!$K$2)</f>
        <v>0</v>
      </c>
      <c r="L121" s="139">
        <f t="shared" si="22"/>
        <v>0</v>
      </c>
      <c r="M121" s="134">
        <f>SUMIFS(XUẤT!T:T,XUẤT!N:N,CBCNV!B121,XUẤT!O:O,CBCNV!$M$2)</f>
        <v>0</v>
      </c>
      <c r="N121" s="139">
        <f t="shared" si="23"/>
        <v>0</v>
      </c>
      <c r="O121" s="134">
        <f>SUMIFS(XUẤT!U:U,XUẤT!N:N,CBCNV!B121,XUẤT!O:O,CBCNV!$O$2)</f>
        <v>0</v>
      </c>
      <c r="P121" s="139">
        <f t="shared" si="24"/>
        <v>0</v>
      </c>
      <c r="Q121" s="32"/>
      <c r="R121" s="18"/>
    </row>
    <row r="122" spans="1:18" s="140" customFormat="1" x14ac:dyDescent="0.3">
      <c r="A122" s="137">
        <v>115</v>
      </c>
      <c r="B122" s="10" t="s">
        <v>234</v>
      </c>
      <c r="C122" s="137" t="s">
        <v>180</v>
      </c>
      <c r="D122" s="137" t="s">
        <v>224</v>
      </c>
      <c r="E122" s="134">
        <f>SUMIFS(XUẤT!P:P,XUẤT!N:N,CBCNV!B122,XUẤT!O:O,CBCNV!$E$2)</f>
        <v>0</v>
      </c>
      <c r="F122" s="139">
        <f t="shared" si="19"/>
        <v>0</v>
      </c>
      <c r="G122" s="134">
        <f>SUMIFS(XUẤT!Q:Q,XUẤT!N:N,CBCNV!B122,XUẤT!O:O,CBCNV!$G$2)</f>
        <v>0</v>
      </c>
      <c r="H122" s="138">
        <f t="shared" si="20"/>
        <v>0</v>
      </c>
      <c r="I122" s="134">
        <f>SUMIFS(XUẤT!R:R,XUẤT!N:N,CBCNV!B122,XUẤT!O:O,CBCNV!$I$2)</f>
        <v>0</v>
      </c>
      <c r="J122" s="139">
        <f t="shared" si="21"/>
        <v>0</v>
      </c>
      <c r="K122" s="134">
        <f>SUMIFS(XUẤT!S:S,XUẤT!N:N,CBCNV!B122,XUẤT!O:O,CBCNV!$K$2)</f>
        <v>0</v>
      </c>
      <c r="L122" s="139">
        <f t="shared" si="22"/>
        <v>0</v>
      </c>
      <c r="M122" s="134">
        <f>SUMIFS(XUẤT!T:T,XUẤT!N:N,CBCNV!B122,XUẤT!O:O,CBCNV!$M$2)</f>
        <v>0</v>
      </c>
      <c r="N122" s="139">
        <f t="shared" si="23"/>
        <v>0</v>
      </c>
      <c r="O122" s="134">
        <f>SUMIFS(XUẤT!U:U,XUẤT!N:N,CBCNV!B122,XUẤT!O:O,CBCNV!$O$2)</f>
        <v>0</v>
      </c>
      <c r="P122" s="139">
        <f t="shared" si="24"/>
        <v>0</v>
      </c>
      <c r="Q122" s="32"/>
      <c r="R122" s="18"/>
    </row>
    <row r="123" spans="1:18" s="140" customFormat="1" x14ac:dyDescent="0.3">
      <c r="A123" s="137">
        <v>116</v>
      </c>
      <c r="B123" s="10" t="s">
        <v>235</v>
      </c>
      <c r="C123" s="137" t="s">
        <v>180</v>
      </c>
      <c r="D123" s="137" t="s">
        <v>224</v>
      </c>
      <c r="E123" s="134">
        <f>SUMIFS(XUẤT!P:P,XUẤT!N:N,CBCNV!B123,XUẤT!O:O,CBCNV!$E$2)</f>
        <v>43</v>
      </c>
      <c r="F123" s="139">
        <f t="shared" si="19"/>
        <v>4214000</v>
      </c>
      <c r="G123" s="134">
        <f>SUMIFS(XUẤT!Q:Q,XUẤT!N:N,CBCNV!B123,XUẤT!O:O,CBCNV!$G$2)</f>
        <v>0</v>
      </c>
      <c r="H123" s="138">
        <f t="shared" si="20"/>
        <v>0</v>
      </c>
      <c r="I123" s="134">
        <f>SUMIFS(XUẤT!R:R,XUẤT!N:N,CBCNV!B123,XUẤT!O:O,CBCNV!$I$2)</f>
        <v>0</v>
      </c>
      <c r="J123" s="139">
        <f t="shared" si="21"/>
        <v>0</v>
      </c>
      <c r="K123" s="134">
        <f>SUMIFS(XUẤT!S:S,XUẤT!N:N,CBCNV!B123,XUẤT!O:O,CBCNV!$K$2)</f>
        <v>0</v>
      </c>
      <c r="L123" s="139">
        <f t="shared" si="22"/>
        <v>0</v>
      </c>
      <c r="M123" s="134">
        <f>SUMIFS(XUẤT!T:T,XUẤT!N:N,CBCNV!B123,XUẤT!O:O,CBCNV!$M$2)</f>
        <v>0</v>
      </c>
      <c r="N123" s="139">
        <f t="shared" si="23"/>
        <v>0</v>
      </c>
      <c r="O123" s="134">
        <f>SUMIFS(XUẤT!U:U,XUẤT!N:N,CBCNV!B123,XUẤT!O:O,CBCNV!$O$2)</f>
        <v>0</v>
      </c>
      <c r="P123" s="139">
        <f t="shared" si="24"/>
        <v>0</v>
      </c>
      <c r="Q123" s="32"/>
      <c r="R123" s="18"/>
    </row>
    <row r="124" spans="1:18" s="140" customFormat="1" x14ac:dyDescent="0.3">
      <c r="A124" s="137">
        <v>117</v>
      </c>
      <c r="B124" s="10" t="s">
        <v>236</v>
      </c>
      <c r="C124" s="137" t="s">
        <v>180</v>
      </c>
      <c r="D124" s="137" t="s">
        <v>224</v>
      </c>
      <c r="E124" s="134">
        <f>SUMIFS(XUẤT!P:P,XUẤT!N:N,CBCNV!B124,XUẤT!O:O,CBCNV!$E$2)</f>
        <v>0</v>
      </c>
      <c r="F124" s="139">
        <f t="shared" si="19"/>
        <v>0</v>
      </c>
      <c r="G124" s="134">
        <f>SUMIFS(XUẤT!Q:Q,XUẤT!N:N,CBCNV!B124,XUẤT!O:O,CBCNV!$G$2)</f>
        <v>0</v>
      </c>
      <c r="H124" s="138">
        <f t="shared" si="20"/>
        <v>0</v>
      </c>
      <c r="I124" s="134">
        <f>SUMIFS(XUẤT!R:R,XUẤT!N:N,CBCNV!B124,XUẤT!O:O,CBCNV!$I$2)</f>
        <v>0</v>
      </c>
      <c r="J124" s="139">
        <f t="shared" si="21"/>
        <v>0</v>
      </c>
      <c r="K124" s="134">
        <f>SUMIFS(XUẤT!S:S,XUẤT!N:N,CBCNV!B124,XUẤT!O:O,CBCNV!$K$2)</f>
        <v>0</v>
      </c>
      <c r="L124" s="139">
        <f t="shared" si="22"/>
        <v>0</v>
      </c>
      <c r="M124" s="134">
        <f>SUMIFS(XUẤT!T:T,XUẤT!N:N,CBCNV!B124,XUẤT!O:O,CBCNV!$M$2)</f>
        <v>0</v>
      </c>
      <c r="N124" s="139">
        <f t="shared" si="23"/>
        <v>0</v>
      </c>
      <c r="O124" s="134">
        <f>SUMIFS(XUẤT!U:U,XUẤT!N:N,CBCNV!B124,XUẤT!O:O,CBCNV!$O$2)</f>
        <v>0</v>
      </c>
      <c r="P124" s="139">
        <f t="shared" si="24"/>
        <v>0</v>
      </c>
      <c r="Q124" s="32"/>
      <c r="R124" s="18"/>
    </row>
    <row r="125" spans="1:18" s="140" customFormat="1" x14ac:dyDescent="0.3">
      <c r="A125" s="137">
        <v>118</v>
      </c>
      <c r="B125" s="10" t="s">
        <v>237</v>
      </c>
      <c r="C125" s="137" t="s">
        <v>180</v>
      </c>
      <c r="D125" s="137" t="s">
        <v>224</v>
      </c>
      <c r="E125" s="134">
        <f>SUMIFS(XUẤT!P:P,XUẤT!N:N,CBCNV!B125,XUẤT!O:O,CBCNV!$E$2)</f>
        <v>0</v>
      </c>
      <c r="F125" s="139">
        <f t="shared" si="19"/>
        <v>0</v>
      </c>
      <c r="G125" s="134">
        <f>SUMIFS(XUẤT!Q:Q,XUẤT!N:N,CBCNV!B125,XUẤT!O:O,CBCNV!$G$2)</f>
        <v>0</v>
      </c>
      <c r="H125" s="138">
        <f t="shared" si="20"/>
        <v>0</v>
      </c>
      <c r="I125" s="134">
        <f>SUMIFS(XUẤT!R:R,XUẤT!N:N,CBCNV!B125,XUẤT!O:O,CBCNV!$I$2)</f>
        <v>0</v>
      </c>
      <c r="J125" s="139">
        <f t="shared" si="21"/>
        <v>0</v>
      </c>
      <c r="K125" s="134">
        <f>SUMIFS(XUẤT!S:S,XUẤT!N:N,CBCNV!B125,XUẤT!O:O,CBCNV!$K$2)</f>
        <v>0</v>
      </c>
      <c r="L125" s="139">
        <f t="shared" si="22"/>
        <v>0</v>
      </c>
      <c r="M125" s="134">
        <f>SUMIFS(XUẤT!T:T,XUẤT!N:N,CBCNV!B125,XUẤT!O:O,CBCNV!$M$2)</f>
        <v>0</v>
      </c>
      <c r="N125" s="139">
        <f t="shared" si="23"/>
        <v>0</v>
      </c>
      <c r="O125" s="134">
        <f>SUMIFS(XUẤT!U:U,XUẤT!N:N,CBCNV!B125,XUẤT!O:O,CBCNV!$O$2)</f>
        <v>0</v>
      </c>
      <c r="P125" s="139">
        <f t="shared" si="24"/>
        <v>0</v>
      </c>
      <c r="Q125" s="32"/>
      <c r="R125" s="18"/>
    </row>
    <row r="126" spans="1:18" s="140" customFormat="1" x14ac:dyDescent="0.3">
      <c r="A126" s="137">
        <v>119</v>
      </c>
      <c r="B126" s="10" t="s">
        <v>238</v>
      </c>
      <c r="C126" s="137" t="s">
        <v>199</v>
      </c>
      <c r="D126" s="137" t="s">
        <v>224</v>
      </c>
      <c r="E126" s="134">
        <f>SUMIFS(XUẤT!P:P,XUẤT!N:N,CBCNV!B126,XUẤT!O:O,CBCNV!$E$2)</f>
        <v>0</v>
      </c>
      <c r="F126" s="139">
        <f t="shared" si="19"/>
        <v>0</v>
      </c>
      <c r="G126" s="134">
        <f>SUMIFS(XUẤT!Q:Q,XUẤT!N:N,CBCNV!B126,XUẤT!O:O,CBCNV!$G$2)</f>
        <v>10</v>
      </c>
      <c r="H126" s="138">
        <f t="shared" si="20"/>
        <v>850000</v>
      </c>
      <c r="I126" s="134">
        <f>SUMIFS(XUẤT!R:R,XUẤT!N:N,CBCNV!B126,XUẤT!O:O,CBCNV!$I$2)</f>
        <v>0</v>
      </c>
      <c r="J126" s="139">
        <f t="shared" si="21"/>
        <v>0</v>
      </c>
      <c r="K126" s="134">
        <f>SUMIFS(XUẤT!S:S,XUẤT!N:N,CBCNV!B126,XUẤT!O:O,CBCNV!$K$2)</f>
        <v>0</v>
      </c>
      <c r="L126" s="139">
        <f t="shared" si="22"/>
        <v>0</v>
      </c>
      <c r="M126" s="134">
        <f>SUMIFS(XUẤT!T:T,XUẤT!N:N,CBCNV!B126,XUẤT!O:O,CBCNV!$M$2)</f>
        <v>0</v>
      </c>
      <c r="N126" s="139">
        <f t="shared" si="23"/>
        <v>0</v>
      </c>
      <c r="O126" s="134">
        <f>SUMIFS(XUẤT!U:U,XUẤT!N:N,CBCNV!B126,XUẤT!O:O,CBCNV!$O$2)</f>
        <v>0</v>
      </c>
      <c r="P126" s="139">
        <f t="shared" si="24"/>
        <v>0</v>
      </c>
      <c r="Q126" s="32"/>
      <c r="R126" s="18"/>
    </row>
    <row r="127" spans="1:18" s="140" customFormat="1" x14ac:dyDescent="0.3">
      <c r="A127" s="137">
        <v>120</v>
      </c>
      <c r="B127" s="10" t="s">
        <v>239</v>
      </c>
      <c r="C127" s="137" t="s">
        <v>195</v>
      </c>
      <c r="D127" s="137" t="s">
        <v>224</v>
      </c>
      <c r="E127" s="134">
        <f>SUMIFS(XUẤT!P:P,XUẤT!N:N,CBCNV!B127,XUẤT!O:O,CBCNV!$E$2)</f>
        <v>8</v>
      </c>
      <c r="F127" s="139">
        <f t="shared" si="19"/>
        <v>784000</v>
      </c>
      <c r="G127" s="134">
        <f>SUMIFS(XUẤT!Q:Q,XUẤT!N:N,CBCNV!B127,XUẤT!O:O,CBCNV!$G$2)</f>
        <v>0</v>
      </c>
      <c r="H127" s="138">
        <f t="shared" si="20"/>
        <v>0</v>
      </c>
      <c r="I127" s="134">
        <f>SUMIFS(XUẤT!R:R,XUẤT!N:N,CBCNV!B127,XUẤT!O:O,CBCNV!$I$2)</f>
        <v>0</v>
      </c>
      <c r="J127" s="139">
        <f t="shared" si="21"/>
        <v>0</v>
      </c>
      <c r="K127" s="134">
        <f>SUMIFS(XUẤT!S:S,XUẤT!N:N,CBCNV!B127,XUẤT!O:O,CBCNV!$K$2)</f>
        <v>0</v>
      </c>
      <c r="L127" s="139">
        <f t="shared" si="22"/>
        <v>0</v>
      </c>
      <c r="M127" s="134">
        <f>SUMIFS(XUẤT!T:T,XUẤT!N:N,CBCNV!B127,XUẤT!O:O,CBCNV!$M$2)</f>
        <v>0</v>
      </c>
      <c r="N127" s="139">
        <f t="shared" si="23"/>
        <v>0</v>
      </c>
      <c r="O127" s="134">
        <f>SUMIFS(XUẤT!U:U,XUẤT!N:N,CBCNV!B127,XUẤT!O:O,CBCNV!$O$2)</f>
        <v>0</v>
      </c>
      <c r="P127" s="139">
        <f t="shared" si="24"/>
        <v>0</v>
      </c>
      <c r="Q127" s="32"/>
      <c r="R127" s="18"/>
    </row>
    <row r="128" spans="1:18" s="140" customFormat="1" x14ac:dyDescent="0.3">
      <c r="A128" s="137">
        <v>121</v>
      </c>
      <c r="B128" s="10" t="s">
        <v>240</v>
      </c>
      <c r="C128" s="137" t="s">
        <v>195</v>
      </c>
      <c r="D128" s="137" t="s">
        <v>224</v>
      </c>
      <c r="E128" s="134">
        <f>SUMIFS(XUẤT!P:P,XUẤT!N:N,CBCNV!B128,XUẤT!O:O,CBCNV!$E$2)</f>
        <v>0</v>
      </c>
      <c r="F128" s="139">
        <f t="shared" si="19"/>
        <v>0</v>
      </c>
      <c r="G128" s="134">
        <f>SUMIFS(XUẤT!Q:Q,XUẤT!N:N,CBCNV!B128,XUẤT!O:O,CBCNV!$G$2)</f>
        <v>0</v>
      </c>
      <c r="H128" s="138">
        <f t="shared" si="20"/>
        <v>0</v>
      </c>
      <c r="I128" s="134">
        <f>SUMIFS(XUẤT!R:R,XUẤT!N:N,CBCNV!B128,XUẤT!O:O,CBCNV!$I$2)</f>
        <v>0</v>
      </c>
      <c r="J128" s="139">
        <f t="shared" si="21"/>
        <v>0</v>
      </c>
      <c r="K128" s="134">
        <f>SUMIFS(XUẤT!S:S,XUẤT!N:N,CBCNV!B128,XUẤT!O:O,CBCNV!$K$2)</f>
        <v>0</v>
      </c>
      <c r="L128" s="139">
        <f t="shared" si="22"/>
        <v>0</v>
      </c>
      <c r="M128" s="134">
        <f>SUMIFS(XUẤT!T:T,XUẤT!N:N,CBCNV!B128,XUẤT!O:O,CBCNV!$M$2)</f>
        <v>0</v>
      </c>
      <c r="N128" s="139">
        <f t="shared" si="23"/>
        <v>0</v>
      </c>
      <c r="O128" s="134">
        <f>SUMIFS(XUẤT!U:U,XUẤT!N:N,CBCNV!B128,XUẤT!O:O,CBCNV!$O$2)</f>
        <v>0</v>
      </c>
      <c r="P128" s="139">
        <f t="shared" si="24"/>
        <v>0</v>
      </c>
      <c r="Q128" s="32"/>
      <c r="R128" s="18"/>
    </row>
    <row r="129" spans="1:20" s="140" customFormat="1" x14ac:dyDescent="0.3">
      <c r="A129" s="137">
        <v>122</v>
      </c>
      <c r="B129" s="10" t="s">
        <v>241</v>
      </c>
      <c r="C129" s="137" t="s">
        <v>199</v>
      </c>
      <c r="D129" s="137" t="s">
        <v>224</v>
      </c>
      <c r="E129" s="134">
        <f>SUMIFS(XUẤT!P:P,XUẤT!N:N,CBCNV!B129,XUẤT!O:O,CBCNV!$E$2)</f>
        <v>4</v>
      </c>
      <c r="F129" s="139">
        <f t="shared" si="19"/>
        <v>392000</v>
      </c>
      <c r="G129" s="134">
        <f>SUMIFS(XUẤT!Q:Q,XUẤT!N:N,CBCNV!B129,XUẤT!O:O,CBCNV!$G$2)</f>
        <v>0</v>
      </c>
      <c r="H129" s="138">
        <f t="shared" si="20"/>
        <v>0</v>
      </c>
      <c r="I129" s="134">
        <f>SUMIFS(XUẤT!R:R,XUẤT!N:N,CBCNV!B129,XUẤT!O:O,CBCNV!$I$2)</f>
        <v>0</v>
      </c>
      <c r="J129" s="139">
        <f t="shared" si="21"/>
        <v>0</v>
      </c>
      <c r="K129" s="134">
        <f>SUMIFS(XUẤT!S:S,XUẤT!N:N,CBCNV!B129,XUẤT!O:O,CBCNV!$K$2)</f>
        <v>0</v>
      </c>
      <c r="L129" s="139">
        <f t="shared" si="22"/>
        <v>0</v>
      </c>
      <c r="M129" s="134">
        <f>SUMIFS(XUẤT!T:T,XUẤT!N:N,CBCNV!B129,XUẤT!O:O,CBCNV!$M$2)</f>
        <v>0</v>
      </c>
      <c r="N129" s="139">
        <f t="shared" si="23"/>
        <v>0</v>
      </c>
      <c r="O129" s="134">
        <f>SUMIFS(XUẤT!U:U,XUẤT!N:N,CBCNV!B129,XUẤT!O:O,CBCNV!$O$2)</f>
        <v>0</v>
      </c>
      <c r="P129" s="139">
        <f t="shared" si="24"/>
        <v>0</v>
      </c>
      <c r="Q129" s="32"/>
      <c r="R129" s="18"/>
    </row>
    <row r="130" spans="1:20" s="140" customFormat="1" x14ac:dyDescent="0.3">
      <c r="A130" s="137">
        <v>123</v>
      </c>
      <c r="B130" s="10" t="s">
        <v>242</v>
      </c>
      <c r="C130" s="137" t="s">
        <v>195</v>
      </c>
      <c r="D130" s="137" t="s">
        <v>224</v>
      </c>
      <c r="E130" s="134">
        <f>SUMIFS(XUẤT!P:P,XUẤT!N:N,CBCNV!B130,XUẤT!O:O,CBCNV!$E$2)</f>
        <v>0</v>
      </c>
      <c r="F130" s="139">
        <f t="shared" si="19"/>
        <v>0</v>
      </c>
      <c r="G130" s="134">
        <f>SUMIFS(XUẤT!Q:Q,XUẤT!N:N,CBCNV!B130,XUẤT!O:O,CBCNV!$G$2)</f>
        <v>0</v>
      </c>
      <c r="H130" s="138">
        <f t="shared" si="20"/>
        <v>0</v>
      </c>
      <c r="I130" s="134">
        <f>SUMIFS(XUẤT!R:R,XUẤT!N:N,CBCNV!B130,XUẤT!O:O,CBCNV!$I$2)</f>
        <v>0</v>
      </c>
      <c r="J130" s="139">
        <f t="shared" si="21"/>
        <v>0</v>
      </c>
      <c r="K130" s="134">
        <f>SUMIFS(XUẤT!S:S,XUẤT!N:N,CBCNV!B130,XUẤT!O:O,CBCNV!$K$2)</f>
        <v>0</v>
      </c>
      <c r="L130" s="139">
        <f t="shared" si="22"/>
        <v>0</v>
      </c>
      <c r="M130" s="134">
        <f>SUMIFS(XUẤT!T:T,XUẤT!N:N,CBCNV!B130,XUẤT!O:O,CBCNV!$M$2)</f>
        <v>0</v>
      </c>
      <c r="N130" s="139">
        <f t="shared" si="23"/>
        <v>0</v>
      </c>
      <c r="O130" s="134">
        <f>SUMIFS(XUẤT!U:U,XUẤT!N:N,CBCNV!B130,XUẤT!O:O,CBCNV!$O$2)</f>
        <v>0</v>
      </c>
      <c r="P130" s="139">
        <f t="shared" si="24"/>
        <v>0</v>
      </c>
      <c r="Q130" s="32"/>
      <c r="R130" s="18"/>
    </row>
    <row r="131" spans="1:20" s="140" customFormat="1" x14ac:dyDescent="0.3">
      <c r="A131" s="137">
        <v>124</v>
      </c>
      <c r="B131" s="10" t="s">
        <v>243</v>
      </c>
      <c r="C131" s="137" t="s">
        <v>199</v>
      </c>
      <c r="D131" s="137" t="s">
        <v>224</v>
      </c>
      <c r="E131" s="134">
        <f>SUMIFS(XUẤT!P:P,XUẤT!N:N,CBCNV!B131,XUẤT!O:O,CBCNV!$E$2)</f>
        <v>0</v>
      </c>
      <c r="F131" s="139">
        <f t="shared" si="19"/>
        <v>0</v>
      </c>
      <c r="G131" s="134">
        <f>SUMIFS(XUẤT!Q:Q,XUẤT!N:N,CBCNV!B131,XUẤT!O:O,CBCNV!$G$2)</f>
        <v>0</v>
      </c>
      <c r="H131" s="138">
        <f t="shared" si="20"/>
        <v>0</v>
      </c>
      <c r="I131" s="134">
        <f>SUMIFS(XUẤT!R:R,XUẤT!N:N,CBCNV!B131,XUẤT!O:O,CBCNV!$I$2)</f>
        <v>0</v>
      </c>
      <c r="J131" s="139">
        <f t="shared" si="21"/>
        <v>0</v>
      </c>
      <c r="K131" s="134">
        <f>SUMIFS(XUẤT!S:S,XUẤT!N:N,CBCNV!B131,XUẤT!O:O,CBCNV!$K$2)</f>
        <v>0</v>
      </c>
      <c r="L131" s="139">
        <f t="shared" si="22"/>
        <v>0</v>
      </c>
      <c r="M131" s="134">
        <f>SUMIFS(XUẤT!T:T,XUẤT!N:N,CBCNV!B131,XUẤT!O:O,CBCNV!$M$2)</f>
        <v>0</v>
      </c>
      <c r="N131" s="139">
        <f t="shared" si="23"/>
        <v>0</v>
      </c>
      <c r="O131" s="134">
        <f>SUMIFS(XUẤT!U:U,XUẤT!N:N,CBCNV!B131,XUẤT!O:O,CBCNV!$O$2)</f>
        <v>0</v>
      </c>
      <c r="P131" s="139">
        <f t="shared" si="24"/>
        <v>0</v>
      </c>
      <c r="Q131" s="32"/>
      <c r="R131" s="18"/>
    </row>
    <row r="132" spans="1:20" s="140" customFormat="1" x14ac:dyDescent="0.3">
      <c r="A132" s="137">
        <v>125</v>
      </c>
      <c r="B132" s="10" t="s">
        <v>244</v>
      </c>
      <c r="C132" s="137" t="s">
        <v>180</v>
      </c>
      <c r="D132" s="137" t="s">
        <v>224</v>
      </c>
      <c r="E132" s="134">
        <f>SUMIFS(XUẤT!P:P,XUẤT!N:N,CBCNV!B132,XUẤT!O:O,CBCNV!$E$2)</f>
        <v>20</v>
      </c>
      <c r="F132" s="139">
        <f t="shared" si="19"/>
        <v>1960000</v>
      </c>
      <c r="G132" s="134">
        <f>SUMIFS(XUẤT!Q:Q,XUẤT!N:N,CBCNV!B132,XUẤT!O:O,CBCNV!$G$2)</f>
        <v>0</v>
      </c>
      <c r="H132" s="138">
        <f t="shared" si="20"/>
        <v>0</v>
      </c>
      <c r="I132" s="134">
        <f>SUMIFS(XUẤT!R:R,XUẤT!N:N,CBCNV!B132,XUẤT!O:O,CBCNV!$I$2)</f>
        <v>0</v>
      </c>
      <c r="J132" s="139">
        <f t="shared" si="21"/>
        <v>0</v>
      </c>
      <c r="K132" s="134">
        <f>SUMIFS(XUẤT!S:S,XUẤT!N:N,CBCNV!B132,XUẤT!O:O,CBCNV!$K$2)</f>
        <v>0</v>
      </c>
      <c r="L132" s="139">
        <f t="shared" si="22"/>
        <v>0</v>
      </c>
      <c r="M132" s="134">
        <f>SUMIFS(XUẤT!T:T,XUẤT!N:N,CBCNV!B132,XUẤT!O:O,CBCNV!$M$2)</f>
        <v>0</v>
      </c>
      <c r="N132" s="139">
        <f t="shared" si="23"/>
        <v>0</v>
      </c>
      <c r="O132" s="134">
        <f>SUMIFS(XUẤT!U:U,XUẤT!N:N,CBCNV!B132,XUẤT!O:O,CBCNV!$O$2)</f>
        <v>0</v>
      </c>
      <c r="P132" s="139">
        <f t="shared" si="24"/>
        <v>0</v>
      </c>
      <c r="Q132" s="32"/>
      <c r="R132" s="18"/>
    </row>
    <row r="133" spans="1:20" s="136" customFormat="1" x14ac:dyDescent="0.3">
      <c r="A133" s="137">
        <v>126</v>
      </c>
      <c r="B133" s="10" t="s">
        <v>245</v>
      </c>
      <c r="C133" s="137" t="s">
        <v>180</v>
      </c>
      <c r="D133" s="137" t="s">
        <v>224</v>
      </c>
      <c r="E133" s="134">
        <f>SUMIFS(XUẤT!P:P,XUẤT!N:N,CBCNV!B133,XUẤT!O:O,CBCNV!$E$2)</f>
        <v>0</v>
      </c>
      <c r="F133" s="139">
        <f t="shared" si="19"/>
        <v>0</v>
      </c>
      <c r="G133" s="134">
        <f>SUMIFS(XUẤT!Q:Q,XUẤT!N:N,CBCNV!B133,XUẤT!O:O,CBCNV!$G$2)</f>
        <v>0</v>
      </c>
      <c r="H133" s="138">
        <f t="shared" si="20"/>
        <v>0</v>
      </c>
      <c r="I133" s="134">
        <f>SUMIFS(XUẤT!R:R,XUẤT!N:N,CBCNV!B133,XUẤT!O:O,CBCNV!$I$2)</f>
        <v>0</v>
      </c>
      <c r="J133" s="139">
        <f t="shared" si="21"/>
        <v>0</v>
      </c>
      <c r="K133" s="134">
        <f>SUMIFS(XUẤT!S:S,XUẤT!N:N,CBCNV!B133,XUẤT!O:O,CBCNV!$K$2)</f>
        <v>0</v>
      </c>
      <c r="L133" s="139">
        <f t="shared" si="22"/>
        <v>0</v>
      </c>
      <c r="M133" s="134">
        <f>SUMIFS(XUẤT!T:T,XUẤT!N:N,CBCNV!B133,XUẤT!O:O,CBCNV!$M$2)</f>
        <v>0</v>
      </c>
      <c r="N133" s="139">
        <f t="shared" si="23"/>
        <v>0</v>
      </c>
      <c r="O133" s="134">
        <f>SUMIFS(XUẤT!U:U,XUẤT!N:N,CBCNV!B133,XUẤT!O:O,CBCNV!$O$2)</f>
        <v>2</v>
      </c>
      <c r="P133" s="139">
        <f t="shared" si="24"/>
        <v>96000</v>
      </c>
      <c r="Q133" s="32"/>
      <c r="R133" s="18"/>
      <c r="S133" s="140"/>
      <c r="T133" s="140"/>
    </row>
    <row r="134" spans="1:20" s="140" customFormat="1" x14ac:dyDescent="0.3">
      <c r="A134" s="137">
        <v>127</v>
      </c>
      <c r="B134" s="10" t="s">
        <v>246</v>
      </c>
      <c r="C134" s="137" t="s">
        <v>180</v>
      </c>
      <c r="D134" s="137" t="s">
        <v>224</v>
      </c>
      <c r="E134" s="134">
        <f>SUMIFS(XUẤT!P:P,XUẤT!N:N,CBCNV!B134,XUẤT!O:O,CBCNV!$E$2)</f>
        <v>0</v>
      </c>
      <c r="F134" s="139">
        <f t="shared" si="19"/>
        <v>0</v>
      </c>
      <c r="G134" s="134">
        <f>SUMIFS(XUẤT!Q:Q,XUẤT!N:N,CBCNV!B134,XUẤT!O:O,CBCNV!$G$2)</f>
        <v>0</v>
      </c>
      <c r="H134" s="138">
        <f t="shared" si="20"/>
        <v>0</v>
      </c>
      <c r="I134" s="134">
        <f>SUMIFS(XUẤT!R:R,XUẤT!N:N,CBCNV!B134,XUẤT!O:O,CBCNV!$I$2)</f>
        <v>0</v>
      </c>
      <c r="J134" s="139">
        <f t="shared" si="21"/>
        <v>0</v>
      </c>
      <c r="K134" s="134">
        <f>SUMIFS(XUẤT!S:S,XUẤT!N:N,CBCNV!B134,XUẤT!O:O,CBCNV!$K$2)</f>
        <v>0</v>
      </c>
      <c r="L134" s="139">
        <f t="shared" si="22"/>
        <v>0</v>
      </c>
      <c r="M134" s="134">
        <f>SUMIFS(XUẤT!T:T,XUẤT!N:N,CBCNV!B134,XUẤT!O:O,CBCNV!$M$2)</f>
        <v>0</v>
      </c>
      <c r="N134" s="139">
        <f t="shared" si="23"/>
        <v>0</v>
      </c>
      <c r="O134" s="134">
        <f>SUMIFS(XUẤT!U:U,XUẤT!N:N,CBCNV!B134,XUẤT!O:O,CBCNV!$O$2)</f>
        <v>0</v>
      </c>
      <c r="P134" s="139">
        <f t="shared" si="24"/>
        <v>0</v>
      </c>
      <c r="Q134" s="32"/>
      <c r="R134" s="18"/>
    </row>
    <row r="135" spans="1:20" s="140" customFormat="1" x14ac:dyDescent="0.3">
      <c r="A135" s="137">
        <v>128</v>
      </c>
      <c r="B135" s="142" t="s">
        <v>247</v>
      </c>
      <c r="C135" s="137" t="s">
        <v>180</v>
      </c>
      <c r="D135" s="137" t="s">
        <v>224</v>
      </c>
      <c r="E135" s="134">
        <f>SUMIFS(XUẤT!P:P,XUẤT!N:N,CBCNV!B135,XUẤT!O:O,CBCNV!$E$2)</f>
        <v>0</v>
      </c>
      <c r="F135" s="139">
        <f t="shared" ref="F135:F166" si="25">E135*$T$10</f>
        <v>0</v>
      </c>
      <c r="G135" s="134">
        <f>SUMIFS(XUẤT!Q:Q,XUẤT!N:N,CBCNV!B135,XUẤT!O:O,CBCNV!$G$2)</f>
        <v>0</v>
      </c>
      <c r="H135" s="138">
        <f t="shared" ref="H135:H166" si="26">G135*$T$8</f>
        <v>0</v>
      </c>
      <c r="I135" s="134">
        <f>SUMIFS(XUẤT!R:R,XUẤT!N:N,CBCNV!B135,XUẤT!O:O,CBCNV!$I$2)</f>
        <v>0</v>
      </c>
      <c r="J135" s="139">
        <f t="shared" ref="J135:J166" si="27">I135*$T$9</f>
        <v>0</v>
      </c>
      <c r="K135" s="134">
        <f>SUMIFS(XUẤT!S:S,XUẤT!N:N,CBCNV!B135,XUẤT!O:O,CBCNV!$K$2)</f>
        <v>0</v>
      </c>
      <c r="L135" s="139">
        <f t="shared" ref="L135:L166" si="28">K135*$T$11</f>
        <v>0</v>
      </c>
      <c r="M135" s="134">
        <f>SUMIFS(XUẤT!T:T,XUẤT!N:N,CBCNV!B135,XUẤT!O:O,CBCNV!$M$2)</f>
        <v>0</v>
      </c>
      <c r="N135" s="139">
        <f t="shared" ref="N135:N166" si="29">M135*$T$12</f>
        <v>0</v>
      </c>
      <c r="O135" s="134">
        <f>SUMIFS(XUẤT!U:U,XUẤT!N:N,CBCNV!B135,XUẤT!O:O,CBCNV!$O$2)</f>
        <v>0</v>
      </c>
      <c r="P135" s="139">
        <f t="shared" ref="P135:P166" si="30">O135*$T$13</f>
        <v>0</v>
      </c>
      <c r="Q135" s="32"/>
      <c r="R135" s="18"/>
    </row>
    <row r="136" spans="1:20" s="140" customFormat="1" x14ac:dyDescent="0.3">
      <c r="A136" s="137">
        <v>129</v>
      </c>
      <c r="B136" s="34" t="s">
        <v>53</v>
      </c>
      <c r="C136" s="141" t="s">
        <v>163</v>
      </c>
      <c r="D136" s="141" t="s">
        <v>248</v>
      </c>
      <c r="E136" s="134">
        <f>SUMIFS(XUẤT!P:P,XUẤT!N:N,CBCNV!B136,XUẤT!O:O,CBCNV!$E$2)</f>
        <v>0</v>
      </c>
      <c r="F136" s="139">
        <f t="shared" si="25"/>
        <v>0</v>
      </c>
      <c r="G136" s="134">
        <f>SUMIFS(XUẤT!Q:Q,XUẤT!N:N,CBCNV!B136,XUẤT!O:O,CBCNV!$G$2)</f>
        <v>0</v>
      </c>
      <c r="H136" s="138">
        <f t="shared" si="26"/>
        <v>0</v>
      </c>
      <c r="I136" s="134">
        <f>SUMIFS(XUẤT!R:R,XUẤT!N:N,CBCNV!B136,XUẤT!O:O,CBCNV!$I$2)</f>
        <v>0</v>
      </c>
      <c r="J136" s="139">
        <f t="shared" si="27"/>
        <v>0</v>
      </c>
      <c r="K136" s="134">
        <f>SUMIFS(XUẤT!S:S,XUẤT!N:N,CBCNV!B136,XUẤT!O:O,CBCNV!$K$2)</f>
        <v>0</v>
      </c>
      <c r="L136" s="139">
        <f t="shared" si="28"/>
        <v>0</v>
      </c>
      <c r="M136" s="134">
        <f>SUMIFS(XUẤT!T:T,XUẤT!N:N,CBCNV!B136,XUẤT!O:O,CBCNV!$M$2)</f>
        <v>0</v>
      </c>
      <c r="N136" s="139">
        <f t="shared" si="29"/>
        <v>0</v>
      </c>
      <c r="O136" s="134">
        <f>SUMIFS(XUẤT!U:U,XUẤT!N:N,CBCNV!B136,XUẤT!O:O,CBCNV!$O$2)</f>
        <v>0</v>
      </c>
      <c r="P136" s="139">
        <f t="shared" si="30"/>
        <v>0</v>
      </c>
      <c r="Q136" s="32"/>
      <c r="R136" s="21"/>
      <c r="S136" s="136"/>
      <c r="T136" s="136"/>
    </row>
    <row r="137" spans="1:20" s="140" customFormat="1" x14ac:dyDescent="0.3">
      <c r="A137" s="137">
        <v>130</v>
      </c>
      <c r="B137" s="10" t="s">
        <v>249</v>
      </c>
      <c r="C137" s="137" t="s">
        <v>166</v>
      </c>
      <c r="D137" s="137" t="s">
        <v>248</v>
      </c>
      <c r="E137" s="134">
        <f>SUMIFS(XUẤT!P:P,XUẤT!N:N,CBCNV!B137,XUẤT!O:O,CBCNV!$E$2)</f>
        <v>0</v>
      </c>
      <c r="F137" s="139">
        <f t="shared" si="25"/>
        <v>0</v>
      </c>
      <c r="G137" s="134">
        <f>SUMIFS(XUẤT!Q:Q,XUẤT!N:N,CBCNV!B137,XUẤT!O:O,CBCNV!$G$2)</f>
        <v>0</v>
      </c>
      <c r="H137" s="138">
        <f t="shared" si="26"/>
        <v>0</v>
      </c>
      <c r="I137" s="134">
        <f>SUMIFS(XUẤT!R:R,XUẤT!N:N,CBCNV!B137,XUẤT!O:O,CBCNV!$I$2)</f>
        <v>0</v>
      </c>
      <c r="J137" s="139">
        <f t="shared" si="27"/>
        <v>0</v>
      </c>
      <c r="K137" s="134">
        <f>SUMIFS(XUẤT!S:S,XUẤT!N:N,CBCNV!B137,XUẤT!O:O,CBCNV!$K$2)</f>
        <v>0</v>
      </c>
      <c r="L137" s="139">
        <f t="shared" si="28"/>
        <v>0</v>
      </c>
      <c r="M137" s="134">
        <f>SUMIFS(XUẤT!T:T,XUẤT!N:N,CBCNV!B137,XUẤT!O:O,CBCNV!$M$2)</f>
        <v>0</v>
      </c>
      <c r="N137" s="139">
        <f t="shared" si="29"/>
        <v>0</v>
      </c>
      <c r="O137" s="134">
        <f>SUMIFS(XUẤT!U:U,XUẤT!N:N,CBCNV!B137,XUẤT!O:O,CBCNV!$O$2)</f>
        <v>0</v>
      </c>
      <c r="P137" s="139">
        <f t="shared" si="30"/>
        <v>0</v>
      </c>
      <c r="Q137" s="32"/>
      <c r="R137" s="18"/>
    </row>
    <row r="138" spans="1:20" s="140" customFormat="1" x14ac:dyDescent="0.3">
      <c r="A138" s="137">
        <v>131</v>
      </c>
      <c r="B138" s="10" t="s">
        <v>250</v>
      </c>
      <c r="C138" s="137" t="s">
        <v>166</v>
      </c>
      <c r="D138" s="137" t="s">
        <v>248</v>
      </c>
      <c r="E138" s="134">
        <f>SUMIFS(XUẤT!P:P,XUẤT!N:N,CBCNV!B138,XUẤT!O:O,CBCNV!$E$2)</f>
        <v>0</v>
      </c>
      <c r="F138" s="139">
        <f t="shared" si="25"/>
        <v>0</v>
      </c>
      <c r="G138" s="134">
        <f>SUMIFS(XUẤT!Q:Q,XUẤT!N:N,CBCNV!B138,XUẤT!O:O,CBCNV!$G$2)</f>
        <v>0</v>
      </c>
      <c r="H138" s="138">
        <f t="shared" si="26"/>
        <v>0</v>
      </c>
      <c r="I138" s="134">
        <f>SUMIFS(XUẤT!R:R,XUẤT!N:N,CBCNV!B138,XUẤT!O:O,CBCNV!$I$2)</f>
        <v>0</v>
      </c>
      <c r="J138" s="139">
        <f t="shared" si="27"/>
        <v>0</v>
      </c>
      <c r="K138" s="134">
        <f>SUMIFS(XUẤT!S:S,XUẤT!N:N,CBCNV!B138,XUẤT!O:O,CBCNV!$K$2)</f>
        <v>0</v>
      </c>
      <c r="L138" s="139">
        <f t="shared" si="28"/>
        <v>0</v>
      </c>
      <c r="M138" s="134">
        <f>SUMIFS(XUẤT!T:T,XUẤT!N:N,CBCNV!B138,XUẤT!O:O,CBCNV!$M$2)</f>
        <v>0</v>
      </c>
      <c r="N138" s="139">
        <f t="shared" si="29"/>
        <v>0</v>
      </c>
      <c r="O138" s="134">
        <f>SUMIFS(XUẤT!U:U,XUẤT!N:N,CBCNV!B138,XUẤT!O:O,CBCNV!$O$2)</f>
        <v>0</v>
      </c>
      <c r="P138" s="139">
        <f t="shared" si="30"/>
        <v>0</v>
      </c>
      <c r="Q138" s="32"/>
      <c r="R138" s="18"/>
    </row>
    <row r="139" spans="1:20" s="140" customFormat="1" x14ac:dyDescent="0.3">
      <c r="A139" s="137">
        <v>132</v>
      </c>
      <c r="B139" s="10" t="s">
        <v>251</v>
      </c>
      <c r="C139" s="137" t="s">
        <v>166</v>
      </c>
      <c r="D139" s="137" t="s">
        <v>248</v>
      </c>
      <c r="E139" s="134">
        <f>SUMIFS(XUẤT!P:P,XUẤT!N:N,CBCNV!B139,XUẤT!O:O,CBCNV!$E$2)</f>
        <v>0</v>
      </c>
      <c r="F139" s="139">
        <f t="shared" si="25"/>
        <v>0</v>
      </c>
      <c r="G139" s="134">
        <f>SUMIFS(XUẤT!Q:Q,XUẤT!N:N,CBCNV!B139,XUẤT!O:O,CBCNV!$G$2)</f>
        <v>0</v>
      </c>
      <c r="H139" s="138">
        <f t="shared" si="26"/>
        <v>0</v>
      </c>
      <c r="I139" s="134">
        <f>SUMIFS(XUẤT!R:R,XUẤT!N:N,CBCNV!B139,XUẤT!O:O,CBCNV!$I$2)</f>
        <v>0</v>
      </c>
      <c r="J139" s="139">
        <f t="shared" si="27"/>
        <v>0</v>
      </c>
      <c r="K139" s="134">
        <f>SUMIFS(XUẤT!S:S,XUẤT!N:N,CBCNV!B139,XUẤT!O:O,CBCNV!$K$2)</f>
        <v>0</v>
      </c>
      <c r="L139" s="139">
        <f t="shared" si="28"/>
        <v>0</v>
      </c>
      <c r="M139" s="134">
        <f>SUMIFS(XUẤT!T:T,XUẤT!N:N,CBCNV!B139,XUẤT!O:O,CBCNV!$M$2)</f>
        <v>0</v>
      </c>
      <c r="N139" s="139">
        <f t="shared" si="29"/>
        <v>0</v>
      </c>
      <c r="O139" s="134">
        <f>SUMIFS(XUẤT!U:U,XUẤT!N:N,CBCNV!B139,XUẤT!O:O,CBCNV!$O$2)</f>
        <v>0</v>
      </c>
      <c r="P139" s="139">
        <f t="shared" si="30"/>
        <v>0</v>
      </c>
      <c r="Q139" s="32"/>
      <c r="R139" s="18"/>
    </row>
    <row r="140" spans="1:20" s="140" customFormat="1" x14ac:dyDescent="0.3">
      <c r="A140" s="137">
        <v>133</v>
      </c>
      <c r="B140" s="10" t="s">
        <v>252</v>
      </c>
      <c r="C140" s="137" t="s">
        <v>111</v>
      </c>
      <c r="D140" s="137" t="s">
        <v>248</v>
      </c>
      <c r="E140" s="134">
        <f>SUMIFS(XUẤT!P:P,XUẤT!N:N,CBCNV!B140,XUẤT!O:O,CBCNV!$E$2)</f>
        <v>0</v>
      </c>
      <c r="F140" s="139">
        <f t="shared" si="25"/>
        <v>0</v>
      </c>
      <c r="G140" s="134">
        <f>SUMIFS(XUẤT!Q:Q,XUẤT!N:N,CBCNV!B140,XUẤT!O:O,CBCNV!$G$2)</f>
        <v>0</v>
      </c>
      <c r="H140" s="138">
        <f t="shared" si="26"/>
        <v>0</v>
      </c>
      <c r="I140" s="134">
        <f>SUMIFS(XUẤT!R:R,XUẤT!N:N,CBCNV!B140,XUẤT!O:O,CBCNV!$I$2)</f>
        <v>0</v>
      </c>
      <c r="J140" s="139">
        <f t="shared" si="27"/>
        <v>0</v>
      </c>
      <c r="K140" s="134">
        <f>SUMIFS(XUẤT!S:S,XUẤT!N:N,CBCNV!B140,XUẤT!O:O,CBCNV!$K$2)</f>
        <v>0</v>
      </c>
      <c r="L140" s="139">
        <f t="shared" si="28"/>
        <v>0</v>
      </c>
      <c r="M140" s="134">
        <f>SUMIFS(XUẤT!T:T,XUẤT!N:N,CBCNV!B140,XUẤT!O:O,CBCNV!$M$2)</f>
        <v>1</v>
      </c>
      <c r="N140" s="139">
        <f t="shared" si="29"/>
        <v>52000</v>
      </c>
      <c r="O140" s="134">
        <f>SUMIFS(XUẤT!U:U,XUẤT!N:N,CBCNV!B140,XUẤT!O:O,CBCNV!$O$2)</f>
        <v>0</v>
      </c>
      <c r="P140" s="139">
        <f t="shared" si="30"/>
        <v>0</v>
      </c>
      <c r="Q140" s="32"/>
      <c r="R140" s="18"/>
    </row>
    <row r="141" spans="1:20" s="140" customFormat="1" x14ac:dyDescent="0.3">
      <c r="A141" s="137">
        <v>134</v>
      </c>
      <c r="B141" s="10" t="s">
        <v>253</v>
      </c>
      <c r="C141" s="137" t="s">
        <v>111</v>
      </c>
      <c r="D141" s="137" t="s">
        <v>248</v>
      </c>
      <c r="E141" s="134">
        <f>SUMIFS(XUẤT!P:P,XUẤT!N:N,CBCNV!B141,XUẤT!O:O,CBCNV!$E$2)</f>
        <v>0</v>
      </c>
      <c r="F141" s="139">
        <f t="shared" si="25"/>
        <v>0</v>
      </c>
      <c r="G141" s="134">
        <f>SUMIFS(XUẤT!Q:Q,XUẤT!N:N,CBCNV!B141,XUẤT!O:O,CBCNV!$G$2)</f>
        <v>0</v>
      </c>
      <c r="H141" s="138">
        <f t="shared" si="26"/>
        <v>0</v>
      </c>
      <c r="I141" s="134">
        <f>SUMIFS(XUẤT!R:R,XUẤT!N:N,CBCNV!B141,XUẤT!O:O,CBCNV!$I$2)</f>
        <v>0</v>
      </c>
      <c r="J141" s="139">
        <f t="shared" si="27"/>
        <v>0</v>
      </c>
      <c r="K141" s="134">
        <f>SUMIFS(XUẤT!S:S,XUẤT!N:N,CBCNV!B141,XUẤT!O:O,CBCNV!$K$2)</f>
        <v>0</v>
      </c>
      <c r="L141" s="139">
        <f t="shared" si="28"/>
        <v>0</v>
      </c>
      <c r="M141" s="134">
        <f>SUMIFS(XUẤT!T:T,XUẤT!N:N,CBCNV!B141,XUẤT!O:O,CBCNV!$M$2)</f>
        <v>0</v>
      </c>
      <c r="N141" s="139">
        <f t="shared" si="29"/>
        <v>0</v>
      </c>
      <c r="O141" s="134">
        <f>SUMIFS(XUẤT!U:U,XUẤT!N:N,CBCNV!B141,XUẤT!O:O,CBCNV!$O$2)</f>
        <v>0</v>
      </c>
      <c r="P141" s="139">
        <f t="shared" si="30"/>
        <v>0</v>
      </c>
      <c r="Q141" s="32"/>
      <c r="R141" s="18"/>
    </row>
    <row r="142" spans="1:20" s="140" customFormat="1" x14ac:dyDescent="0.3">
      <c r="A142" s="137">
        <v>135</v>
      </c>
      <c r="B142" s="10" t="s">
        <v>254</v>
      </c>
      <c r="C142" s="137" t="s">
        <v>111</v>
      </c>
      <c r="D142" s="137" t="s">
        <v>248</v>
      </c>
      <c r="E142" s="134">
        <f>SUMIFS(XUẤT!P:P,XUẤT!N:N,CBCNV!B142,XUẤT!O:O,CBCNV!$E$2)</f>
        <v>0</v>
      </c>
      <c r="F142" s="139">
        <f t="shared" si="25"/>
        <v>0</v>
      </c>
      <c r="G142" s="134">
        <f>SUMIFS(XUẤT!Q:Q,XUẤT!N:N,CBCNV!B142,XUẤT!O:O,CBCNV!$G$2)</f>
        <v>0</v>
      </c>
      <c r="H142" s="138">
        <f t="shared" si="26"/>
        <v>0</v>
      </c>
      <c r="I142" s="134">
        <f>SUMIFS(XUẤT!R:R,XUẤT!N:N,CBCNV!B142,XUẤT!O:O,CBCNV!$I$2)</f>
        <v>0</v>
      </c>
      <c r="J142" s="139">
        <f t="shared" si="27"/>
        <v>0</v>
      </c>
      <c r="K142" s="134">
        <f>SUMIFS(XUẤT!S:S,XUẤT!N:N,CBCNV!B142,XUẤT!O:O,CBCNV!$K$2)</f>
        <v>0</v>
      </c>
      <c r="L142" s="139">
        <f t="shared" si="28"/>
        <v>0</v>
      </c>
      <c r="M142" s="134">
        <f>SUMIFS(XUẤT!T:T,XUẤT!N:N,CBCNV!B142,XUẤT!O:O,CBCNV!$M$2)</f>
        <v>0</v>
      </c>
      <c r="N142" s="139">
        <f t="shared" si="29"/>
        <v>0</v>
      </c>
      <c r="O142" s="134">
        <f>SUMIFS(XUẤT!U:U,XUẤT!N:N,CBCNV!B142,XUẤT!O:O,CBCNV!$O$2)</f>
        <v>0</v>
      </c>
      <c r="P142" s="139">
        <f t="shared" si="30"/>
        <v>0</v>
      </c>
      <c r="Q142" s="32"/>
      <c r="R142" s="18"/>
    </row>
    <row r="143" spans="1:20" s="140" customFormat="1" x14ac:dyDescent="0.3">
      <c r="A143" s="137">
        <v>136</v>
      </c>
      <c r="B143" s="10" t="s">
        <v>255</v>
      </c>
      <c r="C143" s="137" t="s">
        <v>111</v>
      </c>
      <c r="D143" s="137" t="s">
        <v>248</v>
      </c>
      <c r="E143" s="134">
        <f>SUMIFS(XUẤT!P:P,XUẤT!N:N,CBCNV!B143,XUẤT!O:O,CBCNV!$E$2)</f>
        <v>0</v>
      </c>
      <c r="F143" s="139">
        <f t="shared" si="25"/>
        <v>0</v>
      </c>
      <c r="G143" s="134">
        <f>SUMIFS(XUẤT!Q:Q,XUẤT!N:N,CBCNV!B143,XUẤT!O:O,CBCNV!$G$2)</f>
        <v>0</v>
      </c>
      <c r="H143" s="138">
        <f t="shared" si="26"/>
        <v>0</v>
      </c>
      <c r="I143" s="134">
        <f>SUMIFS(XUẤT!R:R,XUẤT!N:N,CBCNV!B143,XUẤT!O:O,CBCNV!$I$2)</f>
        <v>0</v>
      </c>
      <c r="J143" s="139">
        <f t="shared" si="27"/>
        <v>0</v>
      </c>
      <c r="K143" s="134">
        <f>SUMIFS(XUẤT!S:S,XUẤT!N:N,CBCNV!B143,XUẤT!O:O,CBCNV!$K$2)</f>
        <v>0</v>
      </c>
      <c r="L143" s="139">
        <f t="shared" si="28"/>
        <v>0</v>
      </c>
      <c r="M143" s="134">
        <f>SUMIFS(XUẤT!T:T,XUẤT!N:N,CBCNV!B143,XUẤT!O:O,CBCNV!$M$2)</f>
        <v>0</v>
      </c>
      <c r="N143" s="139">
        <f t="shared" si="29"/>
        <v>0</v>
      </c>
      <c r="O143" s="134">
        <f>SUMIFS(XUẤT!U:U,XUẤT!N:N,CBCNV!B143,XUẤT!O:O,CBCNV!$O$2)</f>
        <v>0</v>
      </c>
      <c r="P143" s="139">
        <f t="shared" si="30"/>
        <v>0</v>
      </c>
      <c r="Q143" s="32"/>
      <c r="R143" s="18"/>
    </row>
    <row r="144" spans="1:20" s="140" customFormat="1" x14ac:dyDescent="0.3">
      <c r="A144" s="137">
        <v>137</v>
      </c>
      <c r="B144" s="10" t="s">
        <v>256</v>
      </c>
      <c r="C144" s="137" t="s">
        <v>111</v>
      </c>
      <c r="D144" s="137" t="s">
        <v>248</v>
      </c>
      <c r="E144" s="134">
        <f>SUMIFS(XUẤT!P:P,XUẤT!N:N,CBCNV!B144,XUẤT!O:O,CBCNV!$E$2)</f>
        <v>0</v>
      </c>
      <c r="F144" s="139">
        <f t="shared" si="25"/>
        <v>0</v>
      </c>
      <c r="G144" s="134">
        <f>SUMIFS(XUẤT!Q:Q,XUẤT!N:N,CBCNV!B144,XUẤT!O:O,CBCNV!$G$2)</f>
        <v>0</v>
      </c>
      <c r="H144" s="138">
        <f t="shared" si="26"/>
        <v>0</v>
      </c>
      <c r="I144" s="134">
        <f>SUMIFS(XUẤT!R:R,XUẤT!N:N,CBCNV!B144,XUẤT!O:O,CBCNV!$I$2)</f>
        <v>0</v>
      </c>
      <c r="J144" s="139">
        <f t="shared" si="27"/>
        <v>0</v>
      </c>
      <c r="K144" s="134">
        <f>SUMIFS(XUẤT!S:S,XUẤT!N:N,CBCNV!B144,XUẤT!O:O,CBCNV!$K$2)</f>
        <v>0</v>
      </c>
      <c r="L144" s="139">
        <f t="shared" si="28"/>
        <v>0</v>
      </c>
      <c r="M144" s="134">
        <f>SUMIFS(XUẤT!T:T,XUẤT!N:N,CBCNV!B144,XUẤT!O:O,CBCNV!$M$2)</f>
        <v>0</v>
      </c>
      <c r="N144" s="139">
        <f t="shared" si="29"/>
        <v>0</v>
      </c>
      <c r="O144" s="134">
        <f>SUMIFS(XUẤT!U:U,XUẤT!N:N,CBCNV!B144,XUẤT!O:O,CBCNV!$O$2)</f>
        <v>0</v>
      </c>
      <c r="P144" s="139">
        <f t="shared" si="30"/>
        <v>0</v>
      </c>
      <c r="Q144" s="32"/>
      <c r="R144" s="18"/>
    </row>
    <row r="145" spans="1:20" s="140" customFormat="1" x14ac:dyDescent="0.3">
      <c r="A145" s="137">
        <v>138</v>
      </c>
      <c r="B145" s="10" t="s">
        <v>257</v>
      </c>
      <c r="C145" s="137" t="s">
        <v>180</v>
      </c>
      <c r="D145" s="137" t="s">
        <v>248</v>
      </c>
      <c r="E145" s="134">
        <f>SUMIFS(XUẤT!P:P,XUẤT!N:N,CBCNV!B145,XUẤT!O:O,CBCNV!$E$2)</f>
        <v>0</v>
      </c>
      <c r="F145" s="139">
        <f t="shared" si="25"/>
        <v>0</v>
      </c>
      <c r="G145" s="134">
        <f>SUMIFS(XUẤT!Q:Q,XUẤT!N:N,CBCNV!B145,XUẤT!O:O,CBCNV!$G$2)</f>
        <v>0</v>
      </c>
      <c r="H145" s="138">
        <f t="shared" si="26"/>
        <v>0</v>
      </c>
      <c r="I145" s="134">
        <f>SUMIFS(XUẤT!R:R,XUẤT!N:N,CBCNV!B145,XUẤT!O:O,CBCNV!$I$2)</f>
        <v>0</v>
      </c>
      <c r="J145" s="139">
        <f t="shared" si="27"/>
        <v>0</v>
      </c>
      <c r="K145" s="134">
        <f>SUMIFS(XUẤT!S:S,XUẤT!N:N,CBCNV!B145,XUẤT!O:O,CBCNV!$K$2)</f>
        <v>0</v>
      </c>
      <c r="L145" s="139">
        <f t="shared" si="28"/>
        <v>0</v>
      </c>
      <c r="M145" s="134">
        <f>SUMIFS(XUẤT!T:T,XUẤT!N:N,CBCNV!B145,XUẤT!O:O,CBCNV!$M$2)</f>
        <v>0</v>
      </c>
      <c r="N145" s="139">
        <f t="shared" si="29"/>
        <v>0</v>
      </c>
      <c r="O145" s="134">
        <f>SUMIFS(XUẤT!U:U,XUẤT!N:N,CBCNV!B145,XUẤT!O:O,CBCNV!$O$2)</f>
        <v>0</v>
      </c>
      <c r="P145" s="139">
        <f t="shared" si="30"/>
        <v>0</v>
      </c>
      <c r="Q145" s="32"/>
      <c r="R145" s="18"/>
    </row>
    <row r="146" spans="1:20" s="140" customFormat="1" x14ac:dyDescent="0.3">
      <c r="A146" s="137">
        <v>139</v>
      </c>
      <c r="B146" s="10" t="s">
        <v>258</v>
      </c>
      <c r="C146" s="137" t="s">
        <v>180</v>
      </c>
      <c r="D146" s="137" t="s">
        <v>248</v>
      </c>
      <c r="E146" s="134">
        <f>SUMIFS(XUẤT!P:P,XUẤT!N:N,CBCNV!B146,XUẤT!O:O,CBCNV!$E$2)</f>
        <v>0</v>
      </c>
      <c r="F146" s="139">
        <f t="shared" si="25"/>
        <v>0</v>
      </c>
      <c r="G146" s="134">
        <f>SUMIFS(XUẤT!Q:Q,XUẤT!N:N,CBCNV!B146,XUẤT!O:O,CBCNV!$G$2)</f>
        <v>0</v>
      </c>
      <c r="H146" s="138">
        <f t="shared" si="26"/>
        <v>0</v>
      </c>
      <c r="I146" s="134">
        <f>SUMIFS(XUẤT!R:R,XUẤT!N:N,CBCNV!B146,XUẤT!O:O,CBCNV!$I$2)</f>
        <v>0</v>
      </c>
      <c r="J146" s="139">
        <f t="shared" si="27"/>
        <v>0</v>
      </c>
      <c r="K146" s="134">
        <f>SUMIFS(XUẤT!S:S,XUẤT!N:N,CBCNV!B146,XUẤT!O:O,CBCNV!$K$2)</f>
        <v>0</v>
      </c>
      <c r="L146" s="139">
        <f t="shared" si="28"/>
        <v>0</v>
      </c>
      <c r="M146" s="134">
        <f>SUMIFS(XUẤT!T:T,XUẤT!N:N,CBCNV!B146,XUẤT!O:O,CBCNV!$M$2)</f>
        <v>0</v>
      </c>
      <c r="N146" s="139">
        <f t="shared" si="29"/>
        <v>0</v>
      </c>
      <c r="O146" s="134">
        <f>SUMIFS(XUẤT!U:U,XUẤT!N:N,CBCNV!B146,XUẤT!O:O,CBCNV!$O$2)</f>
        <v>0</v>
      </c>
      <c r="P146" s="139">
        <f t="shared" si="30"/>
        <v>0</v>
      </c>
      <c r="Q146" s="32"/>
      <c r="R146" s="18"/>
    </row>
    <row r="147" spans="1:20" s="140" customFormat="1" x14ac:dyDescent="0.3">
      <c r="A147" s="137">
        <v>140</v>
      </c>
      <c r="B147" s="142" t="s">
        <v>259</v>
      </c>
      <c r="C147" s="137" t="s">
        <v>180</v>
      </c>
      <c r="D147" s="137" t="s">
        <v>248</v>
      </c>
      <c r="E147" s="134">
        <f>SUMIFS(XUẤT!P:P,XUẤT!N:N,CBCNV!B147,XUẤT!O:O,CBCNV!$E$2)</f>
        <v>0</v>
      </c>
      <c r="F147" s="139">
        <f t="shared" si="25"/>
        <v>0</v>
      </c>
      <c r="G147" s="134">
        <f>SUMIFS(XUẤT!Q:Q,XUẤT!N:N,CBCNV!B147,XUẤT!O:O,CBCNV!$G$2)</f>
        <v>0</v>
      </c>
      <c r="H147" s="138">
        <f t="shared" si="26"/>
        <v>0</v>
      </c>
      <c r="I147" s="134">
        <f>SUMIFS(XUẤT!R:R,XUẤT!N:N,CBCNV!B147,XUẤT!O:O,CBCNV!$I$2)</f>
        <v>0</v>
      </c>
      <c r="J147" s="139">
        <f t="shared" si="27"/>
        <v>0</v>
      </c>
      <c r="K147" s="134">
        <f>SUMIFS(XUẤT!S:S,XUẤT!N:N,CBCNV!B147,XUẤT!O:O,CBCNV!$K$2)</f>
        <v>0</v>
      </c>
      <c r="L147" s="139">
        <f t="shared" si="28"/>
        <v>0</v>
      </c>
      <c r="M147" s="134">
        <f>SUMIFS(XUẤT!T:T,XUẤT!N:N,CBCNV!B147,XUẤT!O:O,CBCNV!$M$2)</f>
        <v>0</v>
      </c>
      <c r="N147" s="139">
        <f t="shared" si="29"/>
        <v>0</v>
      </c>
      <c r="O147" s="134">
        <f>SUMIFS(XUẤT!U:U,XUẤT!N:N,CBCNV!B147,XUẤT!O:O,CBCNV!$O$2)</f>
        <v>0</v>
      </c>
      <c r="P147" s="139">
        <f t="shared" si="30"/>
        <v>0</v>
      </c>
      <c r="Q147" s="32"/>
      <c r="R147" s="18"/>
    </row>
    <row r="148" spans="1:20" s="140" customFormat="1" x14ac:dyDescent="0.3">
      <c r="A148" s="137">
        <v>141</v>
      </c>
      <c r="B148" s="10" t="s">
        <v>260</v>
      </c>
      <c r="C148" s="137" t="s">
        <v>180</v>
      </c>
      <c r="D148" s="137" t="s">
        <v>248</v>
      </c>
      <c r="E148" s="134">
        <f>SUMIFS(XUẤT!P:P,XUẤT!N:N,CBCNV!B148,XUẤT!O:O,CBCNV!$E$2)</f>
        <v>0</v>
      </c>
      <c r="F148" s="139">
        <f t="shared" si="25"/>
        <v>0</v>
      </c>
      <c r="G148" s="134">
        <f>SUMIFS(XUẤT!Q:Q,XUẤT!N:N,CBCNV!B148,XUẤT!O:O,CBCNV!$G$2)</f>
        <v>0</v>
      </c>
      <c r="H148" s="138">
        <f t="shared" si="26"/>
        <v>0</v>
      </c>
      <c r="I148" s="134">
        <f>SUMIFS(XUẤT!R:R,XUẤT!N:N,CBCNV!B148,XUẤT!O:O,CBCNV!$I$2)</f>
        <v>0</v>
      </c>
      <c r="J148" s="139">
        <f t="shared" si="27"/>
        <v>0</v>
      </c>
      <c r="K148" s="134">
        <f>SUMIFS(XUẤT!S:S,XUẤT!N:N,CBCNV!B148,XUẤT!O:O,CBCNV!$K$2)</f>
        <v>0</v>
      </c>
      <c r="L148" s="139">
        <f t="shared" si="28"/>
        <v>0</v>
      </c>
      <c r="M148" s="134">
        <f>SUMIFS(XUẤT!T:T,XUẤT!N:N,CBCNV!B148,XUẤT!O:O,CBCNV!$M$2)</f>
        <v>0</v>
      </c>
      <c r="N148" s="139">
        <f t="shared" si="29"/>
        <v>0</v>
      </c>
      <c r="O148" s="134">
        <f>SUMIFS(XUẤT!U:U,XUẤT!N:N,CBCNV!B148,XUẤT!O:O,CBCNV!$O$2)</f>
        <v>0</v>
      </c>
      <c r="P148" s="139">
        <f t="shared" si="30"/>
        <v>0</v>
      </c>
      <c r="Q148" s="32"/>
      <c r="R148" s="18"/>
    </row>
    <row r="149" spans="1:20" s="140" customFormat="1" x14ac:dyDescent="0.3">
      <c r="A149" s="137">
        <v>142</v>
      </c>
      <c r="B149" s="10" t="s">
        <v>261</v>
      </c>
      <c r="C149" s="137" t="s">
        <v>180</v>
      </c>
      <c r="D149" s="137" t="s">
        <v>248</v>
      </c>
      <c r="E149" s="134">
        <f>SUMIFS(XUẤT!P:P,XUẤT!N:N,CBCNV!B149,XUẤT!O:O,CBCNV!$E$2)</f>
        <v>0</v>
      </c>
      <c r="F149" s="139">
        <f t="shared" si="25"/>
        <v>0</v>
      </c>
      <c r="G149" s="134">
        <f>SUMIFS(XUẤT!Q:Q,XUẤT!N:N,CBCNV!B149,XUẤT!O:O,CBCNV!$G$2)</f>
        <v>0</v>
      </c>
      <c r="H149" s="138">
        <f t="shared" si="26"/>
        <v>0</v>
      </c>
      <c r="I149" s="134">
        <f>SUMIFS(XUẤT!R:R,XUẤT!N:N,CBCNV!B149,XUẤT!O:O,CBCNV!$I$2)</f>
        <v>0</v>
      </c>
      <c r="J149" s="139">
        <f t="shared" si="27"/>
        <v>0</v>
      </c>
      <c r="K149" s="134">
        <f>SUMIFS(XUẤT!S:S,XUẤT!N:N,CBCNV!B149,XUẤT!O:O,CBCNV!$K$2)</f>
        <v>0</v>
      </c>
      <c r="L149" s="139">
        <f t="shared" si="28"/>
        <v>0</v>
      </c>
      <c r="M149" s="134">
        <f>SUMIFS(XUẤT!T:T,XUẤT!N:N,CBCNV!B149,XUẤT!O:O,CBCNV!$M$2)</f>
        <v>0</v>
      </c>
      <c r="N149" s="139">
        <f t="shared" si="29"/>
        <v>0</v>
      </c>
      <c r="O149" s="134">
        <f>SUMIFS(XUẤT!U:U,XUẤT!N:N,CBCNV!B149,XUẤT!O:O,CBCNV!$O$2)</f>
        <v>0</v>
      </c>
      <c r="P149" s="139">
        <f t="shared" si="30"/>
        <v>0</v>
      </c>
      <c r="Q149" s="32"/>
      <c r="R149" s="18"/>
    </row>
    <row r="150" spans="1:20" s="140" customFormat="1" x14ac:dyDescent="0.3">
      <c r="A150" s="137">
        <v>143</v>
      </c>
      <c r="B150" s="10" t="s">
        <v>34</v>
      </c>
      <c r="C150" s="137" t="s">
        <v>195</v>
      </c>
      <c r="D150" s="137" t="s">
        <v>248</v>
      </c>
      <c r="E150" s="134">
        <f>SUMIFS(XUẤT!P:P,XUẤT!N:N,CBCNV!B150,XUẤT!O:O,CBCNV!$E$2)</f>
        <v>6</v>
      </c>
      <c r="F150" s="139">
        <f t="shared" si="25"/>
        <v>588000</v>
      </c>
      <c r="G150" s="134">
        <f>SUMIFS(XUẤT!Q:Q,XUẤT!N:N,CBCNV!B150,XUẤT!O:O,CBCNV!$G$2)</f>
        <v>0</v>
      </c>
      <c r="H150" s="138">
        <f t="shared" si="26"/>
        <v>0</v>
      </c>
      <c r="I150" s="134">
        <f>SUMIFS(XUẤT!R:R,XUẤT!N:N,CBCNV!B150,XUẤT!O:O,CBCNV!$I$2)</f>
        <v>0</v>
      </c>
      <c r="J150" s="139">
        <f t="shared" si="27"/>
        <v>0</v>
      </c>
      <c r="K150" s="134">
        <f>SUMIFS(XUẤT!S:S,XUẤT!N:N,CBCNV!B150,XUẤT!O:O,CBCNV!$K$2)</f>
        <v>0</v>
      </c>
      <c r="L150" s="139">
        <f t="shared" si="28"/>
        <v>0</v>
      </c>
      <c r="M150" s="134">
        <f>SUMIFS(XUẤT!T:T,XUẤT!N:N,CBCNV!B150,XUẤT!O:O,CBCNV!$M$2)</f>
        <v>0</v>
      </c>
      <c r="N150" s="139">
        <f t="shared" si="29"/>
        <v>0</v>
      </c>
      <c r="O150" s="134">
        <f>SUMIFS(XUẤT!U:U,XUẤT!N:N,CBCNV!B150,XUẤT!O:O,CBCNV!$O$2)</f>
        <v>0</v>
      </c>
      <c r="P150" s="139">
        <f t="shared" si="30"/>
        <v>0</v>
      </c>
      <c r="Q150" s="32"/>
      <c r="R150" s="18"/>
    </row>
    <row r="151" spans="1:20" s="140" customFormat="1" x14ac:dyDescent="0.3">
      <c r="A151" s="137">
        <v>144</v>
      </c>
      <c r="B151" s="10" t="s">
        <v>36</v>
      </c>
      <c r="C151" s="137" t="s">
        <v>195</v>
      </c>
      <c r="D151" s="137" t="s">
        <v>248</v>
      </c>
      <c r="E151" s="134">
        <f>SUMIFS(XUẤT!P:P,XUẤT!N:N,CBCNV!B151,XUẤT!O:O,CBCNV!$E$2)</f>
        <v>20</v>
      </c>
      <c r="F151" s="139">
        <f t="shared" si="25"/>
        <v>1960000</v>
      </c>
      <c r="G151" s="134">
        <f>SUMIFS(XUẤT!Q:Q,XUẤT!N:N,CBCNV!B151,XUẤT!O:O,CBCNV!$G$2)</f>
        <v>0</v>
      </c>
      <c r="H151" s="138">
        <f t="shared" si="26"/>
        <v>0</v>
      </c>
      <c r="I151" s="134">
        <f>SUMIFS(XUẤT!R:R,XUẤT!N:N,CBCNV!B151,XUẤT!O:O,CBCNV!$I$2)</f>
        <v>0</v>
      </c>
      <c r="J151" s="139">
        <f t="shared" si="27"/>
        <v>0</v>
      </c>
      <c r="K151" s="134">
        <f>SUMIFS(XUẤT!S:S,XUẤT!N:N,CBCNV!B151,XUẤT!O:O,CBCNV!$K$2)</f>
        <v>0</v>
      </c>
      <c r="L151" s="139">
        <f t="shared" si="28"/>
        <v>0</v>
      </c>
      <c r="M151" s="134">
        <f>SUMIFS(XUẤT!T:T,XUẤT!N:N,CBCNV!B151,XUẤT!O:O,CBCNV!$M$2)</f>
        <v>0</v>
      </c>
      <c r="N151" s="139">
        <f t="shared" si="29"/>
        <v>0</v>
      </c>
      <c r="O151" s="134">
        <f>SUMIFS(XUẤT!U:U,XUẤT!N:N,CBCNV!B151,XUẤT!O:O,CBCNV!$O$2)</f>
        <v>0</v>
      </c>
      <c r="P151" s="139">
        <f t="shared" si="30"/>
        <v>0</v>
      </c>
      <c r="Q151" s="32"/>
      <c r="R151" s="18"/>
    </row>
    <row r="152" spans="1:20" s="140" customFormat="1" x14ac:dyDescent="0.3">
      <c r="A152" s="137">
        <v>145</v>
      </c>
      <c r="B152" s="10" t="s">
        <v>262</v>
      </c>
      <c r="C152" s="137" t="s">
        <v>195</v>
      </c>
      <c r="D152" s="137" t="s">
        <v>248</v>
      </c>
      <c r="E152" s="134">
        <f>SUMIFS(XUẤT!P:P,XUẤT!N:N,CBCNV!B152,XUẤT!O:O,CBCNV!$E$2)</f>
        <v>0</v>
      </c>
      <c r="F152" s="139">
        <f t="shared" si="25"/>
        <v>0</v>
      </c>
      <c r="G152" s="134">
        <f>SUMIFS(XUẤT!Q:Q,XUẤT!N:N,CBCNV!B152,XUẤT!O:O,CBCNV!$G$2)</f>
        <v>0</v>
      </c>
      <c r="H152" s="138">
        <f t="shared" si="26"/>
        <v>0</v>
      </c>
      <c r="I152" s="134">
        <f>SUMIFS(XUẤT!R:R,XUẤT!N:N,CBCNV!B152,XUẤT!O:O,CBCNV!$I$2)</f>
        <v>0</v>
      </c>
      <c r="J152" s="139">
        <f t="shared" si="27"/>
        <v>0</v>
      </c>
      <c r="K152" s="134">
        <f>SUMIFS(XUẤT!S:S,XUẤT!N:N,CBCNV!B152,XUẤT!O:O,CBCNV!$K$2)</f>
        <v>0</v>
      </c>
      <c r="L152" s="139">
        <f t="shared" si="28"/>
        <v>0</v>
      </c>
      <c r="M152" s="134">
        <f>SUMIFS(XUẤT!T:T,XUẤT!N:N,CBCNV!B152,XUẤT!O:O,CBCNV!$M$2)</f>
        <v>0</v>
      </c>
      <c r="N152" s="139">
        <f t="shared" si="29"/>
        <v>0</v>
      </c>
      <c r="O152" s="134">
        <f>SUMIFS(XUẤT!U:U,XUẤT!N:N,CBCNV!B152,XUẤT!O:O,CBCNV!$O$2)</f>
        <v>0</v>
      </c>
      <c r="P152" s="139">
        <f t="shared" si="30"/>
        <v>0</v>
      </c>
      <c r="Q152" s="32"/>
      <c r="R152" s="18"/>
    </row>
    <row r="153" spans="1:20" s="136" customFormat="1" x14ac:dyDescent="0.3">
      <c r="A153" s="137">
        <v>146</v>
      </c>
      <c r="B153" s="10" t="s">
        <v>263</v>
      </c>
      <c r="C153" s="137" t="s">
        <v>195</v>
      </c>
      <c r="D153" s="137" t="s">
        <v>248</v>
      </c>
      <c r="E153" s="134">
        <f>SUMIFS(XUẤT!P:P,XUẤT!N:N,CBCNV!B153,XUẤT!O:O,CBCNV!$E$2)</f>
        <v>0</v>
      </c>
      <c r="F153" s="139">
        <f t="shared" si="25"/>
        <v>0</v>
      </c>
      <c r="G153" s="134">
        <f>SUMIFS(XUẤT!Q:Q,XUẤT!N:N,CBCNV!B153,XUẤT!O:O,CBCNV!$G$2)</f>
        <v>0</v>
      </c>
      <c r="H153" s="138">
        <f t="shared" si="26"/>
        <v>0</v>
      </c>
      <c r="I153" s="134">
        <f>SUMIFS(XUẤT!R:R,XUẤT!N:N,CBCNV!B153,XUẤT!O:O,CBCNV!$I$2)</f>
        <v>0</v>
      </c>
      <c r="J153" s="139">
        <f t="shared" si="27"/>
        <v>0</v>
      </c>
      <c r="K153" s="134">
        <f>SUMIFS(XUẤT!S:S,XUẤT!N:N,CBCNV!B153,XUẤT!O:O,CBCNV!$K$2)</f>
        <v>0</v>
      </c>
      <c r="L153" s="139">
        <f t="shared" si="28"/>
        <v>0</v>
      </c>
      <c r="M153" s="134">
        <f>SUMIFS(XUẤT!T:T,XUẤT!N:N,CBCNV!B153,XUẤT!O:O,CBCNV!$M$2)</f>
        <v>0</v>
      </c>
      <c r="N153" s="139">
        <f t="shared" si="29"/>
        <v>0</v>
      </c>
      <c r="O153" s="134">
        <f>SUMIFS(XUẤT!U:U,XUẤT!N:N,CBCNV!B153,XUẤT!O:O,CBCNV!$O$2)</f>
        <v>0</v>
      </c>
      <c r="P153" s="139">
        <f t="shared" si="30"/>
        <v>0</v>
      </c>
      <c r="Q153" s="32"/>
      <c r="R153" s="18"/>
      <c r="S153" s="140"/>
      <c r="T153" s="140"/>
    </row>
    <row r="154" spans="1:20" s="140" customFormat="1" x14ac:dyDescent="0.3">
      <c r="A154" s="137">
        <v>147</v>
      </c>
      <c r="B154" s="10" t="s">
        <v>264</v>
      </c>
      <c r="C154" s="137" t="s">
        <v>195</v>
      </c>
      <c r="D154" s="137" t="s">
        <v>248</v>
      </c>
      <c r="E154" s="134">
        <f>SUMIFS(XUẤT!P:P,XUẤT!N:N,CBCNV!B154,XUẤT!O:O,CBCNV!$E$2)</f>
        <v>0</v>
      </c>
      <c r="F154" s="139">
        <f t="shared" si="25"/>
        <v>0</v>
      </c>
      <c r="G154" s="134">
        <f>SUMIFS(XUẤT!Q:Q,XUẤT!N:N,CBCNV!B154,XUẤT!O:O,CBCNV!$G$2)</f>
        <v>0</v>
      </c>
      <c r="H154" s="138">
        <f t="shared" si="26"/>
        <v>0</v>
      </c>
      <c r="I154" s="134">
        <f>SUMIFS(XUẤT!R:R,XUẤT!N:N,CBCNV!B154,XUẤT!O:O,CBCNV!$I$2)</f>
        <v>0</v>
      </c>
      <c r="J154" s="139">
        <f t="shared" si="27"/>
        <v>0</v>
      </c>
      <c r="K154" s="134">
        <f>SUMIFS(XUẤT!S:S,XUẤT!N:N,CBCNV!B154,XUẤT!O:O,CBCNV!$K$2)</f>
        <v>0</v>
      </c>
      <c r="L154" s="139">
        <f t="shared" si="28"/>
        <v>0</v>
      </c>
      <c r="M154" s="134">
        <f>SUMIFS(XUẤT!T:T,XUẤT!N:N,CBCNV!B154,XUẤT!O:O,CBCNV!$M$2)</f>
        <v>0</v>
      </c>
      <c r="N154" s="139">
        <f t="shared" si="29"/>
        <v>0</v>
      </c>
      <c r="O154" s="134">
        <f>SUMIFS(XUẤT!U:U,XUẤT!N:N,CBCNV!B154,XUẤT!O:O,CBCNV!$O$2)</f>
        <v>0</v>
      </c>
      <c r="P154" s="139">
        <f t="shared" si="30"/>
        <v>0</v>
      </c>
      <c r="Q154" s="32"/>
      <c r="R154" s="18"/>
    </row>
    <row r="155" spans="1:20" s="140" customFormat="1" x14ac:dyDescent="0.3">
      <c r="A155" s="137">
        <v>148</v>
      </c>
      <c r="B155" s="10" t="s">
        <v>265</v>
      </c>
      <c r="C155" s="137" t="s">
        <v>195</v>
      </c>
      <c r="D155" s="137" t="s">
        <v>248</v>
      </c>
      <c r="E155" s="134">
        <f>SUMIFS(XUẤT!P:P,XUẤT!N:N,CBCNV!B155,XUẤT!O:O,CBCNV!$E$2)</f>
        <v>0</v>
      </c>
      <c r="F155" s="139">
        <f t="shared" si="25"/>
        <v>0</v>
      </c>
      <c r="G155" s="134">
        <f>SUMIFS(XUẤT!Q:Q,XUẤT!N:N,CBCNV!B155,XUẤT!O:O,CBCNV!$G$2)</f>
        <v>0</v>
      </c>
      <c r="H155" s="138">
        <f t="shared" si="26"/>
        <v>0</v>
      </c>
      <c r="I155" s="134">
        <f>SUMIFS(XUẤT!R:R,XUẤT!N:N,CBCNV!B155,XUẤT!O:O,CBCNV!$I$2)</f>
        <v>0</v>
      </c>
      <c r="J155" s="139">
        <f t="shared" si="27"/>
        <v>0</v>
      </c>
      <c r="K155" s="134">
        <f>SUMIFS(XUẤT!S:S,XUẤT!N:N,CBCNV!B155,XUẤT!O:O,CBCNV!$K$2)</f>
        <v>0</v>
      </c>
      <c r="L155" s="139">
        <f t="shared" si="28"/>
        <v>0</v>
      </c>
      <c r="M155" s="134">
        <f>SUMIFS(XUẤT!T:T,XUẤT!N:N,CBCNV!B155,XUẤT!O:O,CBCNV!$M$2)</f>
        <v>0</v>
      </c>
      <c r="N155" s="139">
        <f t="shared" si="29"/>
        <v>0</v>
      </c>
      <c r="O155" s="134">
        <f>SUMIFS(XUẤT!U:U,XUẤT!N:N,CBCNV!B155,XUẤT!O:O,CBCNV!$O$2)</f>
        <v>0</v>
      </c>
      <c r="P155" s="139">
        <f t="shared" si="30"/>
        <v>0</v>
      </c>
      <c r="Q155" s="32"/>
      <c r="R155" s="18"/>
    </row>
    <row r="156" spans="1:20" s="140" customFormat="1" x14ac:dyDescent="0.3">
      <c r="A156" s="137">
        <v>149</v>
      </c>
      <c r="B156" s="34" t="s">
        <v>266</v>
      </c>
      <c r="C156" s="141" t="s">
        <v>267</v>
      </c>
      <c r="D156" s="141" t="s">
        <v>268</v>
      </c>
      <c r="E156" s="134">
        <f>SUMIFS(XUẤT!P:P,XUẤT!N:N,CBCNV!B156,XUẤT!O:O,CBCNV!$E$2)</f>
        <v>5</v>
      </c>
      <c r="F156" s="139">
        <f t="shared" si="25"/>
        <v>490000</v>
      </c>
      <c r="G156" s="134">
        <f>SUMIFS(XUẤT!Q:Q,XUẤT!N:N,CBCNV!B156,XUẤT!O:O,CBCNV!$G$2)</f>
        <v>0</v>
      </c>
      <c r="H156" s="138">
        <f t="shared" si="26"/>
        <v>0</v>
      </c>
      <c r="I156" s="134">
        <f>SUMIFS(XUẤT!R:R,XUẤT!N:N,CBCNV!B156,XUẤT!O:O,CBCNV!$I$2)</f>
        <v>0</v>
      </c>
      <c r="J156" s="139">
        <f t="shared" si="27"/>
        <v>0</v>
      </c>
      <c r="K156" s="134">
        <f>SUMIFS(XUẤT!S:S,XUẤT!N:N,CBCNV!B156,XUẤT!O:O,CBCNV!$K$2)</f>
        <v>0</v>
      </c>
      <c r="L156" s="139">
        <f t="shared" si="28"/>
        <v>0</v>
      </c>
      <c r="M156" s="134">
        <f>SUMIFS(XUẤT!T:T,XUẤT!N:N,CBCNV!B156,XUẤT!O:O,CBCNV!$M$2)</f>
        <v>0</v>
      </c>
      <c r="N156" s="139">
        <f t="shared" si="29"/>
        <v>0</v>
      </c>
      <c r="O156" s="134">
        <f>SUMIFS(XUẤT!U:U,XUẤT!N:N,CBCNV!B156,XUẤT!O:O,CBCNV!$O$2)</f>
        <v>0</v>
      </c>
      <c r="P156" s="139">
        <f t="shared" si="30"/>
        <v>0</v>
      </c>
      <c r="Q156" s="32"/>
      <c r="R156" s="21"/>
      <c r="S156" s="136"/>
      <c r="T156" s="136"/>
    </row>
    <row r="157" spans="1:20" s="140" customFormat="1" x14ac:dyDescent="0.3">
      <c r="A157" s="137">
        <v>150</v>
      </c>
      <c r="B157" s="10" t="s">
        <v>269</v>
      </c>
      <c r="C157" s="137" t="s">
        <v>270</v>
      </c>
      <c r="D157" s="137" t="s">
        <v>268</v>
      </c>
      <c r="E157" s="134">
        <f>SUMIFS(XUẤT!P:P,XUẤT!N:N,CBCNV!B157,XUẤT!O:O,CBCNV!$E$2)</f>
        <v>0</v>
      </c>
      <c r="F157" s="139">
        <f t="shared" si="25"/>
        <v>0</v>
      </c>
      <c r="G157" s="134">
        <f>SUMIFS(XUẤT!Q:Q,XUẤT!N:N,CBCNV!B157,XUẤT!O:O,CBCNV!$G$2)</f>
        <v>0</v>
      </c>
      <c r="H157" s="138">
        <f t="shared" si="26"/>
        <v>0</v>
      </c>
      <c r="I157" s="134">
        <f>SUMIFS(XUẤT!R:R,XUẤT!N:N,CBCNV!B157,XUẤT!O:O,CBCNV!$I$2)</f>
        <v>0</v>
      </c>
      <c r="J157" s="139">
        <f t="shared" si="27"/>
        <v>0</v>
      </c>
      <c r="K157" s="134">
        <f>SUMIFS(XUẤT!S:S,XUẤT!N:N,CBCNV!B157,XUẤT!O:O,CBCNV!$K$2)</f>
        <v>0</v>
      </c>
      <c r="L157" s="139">
        <f t="shared" si="28"/>
        <v>0</v>
      </c>
      <c r="M157" s="134">
        <f>SUMIFS(XUẤT!T:T,XUẤT!N:N,CBCNV!B157,XUẤT!O:O,CBCNV!$M$2)</f>
        <v>0</v>
      </c>
      <c r="N157" s="139">
        <f t="shared" si="29"/>
        <v>0</v>
      </c>
      <c r="O157" s="134">
        <f>SUMIFS(XUẤT!U:U,XUẤT!N:N,CBCNV!B157,XUẤT!O:O,CBCNV!$O$2)</f>
        <v>0</v>
      </c>
      <c r="P157" s="139">
        <f t="shared" si="30"/>
        <v>0</v>
      </c>
      <c r="Q157" s="32"/>
      <c r="R157" s="18"/>
    </row>
    <row r="158" spans="1:20" s="140" customFormat="1" x14ac:dyDescent="0.3">
      <c r="A158" s="137">
        <v>151</v>
      </c>
      <c r="B158" s="10" t="s">
        <v>271</v>
      </c>
      <c r="C158" s="137" t="s">
        <v>272</v>
      </c>
      <c r="D158" s="137" t="s">
        <v>268</v>
      </c>
      <c r="E158" s="134">
        <f>SUMIFS(XUẤT!P:P,XUẤT!N:N,CBCNV!B158,XUẤT!O:O,CBCNV!$E$2)</f>
        <v>0</v>
      </c>
      <c r="F158" s="139">
        <f t="shared" si="25"/>
        <v>0</v>
      </c>
      <c r="G158" s="134">
        <f>SUMIFS(XUẤT!Q:Q,XUẤT!N:N,CBCNV!B158,XUẤT!O:O,CBCNV!$G$2)</f>
        <v>0</v>
      </c>
      <c r="H158" s="138">
        <f t="shared" si="26"/>
        <v>0</v>
      </c>
      <c r="I158" s="134">
        <f>SUMIFS(XUẤT!R:R,XUẤT!N:N,CBCNV!B158,XUẤT!O:O,CBCNV!$I$2)</f>
        <v>0</v>
      </c>
      <c r="J158" s="139">
        <f t="shared" si="27"/>
        <v>0</v>
      </c>
      <c r="K158" s="134">
        <f>SUMIFS(XUẤT!S:S,XUẤT!N:N,CBCNV!B158,XUẤT!O:O,CBCNV!$K$2)</f>
        <v>0</v>
      </c>
      <c r="L158" s="139">
        <f t="shared" si="28"/>
        <v>0</v>
      </c>
      <c r="M158" s="134">
        <f>SUMIFS(XUẤT!T:T,XUẤT!N:N,CBCNV!B158,XUẤT!O:O,CBCNV!$M$2)</f>
        <v>0</v>
      </c>
      <c r="N158" s="139">
        <f t="shared" si="29"/>
        <v>0</v>
      </c>
      <c r="O158" s="134">
        <f>SUMIFS(XUẤT!U:U,XUẤT!N:N,CBCNV!B158,XUẤT!O:O,CBCNV!$O$2)</f>
        <v>0</v>
      </c>
      <c r="P158" s="139">
        <f t="shared" si="30"/>
        <v>0</v>
      </c>
      <c r="Q158" s="32"/>
      <c r="R158" s="18"/>
    </row>
    <row r="159" spans="1:20" s="140" customFormat="1" x14ac:dyDescent="0.3">
      <c r="A159" s="137">
        <v>152</v>
      </c>
      <c r="B159" s="10" t="s">
        <v>273</v>
      </c>
      <c r="C159" s="137" t="s">
        <v>272</v>
      </c>
      <c r="D159" s="137" t="s">
        <v>268</v>
      </c>
      <c r="E159" s="134">
        <f>SUMIFS(XUẤT!P:P,XUẤT!N:N,CBCNV!B159,XUẤT!O:O,CBCNV!$E$2)</f>
        <v>0</v>
      </c>
      <c r="F159" s="139">
        <f t="shared" si="25"/>
        <v>0</v>
      </c>
      <c r="G159" s="134">
        <f>SUMIFS(XUẤT!Q:Q,XUẤT!N:N,CBCNV!B159,XUẤT!O:O,CBCNV!$G$2)</f>
        <v>0</v>
      </c>
      <c r="H159" s="138">
        <f t="shared" si="26"/>
        <v>0</v>
      </c>
      <c r="I159" s="134">
        <f>SUMIFS(XUẤT!R:R,XUẤT!N:N,CBCNV!B159,XUẤT!O:O,CBCNV!$I$2)</f>
        <v>0</v>
      </c>
      <c r="J159" s="139">
        <f t="shared" si="27"/>
        <v>0</v>
      </c>
      <c r="K159" s="134">
        <f>SUMIFS(XUẤT!S:S,XUẤT!N:N,CBCNV!B159,XUẤT!O:O,CBCNV!$K$2)</f>
        <v>0</v>
      </c>
      <c r="L159" s="139">
        <f t="shared" si="28"/>
        <v>0</v>
      </c>
      <c r="M159" s="134">
        <f>SUMIFS(XUẤT!T:T,XUẤT!N:N,CBCNV!B159,XUẤT!O:O,CBCNV!$M$2)</f>
        <v>0</v>
      </c>
      <c r="N159" s="139">
        <f t="shared" si="29"/>
        <v>0</v>
      </c>
      <c r="O159" s="134">
        <f>SUMIFS(XUẤT!U:U,XUẤT!N:N,CBCNV!B159,XUẤT!O:O,CBCNV!$O$2)</f>
        <v>0</v>
      </c>
      <c r="P159" s="139">
        <f t="shared" si="30"/>
        <v>0</v>
      </c>
      <c r="Q159" s="32"/>
      <c r="R159" s="18"/>
    </row>
    <row r="160" spans="1:20" s="140" customFormat="1" x14ac:dyDescent="0.3">
      <c r="A160" s="137">
        <v>153</v>
      </c>
      <c r="B160" s="10" t="s">
        <v>274</v>
      </c>
      <c r="C160" s="137" t="s">
        <v>272</v>
      </c>
      <c r="D160" s="137" t="s">
        <v>268</v>
      </c>
      <c r="E160" s="134">
        <f>SUMIFS(XUẤT!P:P,XUẤT!N:N,CBCNV!B160,XUẤT!O:O,CBCNV!$E$2)</f>
        <v>0</v>
      </c>
      <c r="F160" s="139">
        <f t="shared" si="25"/>
        <v>0</v>
      </c>
      <c r="G160" s="134">
        <f>SUMIFS(XUẤT!Q:Q,XUẤT!N:N,CBCNV!B160,XUẤT!O:O,CBCNV!$G$2)</f>
        <v>0</v>
      </c>
      <c r="H160" s="138">
        <f t="shared" si="26"/>
        <v>0</v>
      </c>
      <c r="I160" s="134">
        <f>SUMIFS(XUẤT!R:R,XUẤT!N:N,CBCNV!B160,XUẤT!O:O,CBCNV!$I$2)</f>
        <v>0</v>
      </c>
      <c r="J160" s="139">
        <f t="shared" si="27"/>
        <v>0</v>
      </c>
      <c r="K160" s="134">
        <f>SUMIFS(XUẤT!S:S,XUẤT!N:N,CBCNV!B160,XUẤT!O:O,CBCNV!$K$2)</f>
        <v>0</v>
      </c>
      <c r="L160" s="139">
        <f t="shared" si="28"/>
        <v>0</v>
      </c>
      <c r="M160" s="134">
        <f>SUMIFS(XUẤT!T:T,XUẤT!N:N,CBCNV!B160,XUẤT!O:O,CBCNV!$M$2)</f>
        <v>0</v>
      </c>
      <c r="N160" s="139">
        <f t="shared" si="29"/>
        <v>0</v>
      </c>
      <c r="O160" s="134">
        <f>SUMIFS(XUẤT!U:U,XUẤT!N:N,CBCNV!B160,XUẤT!O:O,CBCNV!$O$2)</f>
        <v>0</v>
      </c>
      <c r="P160" s="139">
        <f t="shared" si="30"/>
        <v>0</v>
      </c>
      <c r="Q160" s="32"/>
      <c r="R160" s="18"/>
    </row>
    <row r="161" spans="1:20" s="140" customFormat="1" x14ac:dyDescent="0.3">
      <c r="A161" s="137">
        <v>154</v>
      </c>
      <c r="B161" s="10" t="s">
        <v>275</v>
      </c>
      <c r="C161" s="137" t="s">
        <v>276</v>
      </c>
      <c r="D161" s="137" t="s">
        <v>268</v>
      </c>
      <c r="E161" s="134">
        <f>SUMIFS(XUẤT!P:P,XUẤT!N:N,CBCNV!B161,XUẤT!O:O,CBCNV!$E$2)</f>
        <v>0</v>
      </c>
      <c r="F161" s="139">
        <f t="shared" si="25"/>
        <v>0</v>
      </c>
      <c r="G161" s="134">
        <f>SUMIFS(XUẤT!Q:Q,XUẤT!N:N,CBCNV!B161,XUẤT!O:O,CBCNV!$G$2)</f>
        <v>0</v>
      </c>
      <c r="H161" s="138">
        <f t="shared" si="26"/>
        <v>0</v>
      </c>
      <c r="I161" s="134">
        <f>SUMIFS(XUẤT!R:R,XUẤT!N:N,CBCNV!B161,XUẤT!O:O,CBCNV!$I$2)</f>
        <v>0</v>
      </c>
      <c r="J161" s="139">
        <f t="shared" si="27"/>
        <v>0</v>
      </c>
      <c r="K161" s="134">
        <f>SUMIFS(XUẤT!S:S,XUẤT!N:N,CBCNV!B161,XUẤT!O:O,CBCNV!$K$2)</f>
        <v>0</v>
      </c>
      <c r="L161" s="139">
        <f t="shared" si="28"/>
        <v>0</v>
      </c>
      <c r="M161" s="134">
        <f>SUMIFS(XUẤT!T:T,XUẤT!N:N,CBCNV!B161,XUẤT!O:O,CBCNV!$M$2)</f>
        <v>0</v>
      </c>
      <c r="N161" s="139">
        <f t="shared" si="29"/>
        <v>0</v>
      </c>
      <c r="O161" s="134">
        <f>SUMIFS(XUẤT!U:U,XUẤT!N:N,CBCNV!B161,XUẤT!O:O,CBCNV!$O$2)</f>
        <v>0</v>
      </c>
      <c r="P161" s="139">
        <f t="shared" si="30"/>
        <v>0</v>
      </c>
      <c r="Q161" s="32"/>
      <c r="R161" s="18"/>
    </row>
    <row r="162" spans="1:20" s="140" customFormat="1" x14ac:dyDescent="0.3">
      <c r="A162" s="137">
        <v>155</v>
      </c>
      <c r="B162" s="10" t="s">
        <v>277</v>
      </c>
      <c r="C162" s="137" t="s">
        <v>276</v>
      </c>
      <c r="D162" s="137" t="s">
        <v>268</v>
      </c>
      <c r="E162" s="134">
        <f>SUMIFS(XUẤT!P:P,XUẤT!N:N,CBCNV!B162,XUẤT!O:O,CBCNV!$E$2)</f>
        <v>0</v>
      </c>
      <c r="F162" s="139">
        <f t="shared" si="25"/>
        <v>0</v>
      </c>
      <c r="G162" s="134">
        <f>SUMIFS(XUẤT!Q:Q,XUẤT!N:N,CBCNV!B162,XUẤT!O:O,CBCNV!$G$2)</f>
        <v>0</v>
      </c>
      <c r="H162" s="138">
        <f t="shared" si="26"/>
        <v>0</v>
      </c>
      <c r="I162" s="134">
        <f>SUMIFS(XUẤT!R:R,XUẤT!N:N,CBCNV!B162,XUẤT!O:O,CBCNV!$I$2)</f>
        <v>0</v>
      </c>
      <c r="J162" s="139">
        <f t="shared" si="27"/>
        <v>0</v>
      </c>
      <c r="K162" s="134">
        <f>SUMIFS(XUẤT!S:S,XUẤT!N:N,CBCNV!B162,XUẤT!O:O,CBCNV!$K$2)</f>
        <v>0</v>
      </c>
      <c r="L162" s="139">
        <f t="shared" si="28"/>
        <v>0</v>
      </c>
      <c r="M162" s="134">
        <f>SUMIFS(XUẤT!T:T,XUẤT!N:N,CBCNV!B162,XUẤT!O:O,CBCNV!$M$2)</f>
        <v>0</v>
      </c>
      <c r="N162" s="139">
        <f t="shared" si="29"/>
        <v>0</v>
      </c>
      <c r="O162" s="134">
        <f>SUMIFS(XUẤT!U:U,XUẤT!N:N,CBCNV!B162,XUẤT!O:O,CBCNV!$O$2)</f>
        <v>0</v>
      </c>
      <c r="P162" s="139">
        <f t="shared" si="30"/>
        <v>0</v>
      </c>
      <c r="Q162" s="32"/>
      <c r="R162" s="18"/>
    </row>
    <row r="163" spans="1:20" s="140" customFormat="1" x14ac:dyDescent="0.3">
      <c r="A163" s="137">
        <v>156</v>
      </c>
      <c r="B163" s="10" t="s">
        <v>278</v>
      </c>
      <c r="C163" s="137" t="s">
        <v>276</v>
      </c>
      <c r="D163" s="137" t="s">
        <v>268</v>
      </c>
      <c r="E163" s="134">
        <f>SUMIFS(XUẤT!P:P,XUẤT!N:N,CBCNV!B163,XUẤT!O:O,CBCNV!$E$2)</f>
        <v>0</v>
      </c>
      <c r="F163" s="139">
        <f t="shared" si="25"/>
        <v>0</v>
      </c>
      <c r="G163" s="134">
        <f>SUMIFS(XUẤT!Q:Q,XUẤT!N:N,CBCNV!B163,XUẤT!O:O,CBCNV!$G$2)</f>
        <v>0</v>
      </c>
      <c r="H163" s="138">
        <f t="shared" si="26"/>
        <v>0</v>
      </c>
      <c r="I163" s="134">
        <f>SUMIFS(XUẤT!R:R,XUẤT!N:N,CBCNV!B163,XUẤT!O:O,CBCNV!$I$2)</f>
        <v>0</v>
      </c>
      <c r="J163" s="139">
        <f t="shared" si="27"/>
        <v>0</v>
      </c>
      <c r="K163" s="134">
        <f>SUMIFS(XUẤT!S:S,XUẤT!N:N,CBCNV!B163,XUẤT!O:O,CBCNV!$K$2)</f>
        <v>0</v>
      </c>
      <c r="L163" s="139">
        <f t="shared" si="28"/>
        <v>0</v>
      </c>
      <c r="M163" s="134">
        <f>SUMIFS(XUẤT!T:T,XUẤT!N:N,CBCNV!B163,XUẤT!O:O,CBCNV!$M$2)</f>
        <v>0</v>
      </c>
      <c r="N163" s="139">
        <f t="shared" si="29"/>
        <v>0</v>
      </c>
      <c r="O163" s="134">
        <f>SUMIFS(XUẤT!U:U,XUẤT!N:N,CBCNV!B163,XUẤT!O:O,CBCNV!$O$2)</f>
        <v>0</v>
      </c>
      <c r="P163" s="139">
        <f t="shared" si="30"/>
        <v>0</v>
      </c>
      <c r="Q163" s="32"/>
      <c r="R163" s="18"/>
    </row>
    <row r="164" spans="1:20" s="140" customFormat="1" x14ac:dyDescent="0.3">
      <c r="A164" s="137">
        <v>157</v>
      </c>
      <c r="B164" s="10" t="s">
        <v>279</v>
      </c>
      <c r="C164" s="137" t="s">
        <v>280</v>
      </c>
      <c r="D164" s="137" t="s">
        <v>268</v>
      </c>
      <c r="E164" s="134">
        <f>SUMIFS(XUẤT!P:P,XUẤT!N:N,CBCNV!B164,XUẤT!O:O,CBCNV!$E$2)</f>
        <v>0</v>
      </c>
      <c r="F164" s="139">
        <f t="shared" si="25"/>
        <v>0</v>
      </c>
      <c r="G164" s="134">
        <f>SUMIFS(XUẤT!Q:Q,XUẤT!N:N,CBCNV!B164,XUẤT!O:O,CBCNV!$G$2)</f>
        <v>0</v>
      </c>
      <c r="H164" s="138">
        <f t="shared" si="26"/>
        <v>0</v>
      </c>
      <c r="I164" s="134">
        <f>SUMIFS(XUẤT!R:R,XUẤT!N:N,CBCNV!B164,XUẤT!O:O,CBCNV!$I$2)</f>
        <v>0</v>
      </c>
      <c r="J164" s="139">
        <f t="shared" si="27"/>
        <v>0</v>
      </c>
      <c r="K164" s="134">
        <f>SUMIFS(XUẤT!S:S,XUẤT!N:N,CBCNV!B164,XUẤT!O:O,CBCNV!$K$2)</f>
        <v>0</v>
      </c>
      <c r="L164" s="139">
        <f t="shared" si="28"/>
        <v>0</v>
      </c>
      <c r="M164" s="134">
        <f>SUMIFS(XUẤT!T:T,XUẤT!N:N,CBCNV!B164,XUẤT!O:O,CBCNV!$M$2)</f>
        <v>0</v>
      </c>
      <c r="N164" s="139">
        <f t="shared" si="29"/>
        <v>0</v>
      </c>
      <c r="O164" s="134">
        <f>SUMIFS(XUẤT!U:U,XUẤT!N:N,CBCNV!B164,XUẤT!O:O,CBCNV!$O$2)</f>
        <v>0</v>
      </c>
      <c r="P164" s="139">
        <f t="shared" si="30"/>
        <v>0</v>
      </c>
      <c r="Q164" s="32"/>
      <c r="R164" s="18"/>
    </row>
    <row r="165" spans="1:20" s="140" customFormat="1" x14ac:dyDescent="0.3">
      <c r="A165" s="137">
        <v>158</v>
      </c>
      <c r="B165" s="10" t="s">
        <v>281</v>
      </c>
      <c r="C165" s="137" t="s">
        <v>280</v>
      </c>
      <c r="D165" s="137" t="s">
        <v>268</v>
      </c>
      <c r="E165" s="134">
        <f>SUMIFS(XUẤT!P:P,XUẤT!N:N,CBCNV!B165,XUẤT!O:O,CBCNV!$E$2)</f>
        <v>0</v>
      </c>
      <c r="F165" s="139">
        <f t="shared" si="25"/>
        <v>0</v>
      </c>
      <c r="G165" s="134">
        <f>SUMIFS(XUẤT!Q:Q,XUẤT!N:N,CBCNV!B165,XUẤT!O:O,CBCNV!$G$2)</f>
        <v>0</v>
      </c>
      <c r="H165" s="138">
        <f t="shared" si="26"/>
        <v>0</v>
      </c>
      <c r="I165" s="134">
        <f>SUMIFS(XUẤT!R:R,XUẤT!N:N,CBCNV!B165,XUẤT!O:O,CBCNV!$I$2)</f>
        <v>0</v>
      </c>
      <c r="J165" s="139">
        <f t="shared" si="27"/>
        <v>0</v>
      </c>
      <c r="K165" s="134">
        <f>SUMIFS(XUẤT!S:S,XUẤT!N:N,CBCNV!B165,XUẤT!O:O,CBCNV!$K$2)</f>
        <v>0</v>
      </c>
      <c r="L165" s="139">
        <f t="shared" si="28"/>
        <v>0</v>
      </c>
      <c r="M165" s="134">
        <f>SUMIFS(XUẤT!T:T,XUẤT!N:N,CBCNV!B165,XUẤT!O:O,CBCNV!$M$2)</f>
        <v>0</v>
      </c>
      <c r="N165" s="139">
        <f t="shared" si="29"/>
        <v>0</v>
      </c>
      <c r="O165" s="134">
        <f>SUMIFS(XUẤT!U:U,XUẤT!N:N,CBCNV!B165,XUẤT!O:O,CBCNV!$O$2)</f>
        <v>0</v>
      </c>
      <c r="P165" s="139">
        <f t="shared" si="30"/>
        <v>0</v>
      </c>
      <c r="Q165" s="32"/>
      <c r="R165" s="18"/>
    </row>
    <row r="166" spans="1:20" s="140" customFormat="1" x14ac:dyDescent="0.3">
      <c r="A166" s="137">
        <v>159</v>
      </c>
      <c r="B166" s="10" t="s">
        <v>282</v>
      </c>
      <c r="C166" s="137" t="s">
        <v>280</v>
      </c>
      <c r="D166" s="137" t="s">
        <v>268</v>
      </c>
      <c r="E166" s="134">
        <f>SUMIFS(XUẤT!P:P,XUẤT!N:N,CBCNV!B166,XUẤT!O:O,CBCNV!$E$2)</f>
        <v>0</v>
      </c>
      <c r="F166" s="139">
        <f t="shared" si="25"/>
        <v>0</v>
      </c>
      <c r="G166" s="134">
        <f>SUMIFS(XUẤT!Q:Q,XUẤT!N:N,CBCNV!B166,XUẤT!O:O,CBCNV!$G$2)</f>
        <v>0</v>
      </c>
      <c r="H166" s="138">
        <f t="shared" si="26"/>
        <v>0</v>
      </c>
      <c r="I166" s="134">
        <f>SUMIFS(XUẤT!R:R,XUẤT!N:N,CBCNV!B166,XUẤT!O:O,CBCNV!$I$2)</f>
        <v>0</v>
      </c>
      <c r="J166" s="139">
        <f t="shared" si="27"/>
        <v>0</v>
      </c>
      <c r="K166" s="134">
        <f>SUMIFS(XUẤT!S:S,XUẤT!N:N,CBCNV!B166,XUẤT!O:O,CBCNV!$K$2)</f>
        <v>0</v>
      </c>
      <c r="L166" s="139">
        <f t="shared" si="28"/>
        <v>0</v>
      </c>
      <c r="M166" s="134">
        <f>SUMIFS(XUẤT!T:T,XUẤT!N:N,CBCNV!B166,XUẤT!O:O,CBCNV!$M$2)</f>
        <v>0</v>
      </c>
      <c r="N166" s="139">
        <f t="shared" si="29"/>
        <v>0</v>
      </c>
      <c r="O166" s="134">
        <f>SUMIFS(XUẤT!U:U,XUẤT!N:N,CBCNV!B166,XUẤT!O:O,CBCNV!$O$2)</f>
        <v>0</v>
      </c>
      <c r="P166" s="139">
        <f t="shared" si="30"/>
        <v>0</v>
      </c>
      <c r="Q166" s="32"/>
      <c r="R166" s="18"/>
    </row>
    <row r="167" spans="1:20" s="140" customFormat="1" x14ac:dyDescent="0.3">
      <c r="A167" s="137">
        <v>160</v>
      </c>
      <c r="B167" s="10" t="s">
        <v>283</v>
      </c>
      <c r="C167" s="137" t="s">
        <v>280</v>
      </c>
      <c r="D167" s="137" t="s">
        <v>268</v>
      </c>
      <c r="E167" s="134">
        <f>SUMIFS(XUẤT!P:P,XUẤT!N:N,CBCNV!B167,XUẤT!O:O,CBCNV!$E$2)</f>
        <v>10</v>
      </c>
      <c r="F167" s="139">
        <f t="shared" ref="F167:F198" si="31">E167*$T$10</f>
        <v>980000</v>
      </c>
      <c r="G167" s="134">
        <f>SUMIFS(XUẤT!Q:Q,XUẤT!N:N,CBCNV!B167,XUẤT!O:O,CBCNV!$G$2)</f>
        <v>0</v>
      </c>
      <c r="H167" s="138">
        <f t="shared" ref="H167:H198" si="32">G167*$T$8</f>
        <v>0</v>
      </c>
      <c r="I167" s="134">
        <f>SUMIFS(XUẤT!R:R,XUẤT!N:N,CBCNV!B167,XUẤT!O:O,CBCNV!$I$2)</f>
        <v>0</v>
      </c>
      <c r="J167" s="139">
        <f t="shared" ref="J167:J198" si="33">I167*$T$9</f>
        <v>0</v>
      </c>
      <c r="K167" s="134">
        <f>SUMIFS(XUẤT!S:S,XUẤT!N:N,CBCNV!B167,XUẤT!O:O,CBCNV!$K$2)</f>
        <v>0</v>
      </c>
      <c r="L167" s="139">
        <f t="shared" ref="L167:L198" si="34">K167*$T$11</f>
        <v>0</v>
      </c>
      <c r="M167" s="134">
        <f>SUMIFS(XUẤT!T:T,XUẤT!N:N,CBCNV!B167,XUẤT!O:O,CBCNV!$M$2)</f>
        <v>0</v>
      </c>
      <c r="N167" s="139">
        <f t="shared" ref="N167:N198" si="35">M167*$T$12</f>
        <v>0</v>
      </c>
      <c r="O167" s="134">
        <f>SUMIFS(XUẤT!U:U,XUẤT!N:N,CBCNV!B167,XUẤT!O:O,CBCNV!$O$2)</f>
        <v>0</v>
      </c>
      <c r="P167" s="139">
        <f t="shared" ref="P167:P198" si="36">O167*$T$13</f>
        <v>0</v>
      </c>
      <c r="Q167" s="32"/>
      <c r="R167" s="18"/>
    </row>
    <row r="168" spans="1:20" s="140" customFormat="1" x14ac:dyDescent="0.3">
      <c r="A168" s="137">
        <v>161</v>
      </c>
      <c r="B168" s="10" t="s">
        <v>284</v>
      </c>
      <c r="C168" s="137" t="s">
        <v>111</v>
      </c>
      <c r="D168" s="137" t="s">
        <v>268</v>
      </c>
      <c r="E168" s="134">
        <f>SUMIFS(XUẤT!P:P,XUẤT!N:N,CBCNV!B168,XUẤT!O:O,CBCNV!$E$2)</f>
        <v>0</v>
      </c>
      <c r="F168" s="139">
        <f t="shared" si="31"/>
        <v>0</v>
      </c>
      <c r="G168" s="134">
        <f>SUMIFS(XUẤT!Q:Q,XUẤT!N:N,CBCNV!B168,XUẤT!O:O,CBCNV!$G$2)</f>
        <v>0</v>
      </c>
      <c r="H168" s="138">
        <f t="shared" si="32"/>
        <v>0</v>
      </c>
      <c r="I168" s="134">
        <f>SUMIFS(XUẤT!R:R,XUẤT!N:N,CBCNV!B168,XUẤT!O:O,CBCNV!$I$2)</f>
        <v>0</v>
      </c>
      <c r="J168" s="139">
        <f t="shared" si="33"/>
        <v>0</v>
      </c>
      <c r="K168" s="134">
        <f>SUMIFS(XUẤT!S:S,XUẤT!N:N,CBCNV!B168,XUẤT!O:O,CBCNV!$K$2)</f>
        <v>0</v>
      </c>
      <c r="L168" s="139">
        <f t="shared" si="34"/>
        <v>0</v>
      </c>
      <c r="M168" s="134">
        <f>SUMIFS(XUẤT!T:T,XUẤT!N:N,CBCNV!B168,XUẤT!O:O,CBCNV!$M$2)</f>
        <v>0</v>
      </c>
      <c r="N168" s="139">
        <f t="shared" si="35"/>
        <v>0</v>
      </c>
      <c r="O168" s="134">
        <f>SUMIFS(XUẤT!U:U,XUẤT!N:N,CBCNV!B168,XUẤT!O:O,CBCNV!$O$2)</f>
        <v>0</v>
      </c>
      <c r="P168" s="139">
        <f t="shared" si="36"/>
        <v>0</v>
      </c>
      <c r="Q168" s="32"/>
      <c r="R168" s="18"/>
    </row>
    <row r="169" spans="1:20" s="136" customFormat="1" x14ac:dyDescent="0.3">
      <c r="A169" s="137">
        <v>162</v>
      </c>
      <c r="B169" s="10" t="s">
        <v>285</v>
      </c>
      <c r="C169" s="137" t="s">
        <v>111</v>
      </c>
      <c r="D169" s="137" t="s">
        <v>268</v>
      </c>
      <c r="E169" s="134">
        <f>SUMIFS(XUẤT!P:P,XUẤT!N:N,CBCNV!B169,XUẤT!O:O,CBCNV!$E$2)</f>
        <v>0</v>
      </c>
      <c r="F169" s="139">
        <f t="shared" si="31"/>
        <v>0</v>
      </c>
      <c r="G169" s="134">
        <f>SUMIFS(XUẤT!Q:Q,XUẤT!N:N,CBCNV!B169,XUẤT!O:O,CBCNV!$G$2)</f>
        <v>0</v>
      </c>
      <c r="H169" s="138">
        <f t="shared" si="32"/>
        <v>0</v>
      </c>
      <c r="I169" s="134">
        <f>SUMIFS(XUẤT!R:R,XUẤT!N:N,CBCNV!B169,XUẤT!O:O,CBCNV!$I$2)</f>
        <v>0</v>
      </c>
      <c r="J169" s="139">
        <f t="shared" si="33"/>
        <v>0</v>
      </c>
      <c r="K169" s="134">
        <f>SUMIFS(XUẤT!S:S,XUẤT!N:N,CBCNV!B169,XUẤT!O:O,CBCNV!$K$2)</f>
        <v>0</v>
      </c>
      <c r="L169" s="139">
        <f t="shared" si="34"/>
        <v>0</v>
      </c>
      <c r="M169" s="134">
        <f>SUMIFS(XUẤT!T:T,XUẤT!N:N,CBCNV!B169,XUẤT!O:O,CBCNV!$M$2)</f>
        <v>0</v>
      </c>
      <c r="N169" s="139">
        <f t="shared" si="35"/>
        <v>0</v>
      </c>
      <c r="O169" s="134">
        <f>SUMIFS(XUẤT!U:U,XUẤT!N:N,CBCNV!B169,XUẤT!O:O,CBCNV!$O$2)</f>
        <v>0</v>
      </c>
      <c r="P169" s="139">
        <f t="shared" si="36"/>
        <v>0</v>
      </c>
      <c r="Q169" s="32"/>
      <c r="R169" s="18"/>
      <c r="S169" s="140"/>
      <c r="T169" s="140"/>
    </row>
    <row r="170" spans="1:20" s="140" customFormat="1" x14ac:dyDescent="0.3">
      <c r="A170" s="137">
        <v>163</v>
      </c>
      <c r="B170" s="10" t="s">
        <v>286</v>
      </c>
      <c r="C170" s="137" t="s">
        <v>111</v>
      </c>
      <c r="D170" s="137" t="s">
        <v>268</v>
      </c>
      <c r="E170" s="134">
        <f>SUMIFS(XUẤT!P:P,XUẤT!N:N,CBCNV!B170,XUẤT!O:O,CBCNV!$E$2)</f>
        <v>0</v>
      </c>
      <c r="F170" s="139">
        <f t="shared" si="31"/>
        <v>0</v>
      </c>
      <c r="G170" s="134">
        <f>SUMIFS(XUẤT!Q:Q,XUẤT!N:N,CBCNV!B170,XUẤT!O:O,CBCNV!$G$2)</f>
        <v>0</v>
      </c>
      <c r="H170" s="138">
        <f t="shared" si="32"/>
        <v>0</v>
      </c>
      <c r="I170" s="134">
        <f>SUMIFS(XUẤT!R:R,XUẤT!N:N,CBCNV!B170,XUẤT!O:O,CBCNV!$I$2)</f>
        <v>0</v>
      </c>
      <c r="J170" s="139">
        <f t="shared" si="33"/>
        <v>0</v>
      </c>
      <c r="K170" s="134">
        <f>SUMIFS(XUẤT!S:S,XUẤT!N:N,CBCNV!B170,XUẤT!O:O,CBCNV!$K$2)</f>
        <v>0</v>
      </c>
      <c r="L170" s="139">
        <f t="shared" si="34"/>
        <v>0</v>
      </c>
      <c r="M170" s="134">
        <f>SUMIFS(XUẤT!T:T,XUẤT!N:N,CBCNV!B170,XUẤT!O:O,CBCNV!$M$2)</f>
        <v>0</v>
      </c>
      <c r="N170" s="139">
        <f t="shared" si="35"/>
        <v>0</v>
      </c>
      <c r="O170" s="134">
        <f>SUMIFS(XUẤT!U:U,XUẤT!N:N,CBCNV!B170,XUẤT!O:O,CBCNV!$O$2)</f>
        <v>0</v>
      </c>
      <c r="P170" s="139">
        <f t="shared" si="36"/>
        <v>0</v>
      </c>
      <c r="Q170" s="32"/>
      <c r="R170" s="18"/>
    </row>
    <row r="171" spans="1:20" s="140" customFormat="1" x14ac:dyDescent="0.3">
      <c r="A171" s="137">
        <v>164</v>
      </c>
      <c r="B171" s="142" t="s">
        <v>287</v>
      </c>
      <c r="C171" s="137" t="s">
        <v>111</v>
      </c>
      <c r="D171" s="137" t="s">
        <v>268</v>
      </c>
      <c r="E171" s="134">
        <f>SUMIFS(XUẤT!P:P,XUẤT!N:N,CBCNV!B171,XUẤT!O:O,CBCNV!$E$2)</f>
        <v>0</v>
      </c>
      <c r="F171" s="139">
        <f t="shared" si="31"/>
        <v>0</v>
      </c>
      <c r="G171" s="134">
        <f>SUMIFS(XUẤT!Q:Q,XUẤT!N:N,CBCNV!B171,XUẤT!O:O,CBCNV!$G$2)</f>
        <v>0</v>
      </c>
      <c r="H171" s="138">
        <f t="shared" si="32"/>
        <v>0</v>
      </c>
      <c r="I171" s="134">
        <f>SUMIFS(XUẤT!R:R,XUẤT!N:N,CBCNV!B171,XUẤT!O:O,CBCNV!$I$2)</f>
        <v>0</v>
      </c>
      <c r="J171" s="139">
        <f t="shared" si="33"/>
        <v>0</v>
      </c>
      <c r="K171" s="134">
        <f>SUMIFS(XUẤT!S:S,XUẤT!N:N,CBCNV!B171,XUẤT!O:O,CBCNV!$K$2)</f>
        <v>0</v>
      </c>
      <c r="L171" s="139">
        <f t="shared" si="34"/>
        <v>0</v>
      </c>
      <c r="M171" s="134">
        <f>SUMIFS(XUẤT!T:T,XUẤT!N:N,CBCNV!B171,XUẤT!O:O,CBCNV!$M$2)</f>
        <v>0</v>
      </c>
      <c r="N171" s="139">
        <f t="shared" si="35"/>
        <v>0</v>
      </c>
      <c r="O171" s="134">
        <f>SUMIFS(XUẤT!U:U,XUẤT!N:N,CBCNV!B171,XUẤT!O:O,CBCNV!$O$2)</f>
        <v>0</v>
      </c>
      <c r="P171" s="139">
        <f t="shared" si="36"/>
        <v>0</v>
      </c>
      <c r="Q171" s="32"/>
      <c r="R171" s="18"/>
    </row>
    <row r="172" spans="1:20" s="140" customFormat="1" x14ac:dyDescent="0.3">
      <c r="A172" s="137">
        <v>165</v>
      </c>
      <c r="B172" s="34" t="s">
        <v>288</v>
      </c>
      <c r="C172" s="35" t="s">
        <v>163</v>
      </c>
      <c r="D172" s="35" t="s">
        <v>289</v>
      </c>
      <c r="E172" s="134">
        <f>SUMIFS(XUẤT!P:P,XUẤT!N:N,CBCNV!B172,XUẤT!O:O,CBCNV!$E$2)</f>
        <v>0</v>
      </c>
      <c r="F172" s="139">
        <f t="shared" si="31"/>
        <v>0</v>
      </c>
      <c r="G172" s="134">
        <f>SUMIFS(XUẤT!Q:Q,XUẤT!N:N,CBCNV!B172,XUẤT!O:O,CBCNV!$G$2)</f>
        <v>0</v>
      </c>
      <c r="H172" s="138">
        <f t="shared" si="32"/>
        <v>0</v>
      </c>
      <c r="I172" s="134">
        <f>SUMIFS(XUẤT!R:R,XUẤT!N:N,CBCNV!B172,XUẤT!O:O,CBCNV!$I$2)</f>
        <v>0</v>
      </c>
      <c r="J172" s="139">
        <f t="shared" si="33"/>
        <v>0</v>
      </c>
      <c r="K172" s="134">
        <f>SUMIFS(XUẤT!S:S,XUẤT!N:N,CBCNV!B172,XUẤT!O:O,CBCNV!$K$2)</f>
        <v>0</v>
      </c>
      <c r="L172" s="139">
        <f t="shared" si="34"/>
        <v>0</v>
      </c>
      <c r="M172" s="134">
        <f>SUMIFS(XUẤT!T:T,XUẤT!N:N,CBCNV!B172,XUẤT!O:O,CBCNV!$M$2)</f>
        <v>0</v>
      </c>
      <c r="N172" s="139">
        <f t="shared" si="35"/>
        <v>0</v>
      </c>
      <c r="O172" s="134">
        <f>SUMIFS(XUẤT!U:U,XUẤT!N:N,CBCNV!B172,XUẤT!O:O,CBCNV!$O$2)</f>
        <v>0</v>
      </c>
      <c r="P172" s="139">
        <f t="shared" si="36"/>
        <v>0</v>
      </c>
      <c r="Q172" s="32"/>
      <c r="R172" s="21"/>
      <c r="S172" s="136"/>
      <c r="T172" s="136"/>
    </row>
    <row r="173" spans="1:20" s="140" customFormat="1" x14ac:dyDescent="0.3">
      <c r="A173" s="137">
        <v>166</v>
      </c>
      <c r="B173" s="10" t="s">
        <v>290</v>
      </c>
      <c r="C173" s="36" t="s">
        <v>166</v>
      </c>
      <c r="D173" s="36" t="s">
        <v>289</v>
      </c>
      <c r="E173" s="134">
        <f>SUMIFS(XUẤT!P:P,XUẤT!N:N,CBCNV!B173,XUẤT!O:O,CBCNV!$E$2)</f>
        <v>0</v>
      </c>
      <c r="F173" s="139">
        <f t="shared" si="31"/>
        <v>0</v>
      </c>
      <c r="G173" s="134">
        <f>SUMIFS(XUẤT!Q:Q,XUẤT!N:N,CBCNV!B173,XUẤT!O:O,CBCNV!$G$2)</f>
        <v>0</v>
      </c>
      <c r="H173" s="138">
        <f t="shared" si="32"/>
        <v>0</v>
      </c>
      <c r="I173" s="134">
        <f>SUMIFS(XUẤT!R:R,XUẤT!N:N,CBCNV!B173,XUẤT!O:O,CBCNV!$I$2)</f>
        <v>0</v>
      </c>
      <c r="J173" s="139">
        <f t="shared" si="33"/>
        <v>0</v>
      </c>
      <c r="K173" s="134">
        <f>SUMIFS(XUẤT!S:S,XUẤT!N:N,CBCNV!B173,XUẤT!O:O,CBCNV!$K$2)</f>
        <v>0</v>
      </c>
      <c r="L173" s="139">
        <f t="shared" si="34"/>
        <v>0</v>
      </c>
      <c r="M173" s="134">
        <f>SUMIFS(XUẤT!T:T,XUẤT!N:N,CBCNV!B173,XUẤT!O:O,CBCNV!$M$2)</f>
        <v>0</v>
      </c>
      <c r="N173" s="139">
        <f t="shared" si="35"/>
        <v>0</v>
      </c>
      <c r="O173" s="134">
        <f>SUMIFS(XUẤT!U:U,XUẤT!N:N,CBCNV!B173,XUẤT!O:O,CBCNV!$O$2)</f>
        <v>0</v>
      </c>
      <c r="P173" s="139">
        <f t="shared" si="36"/>
        <v>0</v>
      </c>
      <c r="Q173" s="32"/>
      <c r="R173" s="18"/>
    </row>
    <row r="174" spans="1:20" s="140" customFormat="1" x14ac:dyDescent="0.3">
      <c r="A174" s="137">
        <v>167</v>
      </c>
      <c r="B174" s="10" t="s">
        <v>291</v>
      </c>
      <c r="C174" s="36" t="s">
        <v>111</v>
      </c>
      <c r="D174" s="36" t="s">
        <v>289</v>
      </c>
      <c r="E174" s="134">
        <f>SUMIFS(XUẤT!P:P,XUẤT!N:N,CBCNV!B174,XUẤT!O:O,CBCNV!$E$2)</f>
        <v>0</v>
      </c>
      <c r="F174" s="139">
        <f t="shared" si="31"/>
        <v>0</v>
      </c>
      <c r="G174" s="134">
        <f>SUMIFS(XUẤT!Q:Q,XUẤT!N:N,CBCNV!B174,XUẤT!O:O,CBCNV!$G$2)</f>
        <v>0</v>
      </c>
      <c r="H174" s="138">
        <f t="shared" si="32"/>
        <v>0</v>
      </c>
      <c r="I174" s="134">
        <f>SUMIFS(XUẤT!R:R,XUẤT!N:N,CBCNV!B174,XUẤT!O:O,CBCNV!$I$2)</f>
        <v>0</v>
      </c>
      <c r="J174" s="139">
        <f t="shared" si="33"/>
        <v>0</v>
      </c>
      <c r="K174" s="134">
        <f>SUMIFS(XUẤT!S:S,XUẤT!N:N,CBCNV!B174,XUẤT!O:O,CBCNV!$K$2)</f>
        <v>0</v>
      </c>
      <c r="L174" s="139">
        <f t="shared" si="34"/>
        <v>0</v>
      </c>
      <c r="M174" s="134">
        <f>SUMIFS(XUẤT!T:T,XUẤT!N:N,CBCNV!B174,XUẤT!O:O,CBCNV!$M$2)</f>
        <v>0</v>
      </c>
      <c r="N174" s="139">
        <f t="shared" si="35"/>
        <v>0</v>
      </c>
      <c r="O174" s="134">
        <f>SUMIFS(XUẤT!U:U,XUẤT!N:N,CBCNV!B174,XUẤT!O:O,CBCNV!$O$2)</f>
        <v>0</v>
      </c>
      <c r="P174" s="139">
        <f t="shared" si="36"/>
        <v>0</v>
      </c>
      <c r="Q174" s="32"/>
      <c r="R174" s="18"/>
    </row>
    <row r="175" spans="1:20" s="140" customFormat="1" x14ac:dyDescent="0.3">
      <c r="A175" s="137">
        <v>168</v>
      </c>
      <c r="B175" s="10" t="s">
        <v>292</v>
      </c>
      <c r="C175" s="36" t="s">
        <v>111</v>
      </c>
      <c r="D175" s="36" t="s">
        <v>289</v>
      </c>
      <c r="E175" s="134">
        <f>SUMIFS(XUẤT!P:P,XUẤT!N:N,CBCNV!B175,XUẤT!O:O,CBCNV!$E$2)</f>
        <v>0</v>
      </c>
      <c r="F175" s="139">
        <f t="shared" si="31"/>
        <v>0</v>
      </c>
      <c r="G175" s="134">
        <f>SUMIFS(XUẤT!Q:Q,XUẤT!N:N,CBCNV!B175,XUẤT!O:O,CBCNV!$G$2)</f>
        <v>0</v>
      </c>
      <c r="H175" s="138">
        <f t="shared" si="32"/>
        <v>0</v>
      </c>
      <c r="I175" s="134">
        <f>SUMIFS(XUẤT!R:R,XUẤT!N:N,CBCNV!B175,XUẤT!O:O,CBCNV!$I$2)</f>
        <v>0</v>
      </c>
      <c r="J175" s="139">
        <f t="shared" si="33"/>
        <v>0</v>
      </c>
      <c r="K175" s="134">
        <f>SUMIFS(XUẤT!S:S,XUẤT!N:N,CBCNV!B175,XUẤT!O:O,CBCNV!$K$2)</f>
        <v>0</v>
      </c>
      <c r="L175" s="139">
        <f t="shared" si="34"/>
        <v>0</v>
      </c>
      <c r="M175" s="134">
        <f>SUMIFS(XUẤT!T:T,XUẤT!N:N,CBCNV!B175,XUẤT!O:O,CBCNV!$M$2)</f>
        <v>0</v>
      </c>
      <c r="N175" s="139">
        <f t="shared" si="35"/>
        <v>0</v>
      </c>
      <c r="O175" s="134">
        <f>SUMIFS(XUẤT!U:U,XUẤT!N:N,CBCNV!B175,XUẤT!O:O,CBCNV!$O$2)</f>
        <v>0</v>
      </c>
      <c r="P175" s="139">
        <f t="shared" si="36"/>
        <v>0</v>
      </c>
      <c r="Q175" s="32"/>
      <c r="R175" s="18"/>
    </row>
    <row r="176" spans="1:20" s="140" customFormat="1" x14ac:dyDescent="0.3">
      <c r="A176" s="137">
        <v>169</v>
      </c>
      <c r="B176" s="10" t="s">
        <v>293</v>
      </c>
      <c r="C176" s="36" t="s">
        <v>294</v>
      </c>
      <c r="D176" s="36" t="s">
        <v>289</v>
      </c>
      <c r="E176" s="134">
        <f>SUMIFS(XUẤT!P:P,XUẤT!N:N,CBCNV!B176,XUẤT!O:O,CBCNV!$E$2)</f>
        <v>0</v>
      </c>
      <c r="F176" s="139">
        <f t="shared" si="31"/>
        <v>0</v>
      </c>
      <c r="G176" s="134">
        <f>SUMIFS(XUẤT!Q:Q,XUẤT!N:N,CBCNV!B176,XUẤT!O:O,CBCNV!$G$2)</f>
        <v>0</v>
      </c>
      <c r="H176" s="138">
        <f t="shared" si="32"/>
        <v>0</v>
      </c>
      <c r="I176" s="134">
        <f>SUMIFS(XUẤT!R:R,XUẤT!N:N,CBCNV!B176,XUẤT!O:O,CBCNV!$I$2)</f>
        <v>0</v>
      </c>
      <c r="J176" s="139">
        <f t="shared" si="33"/>
        <v>0</v>
      </c>
      <c r="K176" s="134">
        <f>SUMIFS(XUẤT!S:S,XUẤT!N:N,CBCNV!B176,XUẤT!O:O,CBCNV!$K$2)</f>
        <v>0</v>
      </c>
      <c r="L176" s="139">
        <f t="shared" si="34"/>
        <v>0</v>
      </c>
      <c r="M176" s="134">
        <f>SUMIFS(XUẤT!T:T,XUẤT!N:N,CBCNV!B176,XUẤT!O:O,CBCNV!$M$2)</f>
        <v>0</v>
      </c>
      <c r="N176" s="139">
        <f t="shared" si="35"/>
        <v>0</v>
      </c>
      <c r="O176" s="134">
        <f>SUMIFS(XUẤT!U:U,XUẤT!N:N,CBCNV!B176,XUẤT!O:O,CBCNV!$O$2)</f>
        <v>0</v>
      </c>
      <c r="P176" s="139">
        <f t="shared" si="36"/>
        <v>0</v>
      </c>
      <c r="Q176" s="32"/>
      <c r="R176" s="18"/>
    </row>
    <row r="177" spans="1:18" s="140" customFormat="1" x14ac:dyDescent="0.3">
      <c r="A177" s="137">
        <v>170</v>
      </c>
      <c r="B177" s="10" t="s">
        <v>295</v>
      </c>
      <c r="C177" s="36" t="s">
        <v>296</v>
      </c>
      <c r="D177" s="36" t="s">
        <v>289</v>
      </c>
      <c r="E177" s="134">
        <f>SUMIFS(XUẤT!P:P,XUẤT!N:N,CBCNV!B177,XUẤT!O:O,CBCNV!$E$2)</f>
        <v>0</v>
      </c>
      <c r="F177" s="139">
        <f t="shared" si="31"/>
        <v>0</v>
      </c>
      <c r="G177" s="134">
        <f>SUMIFS(XUẤT!Q:Q,XUẤT!N:N,CBCNV!B177,XUẤT!O:O,CBCNV!$G$2)</f>
        <v>0</v>
      </c>
      <c r="H177" s="138">
        <f t="shared" si="32"/>
        <v>0</v>
      </c>
      <c r="I177" s="134">
        <f>SUMIFS(XUẤT!R:R,XUẤT!N:N,CBCNV!B177,XUẤT!O:O,CBCNV!$I$2)</f>
        <v>0</v>
      </c>
      <c r="J177" s="139">
        <f t="shared" si="33"/>
        <v>0</v>
      </c>
      <c r="K177" s="134">
        <f>SUMIFS(XUẤT!S:S,XUẤT!N:N,CBCNV!B177,XUẤT!O:O,CBCNV!$K$2)</f>
        <v>0</v>
      </c>
      <c r="L177" s="139">
        <f t="shared" si="34"/>
        <v>0</v>
      </c>
      <c r="M177" s="134">
        <f>SUMIFS(XUẤT!T:T,XUẤT!N:N,CBCNV!B177,XUẤT!O:O,CBCNV!$M$2)</f>
        <v>0</v>
      </c>
      <c r="N177" s="139">
        <f t="shared" si="35"/>
        <v>0</v>
      </c>
      <c r="O177" s="134">
        <f>SUMIFS(XUẤT!U:U,XUẤT!N:N,CBCNV!B177,XUẤT!O:O,CBCNV!$O$2)</f>
        <v>0</v>
      </c>
      <c r="P177" s="139">
        <f t="shared" si="36"/>
        <v>0</v>
      </c>
      <c r="Q177" s="32"/>
      <c r="R177" s="18"/>
    </row>
    <row r="178" spans="1:18" s="140" customFormat="1" ht="36" x14ac:dyDescent="0.3">
      <c r="A178" s="137">
        <v>171</v>
      </c>
      <c r="B178" s="10" t="s">
        <v>297</v>
      </c>
      <c r="C178" s="36" t="s">
        <v>298</v>
      </c>
      <c r="D178" s="36" t="s">
        <v>289</v>
      </c>
      <c r="E178" s="134">
        <f>SUMIFS(XUẤT!P:P,XUẤT!N:N,CBCNV!B178,XUẤT!O:O,CBCNV!$E$2)</f>
        <v>0</v>
      </c>
      <c r="F178" s="139">
        <f t="shared" si="31"/>
        <v>0</v>
      </c>
      <c r="G178" s="134">
        <f>SUMIFS(XUẤT!Q:Q,XUẤT!N:N,CBCNV!B178,XUẤT!O:O,CBCNV!$G$2)</f>
        <v>0</v>
      </c>
      <c r="H178" s="138">
        <f t="shared" si="32"/>
        <v>0</v>
      </c>
      <c r="I178" s="134">
        <f>SUMIFS(XUẤT!R:R,XUẤT!N:N,CBCNV!B178,XUẤT!O:O,CBCNV!$I$2)</f>
        <v>0</v>
      </c>
      <c r="J178" s="139">
        <f t="shared" si="33"/>
        <v>0</v>
      </c>
      <c r="K178" s="134">
        <f>SUMIFS(XUẤT!S:S,XUẤT!N:N,CBCNV!B178,XUẤT!O:O,CBCNV!$K$2)</f>
        <v>0</v>
      </c>
      <c r="L178" s="139">
        <f t="shared" si="34"/>
        <v>0</v>
      </c>
      <c r="M178" s="134">
        <f>SUMIFS(XUẤT!T:T,XUẤT!N:N,CBCNV!B178,XUẤT!O:O,CBCNV!$M$2)</f>
        <v>0</v>
      </c>
      <c r="N178" s="139">
        <f t="shared" si="35"/>
        <v>0</v>
      </c>
      <c r="O178" s="134">
        <f>SUMIFS(XUẤT!U:U,XUẤT!N:N,CBCNV!B178,XUẤT!O:O,CBCNV!$O$2)</f>
        <v>0</v>
      </c>
      <c r="P178" s="139">
        <f t="shared" si="36"/>
        <v>0</v>
      </c>
      <c r="Q178" s="32"/>
      <c r="R178" s="18"/>
    </row>
    <row r="179" spans="1:18" s="140" customFormat="1" x14ac:dyDescent="0.3">
      <c r="A179" s="137">
        <v>172</v>
      </c>
      <c r="B179" s="10" t="s">
        <v>299</v>
      </c>
      <c r="C179" s="36" t="s">
        <v>294</v>
      </c>
      <c r="D179" s="36" t="s">
        <v>289</v>
      </c>
      <c r="E179" s="134">
        <f>SUMIFS(XUẤT!P:P,XUẤT!N:N,CBCNV!B179,XUẤT!O:O,CBCNV!$E$2)</f>
        <v>0</v>
      </c>
      <c r="F179" s="139">
        <f t="shared" si="31"/>
        <v>0</v>
      </c>
      <c r="G179" s="134">
        <f>SUMIFS(XUẤT!Q:Q,XUẤT!N:N,CBCNV!B179,XUẤT!O:O,CBCNV!$G$2)</f>
        <v>0</v>
      </c>
      <c r="H179" s="138">
        <f t="shared" si="32"/>
        <v>0</v>
      </c>
      <c r="I179" s="134">
        <f>SUMIFS(XUẤT!R:R,XUẤT!N:N,CBCNV!B179,XUẤT!O:O,CBCNV!$I$2)</f>
        <v>0</v>
      </c>
      <c r="J179" s="139">
        <f t="shared" si="33"/>
        <v>0</v>
      </c>
      <c r="K179" s="134">
        <f>SUMIFS(XUẤT!S:S,XUẤT!N:N,CBCNV!B179,XUẤT!O:O,CBCNV!$K$2)</f>
        <v>0</v>
      </c>
      <c r="L179" s="139">
        <f t="shared" si="34"/>
        <v>0</v>
      </c>
      <c r="M179" s="134">
        <f>SUMIFS(XUẤT!T:T,XUẤT!N:N,CBCNV!B179,XUẤT!O:O,CBCNV!$M$2)</f>
        <v>0</v>
      </c>
      <c r="N179" s="139">
        <f t="shared" si="35"/>
        <v>0</v>
      </c>
      <c r="O179" s="134">
        <f>SUMIFS(XUẤT!U:U,XUẤT!N:N,CBCNV!B179,XUẤT!O:O,CBCNV!$O$2)</f>
        <v>0</v>
      </c>
      <c r="P179" s="139">
        <f t="shared" si="36"/>
        <v>0</v>
      </c>
      <c r="Q179" s="32"/>
      <c r="R179" s="18"/>
    </row>
    <row r="180" spans="1:18" s="140" customFormat="1" x14ac:dyDescent="0.3">
      <c r="A180" s="137">
        <v>173</v>
      </c>
      <c r="B180" s="10" t="s">
        <v>300</v>
      </c>
      <c r="C180" s="36" t="s">
        <v>294</v>
      </c>
      <c r="D180" s="36" t="s">
        <v>289</v>
      </c>
      <c r="E180" s="134">
        <f>SUMIFS(XUẤT!P:P,XUẤT!N:N,CBCNV!B180,XUẤT!O:O,CBCNV!$E$2)</f>
        <v>0</v>
      </c>
      <c r="F180" s="139">
        <f t="shared" si="31"/>
        <v>0</v>
      </c>
      <c r="G180" s="134">
        <f>SUMIFS(XUẤT!Q:Q,XUẤT!N:N,CBCNV!B180,XUẤT!O:O,CBCNV!$G$2)</f>
        <v>0</v>
      </c>
      <c r="H180" s="138">
        <f t="shared" si="32"/>
        <v>0</v>
      </c>
      <c r="I180" s="134">
        <f>SUMIFS(XUẤT!R:R,XUẤT!N:N,CBCNV!B180,XUẤT!O:O,CBCNV!$I$2)</f>
        <v>0</v>
      </c>
      <c r="J180" s="139">
        <f t="shared" si="33"/>
        <v>0</v>
      </c>
      <c r="K180" s="134">
        <f>SUMIFS(XUẤT!S:S,XUẤT!N:N,CBCNV!B180,XUẤT!O:O,CBCNV!$K$2)</f>
        <v>0</v>
      </c>
      <c r="L180" s="139">
        <f t="shared" si="34"/>
        <v>0</v>
      </c>
      <c r="M180" s="134">
        <f>SUMIFS(XUẤT!T:T,XUẤT!N:N,CBCNV!B180,XUẤT!O:O,CBCNV!$M$2)</f>
        <v>0</v>
      </c>
      <c r="N180" s="139">
        <f t="shared" si="35"/>
        <v>0</v>
      </c>
      <c r="O180" s="134">
        <f>SUMIFS(XUẤT!U:U,XUẤT!N:N,CBCNV!B180,XUẤT!O:O,CBCNV!$O$2)</f>
        <v>0</v>
      </c>
      <c r="P180" s="139">
        <f t="shared" si="36"/>
        <v>0</v>
      </c>
      <c r="Q180" s="32"/>
      <c r="R180" s="18"/>
    </row>
    <row r="181" spans="1:18" s="140" customFormat="1" x14ac:dyDescent="0.3">
      <c r="A181" s="137">
        <v>174</v>
      </c>
      <c r="B181" s="10" t="s">
        <v>301</v>
      </c>
      <c r="C181" s="36" t="s">
        <v>302</v>
      </c>
      <c r="D181" s="36" t="s">
        <v>289</v>
      </c>
      <c r="E181" s="134">
        <f>SUMIFS(XUẤT!P:P,XUẤT!N:N,CBCNV!B181,XUẤT!O:O,CBCNV!$E$2)</f>
        <v>10</v>
      </c>
      <c r="F181" s="139">
        <f t="shared" si="31"/>
        <v>980000</v>
      </c>
      <c r="G181" s="134">
        <f>SUMIFS(XUẤT!Q:Q,XUẤT!N:N,CBCNV!B181,XUẤT!O:O,CBCNV!$G$2)</f>
        <v>0</v>
      </c>
      <c r="H181" s="138">
        <f t="shared" si="32"/>
        <v>0</v>
      </c>
      <c r="I181" s="134">
        <f>SUMIFS(XUẤT!R:R,XUẤT!N:N,CBCNV!B181,XUẤT!O:O,CBCNV!$I$2)</f>
        <v>0</v>
      </c>
      <c r="J181" s="139">
        <f t="shared" si="33"/>
        <v>0</v>
      </c>
      <c r="K181" s="134">
        <f>SUMIFS(XUẤT!S:S,XUẤT!N:N,CBCNV!B181,XUẤT!O:O,CBCNV!$K$2)</f>
        <v>0</v>
      </c>
      <c r="L181" s="139">
        <f t="shared" si="34"/>
        <v>0</v>
      </c>
      <c r="M181" s="134">
        <f>SUMIFS(XUẤT!T:T,XUẤT!N:N,CBCNV!B181,XUẤT!O:O,CBCNV!$M$2)</f>
        <v>0</v>
      </c>
      <c r="N181" s="139">
        <f t="shared" si="35"/>
        <v>0</v>
      </c>
      <c r="O181" s="134">
        <f>SUMIFS(XUẤT!U:U,XUẤT!N:N,CBCNV!B181,XUẤT!O:O,CBCNV!$O$2)</f>
        <v>0</v>
      </c>
      <c r="P181" s="139">
        <f t="shared" si="36"/>
        <v>0</v>
      </c>
      <c r="Q181" s="32"/>
      <c r="R181" s="18"/>
    </row>
    <row r="182" spans="1:18" s="140" customFormat="1" x14ac:dyDescent="0.3">
      <c r="A182" s="137">
        <v>175</v>
      </c>
      <c r="B182" s="10" t="s">
        <v>303</v>
      </c>
      <c r="C182" s="36" t="s">
        <v>302</v>
      </c>
      <c r="D182" s="36" t="s">
        <v>289</v>
      </c>
      <c r="E182" s="134">
        <f>SUMIFS(XUẤT!P:P,XUẤT!N:N,CBCNV!B182,XUẤT!O:O,CBCNV!$E$2)</f>
        <v>0</v>
      </c>
      <c r="F182" s="139">
        <f t="shared" si="31"/>
        <v>0</v>
      </c>
      <c r="G182" s="134">
        <f>SUMIFS(XUẤT!Q:Q,XUẤT!N:N,CBCNV!B182,XUẤT!O:O,CBCNV!$G$2)</f>
        <v>0</v>
      </c>
      <c r="H182" s="138">
        <f t="shared" si="32"/>
        <v>0</v>
      </c>
      <c r="I182" s="134">
        <f>SUMIFS(XUẤT!R:R,XUẤT!N:N,CBCNV!B182,XUẤT!O:O,CBCNV!$I$2)</f>
        <v>0</v>
      </c>
      <c r="J182" s="139">
        <f t="shared" si="33"/>
        <v>0</v>
      </c>
      <c r="K182" s="134">
        <f>SUMIFS(XUẤT!S:S,XUẤT!N:N,CBCNV!B182,XUẤT!O:O,CBCNV!$K$2)</f>
        <v>0</v>
      </c>
      <c r="L182" s="139">
        <f t="shared" si="34"/>
        <v>0</v>
      </c>
      <c r="M182" s="134">
        <f>SUMIFS(XUẤT!T:T,XUẤT!N:N,CBCNV!B182,XUẤT!O:O,CBCNV!$M$2)</f>
        <v>0</v>
      </c>
      <c r="N182" s="139">
        <f t="shared" si="35"/>
        <v>0</v>
      </c>
      <c r="O182" s="134">
        <f>SUMIFS(XUẤT!U:U,XUẤT!N:N,CBCNV!B182,XUẤT!O:O,CBCNV!$O$2)</f>
        <v>0</v>
      </c>
      <c r="P182" s="139">
        <f t="shared" si="36"/>
        <v>0</v>
      </c>
      <c r="Q182" s="32"/>
      <c r="R182" s="18"/>
    </row>
    <row r="183" spans="1:18" s="140" customFormat="1" x14ac:dyDescent="0.3">
      <c r="A183" s="137">
        <v>176</v>
      </c>
      <c r="B183" s="10" t="s">
        <v>41</v>
      </c>
      <c r="C183" s="137" t="s">
        <v>302</v>
      </c>
      <c r="D183" s="137" t="s">
        <v>289</v>
      </c>
      <c r="E183" s="134">
        <f>SUMIFS(XUẤT!P:P,XUẤT!N:N,CBCNV!B183,XUẤT!O:O,CBCNV!$E$2)</f>
        <v>10</v>
      </c>
      <c r="F183" s="139">
        <f t="shared" si="31"/>
        <v>980000</v>
      </c>
      <c r="G183" s="134">
        <f>SUMIFS(XUẤT!Q:Q,XUẤT!N:N,CBCNV!B183,XUẤT!O:O,CBCNV!$G$2)</f>
        <v>0</v>
      </c>
      <c r="H183" s="138">
        <f t="shared" si="32"/>
        <v>0</v>
      </c>
      <c r="I183" s="134">
        <f>SUMIFS(XUẤT!R:R,XUẤT!N:N,CBCNV!B183,XUẤT!O:O,CBCNV!$I$2)</f>
        <v>0</v>
      </c>
      <c r="J183" s="139">
        <f t="shared" si="33"/>
        <v>0</v>
      </c>
      <c r="K183" s="134">
        <f>SUMIFS(XUẤT!S:S,XUẤT!N:N,CBCNV!B183,XUẤT!O:O,CBCNV!$K$2)</f>
        <v>0</v>
      </c>
      <c r="L183" s="139">
        <f t="shared" si="34"/>
        <v>0</v>
      </c>
      <c r="M183" s="134">
        <f>SUMIFS(XUẤT!T:T,XUẤT!N:N,CBCNV!B183,XUẤT!O:O,CBCNV!$M$2)</f>
        <v>13</v>
      </c>
      <c r="N183" s="139">
        <f t="shared" si="35"/>
        <v>676000</v>
      </c>
      <c r="O183" s="134">
        <f>SUMIFS(XUẤT!U:U,XUẤT!N:N,CBCNV!B183,XUẤT!O:O,CBCNV!$O$2)</f>
        <v>0</v>
      </c>
      <c r="P183" s="139">
        <f t="shared" si="36"/>
        <v>0</v>
      </c>
      <c r="Q183" s="32"/>
      <c r="R183" s="18"/>
    </row>
    <row r="184" spans="1:18" s="140" customFormat="1" x14ac:dyDescent="0.3">
      <c r="A184" s="137">
        <v>177</v>
      </c>
      <c r="B184" s="10" t="s">
        <v>304</v>
      </c>
      <c r="C184" s="137" t="s">
        <v>302</v>
      </c>
      <c r="D184" s="137" t="s">
        <v>289</v>
      </c>
      <c r="E184" s="134">
        <f>SUMIFS(XUẤT!P:P,XUẤT!N:N,CBCNV!B184,XUẤT!O:O,CBCNV!$E$2)</f>
        <v>0</v>
      </c>
      <c r="F184" s="139">
        <f t="shared" si="31"/>
        <v>0</v>
      </c>
      <c r="G184" s="134">
        <f>SUMIFS(XUẤT!Q:Q,XUẤT!N:N,CBCNV!B184,XUẤT!O:O,CBCNV!$G$2)</f>
        <v>0</v>
      </c>
      <c r="H184" s="138">
        <f t="shared" si="32"/>
        <v>0</v>
      </c>
      <c r="I184" s="134">
        <f>SUMIFS(XUẤT!R:R,XUẤT!N:N,CBCNV!B184,XUẤT!O:O,CBCNV!$I$2)</f>
        <v>0</v>
      </c>
      <c r="J184" s="139">
        <f t="shared" si="33"/>
        <v>0</v>
      </c>
      <c r="K184" s="134">
        <f>SUMIFS(XUẤT!S:S,XUẤT!N:N,CBCNV!B184,XUẤT!O:O,CBCNV!$K$2)</f>
        <v>0</v>
      </c>
      <c r="L184" s="139">
        <f t="shared" si="34"/>
        <v>0</v>
      </c>
      <c r="M184" s="134">
        <f>SUMIFS(XUẤT!T:T,XUẤT!N:N,CBCNV!B184,XUẤT!O:O,CBCNV!$M$2)</f>
        <v>0</v>
      </c>
      <c r="N184" s="139">
        <f t="shared" si="35"/>
        <v>0</v>
      </c>
      <c r="O184" s="134">
        <f>SUMIFS(XUẤT!U:U,XUẤT!N:N,CBCNV!B184,XUẤT!O:O,CBCNV!$O$2)</f>
        <v>0</v>
      </c>
      <c r="P184" s="139">
        <f t="shared" si="36"/>
        <v>0</v>
      </c>
      <c r="Q184" s="32"/>
      <c r="R184" s="18"/>
    </row>
    <row r="185" spans="1:18" s="140" customFormat="1" x14ac:dyDescent="0.3">
      <c r="A185" s="137">
        <v>178</v>
      </c>
      <c r="B185" s="10" t="s">
        <v>305</v>
      </c>
      <c r="C185" s="137" t="s">
        <v>302</v>
      </c>
      <c r="D185" s="137" t="s">
        <v>289</v>
      </c>
      <c r="E185" s="134">
        <f>SUMIFS(XUẤT!P:P,XUẤT!N:N,CBCNV!B185,XUẤT!O:O,CBCNV!$E$2)</f>
        <v>0</v>
      </c>
      <c r="F185" s="139">
        <f t="shared" si="31"/>
        <v>0</v>
      </c>
      <c r="G185" s="134">
        <f>SUMIFS(XUẤT!Q:Q,XUẤT!N:N,CBCNV!B185,XUẤT!O:O,CBCNV!$G$2)</f>
        <v>0</v>
      </c>
      <c r="H185" s="138">
        <f t="shared" si="32"/>
        <v>0</v>
      </c>
      <c r="I185" s="134">
        <f>SUMIFS(XUẤT!R:R,XUẤT!N:N,CBCNV!B185,XUẤT!O:O,CBCNV!$I$2)</f>
        <v>0</v>
      </c>
      <c r="J185" s="139">
        <f t="shared" si="33"/>
        <v>0</v>
      </c>
      <c r="K185" s="134">
        <f>SUMIFS(XUẤT!S:S,XUẤT!N:N,CBCNV!B185,XUẤT!O:O,CBCNV!$K$2)</f>
        <v>0</v>
      </c>
      <c r="L185" s="139">
        <f t="shared" si="34"/>
        <v>0</v>
      </c>
      <c r="M185" s="134">
        <f>SUMIFS(XUẤT!T:T,XUẤT!N:N,CBCNV!B185,XUẤT!O:O,CBCNV!$M$2)</f>
        <v>0</v>
      </c>
      <c r="N185" s="139">
        <f t="shared" si="35"/>
        <v>0</v>
      </c>
      <c r="O185" s="134">
        <f>SUMIFS(XUẤT!U:U,XUẤT!N:N,CBCNV!B185,XUẤT!O:O,CBCNV!$O$2)</f>
        <v>0</v>
      </c>
      <c r="P185" s="139">
        <f t="shared" si="36"/>
        <v>0</v>
      </c>
      <c r="Q185" s="32"/>
      <c r="R185" s="18"/>
    </row>
    <row r="186" spans="1:18" s="140" customFormat="1" x14ac:dyDescent="0.3">
      <c r="A186" s="137">
        <v>179</v>
      </c>
      <c r="B186" s="10" t="s">
        <v>306</v>
      </c>
      <c r="C186" s="36" t="s">
        <v>180</v>
      </c>
      <c r="D186" s="36" t="s">
        <v>289</v>
      </c>
      <c r="E186" s="134">
        <f>SUMIFS(XUẤT!P:P,XUẤT!N:N,CBCNV!B186,XUẤT!O:O,CBCNV!$E$2)</f>
        <v>0</v>
      </c>
      <c r="F186" s="139">
        <f t="shared" si="31"/>
        <v>0</v>
      </c>
      <c r="G186" s="134">
        <f>SUMIFS(XUẤT!Q:Q,XUẤT!N:N,CBCNV!B186,XUẤT!O:O,CBCNV!$G$2)</f>
        <v>0</v>
      </c>
      <c r="H186" s="138">
        <f t="shared" si="32"/>
        <v>0</v>
      </c>
      <c r="I186" s="134">
        <f>SUMIFS(XUẤT!R:R,XUẤT!N:N,CBCNV!B186,XUẤT!O:O,CBCNV!$I$2)</f>
        <v>0</v>
      </c>
      <c r="J186" s="139">
        <f t="shared" si="33"/>
        <v>0</v>
      </c>
      <c r="K186" s="134">
        <f>SUMIFS(XUẤT!S:S,XUẤT!N:N,CBCNV!B186,XUẤT!O:O,CBCNV!$K$2)</f>
        <v>0</v>
      </c>
      <c r="L186" s="139">
        <f t="shared" si="34"/>
        <v>0</v>
      </c>
      <c r="M186" s="134">
        <f>SUMIFS(XUẤT!T:T,XUẤT!N:N,CBCNV!B186,XUẤT!O:O,CBCNV!$M$2)</f>
        <v>0</v>
      </c>
      <c r="N186" s="139">
        <f t="shared" si="35"/>
        <v>0</v>
      </c>
      <c r="O186" s="134">
        <f>SUMIFS(XUẤT!U:U,XUẤT!N:N,CBCNV!B186,XUẤT!O:O,CBCNV!$O$2)</f>
        <v>0</v>
      </c>
      <c r="P186" s="139">
        <f t="shared" si="36"/>
        <v>0</v>
      </c>
      <c r="Q186" s="32"/>
      <c r="R186" s="18"/>
    </row>
    <row r="187" spans="1:18" s="140" customFormat="1" x14ac:dyDescent="0.3">
      <c r="A187" s="137">
        <v>180</v>
      </c>
      <c r="B187" s="10" t="s">
        <v>307</v>
      </c>
      <c r="C187" s="36" t="s">
        <v>180</v>
      </c>
      <c r="D187" s="36" t="s">
        <v>289</v>
      </c>
      <c r="E187" s="134">
        <f>SUMIFS(XUẤT!P:P,XUẤT!N:N,CBCNV!B187,XUẤT!O:O,CBCNV!$E$2)</f>
        <v>0</v>
      </c>
      <c r="F187" s="139">
        <f t="shared" si="31"/>
        <v>0</v>
      </c>
      <c r="G187" s="134">
        <f>SUMIFS(XUẤT!Q:Q,XUẤT!N:N,CBCNV!B187,XUẤT!O:O,CBCNV!$G$2)</f>
        <v>0</v>
      </c>
      <c r="H187" s="138">
        <f t="shared" si="32"/>
        <v>0</v>
      </c>
      <c r="I187" s="134">
        <f>SUMIFS(XUẤT!R:R,XUẤT!N:N,CBCNV!B187,XUẤT!O:O,CBCNV!$I$2)</f>
        <v>0</v>
      </c>
      <c r="J187" s="139">
        <f t="shared" si="33"/>
        <v>0</v>
      </c>
      <c r="K187" s="134">
        <f>SUMIFS(XUẤT!S:S,XUẤT!N:N,CBCNV!B187,XUẤT!O:O,CBCNV!$K$2)</f>
        <v>0</v>
      </c>
      <c r="L187" s="139">
        <f t="shared" si="34"/>
        <v>0</v>
      </c>
      <c r="M187" s="134">
        <f>SUMIFS(XUẤT!T:T,XUẤT!N:N,CBCNV!B187,XUẤT!O:O,CBCNV!$M$2)</f>
        <v>0</v>
      </c>
      <c r="N187" s="139">
        <f t="shared" si="35"/>
        <v>0</v>
      </c>
      <c r="O187" s="134">
        <f>SUMIFS(XUẤT!U:U,XUẤT!N:N,CBCNV!B187,XUẤT!O:O,CBCNV!$O$2)</f>
        <v>0</v>
      </c>
      <c r="P187" s="139">
        <f t="shared" si="36"/>
        <v>0</v>
      </c>
      <c r="Q187" s="32"/>
      <c r="R187" s="18"/>
    </row>
    <row r="188" spans="1:18" s="140" customFormat="1" x14ac:dyDescent="0.3">
      <c r="A188" s="137">
        <v>181</v>
      </c>
      <c r="B188" s="142" t="s">
        <v>308</v>
      </c>
      <c r="C188" s="36" t="s">
        <v>180</v>
      </c>
      <c r="D188" s="137" t="s">
        <v>289</v>
      </c>
      <c r="E188" s="134">
        <f>SUMIFS(XUẤT!P:P,XUẤT!N:N,CBCNV!B188,XUẤT!O:O,CBCNV!$E$2)</f>
        <v>0</v>
      </c>
      <c r="F188" s="139">
        <f t="shared" si="31"/>
        <v>0</v>
      </c>
      <c r="G188" s="134">
        <f>SUMIFS(XUẤT!Q:Q,XUẤT!N:N,CBCNV!B188,XUẤT!O:O,CBCNV!$G$2)</f>
        <v>0</v>
      </c>
      <c r="H188" s="138">
        <f t="shared" si="32"/>
        <v>0</v>
      </c>
      <c r="I188" s="134">
        <f>SUMIFS(XUẤT!R:R,XUẤT!N:N,CBCNV!B188,XUẤT!O:O,CBCNV!$I$2)</f>
        <v>0</v>
      </c>
      <c r="J188" s="139">
        <f t="shared" si="33"/>
        <v>0</v>
      </c>
      <c r="K188" s="134">
        <f>SUMIFS(XUẤT!S:S,XUẤT!N:N,CBCNV!B188,XUẤT!O:O,CBCNV!$K$2)</f>
        <v>0</v>
      </c>
      <c r="L188" s="139">
        <f t="shared" si="34"/>
        <v>0</v>
      </c>
      <c r="M188" s="134">
        <f>SUMIFS(XUẤT!T:T,XUẤT!N:N,CBCNV!B188,XUẤT!O:O,CBCNV!$M$2)</f>
        <v>0</v>
      </c>
      <c r="N188" s="139">
        <f t="shared" si="35"/>
        <v>0</v>
      </c>
      <c r="O188" s="134">
        <f>SUMIFS(XUẤT!U:U,XUẤT!N:N,CBCNV!B188,XUẤT!O:O,CBCNV!$O$2)</f>
        <v>0</v>
      </c>
      <c r="P188" s="139">
        <f t="shared" si="36"/>
        <v>0</v>
      </c>
      <c r="Q188" s="32"/>
      <c r="R188" s="18"/>
    </row>
    <row r="189" spans="1:18" s="140" customFormat="1" x14ac:dyDescent="0.3">
      <c r="A189" s="137">
        <v>182</v>
      </c>
      <c r="B189" s="10" t="s">
        <v>309</v>
      </c>
      <c r="C189" s="36" t="s">
        <v>180</v>
      </c>
      <c r="D189" s="137" t="s">
        <v>289</v>
      </c>
      <c r="E189" s="134">
        <f>SUMIFS(XUẤT!P:P,XUẤT!N:N,CBCNV!B189,XUẤT!O:O,CBCNV!$E$2)</f>
        <v>0</v>
      </c>
      <c r="F189" s="139">
        <f t="shared" si="31"/>
        <v>0</v>
      </c>
      <c r="G189" s="134">
        <f>SUMIFS(XUẤT!Q:Q,XUẤT!N:N,CBCNV!B189,XUẤT!O:O,CBCNV!$G$2)</f>
        <v>0</v>
      </c>
      <c r="H189" s="138">
        <f t="shared" si="32"/>
        <v>0</v>
      </c>
      <c r="I189" s="134">
        <f>SUMIFS(XUẤT!R:R,XUẤT!N:N,CBCNV!B189,XUẤT!O:O,CBCNV!$I$2)</f>
        <v>0</v>
      </c>
      <c r="J189" s="139">
        <f t="shared" si="33"/>
        <v>0</v>
      </c>
      <c r="K189" s="134">
        <f>SUMIFS(XUẤT!S:S,XUẤT!N:N,CBCNV!B189,XUẤT!O:O,CBCNV!$K$2)</f>
        <v>0</v>
      </c>
      <c r="L189" s="139">
        <f t="shared" si="34"/>
        <v>0</v>
      </c>
      <c r="M189" s="134">
        <f>SUMIFS(XUẤT!T:T,XUẤT!N:N,CBCNV!B189,XUẤT!O:O,CBCNV!$M$2)</f>
        <v>0</v>
      </c>
      <c r="N189" s="139">
        <f t="shared" si="35"/>
        <v>0</v>
      </c>
      <c r="O189" s="134">
        <f>SUMIFS(XUẤT!U:U,XUẤT!N:N,CBCNV!B189,XUẤT!O:O,CBCNV!$O$2)</f>
        <v>0</v>
      </c>
      <c r="P189" s="139">
        <f t="shared" si="36"/>
        <v>0</v>
      </c>
      <c r="Q189" s="32"/>
      <c r="R189" s="18"/>
    </row>
    <row r="190" spans="1:18" s="140" customFormat="1" x14ac:dyDescent="0.3">
      <c r="A190" s="137">
        <v>183</v>
      </c>
      <c r="B190" s="10" t="s">
        <v>310</v>
      </c>
      <c r="C190" s="36" t="s">
        <v>180</v>
      </c>
      <c r="D190" s="137" t="s">
        <v>289</v>
      </c>
      <c r="E190" s="134">
        <f>SUMIFS(XUẤT!P:P,XUẤT!N:N,CBCNV!B190,XUẤT!O:O,CBCNV!$E$2)</f>
        <v>0</v>
      </c>
      <c r="F190" s="139">
        <f t="shared" si="31"/>
        <v>0</v>
      </c>
      <c r="G190" s="134">
        <f>SUMIFS(XUẤT!Q:Q,XUẤT!N:N,CBCNV!B190,XUẤT!O:O,CBCNV!$G$2)</f>
        <v>0</v>
      </c>
      <c r="H190" s="138">
        <f t="shared" si="32"/>
        <v>0</v>
      </c>
      <c r="I190" s="134">
        <f>SUMIFS(XUẤT!R:R,XUẤT!N:N,CBCNV!B190,XUẤT!O:O,CBCNV!$I$2)</f>
        <v>0</v>
      </c>
      <c r="J190" s="139">
        <f t="shared" si="33"/>
        <v>0</v>
      </c>
      <c r="K190" s="134">
        <f>SUMIFS(XUẤT!S:S,XUẤT!N:N,CBCNV!B190,XUẤT!O:O,CBCNV!$K$2)</f>
        <v>0</v>
      </c>
      <c r="L190" s="139">
        <f t="shared" si="34"/>
        <v>0</v>
      </c>
      <c r="M190" s="134">
        <f>SUMIFS(XUẤT!T:T,XUẤT!N:N,CBCNV!B190,XUẤT!O:O,CBCNV!$M$2)</f>
        <v>0</v>
      </c>
      <c r="N190" s="139">
        <f t="shared" si="35"/>
        <v>0</v>
      </c>
      <c r="O190" s="134">
        <f>SUMIFS(XUẤT!U:U,XUẤT!N:N,CBCNV!B190,XUẤT!O:O,CBCNV!$O$2)</f>
        <v>0</v>
      </c>
      <c r="P190" s="139">
        <f t="shared" si="36"/>
        <v>0</v>
      </c>
      <c r="Q190" s="32"/>
      <c r="R190" s="18"/>
    </row>
    <row r="191" spans="1:18" s="140" customFormat="1" x14ac:dyDescent="0.3">
      <c r="A191" s="137">
        <v>184</v>
      </c>
      <c r="B191" s="10" t="s">
        <v>311</v>
      </c>
      <c r="C191" s="137" t="s">
        <v>180</v>
      </c>
      <c r="D191" s="137" t="s">
        <v>289</v>
      </c>
      <c r="E191" s="134">
        <f>SUMIFS(XUẤT!P:P,XUẤT!N:N,CBCNV!B191,XUẤT!O:O,CBCNV!$E$2)</f>
        <v>0</v>
      </c>
      <c r="F191" s="139">
        <f t="shared" si="31"/>
        <v>0</v>
      </c>
      <c r="G191" s="134">
        <f>SUMIFS(XUẤT!Q:Q,XUẤT!N:N,CBCNV!B191,XUẤT!O:O,CBCNV!$G$2)</f>
        <v>0</v>
      </c>
      <c r="H191" s="138">
        <f t="shared" si="32"/>
        <v>0</v>
      </c>
      <c r="I191" s="134">
        <f>SUMIFS(XUẤT!R:R,XUẤT!N:N,CBCNV!B191,XUẤT!O:O,CBCNV!$I$2)</f>
        <v>0</v>
      </c>
      <c r="J191" s="139">
        <f t="shared" si="33"/>
        <v>0</v>
      </c>
      <c r="K191" s="134">
        <f>SUMIFS(XUẤT!S:S,XUẤT!N:N,CBCNV!B191,XUẤT!O:O,CBCNV!$K$2)</f>
        <v>0</v>
      </c>
      <c r="L191" s="139">
        <f t="shared" si="34"/>
        <v>0</v>
      </c>
      <c r="M191" s="134">
        <f>SUMIFS(XUẤT!T:T,XUẤT!N:N,CBCNV!B191,XUẤT!O:O,CBCNV!$M$2)</f>
        <v>0</v>
      </c>
      <c r="N191" s="139">
        <f t="shared" si="35"/>
        <v>0</v>
      </c>
      <c r="O191" s="134">
        <f>SUMIFS(XUẤT!U:U,XUẤT!N:N,CBCNV!B191,XUẤT!O:O,CBCNV!$O$2)</f>
        <v>0</v>
      </c>
      <c r="P191" s="139">
        <f t="shared" si="36"/>
        <v>0</v>
      </c>
      <c r="Q191" s="32"/>
      <c r="R191" s="18"/>
    </row>
    <row r="192" spans="1:18" s="140" customFormat="1" x14ac:dyDescent="0.3">
      <c r="A192" s="137">
        <v>185</v>
      </c>
      <c r="B192" s="10" t="s">
        <v>312</v>
      </c>
      <c r="C192" s="137" t="s">
        <v>180</v>
      </c>
      <c r="D192" s="137" t="s">
        <v>289</v>
      </c>
      <c r="E192" s="134">
        <f>SUMIFS(XUẤT!P:P,XUẤT!N:N,CBCNV!B192,XUẤT!O:O,CBCNV!$E$2)</f>
        <v>20</v>
      </c>
      <c r="F192" s="139">
        <f t="shared" si="31"/>
        <v>1960000</v>
      </c>
      <c r="G192" s="134">
        <f>SUMIFS(XUẤT!Q:Q,XUẤT!N:N,CBCNV!B192,XUẤT!O:O,CBCNV!$G$2)</f>
        <v>0</v>
      </c>
      <c r="H192" s="138">
        <f t="shared" si="32"/>
        <v>0</v>
      </c>
      <c r="I192" s="134">
        <f>SUMIFS(XUẤT!R:R,XUẤT!N:N,CBCNV!B192,XUẤT!O:O,CBCNV!$I$2)</f>
        <v>0</v>
      </c>
      <c r="J192" s="139">
        <f t="shared" si="33"/>
        <v>0</v>
      </c>
      <c r="K192" s="134">
        <f>SUMIFS(XUẤT!S:S,XUẤT!N:N,CBCNV!B192,XUẤT!O:O,CBCNV!$K$2)</f>
        <v>0</v>
      </c>
      <c r="L192" s="139">
        <f t="shared" si="34"/>
        <v>0</v>
      </c>
      <c r="M192" s="134">
        <f>SUMIFS(XUẤT!T:T,XUẤT!N:N,CBCNV!B192,XUẤT!O:O,CBCNV!$M$2)</f>
        <v>0</v>
      </c>
      <c r="N192" s="139">
        <f t="shared" si="35"/>
        <v>0</v>
      </c>
      <c r="O192" s="134">
        <f>SUMIFS(XUẤT!U:U,XUẤT!N:N,CBCNV!B192,XUẤT!O:O,CBCNV!$O$2)</f>
        <v>0</v>
      </c>
      <c r="P192" s="139">
        <f t="shared" si="36"/>
        <v>0</v>
      </c>
      <c r="Q192" s="32"/>
      <c r="R192" s="18"/>
    </row>
    <row r="193" spans="1:18" s="140" customFormat="1" x14ac:dyDescent="0.3">
      <c r="A193" s="137">
        <v>186</v>
      </c>
      <c r="B193" s="10" t="s">
        <v>313</v>
      </c>
      <c r="C193" s="137" t="s">
        <v>180</v>
      </c>
      <c r="D193" s="137" t="s">
        <v>289</v>
      </c>
      <c r="E193" s="134">
        <f>SUMIFS(XUẤT!P:P,XUẤT!N:N,CBCNV!B193,XUẤT!O:O,CBCNV!$E$2)</f>
        <v>0</v>
      </c>
      <c r="F193" s="139">
        <f t="shared" si="31"/>
        <v>0</v>
      </c>
      <c r="G193" s="134">
        <f>SUMIFS(XUẤT!Q:Q,XUẤT!N:N,CBCNV!B193,XUẤT!O:O,CBCNV!$G$2)</f>
        <v>0</v>
      </c>
      <c r="H193" s="138">
        <f t="shared" si="32"/>
        <v>0</v>
      </c>
      <c r="I193" s="134">
        <f>SUMIFS(XUẤT!R:R,XUẤT!N:N,CBCNV!B193,XUẤT!O:O,CBCNV!$I$2)</f>
        <v>0</v>
      </c>
      <c r="J193" s="139">
        <f t="shared" si="33"/>
        <v>0</v>
      </c>
      <c r="K193" s="134">
        <f>SUMIFS(XUẤT!S:S,XUẤT!N:N,CBCNV!B193,XUẤT!O:O,CBCNV!$K$2)</f>
        <v>0</v>
      </c>
      <c r="L193" s="139">
        <f t="shared" si="34"/>
        <v>0</v>
      </c>
      <c r="M193" s="134">
        <f>SUMIFS(XUẤT!T:T,XUẤT!N:N,CBCNV!B193,XUẤT!O:O,CBCNV!$M$2)</f>
        <v>0</v>
      </c>
      <c r="N193" s="139">
        <f t="shared" si="35"/>
        <v>0</v>
      </c>
      <c r="O193" s="134">
        <f>SUMIFS(XUẤT!U:U,XUẤT!N:N,CBCNV!B193,XUẤT!O:O,CBCNV!$O$2)</f>
        <v>0</v>
      </c>
      <c r="P193" s="139">
        <f t="shared" si="36"/>
        <v>0</v>
      </c>
      <c r="Q193" s="32"/>
      <c r="R193" s="18"/>
    </row>
    <row r="194" spans="1:18" s="140" customFormat="1" x14ac:dyDescent="0.3">
      <c r="A194" s="137">
        <v>187</v>
      </c>
      <c r="B194" s="10" t="s">
        <v>314</v>
      </c>
      <c r="C194" s="137" t="s">
        <v>180</v>
      </c>
      <c r="D194" s="137" t="s">
        <v>289</v>
      </c>
      <c r="E194" s="134">
        <f>SUMIFS(XUẤT!P:P,XUẤT!N:N,CBCNV!B194,XUẤT!O:O,CBCNV!$E$2)</f>
        <v>0</v>
      </c>
      <c r="F194" s="139">
        <f t="shared" si="31"/>
        <v>0</v>
      </c>
      <c r="G194" s="134">
        <f>SUMIFS(XUẤT!Q:Q,XUẤT!N:N,CBCNV!B194,XUẤT!O:O,CBCNV!$G$2)</f>
        <v>0</v>
      </c>
      <c r="H194" s="138">
        <f t="shared" si="32"/>
        <v>0</v>
      </c>
      <c r="I194" s="134">
        <f>SUMIFS(XUẤT!R:R,XUẤT!N:N,CBCNV!B194,XUẤT!O:O,CBCNV!$I$2)</f>
        <v>0</v>
      </c>
      <c r="J194" s="139">
        <f t="shared" si="33"/>
        <v>0</v>
      </c>
      <c r="K194" s="134">
        <f>SUMIFS(XUẤT!S:S,XUẤT!N:N,CBCNV!B194,XUẤT!O:O,CBCNV!$K$2)</f>
        <v>0</v>
      </c>
      <c r="L194" s="139">
        <f t="shared" si="34"/>
        <v>0</v>
      </c>
      <c r="M194" s="134">
        <f>SUMIFS(XUẤT!T:T,XUẤT!N:N,CBCNV!B194,XUẤT!O:O,CBCNV!$M$2)</f>
        <v>0</v>
      </c>
      <c r="N194" s="139">
        <f t="shared" si="35"/>
        <v>0</v>
      </c>
      <c r="O194" s="134">
        <f>SUMIFS(XUẤT!U:U,XUẤT!N:N,CBCNV!B194,XUẤT!O:O,CBCNV!$O$2)</f>
        <v>0</v>
      </c>
      <c r="P194" s="139">
        <f t="shared" si="36"/>
        <v>0</v>
      </c>
      <c r="Q194" s="32"/>
      <c r="R194" s="18"/>
    </row>
    <row r="195" spans="1:18" s="140" customFormat="1" x14ac:dyDescent="0.3">
      <c r="A195" s="137">
        <v>188</v>
      </c>
      <c r="B195" s="10" t="s">
        <v>315</v>
      </c>
      <c r="C195" s="137" t="s">
        <v>180</v>
      </c>
      <c r="D195" s="137" t="s">
        <v>289</v>
      </c>
      <c r="E195" s="134">
        <f>SUMIFS(XUẤT!P:P,XUẤT!N:N,CBCNV!B195,XUẤT!O:O,CBCNV!$E$2)</f>
        <v>0</v>
      </c>
      <c r="F195" s="139">
        <f t="shared" si="31"/>
        <v>0</v>
      </c>
      <c r="G195" s="134">
        <f>SUMIFS(XUẤT!Q:Q,XUẤT!N:N,CBCNV!B195,XUẤT!O:O,CBCNV!$G$2)</f>
        <v>0</v>
      </c>
      <c r="H195" s="138">
        <f t="shared" si="32"/>
        <v>0</v>
      </c>
      <c r="I195" s="134">
        <f>SUMIFS(XUẤT!R:R,XUẤT!N:N,CBCNV!B195,XUẤT!O:O,CBCNV!$I$2)</f>
        <v>0</v>
      </c>
      <c r="J195" s="139">
        <f t="shared" si="33"/>
        <v>0</v>
      </c>
      <c r="K195" s="134">
        <f>SUMIFS(XUẤT!S:S,XUẤT!N:N,CBCNV!B195,XUẤT!O:O,CBCNV!$K$2)</f>
        <v>0</v>
      </c>
      <c r="L195" s="139">
        <f t="shared" si="34"/>
        <v>0</v>
      </c>
      <c r="M195" s="134">
        <f>SUMIFS(XUẤT!T:T,XUẤT!N:N,CBCNV!B195,XUẤT!O:O,CBCNV!$M$2)</f>
        <v>0</v>
      </c>
      <c r="N195" s="139">
        <f t="shared" si="35"/>
        <v>0</v>
      </c>
      <c r="O195" s="134">
        <f>SUMIFS(XUẤT!U:U,XUẤT!N:N,CBCNV!B195,XUẤT!O:O,CBCNV!$O$2)</f>
        <v>0</v>
      </c>
      <c r="P195" s="139">
        <f t="shared" si="36"/>
        <v>0</v>
      </c>
      <c r="Q195" s="32"/>
      <c r="R195" s="18"/>
    </row>
    <row r="196" spans="1:18" s="140" customFormat="1" x14ac:dyDescent="0.3">
      <c r="A196" s="137">
        <v>189</v>
      </c>
      <c r="B196" s="10" t="s">
        <v>316</v>
      </c>
      <c r="C196" s="36" t="s">
        <v>180</v>
      </c>
      <c r="D196" s="36" t="s">
        <v>289</v>
      </c>
      <c r="E196" s="134">
        <f>SUMIFS(XUẤT!P:P,XUẤT!N:N,CBCNV!B196,XUẤT!O:O,CBCNV!$E$2)</f>
        <v>0</v>
      </c>
      <c r="F196" s="139">
        <f t="shared" si="31"/>
        <v>0</v>
      </c>
      <c r="G196" s="134">
        <f>SUMIFS(XUẤT!Q:Q,XUẤT!N:N,CBCNV!B196,XUẤT!O:O,CBCNV!$G$2)</f>
        <v>0</v>
      </c>
      <c r="H196" s="138">
        <f t="shared" si="32"/>
        <v>0</v>
      </c>
      <c r="I196" s="134">
        <f>SUMIFS(XUẤT!R:R,XUẤT!N:N,CBCNV!B196,XUẤT!O:O,CBCNV!$I$2)</f>
        <v>0</v>
      </c>
      <c r="J196" s="139">
        <f t="shared" si="33"/>
        <v>0</v>
      </c>
      <c r="K196" s="134">
        <f>SUMIFS(XUẤT!S:S,XUẤT!N:N,CBCNV!B196,XUẤT!O:O,CBCNV!$K$2)</f>
        <v>0</v>
      </c>
      <c r="L196" s="139">
        <f t="shared" si="34"/>
        <v>0</v>
      </c>
      <c r="M196" s="134">
        <f>SUMIFS(XUẤT!T:T,XUẤT!N:N,CBCNV!B196,XUẤT!O:O,CBCNV!$M$2)</f>
        <v>0</v>
      </c>
      <c r="N196" s="139">
        <f t="shared" si="35"/>
        <v>0</v>
      </c>
      <c r="O196" s="134">
        <f>SUMIFS(XUẤT!U:U,XUẤT!N:N,CBCNV!B196,XUẤT!O:O,CBCNV!$O$2)</f>
        <v>0</v>
      </c>
      <c r="P196" s="139">
        <f t="shared" si="36"/>
        <v>0</v>
      </c>
      <c r="Q196" s="32"/>
      <c r="R196" s="18"/>
    </row>
    <row r="197" spans="1:18" s="140" customFormat="1" x14ac:dyDescent="0.3">
      <c r="A197" s="137">
        <v>190</v>
      </c>
      <c r="B197" s="10" t="s">
        <v>317</v>
      </c>
      <c r="C197" s="137" t="s">
        <v>318</v>
      </c>
      <c r="D197" s="137" t="s">
        <v>289</v>
      </c>
      <c r="E197" s="134">
        <f>SUMIFS(XUẤT!P:P,XUẤT!N:N,CBCNV!B197,XUẤT!O:O,CBCNV!$E$2)</f>
        <v>0</v>
      </c>
      <c r="F197" s="139">
        <f t="shared" si="31"/>
        <v>0</v>
      </c>
      <c r="G197" s="134">
        <f>SUMIFS(XUẤT!Q:Q,XUẤT!N:N,CBCNV!B197,XUẤT!O:O,CBCNV!$G$2)</f>
        <v>0</v>
      </c>
      <c r="H197" s="138">
        <f t="shared" si="32"/>
        <v>0</v>
      </c>
      <c r="I197" s="134">
        <f>SUMIFS(XUẤT!R:R,XUẤT!N:N,CBCNV!B197,XUẤT!O:O,CBCNV!$I$2)</f>
        <v>0</v>
      </c>
      <c r="J197" s="139">
        <f t="shared" si="33"/>
        <v>0</v>
      </c>
      <c r="K197" s="134">
        <f>SUMIFS(XUẤT!S:S,XUẤT!N:N,CBCNV!B197,XUẤT!O:O,CBCNV!$K$2)</f>
        <v>0</v>
      </c>
      <c r="L197" s="139">
        <f t="shared" si="34"/>
        <v>0</v>
      </c>
      <c r="M197" s="134">
        <f>SUMIFS(XUẤT!T:T,XUẤT!N:N,CBCNV!B197,XUẤT!O:O,CBCNV!$M$2)</f>
        <v>0</v>
      </c>
      <c r="N197" s="139">
        <f t="shared" si="35"/>
        <v>0</v>
      </c>
      <c r="O197" s="134">
        <f>SUMIFS(XUẤT!U:U,XUẤT!N:N,CBCNV!B197,XUẤT!O:O,CBCNV!$O$2)</f>
        <v>0</v>
      </c>
      <c r="P197" s="139">
        <f t="shared" si="36"/>
        <v>0</v>
      </c>
      <c r="Q197" s="32"/>
      <c r="R197" s="18"/>
    </row>
    <row r="198" spans="1:18" s="140" customFormat="1" x14ac:dyDescent="0.3">
      <c r="A198" s="137">
        <v>191</v>
      </c>
      <c r="B198" s="10" t="s">
        <v>319</v>
      </c>
      <c r="C198" s="137" t="s">
        <v>318</v>
      </c>
      <c r="D198" s="137" t="s">
        <v>289</v>
      </c>
      <c r="E198" s="134">
        <f>SUMIFS(XUẤT!P:P,XUẤT!N:N,CBCNV!B198,XUẤT!O:O,CBCNV!$E$2)</f>
        <v>0</v>
      </c>
      <c r="F198" s="139">
        <f t="shared" si="31"/>
        <v>0</v>
      </c>
      <c r="G198" s="134">
        <f>SUMIFS(XUẤT!Q:Q,XUẤT!N:N,CBCNV!B198,XUẤT!O:O,CBCNV!$G$2)</f>
        <v>0</v>
      </c>
      <c r="H198" s="138">
        <f t="shared" si="32"/>
        <v>0</v>
      </c>
      <c r="I198" s="134">
        <f>SUMIFS(XUẤT!R:R,XUẤT!N:N,CBCNV!B198,XUẤT!O:O,CBCNV!$I$2)</f>
        <v>0</v>
      </c>
      <c r="J198" s="139">
        <f t="shared" si="33"/>
        <v>0</v>
      </c>
      <c r="K198" s="134">
        <f>SUMIFS(XUẤT!S:S,XUẤT!N:N,CBCNV!B198,XUẤT!O:O,CBCNV!$K$2)</f>
        <v>0</v>
      </c>
      <c r="L198" s="139">
        <f t="shared" si="34"/>
        <v>0</v>
      </c>
      <c r="M198" s="134">
        <f>SUMIFS(XUẤT!T:T,XUẤT!N:N,CBCNV!B198,XUẤT!O:O,CBCNV!$M$2)</f>
        <v>0</v>
      </c>
      <c r="N198" s="139">
        <f t="shared" si="35"/>
        <v>0</v>
      </c>
      <c r="O198" s="134">
        <f>SUMIFS(XUẤT!U:U,XUẤT!N:N,CBCNV!B198,XUẤT!O:O,CBCNV!$O$2)</f>
        <v>0</v>
      </c>
      <c r="P198" s="139">
        <f t="shared" si="36"/>
        <v>0</v>
      </c>
      <c r="Q198" s="32"/>
      <c r="R198" s="18"/>
    </row>
    <row r="199" spans="1:18" s="140" customFormat="1" x14ac:dyDescent="0.3">
      <c r="A199" s="137">
        <v>192</v>
      </c>
      <c r="B199" s="10" t="s">
        <v>320</v>
      </c>
      <c r="C199" s="137" t="s">
        <v>199</v>
      </c>
      <c r="D199" s="137" t="s">
        <v>289</v>
      </c>
      <c r="E199" s="134">
        <f>SUMIFS(XUẤT!P:P,XUẤT!N:N,CBCNV!B199,XUẤT!O:O,CBCNV!$E$2)</f>
        <v>0</v>
      </c>
      <c r="F199" s="139">
        <f t="shared" ref="F199:F200" si="37">E199*$T$10</f>
        <v>0</v>
      </c>
      <c r="G199" s="134">
        <f>SUMIFS(XUẤT!Q:Q,XUẤT!N:N,CBCNV!B199,XUẤT!O:O,CBCNV!$G$2)</f>
        <v>0</v>
      </c>
      <c r="H199" s="138">
        <f t="shared" ref="H199:H200" si="38">G199*$T$8</f>
        <v>0</v>
      </c>
      <c r="I199" s="134">
        <f>SUMIFS(XUẤT!R:R,XUẤT!N:N,CBCNV!B199,XUẤT!O:O,CBCNV!$I$2)</f>
        <v>0</v>
      </c>
      <c r="J199" s="139">
        <f t="shared" ref="J199:J200" si="39">I199*$T$9</f>
        <v>0</v>
      </c>
      <c r="K199" s="134">
        <f>SUMIFS(XUẤT!S:S,XUẤT!N:N,CBCNV!B199,XUẤT!O:O,CBCNV!$K$2)</f>
        <v>0</v>
      </c>
      <c r="L199" s="139">
        <f t="shared" ref="L199:L200" si="40">K199*$T$11</f>
        <v>0</v>
      </c>
      <c r="M199" s="134">
        <f>SUMIFS(XUẤT!T:T,XUẤT!N:N,CBCNV!B199,XUẤT!O:O,CBCNV!$M$2)</f>
        <v>0</v>
      </c>
      <c r="N199" s="139">
        <f t="shared" ref="N199:N200" si="41">M199*$T$12</f>
        <v>0</v>
      </c>
      <c r="O199" s="134">
        <f>SUMIFS(XUẤT!U:U,XUẤT!N:N,CBCNV!B199,XUẤT!O:O,CBCNV!$O$2)</f>
        <v>0</v>
      </c>
      <c r="P199" s="139">
        <f t="shared" ref="P199:P200" si="42">O199*$T$13</f>
        <v>0</v>
      </c>
      <c r="Q199" s="32"/>
      <c r="R199" s="18"/>
    </row>
    <row r="200" spans="1:18" s="140" customFormat="1" x14ac:dyDescent="0.3">
      <c r="A200" s="143">
        <v>193</v>
      </c>
      <c r="B200" s="37" t="s">
        <v>321</v>
      </c>
      <c r="C200" s="143" t="s">
        <v>199</v>
      </c>
      <c r="D200" s="143" t="s">
        <v>289</v>
      </c>
      <c r="E200" s="134">
        <f>SUMIFS(XUẤT!P:P,XUẤT!N:N,CBCNV!B200,XUẤT!O:O,CBCNV!$E$2)</f>
        <v>0</v>
      </c>
      <c r="F200" s="145">
        <f t="shared" si="37"/>
        <v>0</v>
      </c>
      <c r="G200" s="134">
        <f>SUMIFS(XUẤT!Q:Q,XUẤT!N:N,CBCNV!B200,XUẤT!O:O,CBCNV!$G$2)</f>
        <v>0</v>
      </c>
      <c r="H200" s="144">
        <f t="shared" si="38"/>
        <v>0</v>
      </c>
      <c r="I200" s="134">
        <f>SUMIFS(XUẤT!R:R,XUẤT!N:N,CBCNV!B200,XUẤT!O:O,CBCNV!$I$2)</f>
        <v>0</v>
      </c>
      <c r="J200" s="145">
        <f t="shared" si="39"/>
        <v>0</v>
      </c>
      <c r="K200" s="134">
        <f>SUMIFS(XUẤT!S:S,XUẤT!N:N,CBCNV!B200,XUẤT!O:O,CBCNV!$K$2)</f>
        <v>0</v>
      </c>
      <c r="L200" s="145">
        <f t="shared" si="40"/>
        <v>0</v>
      </c>
      <c r="M200" s="134">
        <f>SUMIFS(XUẤT!T:T,XUẤT!N:N,CBCNV!B200,XUẤT!O:O,CBCNV!$M$2)</f>
        <v>0</v>
      </c>
      <c r="N200" s="145">
        <f t="shared" si="41"/>
        <v>0</v>
      </c>
      <c r="O200" s="134">
        <f>SUMIFS(XUẤT!U:U,XUẤT!N:N,CBCNV!B200,XUẤT!O:O,CBCNV!$O$2)</f>
        <v>0</v>
      </c>
      <c r="P200" s="145">
        <f t="shared" si="42"/>
        <v>0</v>
      </c>
      <c r="Q200" s="32"/>
      <c r="R200" s="18"/>
    </row>
  </sheetData>
  <autoFilter ref="A6:T200" xr:uid="{00000000-0009-0000-0000-000001000000}"/>
  <mergeCells count="4">
    <mergeCell ref="A1:A3"/>
    <mergeCell ref="B1:B3"/>
    <mergeCell ref="C1:C3"/>
    <mergeCell ref="D1:D3"/>
  </mergeCells>
  <conditionalFormatting sqref="B202:B1048576 B4:B48 B50:B200">
    <cfRule type="duplicateValues" dxfId="33" priority="2"/>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W36"/>
  <sheetViews>
    <sheetView zoomScale="70" zoomScaleNormal="70" workbookViewId="0">
      <selection activeCell="A12" sqref="A12:XFD12"/>
    </sheetView>
  </sheetViews>
  <sheetFormatPr defaultColWidth="8.88671875" defaultRowHeight="18" x14ac:dyDescent="0.35"/>
  <cols>
    <col min="1" max="1" width="6.5546875" style="38" customWidth="1"/>
    <col min="2" max="2" width="15.6640625" style="39" customWidth="1"/>
    <col min="3" max="3" width="15.109375" style="40" customWidth="1"/>
    <col min="4" max="4" width="15.109375" style="41" customWidth="1"/>
    <col min="5" max="6" width="15.109375" style="16" customWidth="1"/>
    <col min="7" max="7" width="15.109375" style="42" customWidth="1"/>
    <col min="8" max="23" width="15.109375" style="39" customWidth="1"/>
    <col min="24" max="16384" width="8.88671875" style="39"/>
  </cols>
  <sheetData>
    <row r="1" spans="1:23" ht="20.399999999999999" x14ac:dyDescent="0.35">
      <c r="A1" s="447" t="s">
        <v>322</v>
      </c>
      <c r="B1" s="447"/>
      <c r="C1" s="447"/>
      <c r="D1" s="447"/>
      <c r="E1" s="447"/>
      <c r="F1" s="447"/>
      <c r="G1" s="447"/>
      <c r="H1" s="447"/>
      <c r="I1" s="447"/>
      <c r="J1" s="447"/>
      <c r="K1" s="447"/>
      <c r="L1" s="447"/>
      <c r="M1" s="447"/>
      <c r="N1" s="447"/>
      <c r="O1" s="447"/>
      <c r="P1" s="447"/>
      <c r="Q1" s="447"/>
      <c r="R1" s="447"/>
      <c r="S1" s="447"/>
      <c r="T1" s="447"/>
      <c r="U1" s="447"/>
      <c r="V1" s="447"/>
    </row>
    <row r="2" spans="1:23" ht="20.399999999999999" x14ac:dyDescent="0.35">
      <c r="A2" s="448" t="s">
        <v>323</v>
      </c>
      <c r="B2" s="448"/>
      <c r="C2" s="448"/>
      <c r="D2" s="448"/>
      <c r="E2" s="448"/>
      <c r="F2" s="448"/>
      <c r="G2" s="448"/>
      <c r="H2" s="448"/>
      <c r="I2" s="448"/>
      <c r="J2" s="448"/>
      <c r="K2" s="448"/>
      <c r="L2" s="448"/>
      <c r="M2" s="448"/>
      <c r="N2" s="448"/>
      <c r="O2" s="448"/>
      <c r="P2" s="448"/>
      <c r="Q2" s="448"/>
      <c r="R2" s="448"/>
      <c r="S2" s="448"/>
      <c r="T2" s="448"/>
      <c r="U2" s="448"/>
      <c r="V2" s="448"/>
    </row>
    <row r="3" spans="1:23" x14ac:dyDescent="0.35">
      <c r="A3" s="449"/>
      <c r="B3" s="449"/>
      <c r="C3" s="449"/>
      <c r="D3" s="449"/>
    </row>
    <row r="4" spans="1:23" s="43" customFormat="1" ht="18.75" customHeight="1" x14ac:dyDescent="0.3">
      <c r="A4" s="450" t="s">
        <v>3</v>
      </c>
      <c r="B4" s="450" t="s">
        <v>4</v>
      </c>
      <c r="C4" s="451" t="s">
        <v>324</v>
      </c>
      <c r="D4" s="451"/>
      <c r="E4" s="451"/>
      <c r="F4" s="451"/>
      <c r="G4" s="451"/>
      <c r="H4" s="451"/>
      <c r="I4" s="451"/>
      <c r="J4" s="451" t="s">
        <v>325</v>
      </c>
      <c r="K4" s="451"/>
      <c r="L4" s="451"/>
      <c r="M4" s="451"/>
      <c r="N4" s="451"/>
      <c r="O4" s="451"/>
      <c r="P4" s="451"/>
      <c r="Q4" s="451" t="s">
        <v>326</v>
      </c>
      <c r="R4" s="451"/>
      <c r="S4" s="451"/>
      <c r="T4" s="451"/>
      <c r="U4" s="451"/>
      <c r="V4" s="451"/>
      <c r="W4" s="451"/>
    </row>
    <row r="5" spans="1:23" s="45" customFormat="1" x14ac:dyDescent="0.3">
      <c r="A5" s="450"/>
      <c r="B5" s="450"/>
      <c r="C5" s="44" t="s">
        <v>29</v>
      </c>
      <c r="D5" s="44" t="s">
        <v>35</v>
      </c>
      <c r="E5" s="44" t="s">
        <v>26</v>
      </c>
      <c r="F5" s="44" t="s">
        <v>38</v>
      </c>
      <c r="G5" s="44" t="s">
        <v>39</v>
      </c>
      <c r="H5" s="44" t="s">
        <v>42</v>
      </c>
      <c r="I5" s="44" t="s">
        <v>23</v>
      </c>
      <c r="J5" s="44" t="s">
        <v>29</v>
      </c>
      <c r="K5" s="44" t="s">
        <v>35</v>
      </c>
      <c r="L5" s="44" t="s">
        <v>26</v>
      </c>
      <c r="M5" s="44" t="s">
        <v>38</v>
      </c>
      <c r="N5" s="44" t="s">
        <v>39</v>
      </c>
      <c r="O5" s="44" t="s">
        <v>42</v>
      </c>
      <c r="P5" s="44" t="s">
        <v>23</v>
      </c>
      <c r="Q5" s="44" t="s">
        <v>29</v>
      </c>
      <c r="R5" s="44" t="s">
        <v>35</v>
      </c>
      <c r="S5" s="44" t="s">
        <v>26</v>
      </c>
      <c r="T5" s="44" t="s">
        <v>38</v>
      </c>
      <c r="U5" s="44" t="s">
        <v>39</v>
      </c>
      <c r="V5" s="44" t="s">
        <v>42</v>
      </c>
      <c r="W5" s="44" t="s">
        <v>23</v>
      </c>
    </row>
    <row r="6" spans="1:23" x14ac:dyDescent="0.35">
      <c r="A6" s="46">
        <v>1</v>
      </c>
      <c r="B6" s="47">
        <v>46266</v>
      </c>
      <c r="C6" s="48"/>
      <c r="D6" s="49"/>
      <c r="E6" s="50"/>
      <c r="F6" s="50"/>
      <c r="G6" s="51"/>
      <c r="H6" s="52"/>
      <c r="I6" s="52"/>
      <c r="J6" s="52">
        <f>SUMIFS(XUẤT!$W:$W,XUẤT!$B:$B,TỒN!$B$12,XUẤT!$O:$O,TỒN!#REF!)</f>
        <v>0</v>
      </c>
      <c r="K6" s="52">
        <f>SUMIFS(XUẤT!$W:$W,XUẤT!$B:$B,TỒN!$B$12,XUẤT!$O:$O,TỒN!#REF!)</f>
        <v>0</v>
      </c>
      <c r="L6" s="52">
        <f>SUMIFS(XUẤT!$W:$W,XUẤT!$B:$B,TỒN!$B$12,XUẤT!$O:$O,TỒN!#REF!)</f>
        <v>0</v>
      </c>
      <c r="M6" s="52">
        <f>SUMIFS(XUẤT!$W:$W,XUẤT!$B:$B,TỒN!$B$12,XUẤT!$O:$O,TỒN!#REF!)</f>
        <v>0</v>
      </c>
      <c r="N6" s="52">
        <f>SUMIFS(XUẤT!$W:$W,XUẤT!$B:$B,TỒN!$B$12,XUẤT!$O:$O,TỒN!#REF!)</f>
        <v>0</v>
      </c>
      <c r="O6" s="52">
        <f>SUMIFS(XUẤT!$W:$W,XUẤT!$B:$B,TỒN!$B$12,XUẤT!$O:$O,TỒN!#REF!)</f>
        <v>0</v>
      </c>
      <c r="P6" s="52">
        <f t="shared" ref="P6:P35" si="0">SUM(J6:O6)</f>
        <v>0</v>
      </c>
      <c r="Q6" s="52"/>
      <c r="R6" s="52"/>
      <c r="S6" s="52"/>
      <c r="T6" s="52"/>
      <c r="U6" s="52"/>
      <c r="V6" s="52"/>
      <c r="W6" s="52"/>
    </row>
    <row r="7" spans="1:23" x14ac:dyDescent="0.35">
      <c r="A7" s="46">
        <v>2</v>
      </c>
      <c r="B7" s="47">
        <v>46267</v>
      </c>
      <c r="C7" s="48"/>
      <c r="D7" s="49"/>
      <c r="E7" s="50"/>
      <c r="F7" s="50"/>
      <c r="G7" s="51"/>
      <c r="H7" s="52"/>
      <c r="I7" s="52"/>
      <c r="J7" s="52">
        <f>SUMIFS(XUẤT!$W:$W,XUẤT!$B:$B,TỒN!$B$12,XUẤT!$O:$O,TỒN!#REF!)</f>
        <v>0</v>
      </c>
      <c r="K7" s="52">
        <f>SUMIFS(XUẤT!$W:$W,XUẤT!$B:$B,TỒN!$B$12,XUẤT!$O:$O,TỒN!#REF!)</f>
        <v>0</v>
      </c>
      <c r="L7" s="52">
        <f>SUMIFS(XUẤT!$W:$W,XUẤT!$B:$B,TỒN!$B$12,XUẤT!$O:$O,TỒN!#REF!)</f>
        <v>0</v>
      </c>
      <c r="M7" s="52">
        <f>SUMIFS(XUẤT!$W:$W,XUẤT!$B:$B,TỒN!$B$12,XUẤT!$O:$O,TỒN!#REF!)</f>
        <v>0</v>
      </c>
      <c r="N7" s="52">
        <f>SUMIFS(XUẤT!$W:$W,XUẤT!$B:$B,TỒN!$B$12,XUẤT!$O:$O,TỒN!#REF!)</f>
        <v>0</v>
      </c>
      <c r="O7" s="52">
        <f>SUMIFS(XUẤT!$W:$W,XUẤT!$B:$B,TỒN!$B$12,XUẤT!$O:$O,TỒN!#REF!)</f>
        <v>0</v>
      </c>
      <c r="P7" s="52">
        <f t="shared" si="0"/>
        <v>0</v>
      </c>
      <c r="Q7" s="52"/>
      <c r="R7" s="52"/>
      <c r="S7" s="52"/>
      <c r="T7" s="52"/>
      <c r="U7" s="52"/>
      <c r="V7" s="52"/>
      <c r="W7" s="52"/>
    </row>
    <row r="8" spans="1:23" x14ac:dyDescent="0.35">
      <c r="A8" s="46">
        <v>3</v>
      </c>
      <c r="B8" s="47">
        <v>46268</v>
      </c>
      <c r="C8" s="48"/>
      <c r="D8" s="49"/>
      <c r="E8" s="50"/>
      <c r="F8" s="50"/>
      <c r="G8" s="51"/>
      <c r="H8" s="52"/>
      <c r="I8" s="52"/>
      <c r="J8" s="52">
        <f>SUMIFS(XUẤT!$W:$W,XUẤT!$B:$B,TỒN!$B$12,XUẤT!$O:$O,TỒN!J1)</f>
        <v>0</v>
      </c>
      <c r="K8" s="52">
        <f>SUMIFS(XUẤT!$W:$W,XUẤT!$B:$B,TỒN!$B$12,XUẤT!$O:$O,TỒN!K1)</f>
        <v>0</v>
      </c>
      <c r="L8" s="52">
        <f>SUMIFS(XUẤT!$W:$W,XUẤT!$B:$B,TỒN!$B$12,XUẤT!$O:$O,TỒN!L1)</f>
        <v>0</v>
      </c>
      <c r="M8" s="52">
        <f>SUMIFS(XUẤT!$W:$W,XUẤT!$B:$B,TỒN!$B$12,XUẤT!$O:$O,TỒN!M1)</f>
        <v>0</v>
      </c>
      <c r="N8" s="52">
        <f>SUMIFS(XUẤT!$W:$W,XUẤT!$B:$B,TỒN!$B$12,XUẤT!$O:$O,TỒN!N1)</f>
        <v>0</v>
      </c>
      <c r="O8" s="52">
        <f>SUMIFS(XUẤT!$W:$W,XUẤT!$B:$B,TỒN!$B$12,XUẤT!$O:$O,TỒN!O1)</f>
        <v>0</v>
      </c>
      <c r="P8" s="52">
        <f t="shared" si="0"/>
        <v>0</v>
      </c>
      <c r="Q8" s="52"/>
      <c r="R8" s="52"/>
      <c r="S8" s="52"/>
      <c r="T8" s="52"/>
      <c r="U8" s="52"/>
      <c r="V8" s="52"/>
      <c r="W8" s="52"/>
    </row>
    <row r="9" spans="1:23" x14ac:dyDescent="0.35">
      <c r="A9" s="46">
        <v>4</v>
      </c>
      <c r="B9" s="47">
        <v>46269</v>
      </c>
      <c r="C9" s="48"/>
      <c r="D9" s="49"/>
      <c r="E9" s="50"/>
      <c r="F9" s="50"/>
      <c r="G9" s="51"/>
      <c r="H9" s="52"/>
      <c r="I9" s="52"/>
      <c r="J9" s="52">
        <f>SUMIFS(XUẤT!$W:$W,XUẤT!$B:$B,TỒN!$B$12,XUẤT!$O:$O,TỒN!J2)</f>
        <v>0</v>
      </c>
      <c r="K9" s="52">
        <f>SUMIFS(XUẤT!$W:$W,XUẤT!$B:$B,TỒN!$B$12,XUẤT!$O:$O,TỒN!K2)</f>
        <v>0</v>
      </c>
      <c r="L9" s="52">
        <f>SUMIFS(XUẤT!$W:$W,XUẤT!$B:$B,TỒN!$B$12,XUẤT!$O:$O,TỒN!L2)</f>
        <v>0</v>
      </c>
      <c r="M9" s="52">
        <f>SUMIFS(XUẤT!$W:$W,XUẤT!$B:$B,TỒN!$B$12,XUẤT!$O:$O,TỒN!M2)</f>
        <v>0</v>
      </c>
      <c r="N9" s="52">
        <f>SUMIFS(XUẤT!$W:$W,XUẤT!$B:$B,TỒN!$B$12,XUẤT!$O:$O,TỒN!N2)</f>
        <v>0</v>
      </c>
      <c r="O9" s="52">
        <f>SUMIFS(XUẤT!$W:$W,XUẤT!$B:$B,TỒN!$B$12,XUẤT!$O:$O,TỒN!O2)</f>
        <v>0</v>
      </c>
      <c r="P9" s="52">
        <f t="shared" si="0"/>
        <v>0</v>
      </c>
      <c r="Q9" s="52"/>
      <c r="R9" s="52"/>
      <c r="S9" s="52"/>
      <c r="T9" s="52"/>
      <c r="U9" s="52"/>
      <c r="V9" s="52"/>
      <c r="W9" s="52"/>
    </row>
    <row r="10" spans="1:23" x14ac:dyDescent="0.35">
      <c r="A10" s="46">
        <v>5</v>
      </c>
      <c r="B10" s="47">
        <v>46270</v>
      </c>
      <c r="C10" s="48"/>
      <c r="D10" s="49"/>
      <c r="E10" s="50"/>
      <c r="F10" s="50"/>
      <c r="G10" s="51"/>
      <c r="H10" s="52"/>
      <c r="I10" s="52"/>
      <c r="J10" s="52">
        <f>SUMIFS(XUẤT!$W:$W,XUẤT!$B:$B,TỒN!$B$12,XUẤT!$O:$O,TỒN!J3)</f>
        <v>0</v>
      </c>
      <c r="K10" s="52">
        <f>SUMIFS(XUẤT!$W:$W,XUẤT!$B:$B,TỒN!$B$12,XUẤT!$O:$O,TỒN!K3)</f>
        <v>0</v>
      </c>
      <c r="L10" s="52">
        <f>SUMIFS(XUẤT!$W:$W,XUẤT!$B:$B,TỒN!$B$12,XUẤT!$O:$O,TỒN!L3)</f>
        <v>0</v>
      </c>
      <c r="M10" s="52">
        <f>SUMIFS(XUẤT!$W:$W,XUẤT!$B:$B,TỒN!$B$12,XUẤT!$O:$O,TỒN!M3)</f>
        <v>0</v>
      </c>
      <c r="N10" s="52">
        <f>SUMIFS(XUẤT!$W:$W,XUẤT!$B:$B,TỒN!$B$12,XUẤT!$O:$O,TỒN!N3)</f>
        <v>0</v>
      </c>
      <c r="O10" s="52">
        <f>SUMIFS(XUẤT!$W:$W,XUẤT!$B:$B,TỒN!$B$12,XUẤT!$O:$O,TỒN!O3)</f>
        <v>0</v>
      </c>
      <c r="P10" s="52">
        <f t="shared" si="0"/>
        <v>0</v>
      </c>
      <c r="Q10" s="52"/>
      <c r="R10" s="52"/>
      <c r="S10" s="52"/>
      <c r="T10" s="52"/>
      <c r="U10" s="52"/>
      <c r="V10" s="52"/>
      <c r="W10" s="52"/>
    </row>
    <row r="11" spans="1:23" x14ac:dyDescent="0.35">
      <c r="A11" s="46">
        <v>6</v>
      </c>
      <c r="B11" s="47">
        <v>46271</v>
      </c>
      <c r="C11" s="48"/>
      <c r="D11" s="49"/>
      <c r="E11" s="50"/>
      <c r="F11" s="50"/>
      <c r="G11" s="51"/>
      <c r="H11" s="52"/>
      <c r="I11" s="52"/>
      <c r="J11" s="52">
        <f>SUMIFS(XUẤT!$W:$W,XUẤT!$B:$B,TỒN!$B$12,XUẤT!$O:$O,TỒN!J4)</f>
        <v>0</v>
      </c>
      <c r="K11" s="52">
        <f>SUMIFS(XUẤT!$W:$W,XUẤT!$B:$B,TỒN!$B$12,XUẤT!$O:$O,TỒN!K4)</f>
        <v>0</v>
      </c>
      <c r="L11" s="52">
        <f>SUMIFS(XUẤT!$W:$W,XUẤT!$B:$B,TỒN!$B$12,XUẤT!$O:$O,TỒN!L4)</f>
        <v>0</v>
      </c>
      <c r="M11" s="52">
        <f>SUMIFS(XUẤT!$W:$W,XUẤT!$B:$B,TỒN!$B$12,XUẤT!$O:$O,TỒN!M4)</f>
        <v>0</v>
      </c>
      <c r="N11" s="52">
        <f>SUMIFS(XUẤT!$W:$W,XUẤT!$B:$B,TỒN!$B$12,XUẤT!$O:$O,TỒN!N4)</f>
        <v>0</v>
      </c>
      <c r="O11" s="52">
        <f>SUMIFS(XUẤT!$W:$W,XUẤT!$B:$B,TỒN!$B$12,XUẤT!$O:$O,TỒN!O4)</f>
        <v>0</v>
      </c>
      <c r="P11" s="52">
        <f t="shared" si="0"/>
        <v>0</v>
      </c>
      <c r="Q11" s="52"/>
      <c r="R11" s="52"/>
      <c r="S11" s="52"/>
      <c r="T11" s="52"/>
      <c r="U11" s="52"/>
      <c r="V11" s="52"/>
      <c r="W11" s="52"/>
    </row>
    <row r="12" spans="1:23" x14ac:dyDescent="0.35">
      <c r="A12" s="46">
        <v>7</v>
      </c>
      <c r="B12" s="47">
        <v>46272</v>
      </c>
      <c r="C12" s="48"/>
      <c r="D12" s="49"/>
      <c r="E12" s="50"/>
      <c r="F12" s="50"/>
      <c r="G12" s="51"/>
      <c r="H12" s="52"/>
      <c r="I12" s="52"/>
      <c r="J12" s="52">
        <f>SUMIFS(XUẤT!$W:$W,XUẤT!$B:$B,TỒN!$B$12,XUẤT!$O:$O,TỒN!J5)</f>
        <v>0</v>
      </c>
      <c r="K12" s="52">
        <f>SUMIFS(XUẤT!$W:$W,XUẤT!$B:$B,TỒN!$B$12,XUẤT!$O:$O,TỒN!K5)</f>
        <v>0</v>
      </c>
      <c r="L12" s="52">
        <f>SUMIFS(XUẤT!$W:$W,XUẤT!$B:$B,TỒN!$B$12,XUẤT!$O:$O,TỒN!L5)</f>
        <v>30</v>
      </c>
      <c r="M12" s="52">
        <f>SUMIFS(XUẤT!$W:$W,XUẤT!$B:$B,TỒN!$B$12,XUẤT!$O:$O,TỒN!M5)</f>
        <v>0</v>
      </c>
      <c r="N12" s="52">
        <f>SUMIFS(XUẤT!$W:$W,XUẤT!$B:$B,TỒN!$B$12,XUẤT!$O:$O,TỒN!N5)</f>
        <v>1</v>
      </c>
      <c r="O12" s="52">
        <f>SUMIFS(XUẤT!$W:$W,XUẤT!$B:$B,TỒN!$B$12,XUẤT!$O:$O,TỒN!O5)</f>
        <v>11</v>
      </c>
      <c r="P12" s="52">
        <f t="shared" si="0"/>
        <v>42</v>
      </c>
      <c r="Q12" s="52"/>
      <c r="R12" s="52"/>
      <c r="S12" s="52"/>
      <c r="T12" s="52"/>
      <c r="U12" s="52"/>
      <c r="V12" s="52"/>
      <c r="W12" s="52"/>
    </row>
    <row r="13" spans="1:23" x14ac:dyDescent="0.35">
      <c r="A13" s="46">
        <v>8</v>
      </c>
      <c r="B13" s="47">
        <v>46273</v>
      </c>
      <c r="C13" s="48"/>
      <c r="D13" s="49"/>
      <c r="E13" s="50"/>
      <c r="F13" s="50"/>
      <c r="G13" s="51"/>
      <c r="H13" s="52"/>
      <c r="I13" s="52"/>
      <c r="J13" s="52">
        <f>SUMIFS(XUẤT!$W:$W,XUẤT!$B:$B,TỒN!$B$12,XUẤT!$O:$O,TỒN!J12)</f>
        <v>0</v>
      </c>
      <c r="K13" s="52">
        <f>SUMIFS(XUẤT!$W:$W,XUẤT!$B:$B,TỒN!$B$12,XUẤT!$O:$O,TỒN!K12)</f>
        <v>0</v>
      </c>
      <c r="L13" s="52">
        <f>SUMIFS(XUẤT!$W:$W,XUẤT!$B:$B,TỒN!$B$12,XUẤT!$O:$O,TỒN!L12)</f>
        <v>0</v>
      </c>
      <c r="M13" s="52">
        <f>SUMIFS(XUẤT!$W:$W,XUẤT!$B:$B,TỒN!$B$12,XUẤT!$O:$O,TỒN!M12)</f>
        <v>0</v>
      </c>
      <c r="N13" s="52">
        <f>SUMIFS(XUẤT!$W:$W,XUẤT!$B:$B,TỒN!$B$12,XUẤT!$O:$O,TỒN!N12)</f>
        <v>0</v>
      </c>
      <c r="O13" s="52">
        <f>SUMIFS(XUẤT!$W:$W,XUẤT!$B:$B,TỒN!$B$12,XUẤT!$O:$O,TỒN!O12)</f>
        <v>0</v>
      </c>
      <c r="P13" s="52">
        <f t="shared" si="0"/>
        <v>0</v>
      </c>
      <c r="Q13" s="52"/>
      <c r="R13" s="52"/>
      <c r="S13" s="52"/>
      <c r="T13" s="52"/>
      <c r="U13" s="52"/>
      <c r="V13" s="52"/>
      <c r="W13" s="52"/>
    </row>
    <row r="14" spans="1:23" x14ac:dyDescent="0.35">
      <c r="A14" s="46">
        <v>9</v>
      </c>
      <c r="B14" s="47">
        <v>46274</v>
      </c>
      <c r="C14" s="48"/>
      <c r="D14" s="49"/>
      <c r="E14" s="50"/>
      <c r="F14" s="50"/>
      <c r="G14" s="51"/>
      <c r="H14" s="52"/>
      <c r="I14" s="52"/>
      <c r="J14" s="52">
        <f>SUMIFS(XUẤT!$W:$W,XUẤT!$B:$B,TỒN!$B$12,XUẤT!$O:$O,TỒN!J13)</f>
        <v>0</v>
      </c>
      <c r="K14" s="52">
        <f>SUMIFS(XUẤT!$W:$W,XUẤT!$B:$B,TỒN!$B$12,XUẤT!$O:$O,TỒN!K13)</f>
        <v>0</v>
      </c>
      <c r="L14" s="52">
        <f>SUMIFS(XUẤT!$W:$W,XUẤT!$B:$B,TỒN!$B$12,XUẤT!$O:$O,TỒN!L13)</f>
        <v>0</v>
      </c>
      <c r="M14" s="52">
        <f>SUMIFS(XUẤT!$W:$W,XUẤT!$B:$B,TỒN!$B$12,XUẤT!$O:$O,TỒN!M13)</f>
        <v>0</v>
      </c>
      <c r="N14" s="52">
        <f>SUMIFS(XUẤT!$W:$W,XUẤT!$B:$B,TỒN!$B$12,XUẤT!$O:$O,TỒN!N13)</f>
        <v>0</v>
      </c>
      <c r="O14" s="52">
        <f>SUMIFS(XUẤT!$W:$W,XUẤT!$B:$B,TỒN!$B$12,XUẤT!$O:$O,TỒN!O13)</f>
        <v>0</v>
      </c>
      <c r="P14" s="52">
        <f t="shared" si="0"/>
        <v>0</v>
      </c>
      <c r="Q14" s="52"/>
      <c r="R14" s="52"/>
      <c r="S14" s="52"/>
      <c r="T14" s="52"/>
      <c r="U14" s="52"/>
      <c r="V14" s="52"/>
      <c r="W14" s="52"/>
    </row>
    <row r="15" spans="1:23" x14ac:dyDescent="0.35">
      <c r="A15" s="46">
        <v>10</v>
      </c>
      <c r="B15" s="47">
        <v>46275</v>
      </c>
      <c r="C15" s="48"/>
      <c r="D15" s="49"/>
      <c r="E15" s="50"/>
      <c r="F15" s="50"/>
      <c r="G15" s="51"/>
      <c r="H15" s="52"/>
      <c r="I15" s="52"/>
      <c r="J15" s="52">
        <f>SUMIFS(XUẤT!$W:$W,XUẤT!$B:$B,TỒN!$B$12,XUẤT!$O:$O,TỒN!J14)</f>
        <v>0</v>
      </c>
      <c r="K15" s="52">
        <f>SUMIFS(XUẤT!$W:$W,XUẤT!$B:$B,TỒN!$B$12,XUẤT!$O:$O,TỒN!K14)</f>
        <v>0</v>
      </c>
      <c r="L15" s="52">
        <f>SUMIFS(XUẤT!$W:$W,XUẤT!$B:$B,TỒN!$B$12,XUẤT!$O:$O,TỒN!L14)</f>
        <v>0</v>
      </c>
      <c r="M15" s="52">
        <f>SUMIFS(XUẤT!$W:$W,XUẤT!$B:$B,TỒN!$B$12,XUẤT!$O:$O,TỒN!M14)</f>
        <v>0</v>
      </c>
      <c r="N15" s="52">
        <f>SUMIFS(XUẤT!$W:$W,XUẤT!$B:$B,TỒN!$B$12,XUẤT!$O:$O,TỒN!N14)</f>
        <v>0</v>
      </c>
      <c r="O15" s="52">
        <f>SUMIFS(XUẤT!$W:$W,XUẤT!$B:$B,TỒN!$B$12,XUẤT!$O:$O,TỒN!O14)</f>
        <v>0</v>
      </c>
      <c r="P15" s="52">
        <f t="shared" si="0"/>
        <v>0</v>
      </c>
      <c r="Q15" s="52"/>
      <c r="R15" s="52"/>
      <c r="S15" s="52"/>
      <c r="T15" s="52"/>
      <c r="U15" s="52"/>
      <c r="V15" s="52"/>
      <c r="W15" s="52"/>
    </row>
    <row r="16" spans="1:23" x14ac:dyDescent="0.35">
      <c r="A16" s="46">
        <v>11</v>
      </c>
      <c r="B16" s="47">
        <v>46276</v>
      </c>
      <c r="C16" s="48"/>
      <c r="D16" s="49"/>
      <c r="E16" s="50"/>
      <c r="F16" s="50"/>
      <c r="G16" s="51"/>
      <c r="H16" s="52"/>
      <c r="I16" s="52"/>
      <c r="J16" s="52">
        <f>SUMIFS(XUẤT!$W:$W,XUẤT!$B:$B,TỒN!$B$12,XUẤT!$O:$O,TỒN!J15)</f>
        <v>0</v>
      </c>
      <c r="K16" s="52">
        <f>SUMIFS(XUẤT!$W:$W,XUẤT!$B:$B,TỒN!$B$12,XUẤT!$O:$O,TỒN!K15)</f>
        <v>0</v>
      </c>
      <c r="L16" s="52">
        <f>SUMIFS(XUẤT!$W:$W,XUẤT!$B:$B,TỒN!$B$12,XUẤT!$O:$O,TỒN!L15)</f>
        <v>0</v>
      </c>
      <c r="M16" s="52">
        <f>SUMIFS(XUẤT!$W:$W,XUẤT!$B:$B,TỒN!$B$12,XUẤT!$O:$O,TỒN!M15)</f>
        <v>0</v>
      </c>
      <c r="N16" s="52">
        <f>SUMIFS(XUẤT!$W:$W,XUẤT!$B:$B,TỒN!$B$12,XUẤT!$O:$O,TỒN!N15)</f>
        <v>0</v>
      </c>
      <c r="O16" s="52">
        <f>SUMIFS(XUẤT!$W:$W,XUẤT!$B:$B,TỒN!$B$12,XUẤT!$O:$O,TỒN!O15)</f>
        <v>0</v>
      </c>
      <c r="P16" s="52">
        <f t="shared" si="0"/>
        <v>0</v>
      </c>
      <c r="Q16" s="52"/>
      <c r="R16" s="52"/>
      <c r="S16" s="52"/>
      <c r="T16" s="52"/>
      <c r="U16" s="52"/>
      <c r="V16" s="52"/>
      <c r="W16" s="52"/>
    </row>
    <row r="17" spans="1:23" x14ac:dyDescent="0.35">
      <c r="A17" s="46">
        <v>12</v>
      </c>
      <c r="B17" s="47">
        <v>46277</v>
      </c>
      <c r="C17" s="48"/>
      <c r="D17" s="49"/>
      <c r="E17" s="50"/>
      <c r="F17" s="50"/>
      <c r="G17" s="51"/>
      <c r="H17" s="52"/>
      <c r="I17" s="52"/>
      <c r="J17" s="52">
        <f>SUMIFS(XUẤT!$W:$W,XUẤT!$B:$B,TỒN!$B$12,XUẤT!$O:$O,TỒN!J16)</f>
        <v>0</v>
      </c>
      <c r="K17" s="52">
        <f>SUMIFS(XUẤT!$W:$W,XUẤT!$B:$B,TỒN!$B$12,XUẤT!$O:$O,TỒN!K16)</f>
        <v>0</v>
      </c>
      <c r="L17" s="52">
        <f>SUMIFS(XUẤT!$W:$W,XUẤT!$B:$B,TỒN!$B$12,XUẤT!$O:$O,TỒN!L16)</f>
        <v>0</v>
      </c>
      <c r="M17" s="52">
        <f>SUMIFS(XUẤT!$W:$W,XUẤT!$B:$B,TỒN!$B$12,XUẤT!$O:$O,TỒN!M16)</f>
        <v>0</v>
      </c>
      <c r="N17" s="52">
        <f>SUMIFS(XUẤT!$W:$W,XUẤT!$B:$B,TỒN!$B$12,XUẤT!$O:$O,TỒN!N16)</f>
        <v>0</v>
      </c>
      <c r="O17" s="52">
        <f>SUMIFS(XUẤT!$W:$W,XUẤT!$B:$B,TỒN!$B$12,XUẤT!$O:$O,TỒN!O16)</f>
        <v>0</v>
      </c>
      <c r="P17" s="52">
        <f t="shared" si="0"/>
        <v>0</v>
      </c>
      <c r="Q17" s="52"/>
      <c r="R17" s="52"/>
      <c r="S17" s="52"/>
      <c r="T17" s="52"/>
      <c r="U17" s="52"/>
      <c r="V17" s="52"/>
      <c r="W17" s="52"/>
    </row>
    <row r="18" spans="1:23" x14ac:dyDescent="0.35">
      <c r="A18" s="46">
        <v>13</v>
      </c>
      <c r="B18" s="47">
        <v>46278</v>
      </c>
      <c r="C18" s="48"/>
      <c r="D18" s="49"/>
      <c r="E18" s="50"/>
      <c r="F18" s="50"/>
      <c r="G18" s="51"/>
      <c r="H18" s="52"/>
      <c r="I18" s="52"/>
      <c r="J18" s="52">
        <f>SUMIFS(XUẤT!$W:$W,XUẤT!$B:$B,TỒN!$B$12,XUẤT!$O:$O,TỒN!J17)</f>
        <v>0</v>
      </c>
      <c r="K18" s="52">
        <f>SUMIFS(XUẤT!$W:$W,XUẤT!$B:$B,TỒN!$B$12,XUẤT!$O:$O,TỒN!K17)</f>
        <v>0</v>
      </c>
      <c r="L18" s="52">
        <f>SUMIFS(XUẤT!$W:$W,XUẤT!$B:$B,TỒN!$B$12,XUẤT!$O:$O,TỒN!L17)</f>
        <v>0</v>
      </c>
      <c r="M18" s="52">
        <f>SUMIFS(XUẤT!$W:$W,XUẤT!$B:$B,TỒN!$B$12,XUẤT!$O:$O,TỒN!M17)</f>
        <v>0</v>
      </c>
      <c r="N18" s="52">
        <f>SUMIFS(XUẤT!$W:$W,XUẤT!$B:$B,TỒN!$B$12,XUẤT!$O:$O,TỒN!N17)</f>
        <v>0</v>
      </c>
      <c r="O18" s="52">
        <f>SUMIFS(XUẤT!$W:$W,XUẤT!$B:$B,TỒN!$B$12,XUẤT!$O:$O,TỒN!O17)</f>
        <v>0</v>
      </c>
      <c r="P18" s="52">
        <f t="shared" si="0"/>
        <v>0</v>
      </c>
      <c r="Q18" s="52"/>
      <c r="R18" s="52"/>
      <c r="S18" s="52"/>
      <c r="T18" s="52"/>
      <c r="U18" s="52"/>
      <c r="V18" s="52"/>
      <c r="W18" s="52"/>
    </row>
    <row r="19" spans="1:23" x14ac:dyDescent="0.35">
      <c r="A19" s="46">
        <v>14</v>
      </c>
      <c r="B19" s="47">
        <v>46279</v>
      </c>
      <c r="C19" s="48"/>
      <c r="D19" s="49"/>
      <c r="E19" s="50"/>
      <c r="F19" s="50"/>
      <c r="G19" s="51"/>
      <c r="H19" s="52"/>
      <c r="I19" s="52"/>
      <c r="J19" s="52">
        <f>SUMIFS(XUẤT!$W:$W,XUẤT!$B:$B,TỒN!$B$12,XUẤT!$O:$O,TỒN!J18)</f>
        <v>0</v>
      </c>
      <c r="K19" s="52">
        <f>SUMIFS(XUẤT!$W:$W,XUẤT!$B:$B,TỒN!$B$12,XUẤT!$O:$O,TỒN!K18)</f>
        <v>0</v>
      </c>
      <c r="L19" s="52">
        <f>SUMIFS(XUẤT!$W:$W,XUẤT!$B:$B,TỒN!$B$12,XUẤT!$O:$O,TỒN!L18)</f>
        <v>0</v>
      </c>
      <c r="M19" s="52">
        <f>SUMIFS(XUẤT!$W:$W,XUẤT!$B:$B,TỒN!$B$12,XUẤT!$O:$O,TỒN!M18)</f>
        <v>0</v>
      </c>
      <c r="N19" s="52">
        <f>SUMIFS(XUẤT!$W:$W,XUẤT!$B:$B,TỒN!$B$12,XUẤT!$O:$O,TỒN!N18)</f>
        <v>0</v>
      </c>
      <c r="O19" s="52">
        <f>SUMIFS(XUẤT!$W:$W,XUẤT!$B:$B,TỒN!$B$12,XUẤT!$O:$O,TỒN!O18)</f>
        <v>0</v>
      </c>
      <c r="P19" s="52">
        <f t="shared" si="0"/>
        <v>0</v>
      </c>
      <c r="Q19" s="52"/>
      <c r="R19" s="52"/>
      <c r="S19" s="52"/>
      <c r="T19" s="52"/>
      <c r="U19" s="52"/>
      <c r="V19" s="52"/>
      <c r="W19" s="52"/>
    </row>
    <row r="20" spans="1:23" x14ac:dyDescent="0.35">
      <c r="A20" s="46">
        <v>15</v>
      </c>
      <c r="B20" s="47">
        <v>46280</v>
      </c>
      <c r="C20" s="48"/>
      <c r="D20" s="49"/>
      <c r="E20" s="50"/>
      <c r="F20" s="50"/>
      <c r="G20" s="51"/>
      <c r="H20" s="52"/>
      <c r="I20" s="52"/>
      <c r="J20" s="52">
        <f>SUMIFS(XUẤT!$W:$W,XUẤT!$B:$B,TỒN!$B$12,XUẤT!$O:$O,TỒN!J19)</f>
        <v>0</v>
      </c>
      <c r="K20" s="52">
        <f>SUMIFS(XUẤT!$W:$W,XUẤT!$B:$B,TỒN!$B$12,XUẤT!$O:$O,TỒN!K19)</f>
        <v>0</v>
      </c>
      <c r="L20" s="52">
        <f>SUMIFS(XUẤT!$W:$W,XUẤT!$B:$B,TỒN!$B$12,XUẤT!$O:$O,TỒN!L19)</f>
        <v>0</v>
      </c>
      <c r="M20" s="52">
        <f>SUMIFS(XUẤT!$W:$W,XUẤT!$B:$B,TỒN!$B$12,XUẤT!$O:$O,TỒN!M19)</f>
        <v>0</v>
      </c>
      <c r="N20" s="52">
        <f>SUMIFS(XUẤT!$W:$W,XUẤT!$B:$B,TỒN!$B$12,XUẤT!$O:$O,TỒN!N19)</f>
        <v>0</v>
      </c>
      <c r="O20" s="52">
        <f>SUMIFS(XUẤT!$W:$W,XUẤT!$B:$B,TỒN!$B$12,XUẤT!$O:$O,TỒN!O19)</f>
        <v>0</v>
      </c>
      <c r="P20" s="52">
        <f t="shared" si="0"/>
        <v>0</v>
      </c>
      <c r="Q20" s="52"/>
      <c r="R20" s="52"/>
      <c r="S20" s="52"/>
      <c r="T20" s="52"/>
      <c r="U20" s="52"/>
      <c r="V20" s="52"/>
      <c r="W20" s="52"/>
    </row>
    <row r="21" spans="1:23" x14ac:dyDescent="0.35">
      <c r="A21" s="46">
        <v>16</v>
      </c>
      <c r="B21" s="47">
        <v>46281</v>
      </c>
      <c r="C21" s="48"/>
      <c r="D21" s="49"/>
      <c r="E21" s="50"/>
      <c r="F21" s="50"/>
      <c r="G21" s="51"/>
      <c r="H21" s="52"/>
      <c r="I21" s="52"/>
      <c r="J21" s="52">
        <f>SUMIFS(XUẤT!$W:$W,XUẤT!$B:$B,TỒN!$B$12,XUẤT!$O:$O,TỒN!J20)</f>
        <v>0</v>
      </c>
      <c r="K21" s="52">
        <f>SUMIFS(XUẤT!$W:$W,XUẤT!$B:$B,TỒN!$B$12,XUẤT!$O:$O,TỒN!K20)</f>
        <v>0</v>
      </c>
      <c r="L21" s="52">
        <f>SUMIFS(XUẤT!$W:$W,XUẤT!$B:$B,TỒN!$B$12,XUẤT!$O:$O,TỒN!L20)</f>
        <v>0</v>
      </c>
      <c r="M21" s="52">
        <f>SUMIFS(XUẤT!$W:$W,XUẤT!$B:$B,TỒN!$B$12,XUẤT!$O:$O,TỒN!M20)</f>
        <v>0</v>
      </c>
      <c r="N21" s="52">
        <f>SUMIFS(XUẤT!$W:$W,XUẤT!$B:$B,TỒN!$B$12,XUẤT!$O:$O,TỒN!N20)</f>
        <v>0</v>
      </c>
      <c r="O21" s="52">
        <f>SUMIFS(XUẤT!$W:$W,XUẤT!$B:$B,TỒN!$B$12,XUẤT!$O:$O,TỒN!O20)</f>
        <v>0</v>
      </c>
      <c r="P21" s="52">
        <f t="shared" si="0"/>
        <v>0</v>
      </c>
      <c r="Q21" s="52"/>
      <c r="R21" s="52"/>
      <c r="S21" s="52"/>
      <c r="T21" s="52"/>
      <c r="U21" s="52"/>
      <c r="V21" s="52"/>
      <c r="W21" s="52"/>
    </row>
    <row r="22" spans="1:23" x14ac:dyDescent="0.35">
      <c r="A22" s="46">
        <v>17</v>
      </c>
      <c r="B22" s="47">
        <v>46282</v>
      </c>
      <c r="C22" s="48"/>
      <c r="D22" s="49"/>
      <c r="E22" s="50"/>
      <c r="F22" s="50"/>
      <c r="G22" s="51"/>
      <c r="H22" s="52"/>
      <c r="I22" s="52"/>
      <c r="J22" s="52">
        <f>SUMIFS(XUẤT!$W:$W,XUẤT!$B:$B,TỒN!$B$12,XUẤT!$O:$O,TỒN!J21)</f>
        <v>0</v>
      </c>
      <c r="K22" s="52">
        <f>SUMIFS(XUẤT!$W:$W,XUẤT!$B:$B,TỒN!$B$12,XUẤT!$O:$O,TỒN!K21)</f>
        <v>0</v>
      </c>
      <c r="L22" s="52">
        <f>SUMIFS(XUẤT!$W:$W,XUẤT!$B:$B,TỒN!$B$12,XUẤT!$O:$O,TỒN!L21)</f>
        <v>0</v>
      </c>
      <c r="M22" s="52">
        <f>SUMIFS(XUẤT!$W:$W,XUẤT!$B:$B,TỒN!$B$12,XUẤT!$O:$O,TỒN!M21)</f>
        <v>0</v>
      </c>
      <c r="N22" s="52">
        <f>SUMIFS(XUẤT!$W:$W,XUẤT!$B:$B,TỒN!$B$12,XUẤT!$O:$O,TỒN!N21)</f>
        <v>0</v>
      </c>
      <c r="O22" s="52">
        <f>SUMIFS(XUẤT!$W:$W,XUẤT!$B:$B,TỒN!$B$12,XUẤT!$O:$O,TỒN!O21)</f>
        <v>0</v>
      </c>
      <c r="P22" s="52">
        <f t="shared" si="0"/>
        <v>0</v>
      </c>
      <c r="Q22" s="52"/>
      <c r="R22" s="52"/>
      <c r="S22" s="52"/>
      <c r="T22" s="52"/>
      <c r="U22" s="52"/>
      <c r="V22" s="52"/>
      <c r="W22" s="52"/>
    </row>
    <row r="23" spans="1:23" x14ac:dyDescent="0.35">
      <c r="A23" s="46">
        <v>18</v>
      </c>
      <c r="B23" s="47">
        <v>46283</v>
      </c>
      <c r="C23" s="48"/>
      <c r="D23" s="49"/>
      <c r="E23" s="50"/>
      <c r="F23" s="50"/>
      <c r="G23" s="51"/>
      <c r="H23" s="52"/>
      <c r="I23" s="52"/>
      <c r="J23" s="52">
        <f>SUMIFS(XUẤT!$W:$W,XUẤT!$B:$B,TỒN!$B$12,XUẤT!$O:$O,TỒN!J22)</f>
        <v>0</v>
      </c>
      <c r="K23" s="52">
        <f>SUMIFS(XUẤT!$W:$W,XUẤT!$B:$B,TỒN!$B$12,XUẤT!$O:$O,TỒN!K22)</f>
        <v>0</v>
      </c>
      <c r="L23" s="52">
        <f>SUMIFS(XUẤT!$W:$W,XUẤT!$B:$B,TỒN!$B$12,XUẤT!$O:$O,TỒN!L22)</f>
        <v>0</v>
      </c>
      <c r="M23" s="52">
        <f>SUMIFS(XUẤT!$W:$W,XUẤT!$B:$B,TỒN!$B$12,XUẤT!$O:$O,TỒN!M22)</f>
        <v>0</v>
      </c>
      <c r="N23" s="52">
        <f>SUMIFS(XUẤT!$W:$W,XUẤT!$B:$B,TỒN!$B$12,XUẤT!$O:$O,TỒN!N22)</f>
        <v>0</v>
      </c>
      <c r="O23" s="52">
        <f>SUMIFS(XUẤT!$W:$W,XUẤT!$B:$B,TỒN!$B$12,XUẤT!$O:$O,TỒN!O22)</f>
        <v>0</v>
      </c>
      <c r="P23" s="52">
        <f t="shared" si="0"/>
        <v>0</v>
      </c>
      <c r="Q23" s="52"/>
      <c r="R23" s="52"/>
      <c r="S23" s="52"/>
      <c r="T23" s="52"/>
      <c r="U23" s="52"/>
      <c r="V23" s="52"/>
      <c r="W23" s="52"/>
    </row>
    <row r="24" spans="1:23" x14ac:dyDescent="0.35">
      <c r="A24" s="46">
        <v>19</v>
      </c>
      <c r="B24" s="47">
        <v>46284</v>
      </c>
      <c r="C24" s="48"/>
      <c r="D24" s="49"/>
      <c r="E24" s="50"/>
      <c r="F24" s="50"/>
      <c r="G24" s="51"/>
      <c r="H24" s="52"/>
      <c r="I24" s="52"/>
      <c r="J24" s="52">
        <f>SUMIFS(XUẤT!$W:$W,XUẤT!$B:$B,TỒN!$B$12,XUẤT!$O:$O,TỒN!J23)</f>
        <v>0</v>
      </c>
      <c r="K24" s="52">
        <f>SUMIFS(XUẤT!$W:$W,XUẤT!$B:$B,TỒN!$B$12,XUẤT!$O:$O,TỒN!K23)</f>
        <v>0</v>
      </c>
      <c r="L24" s="52">
        <f>SUMIFS(XUẤT!$W:$W,XUẤT!$B:$B,TỒN!$B$12,XUẤT!$O:$O,TỒN!L23)</f>
        <v>0</v>
      </c>
      <c r="M24" s="52">
        <f>SUMIFS(XUẤT!$W:$W,XUẤT!$B:$B,TỒN!$B$12,XUẤT!$O:$O,TỒN!M23)</f>
        <v>0</v>
      </c>
      <c r="N24" s="52">
        <f>SUMIFS(XUẤT!$W:$W,XUẤT!$B:$B,TỒN!$B$12,XUẤT!$O:$O,TỒN!N23)</f>
        <v>0</v>
      </c>
      <c r="O24" s="52">
        <f>SUMIFS(XUẤT!$W:$W,XUẤT!$B:$B,TỒN!$B$12,XUẤT!$O:$O,TỒN!O23)</f>
        <v>0</v>
      </c>
      <c r="P24" s="52">
        <f t="shared" si="0"/>
        <v>0</v>
      </c>
      <c r="Q24" s="52"/>
      <c r="R24" s="52"/>
      <c r="S24" s="52"/>
      <c r="T24" s="52"/>
      <c r="U24" s="52"/>
      <c r="V24" s="52"/>
      <c r="W24" s="52"/>
    </row>
    <row r="25" spans="1:23" x14ac:dyDescent="0.35">
      <c r="A25" s="46">
        <v>20</v>
      </c>
      <c r="B25" s="47">
        <v>46285</v>
      </c>
      <c r="C25" s="48"/>
      <c r="D25" s="49"/>
      <c r="E25" s="50"/>
      <c r="F25" s="50"/>
      <c r="G25" s="51"/>
      <c r="H25" s="52"/>
      <c r="I25" s="52"/>
      <c r="J25" s="52">
        <f>SUMIFS(XUẤT!$W:$W,XUẤT!$B:$B,TỒN!$B$12,XUẤT!$O:$O,TỒN!J24)</f>
        <v>0</v>
      </c>
      <c r="K25" s="52">
        <f>SUMIFS(XUẤT!$W:$W,XUẤT!$B:$B,TỒN!$B$12,XUẤT!$O:$O,TỒN!K24)</f>
        <v>0</v>
      </c>
      <c r="L25" s="52">
        <f>SUMIFS(XUẤT!$W:$W,XUẤT!$B:$B,TỒN!$B$12,XUẤT!$O:$O,TỒN!L24)</f>
        <v>0</v>
      </c>
      <c r="M25" s="52">
        <f>SUMIFS(XUẤT!$W:$W,XUẤT!$B:$B,TỒN!$B$12,XUẤT!$O:$O,TỒN!M24)</f>
        <v>0</v>
      </c>
      <c r="N25" s="52">
        <f>SUMIFS(XUẤT!$W:$W,XUẤT!$B:$B,TỒN!$B$12,XUẤT!$O:$O,TỒN!N24)</f>
        <v>0</v>
      </c>
      <c r="O25" s="52">
        <f>SUMIFS(XUẤT!$W:$W,XUẤT!$B:$B,TỒN!$B$12,XUẤT!$O:$O,TỒN!O24)</f>
        <v>0</v>
      </c>
      <c r="P25" s="52">
        <f t="shared" si="0"/>
        <v>0</v>
      </c>
      <c r="Q25" s="52"/>
      <c r="R25" s="52"/>
      <c r="S25" s="52"/>
      <c r="T25" s="52"/>
      <c r="U25" s="52"/>
      <c r="V25" s="52"/>
      <c r="W25" s="52"/>
    </row>
    <row r="26" spans="1:23" x14ac:dyDescent="0.35">
      <c r="A26" s="46">
        <v>21</v>
      </c>
      <c r="B26" s="47">
        <v>46286</v>
      </c>
      <c r="C26" s="48"/>
      <c r="D26" s="49"/>
      <c r="E26" s="50"/>
      <c r="F26" s="50"/>
      <c r="G26" s="51"/>
      <c r="H26" s="52"/>
      <c r="I26" s="52"/>
      <c r="J26" s="52">
        <f>SUMIFS(XUẤT!$W:$W,XUẤT!$B:$B,TỒN!$B$12,XUẤT!$O:$O,TỒN!J25)</f>
        <v>0</v>
      </c>
      <c r="K26" s="52">
        <f>SUMIFS(XUẤT!$W:$W,XUẤT!$B:$B,TỒN!$B$12,XUẤT!$O:$O,TỒN!K25)</f>
        <v>0</v>
      </c>
      <c r="L26" s="52">
        <f>SUMIFS(XUẤT!$W:$W,XUẤT!$B:$B,TỒN!$B$12,XUẤT!$O:$O,TỒN!L25)</f>
        <v>0</v>
      </c>
      <c r="M26" s="52">
        <f>SUMIFS(XUẤT!$W:$W,XUẤT!$B:$B,TỒN!$B$12,XUẤT!$O:$O,TỒN!M25)</f>
        <v>0</v>
      </c>
      <c r="N26" s="52">
        <f>SUMIFS(XUẤT!$W:$W,XUẤT!$B:$B,TỒN!$B$12,XUẤT!$O:$O,TỒN!N25)</f>
        <v>0</v>
      </c>
      <c r="O26" s="52">
        <f>SUMIFS(XUẤT!$W:$W,XUẤT!$B:$B,TỒN!$B$12,XUẤT!$O:$O,TỒN!O25)</f>
        <v>0</v>
      </c>
      <c r="P26" s="52">
        <f t="shared" si="0"/>
        <v>0</v>
      </c>
      <c r="Q26" s="52"/>
      <c r="R26" s="52"/>
      <c r="S26" s="52"/>
      <c r="T26" s="52"/>
      <c r="U26" s="52"/>
      <c r="V26" s="52"/>
      <c r="W26" s="52"/>
    </row>
    <row r="27" spans="1:23" x14ac:dyDescent="0.35">
      <c r="A27" s="46">
        <v>22</v>
      </c>
      <c r="B27" s="47">
        <v>46287</v>
      </c>
      <c r="C27" s="48"/>
      <c r="D27" s="49"/>
      <c r="E27" s="50"/>
      <c r="F27" s="50"/>
      <c r="G27" s="51"/>
      <c r="H27" s="52"/>
      <c r="I27" s="52"/>
      <c r="J27" s="52">
        <f>SUMIFS(XUẤT!$W:$W,XUẤT!$B:$B,TỒN!$B$12,XUẤT!$O:$O,TỒN!J26)</f>
        <v>0</v>
      </c>
      <c r="K27" s="52">
        <f>SUMIFS(XUẤT!$W:$W,XUẤT!$B:$B,TỒN!$B$12,XUẤT!$O:$O,TỒN!K26)</f>
        <v>0</v>
      </c>
      <c r="L27" s="52">
        <f>SUMIFS(XUẤT!$W:$W,XUẤT!$B:$B,TỒN!$B$12,XUẤT!$O:$O,TỒN!L26)</f>
        <v>0</v>
      </c>
      <c r="M27" s="52">
        <f>SUMIFS(XUẤT!$W:$W,XUẤT!$B:$B,TỒN!$B$12,XUẤT!$O:$O,TỒN!M26)</f>
        <v>0</v>
      </c>
      <c r="N27" s="52">
        <f>SUMIFS(XUẤT!$W:$W,XUẤT!$B:$B,TỒN!$B$12,XUẤT!$O:$O,TỒN!N26)</f>
        <v>0</v>
      </c>
      <c r="O27" s="52">
        <f>SUMIFS(XUẤT!$W:$W,XUẤT!$B:$B,TỒN!$B$12,XUẤT!$O:$O,TỒN!O26)</f>
        <v>0</v>
      </c>
      <c r="P27" s="52">
        <f t="shared" si="0"/>
        <v>0</v>
      </c>
      <c r="Q27" s="52"/>
      <c r="R27" s="52"/>
      <c r="S27" s="52"/>
      <c r="T27" s="52"/>
      <c r="U27" s="52"/>
      <c r="V27" s="52"/>
      <c r="W27" s="52"/>
    </row>
    <row r="28" spans="1:23" x14ac:dyDescent="0.35">
      <c r="A28" s="46">
        <v>23</v>
      </c>
      <c r="B28" s="47">
        <v>46288</v>
      </c>
      <c r="C28" s="48"/>
      <c r="D28" s="49"/>
      <c r="E28" s="50"/>
      <c r="F28" s="50"/>
      <c r="G28" s="51"/>
      <c r="H28" s="52"/>
      <c r="I28" s="52"/>
      <c r="J28" s="52">
        <f>SUMIFS(XUẤT!$W:$W,XUẤT!$B:$B,TỒN!$B$12,XUẤT!$O:$O,TỒN!J27)</f>
        <v>0</v>
      </c>
      <c r="K28" s="52">
        <f>SUMIFS(XUẤT!$W:$W,XUẤT!$B:$B,TỒN!$B$12,XUẤT!$O:$O,TỒN!K27)</f>
        <v>0</v>
      </c>
      <c r="L28" s="52">
        <f>SUMIFS(XUẤT!$W:$W,XUẤT!$B:$B,TỒN!$B$12,XUẤT!$O:$O,TỒN!L27)</f>
        <v>0</v>
      </c>
      <c r="M28" s="52">
        <f>SUMIFS(XUẤT!$W:$W,XUẤT!$B:$B,TỒN!$B$12,XUẤT!$O:$O,TỒN!M27)</f>
        <v>0</v>
      </c>
      <c r="N28" s="52">
        <f>SUMIFS(XUẤT!$W:$W,XUẤT!$B:$B,TỒN!$B$12,XUẤT!$O:$O,TỒN!N27)</f>
        <v>0</v>
      </c>
      <c r="O28" s="52">
        <f>SUMIFS(XUẤT!$W:$W,XUẤT!$B:$B,TỒN!$B$12,XUẤT!$O:$O,TỒN!O27)</f>
        <v>0</v>
      </c>
      <c r="P28" s="52">
        <f t="shared" si="0"/>
        <v>0</v>
      </c>
      <c r="Q28" s="52"/>
      <c r="R28" s="52"/>
      <c r="S28" s="52"/>
      <c r="T28" s="52"/>
      <c r="U28" s="52"/>
      <c r="V28" s="52"/>
      <c r="W28" s="52"/>
    </row>
    <row r="29" spans="1:23" x14ac:dyDescent="0.35">
      <c r="A29" s="46">
        <v>24</v>
      </c>
      <c r="B29" s="47">
        <v>46289</v>
      </c>
      <c r="C29" s="48"/>
      <c r="D29" s="49"/>
      <c r="E29" s="50"/>
      <c r="F29" s="50"/>
      <c r="G29" s="51"/>
      <c r="H29" s="52"/>
      <c r="I29" s="52"/>
      <c r="J29" s="52">
        <f>SUMIFS(XUẤT!$W:$W,XUẤT!$B:$B,TỒN!$B$12,XUẤT!$O:$O,TỒN!J28)</f>
        <v>0</v>
      </c>
      <c r="K29" s="52">
        <f>SUMIFS(XUẤT!$W:$W,XUẤT!$B:$B,TỒN!$B$12,XUẤT!$O:$O,TỒN!K28)</f>
        <v>0</v>
      </c>
      <c r="L29" s="52">
        <f>SUMIFS(XUẤT!$W:$W,XUẤT!$B:$B,TỒN!$B$12,XUẤT!$O:$O,TỒN!L28)</f>
        <v>0</v>
      </c>
      <c r="M29" s="52">
        <f>SUMIFS(XUẤT!$W:$W,XUẤT!$B:$B,TỒN!$B$12,XUẤT!$O:$O,TỒN!M28)</f>
        <v>0</v>
      </c>
      <c r="N29" s="52">
        <f>SUMIFS(XUẤT!$W:$W,XUẤT!$B:$B,TỒN!$B$12,XUẤT!$O:$O,TỒN!N28)</f>
        <v>0</v>
      </c>
      <c r="O29" s="52">
        <f>SUMIFS(XUẤT!$W:$W,XUẤT!$B:$B,TỒN!$B$12,XUẤT!$O:$O,TỒN!O28)</f>
        <v>0</v>
      </c>
      <c r="P29" s="52">
        <f t="shared" si="0"/>
        <v>0</v>
      </c>
      <c r="Q29" s="52"/>
      <c r="R29" s="52"/>
      <c r="S29" s="52"/>
      <c r="T29" s="52"/>
      <c r="U29" s="52"/>
      <c r="V29" s="52"/>
      <c r="W29" s="52"/>
    </row>
    <row r="30" spans="1:23" x14ac:dyDescent="0.35">
      <c r="A30" s="46">
        <v>25</v>
      </c>
      <c r="B30" s="47">
        <v>46290</v>
      </c>
      <c r="C30" s="48"/>
      <c r="D30" s="49"/>
      <c r="E30" s="50"/>
      <c r="F30" s="50"/>
      <c r="G30" s="51"/>
      <c r="H30" s="52"/>
      <c r="I30" s="52"/>
      <c r="J30" s="52">
        <f>SUMIFS(XUẤT!$W:$W,XUẤT!$B:$B,TỒN!$B$12,XUẤT!$O:$O,TỒN!J29)</f>
        <v>0</v>
      </c>
      <c r="K30" s="52">
        <f>SUMIFS(XUẤT!$W:$W,XUẤT!$B:$B,TỒN!$B$12,XUẤT!$O:$O,TỒN!K29)</f>
        <v>0</v>
      </c>
      <c r="L30" s="52">
        <f>SUMIFS(XUẤT!$W:$W,XUẤT!$B:$B,TỒN!$B$12,XUẤT!$O:$O,TỒN!L29)</f>
        <v>0</v>
      </c>
      <c r="M30" s="52">
        <f>SUMIFS(XUẤT!$W:$W,XUẤT!$B:$B,TỒN!$B$12,XUẤT!$O:$O,TỒN!M29)</f>
        <v>0</v>
      </c>
      <c r="N30" s="52">
        <f>SUMIFS(XUẤT!$W:$W,XUẤT!$B:$B,TỒN!$B$12,XUẤT!$O:$O,TỒN!N29)</f>
        <v>0</v>
      </c>
      <c r="O30" s="52">
        <f>SUMIFS(XUẤT!$W:$W,XUẤT!$B:$B,TỒN!$B$12,XUẤT!$O:$O,TỒN!O29)</f>
        <v>0</v>
      </c>
      <c r="P30" s="52">
        <f t="shared" si="0"/>
        <v>0</v>
      </c>
      <c r="Q30" s="52"/>
      <c r="R30" s="52"/>
      <c r="S30" s="52"/>
      <c r="T30" s="52"/>
      <c r="U30" s="52"/>
      <c r="V30" s="52"/>
      <c r="W30" s="52"/>
    </row>
    <row r="31" spans="1:23" x14ac:dyDescent="0.35">
      <c r="A31" s="46">
        <v>26</v>
      </c>
      <c r="B31" s="47">
        <v>46291</v>
      </c>
      <c r="C31" s="48"/>
      <c r="D31" s="49"/>
      <c r="E31" s="50"/>
      <c r="F31" s="50"/>
      <c r="G31" s="51"/>
      <c r="H31" s="52"/>
      <c r="I31" s="52"/>
      <c r="J31" s="52">
        <f>SUMIFS(XUẤT!$W:$W,XUẤT!$B:$B,TỒN!$B$12,XUẤT!$O:$O,TỒN!J30)</f>
        <v>0</v>
      </c>
      <c r="K31" s="52">
        <f>SUMIFS(XUẤT!$W:$W,XUẤT!$B:$B,TỒN!$B$12,XUẤT!$O:$O,TỒN!K30)</f>
        <v>0</v>
      </c>
      <c r="L31" s="52">
        <f>SUMIFS(XUẤT!$W:$W,XUẤT!$B:$B,TỒN!$B$12,XUẤT!$O:$O,TỒN!L30)</f>
        <v>0</v>
      </c>
      <c r="M31" s="52">
        <f>SUMIFS(XUẤT!$W:$W,XUẤT!$B:$B,TỒN!$B$12,XUẤT!$O:$O,TỒN!M30)</f>
        <v>0</v>
      </c>
      <c r="N31" s="52">
        <f>SUMIFS(XUẤT!$W:$W,XUẤT!$B:$B,TỒN!$B$12,XUẤT!$O:$O,TỒN!N30)</f>
        <v>0</v>
      </c>
      <c r="O31" s="52">
        <f>SUMIFS(XUẤT!$W:$W,XUẤT!$B:$B,TỒN!$B$12,XUẤT!$O:$O,TỒN!O30)</f>
        <v>0</v>
      </c>
      <c r="P31" s="52">
        <f t="shared" si="0"/>
        <v>0</v>
      </c>
      <c r="Q31" s="52"/>
      <c r="R31" s="52"/>
      <c r="S31" s="52"/>
      <c r="T31" s="52"/>
      <c r="U31" s="52"/>
      <c r="V31" s="52"/>
      <c r="W31" s="52"/>
    </row>
    <row r="32" spans="1:23" x14ac:dyDescent="0.35">
      <c r="A32" s="46">
        <v>27</v>
      </c>
      <c r="B32" s="47">
        <v>46292</v>
      </c>
      <c r="C32" s="48"/>
      <c r="D32" s="49"/>
      <c r="E32" s="50"/>
      <c r="F32" s="50"/>
      <c r="G32" s="51"/>
      <c r="H32" s="52"/>
      <c r="I32" s="52"/>
      <c r="J32" s="52">
        <f>SUMIFS(XUẤT!$W:$W,XUẤT!$B:$B,TỒN!$B$12,XUẤT!$O:$O,TỒN!J31)</f>
        <v>0</v>
      </c>
      <c r="K32" s="52">
        <f>SUMIFS(XUẤT!$W:$W,XUẤT!$B:$B,TỒN!$B$12,XUẤT!$O:$O,TỒN!K31)</f>
        <v>0</v>
      </c>
      <c r="L32" s="52">
        <f>SUMIFS(XUẤT!$W:$W,XUẤT!$B:$B,TỒN!$B$12,XUẤT!$O:$O,TỒN!L31)</f>
        <v>0</v>
      </c>
      <c r="M32" s="52">
        <f>SUMIFS(XUẤT!$W:$W,XUẤT!$B:$B,TỒN!$B$12,XUẤT!$O:$O,TỒN!M31)</f>
        <v>0</v>
      </c>
      <c r="N32" s="52">
        <f>SUMIFS(XUẤT!$W:$W,XUẤT!$B:$B,TỒN!$B$12,XUẤT!$O:$O,TỒN!N31)</f>
        <v>0</v>
      </c>
      <c r="O32" s="52">
        <f>SUMIFS(XUẤT!$W:$W,XUẤT!$B:$B,TỒN!$B$12,XUẤT!$O:$O,TỒN!O31)</f>
        <v>0</v>
      </c>
      <c r="P32" s="52">
        <f t="shared" si="0"/>
        <v>0</v>
      </c>
      <c r="Q32" s="52"/>
      <c r="R32" s="52"/>
      <c r="S32" s="52"/>
      <c r="T32" s="52"/>
      <c r="U32" s="52"/>
      <c r="V32" s="52"/>
      <c r="W32" s="52"/>
    </row>
    <row r="33" spans="1:23" s="53" customFormat="1" x14ac:dyDescent="0.35">
      <c r="A33" s="46">
        <v>28</v>
      </c>
      <c r="B33" s="47">
        <v>46293</v>
      </c>
      <c r="C33" s="48"/>
      <c r="D33" s="49"/>
      <c r="E33" s="50"/>
      <c r="F33" s="50"/>
      <c r="G33" s="51"/>
      <c r="H33" s="52"/>
      <c r="I33" s="52"/>
      <c r="J33" s="52">
        <f>SUMIFS(XUẤT!$W:$W,XUẤT!$B:$B,TỒN!$B$12,XUẤT!$O:$O,TỒN!J32)</f>
        <v>0</v>
      </c>
      <c r="K33" s="52">
        <f>SUMIFS(XUẤT!$W:$W,XUẤT!$B:$B,TỒN!$B$12,XUẤT!$O:$O,TỒN!K32)</f>
        <v>0</v>
      </c>
      <c r="L33" s="52">
        <f>SUMIFS(XUẤT!$W:$W,XUẤT!$B:$B,TỒN!$B$12,XUẤT!$O:$O,TỒN!L32)</f>
        <v>0</v>
      </c>
      <c r="M33" s="52">
        <f>SUMIFS(XUẤT!$W:$W,XUẤT!$B:$B,TỒN!$B$12,XUẤT!$O:$O,TỒN!M32)</f>
        <v>0</v>
      </c>
      <c r="N33" s="52">
        <f>SUMIFS(XUẤT!$W:$W,XUẤT!$B:$B,TỒN!$B$12,XUẤT!$O:$O,TỒN!N32)</f>
        <v>0</v>
      </c>
      <c r="O33" s="52">
        <f>SUMIFS(XUẤT!$W:$W,XUẤT!$B:$B,TỒN!$B$12,XUẤT!$O:$O,TỒN!O32)</f>
        <v>0</v>
      </c>
      <c r="P33" s="52">
        <f t="shared" si="0"/>
        <v>0</v>
      </c>
      <c r="Q33" s="52"/>
      <c r="R33" s="52"/>
      <c r="S33" s="52"/>
      <c r="T33" s="52"/>
      <c r="U33" s="52"/>
      <c r="V33" s="52"/>
      <c r="W33" s="52"/>
    </row>
    <row r="34" spans="1:23" x14ac:dyDescent="0.35">
      <c r="A34" s="46">
        <v>29</v>
      </c>
      <c r="B34" s="47">
        <v>46294</v>
      </c>
      <c r="C34" s="48"/>
      <c r="D34" s="49"/>
      <c r="E34" s="50"/>
      <c r="F34" s="50"/>
      <c r="G34" s="51"/>
      <c r="H34" s="52"/>
      <c r="I34" s="52"/>
      <c r="J34" s="52">
        <f>SUMIFS(XUẤT!$W:$W,XUẤT!$B:$B,TỒN!$B$12,XUẤT!$O:$O,TỒN!J33)</f>
        <v>0</v>
      </c>
      <c r="K34" s="52">
        <f>SUMIFS(XUẤT!$W:$W,XUẤT!$B:$B,TỒN!$B$12,XUẤT!$O:$O,TỒN!K33)</f>
        <v>0</v>
      </c>
      <c r="L34" s="52">
        <f>SUMIFS(XUẤT!$W:$W,XUẤT!$B:$B,TỒN!$B$12,XUẤT!$O:$O,TỒN!L33)</f>
        <v>0</v>
      </c>
      <c r="M34" s="52">
        <f>SUMIFS(XUẤT!$W:$W,XUẤT!$B:$B,TỒN!$B$12,XUẤT!$O:$O,TỒN!M33)</f>
        <v>0</v>
      </c>
      <c r="N34" s="52">
        <f>SUMIFS(XUẤT!$W:$W,XUẤT!$B:$B,TỒN!$B$12,XUẤT!$O:$O,TỒN!N33)</f>
        <v>0</v>
      </c>
      <c r="O34" s="52">
        <f>SUMIFS(XUẤT!$W:$W,XUẤT!$B:$B,TỒN!$B$12,XUẤT!$O:$O,TỒN!O33)</f>
        <v>0</v>
      </c>
      <c r="P34" s="52">
        <f t="shared" si="0"/>
        <v>0</v>
      </c>
      <c r="Q34" s="52"/>
      <c r="R34" s="52"/>
      <c r="S34" s="52"/>
      <c r="T34" s="52"/>
      <c r="U34" s="52"/>
      <c r="V34" s="52"/>
      <c r="W34" s="52"/>
    </row>
    <row r="35" spans="1:23" x14ac:dyDescent="0.35">
      <c r="A35" s="46">
        <v>30</v>
      </c>
      <c r="B35" s="47">
        <v>46295</v>
      </c>
      <c r="C35" s="48"/>
      <c r="D35" s="49"/>
      <c r="E35" s="50"/>
      <c r="F35" s="50"/>
      <c r="G35" s="51"/>
      <c r="H35" s="52"/>
      <c r="I35" s="52"/>
      <c r="J35" s="52">
        <f>SUMIFS(XUẤT!$W:$W,XUẤT!$B:$B,TỒN!$B$12,XUẤT!$O:$O,TỒN!J34)</f>
        <v>0</v>
      </c>
      <c r="K35" s="52">
        <f>SUMIFS(XUẤT!$W:$W,XUẤT!$B:$B,TỒN!$B$12,XUẤT!$O:$O,TỒN!K34)</f>
        <v>0</v>
      </c>
      <c r="L35" s="52">
        <f>SUMIFS(XUẤT!$W:$W,XUẤT!$B:$B,TỒN!$B$12,XUẤT!$O:$O,TỒN!L34)</f>
        <v>0</v>
      </c>
      <c r="M35" s="52">
        <f>SUMIFS(XUẤT!$W:$W,XUẤT!$B:$B,TỒN!$B$12,XUẤT!$O:$O,TỒN!M34)</f>
        <v>0</v>
      </c>
      <c r="N35" s="52">
        <f>SUMIFS(XUẤT!$W:$W,XUẤT!$B:$B,TỒN!$B$12,XUẤT!$O:$O,TỒN!N34)</f>
        <v>0</v>
      </c>
      <c r="O35" s="52">
        <f>SUMIFS(XUẤT!$W:$W,XUẤT!$B:$B,TỒN!$B$12,XUẤT!$O:$O,TỒN!O34)</f>
        <v>0</v>
      </c>
      <c r="P35" s="52">
        <f t="shared" si="0"/>
        <v>0</v>
      </c>
      <c r="Q35" s="52"/>
      <c r="R35" s="52"/>
      <c r="S35" s="52"/>
      <c r="T35" s="52"/>
      <c r="U35" s="52"/>
      <c r="V35" s="52"/>
      <c r="W35" s="52"/>
    </row>
    <row r="36" spans="1:23" x14ac:dyDescent="0.35">
      <c r="A36" s="54"/>
      <c r="B36" s="55" t="s">
        <v>23</v>
      </c>
      <c r="C36" s="56">
        <f t="shared" ref="C36:W36" si="1">SUM(C12:C35)</f>
        <v>0</v>
      </c>
      <c r="D36" s="56">
        <f t="shared" si="1"/>
        <v>0</v>
      </c>
      <c r="E36" s="56">
        <f t="shared" si="1"/>
        <v>0</v>
      </c>
      <c r="F36" s="56">
        <f t="shared" si="1"/>
        <v>0</v>
      </c>
      <c r="G36" s="56">
        <f t="shared" si="1"/>
        <v>0</v>
      </c>
      <c r="H36" s="56">
        <f t="shared" si="1"/>
        <v>0</v>
      </c>
      <c r="I36" s="56">
        <f t="shared" si="1"/>
        <v>0</v>
      </c>
      <c r="J36" s="56">
        <f t="shared" si="1"/>
        <v>0</v>
      </c>
      <c r="K36" s="56">
        <f t="shared" si="1"/>
        <v>0</v>
      </c>
      <c r="L36" s="56">
        <f t="shared" si="1"/>
        <v>30</v>
      </c>
      <c r="M36" s="56">
        <f t="shared" si="1"/>
        <v>0</v>
      </c>
      <c r="N36" s="56">
        <f t="shared" si="1"/>
        <v>1</v>
      </c>
      <c r="O36" s="56">
        <f t="shared" si="1"/>
        <v>11</v>
      </c>
      <c r="P36" s="56">
        <f t="shared" si="1"/>
        <v>42</v>
      </c>
      <c r="Q36" s="56">
        <f t="shared" si="1"/>
        <v>0</v>
      </c>
      <c r="R36" s="56">
        <f t="shared" si="1"/>
        <v>0</v>
      </c>
      <c r="S36" s="56">
        <f t="shared" si="1"/>
        <v>0</v>
      </c>
      <c r="T36" s="56">
        <f t="shared" si="1"/>
        <v>0</v>
      </c>
      <c r="U36" s="56">
        <f t="shared" si="1"/>
        <v>0</v>
      </c>
      <c r="V36" s="56">
        <f t="shared" si="1"/>
        <v>0</v>
      </c>
      <c r="W36" s="56">
        <f t="shared" si="1"/>
        <v>0</v>
      </c>
    </row>
  </sheetData>
  <mergeCells count="8">
    <mergeCell ref="A1:V1"/>
    <mergeCell ref="A2:V2"/>
    <mergeCell ref="A3:D3"/>
    <mergeCell ref="A4:A5"/>
    <mergeCell ref="B4:B5"/>
    <mergeCell ref="C4:I4"/>
    <mergeCell ref="J4:P4"/>
    <mergeCell ref="Q4:W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M28"/>
  <sheetViews>
    <sheetView topLeftCell="A16" zoomScaleNormal="100" workbookViewId="0">
      <selection activeCell="J21" sqref="J21"/>
    </sheetView>
  </sheetViews>
  <sheetFormatPr defaultColWidth="9.109375" defaultRowHeight="18" x14ac:dyDescent="0.3"/>
  <cols>
    <col min="1" max="1" width="6.5546875" style="57" customWidth="1"/>
    <col min="2" max="2" width="27" style="57" customWidth="1"/>
    <col min="3" max="3" width="18.109375" style="57" customWidth="1"/>
    <col min="4" max="4" width="20.6640625" style="57" customWidth="1"/>
    <col min="5" max="5" width="18.5546875" style="57" customWidth="1"/>
    <col min="6" max="6" width="24.109375" style="57" customWidth="1"/>
    <col min="7" max="7" width="8.109375" style="57" customWidth="1"/>
    <col min="8" max="8" width="13.109375" style="57" customWidth="1"/>
    <col min="9" max="9" width="14.44140625" style="57" customWidth="1"/>
    <col min="10" max="10" width="30" style="57" customWidth="1"/>
    <col min="11" max="11" width="9.109375" style="58"/>
    <col min="12" max="12" width="36.44140625" style="58" customWidth="1"/>
    <col min="13" max="16384" width="9.109375" style="58"/>
  </cols>
  <sheetData>
    <row r="1" spans="1:13" ht="27" customHeight="1" x14ac:dyDescent="0.3">
      <c r="A1" s="452" t="s">
        <v>327</v>
      </c>
      <c r="B1" s="452"/>
      <c r="C1" s="452"/>
      <c r="D1" s="452"/>
      <c r="E1" s="452"/>
      <c r="F1" s="452"/>
      <c r="G1" s="452"/>
      <c r="H1" s="452"/>
      <c r="I1" s="452"/>
      <c r="J1" s="452"/>
    </row>
    <row r="3" spans="1:13" ht="19.649999999999999" customHeight="1" x14ac:dyDescent="0.3">
      <c r="A3" s="44" t="s">
        <v>3</v>
      </c>
      <c r="B3" s="44" t="s">
        <v>328</v>
      </c>
      <c r="C3" s="44" t="s">
        <v>86</v>
      </c>
      <c r="D3" s="44" t="s">
        <v>329</v>
      </c>
      <c r="E3" s="44" t="s">
        <v>330</v>
      </c>
      <c r="F3" s="44" t="s">
        <v>331</v>
      </c>
      <c r="H3" s="453" t="s">
        <v>332</v>
      </c>
      <c r="I3" s="453"/>
      <c r="J3" s="453"/>
    </row>
    <row r="4" spans="1:13" x14ac:dyDescent="0.3">
      <c r="A4" s="59" t="s">
        <v>333</v>
      </c>
      <c r="B4" s="60" t="s">
        <v>334</v>
      </c>
      <c r="C4" s="60"/>
      <c r="D4" s="60"/>
      <c r="E4" s="60"/>
      <c r="F4" s="60"/>
      <c r="H4" s="61" t="s">
        <v>4</v>
      </c>
      <c r="I4" s="61" t="s">
        <v>335</v>
      </c>
      <c r="J4" s="61" t="s">
        <v>8</v>
      </c>
      <c r="L4" s="13" t="s">
        <v>134</v>
      </c>
      <c r="M4" s="58">
        <f t="shared" ref="M4:M10" si="0">COUNTIFS($J$5:$J$28,L4)</f>
        <v>4</v>
      </c>
    </row>
    <row r="5" spans="1:13" x14ac:dyDescent="0.3">
      <c r="A5" s="9">
        <v>1</v>
      </c>
      <c r="B5" s="8" t="s">
        <v>37</v>
      </c>
      <c r="C5" s="9" t="s">
        <v>336</v>
      </c>
      <c r="D5" s="9" t="s">
        <v>183</v>
      </c>
      <c r="E5" s="9" t="s">
        <v>337</v>
      </c>
      <c r="F5" s="9" t="s">
        <v>338</v>
      </c>
      <c r="H5" s="9">
        <v>7</v>
      </c>
      <c r="I5" s="9">
        <v>2</v>
      </c>
      <c r="J5" s="13" t="s">
        <v>134</v>
      </c>
      <c r="L5" s="13" t="s">
        <v>136</v>
      </c>
      <c r="M5" s="58">
        <f t="shared" si="0"/>
        <v>3</v>
      </c>
    </row>
    <row r="6" spans="1:13" ht="18.75" customHeight="1" x14ac:dyDescent="0.3">
      <c r="A6" s="9">
        <v>2</v>
      </c>
      <c r="B6" s="8" t="s">
        <v>339</v>
      </c>
      <c r="C6" s="454" t="s">
        <v>340</v>
      </c>
      <c r="D6" s="9" t="s">
        <v>341</v>
      </c>
      <c r="E6" s="9" t="s">
        <v>342</v>
      </c>
      <c r="F6" s="9"/>
      <c r="H6" s="9">
        <v>8</v>
      </c>
      <c r="I6" s="9">
        <v>3</v>
      </c>
      <c r="J6" s="13" t="s">
        <v>136</v>
      </c>
      <c r="L6" s="13" t="s">
        <v>137</v>
      </c>
      <c r="M6" s="58">
        <f t="shared" si="0"/>
        <v>4</v>
      </c>
    </row>
    <row r="7" spans="1:13" x14ac:dyDescent="0.3">
      <c r="A7" s="9">
        <v>3</v>
      </c>
      <c r="B7" s="8" t="s">
        <v>287</v>
      </c>
      <c r="C7" s="454"/>
      <c r="D7" s="9" t="s">
        <v>343</v>
      </c>
      <c r="E7" s="9" t="s">
        <v>344</v>
      </c>
      <c r="F7" s="9"/>
      <c r="H7" s="9">
        <v>9</v>
      </c>
      <c r="I7" s="9">
        <v>4</v>
      </c>
      <c r="J7" s="13" t="s">
        <v>137</v>
      </c>
      <c r="L7" s="13" t="s">
        <v>138</v>
      </c>
      <c r="M7" s="58">
        <f t="shared" si="0"/>
        <v>3</v>
      </c>
    </row>
    <row r="8" spans="1:13" ht="18.75" customHeight="1" x14ac:dyDescent="0.3">
      <c r="A8" s="9">
        <v>4</v>
      </c>
      <c r="B8" s="13" t="s">
        <v>134</v>
      </c>
      <c r="C8" s="454" t="s">
        <v>345</v>
      </c>
      <c r="D8" s="9" t="s">
        <v>346</v>
      </c>
      <c r="E8" s="9" t="s">
        <v>347</v>
      </c>
      <c r="F8" s="9"/>
      <c r="H8" s="9">
        <v>10</v>
      </c>
      <c r="I8" s="9">
        <v>5</v>
      </c>
      <c r="J8" s="13" t="s">
        <v>138</v>
      </c>
      <c r="L8" s="13" t="s">
        <v>348</v>
      </c>
      <c r="M8" s="58">
        <f t="shared" si="0"/>
        <v>3</v>
      </c>
    </row>
    <row r="9" spans="1:13" x14ac:dyDescent="0.3">
      <c r="A9" s="9">
        <v>5</v>
      </c>
      <c r="B9" s="13" t="s">
        <v>137</v>
      </c>
      <c r="C9" s="454"/>
      <c r="D9" s="9" t="s">
        <v>349</v>
      </c>
      <c r="E9" s="9" t="s">
        <v>350</v>
      </c>
      <c r="F9" s="9"/>
      <c r="H9" s="9">
        <v>11</v>
      </c>
      <c r="I9" s="9">
        <v>6</v>
      </c>
      <c r="J9" s="13" t="s">
        <v>140</v>
      </c>
      <c r="L9" s="13" t="s">
        <v>236</v>
      </c>
      <c r="M9" s="58">
        <f t="shared" si="0"/>
        <v>2</v>
      </c>
    </row>
    <row r="10" spans="1:13" x14ac:dyDescent="0.3">
      <c r="A10" s="9">
        <v>6</v>
      </c>
      <c r="B10" s="13" t="s">
        <v>136</v>
      </c>
      <c r="C10" s="454"/>
      <c r="D10" s="9" t="s">
        <v>346</v>
      </c>
      <c r="E10" s="9" t="s">
        <v>351</v>
      </c>
      <c r="F10" s="9"/>
      <c r="H10" s="9">
        <v>12</v>
      </c>
      <c r="I10" s="9">
        <v>7</v>
      </c>
      <c r="J10" s="13" t="s">
        <v>348</v>
      </c>
      <c r="L10" s="13" t="s">
        <v>140</v>
      </c>
      <c r="M10" s="58">
        <f t="shared" si="0"/>
        <v>4</v>
      </c>
    </row>
    <row r="11" spans="1:13" x14ac:dyDescent="0.3">
      <c r="A11" s="9">
        <v>7</v>
      </c>
      <c r="B11" s="13" t="s">
        <v>348</v>
      </c>
      <c r="C11" s="454"/>
      <c r="D11" s="9" t="s">
        <v>352</v>
      </c>
      <c r="E11" s="9" t="s">
        <v>353</v>
      </c>
      <c r="F11" s="9"/>
      <c r="H11" s="11"/>
      <c r="I11" s="11"/>
      <c r="J11" s="12"/>
    </row>
    <row r="12" spans="1:13" x14ac:dyDescent="0.3">
      <c r="A12" s="9">
        <v>8</v>
      </c>
      <c r="B12" s="13" t="s">
        <v>138</v>
      </c>
      <c r="C12" s="454"/>
      <c r="D12" s="9" t="s">
        <v>355</v>
      </c>
      <c r="E12" s="9" t="s">
        <v>356</v>
      </c>
      <c r="F12" s="9"/>
      <c r="H12" s="9">
        <v>14</v>
      </c>
      <c r="I12" s="9">
        <v>2</v>
      </c>
      <c r="J12" s="13" t="s">
        <v>138</v>
      </c>
    </row>
    <row r="13" spans="1:13" ht="36" x14ac:dyDescent="0.3">
      <c r="A13" s="9">
        <v>9</v>
      </c>
      <c r="B13" s="13" t="s">
        <v>140</v>
      </c>
      <c r="C13" s="454"/>
      <c r="D13" s="9" t="s">
        <v>346</v>
      </c>
      <c r="E13" s="9" t="s">
        <v>357</v>
      </c>
      <c r="F13" s="9"/>
      <c r="H13" s="248">
        <v>15</v>
      </c>
      <c r="I13" s="248">
        <v>3</v>
      </c>
      <c r="J13" s="249" t="s">
        <v>134</v>
      </c>
      <c r="K13" s="250" t="s">
        <v>561</v>
      </c>
    </row>
    <row r="14" spans="1:13" x14ac:dyDescent="0.3">
      <c r="A14" s="9">
        <v>10</v>
      </c>
      <c r="B14" s="13" t="s">
        <v>236</v>
      </c>
      <c r="C14" s="454"/>
      <c r="D14" s="9" t="s">
        <v>358</v>
      </c>
      <c r="E14" s="9" t="s">
        <v>359</v>
      </c>
      <c r="F14" s="9"/>
      <c r="H14" s="9">
        <v>16</v>
      </c>
      <c r="I14" s="9">
        <v>4</v>
      </c>
      <c r="J14" s="13" t="s">
        <v>137</v>
      </c>
    </row>
    <row r="15" spans="1:13" x14ac:dyDescent="0.3">
      <c r="A15" s="9">
        <v>11</v>
      </c>
      <c r="B15" s="8" t="s">
        <v>211</v>
      </c>
      <c r="C15" s="9" t="s">
        <v>202</v>
      </c>
      <c r="D15" s="9" t="s">
        <v>355</v>
      </c>
      <c r="E15" s="9" t="s">
        <v>360</v>
      </c>
      <c r="F15" s="9" t="s">
        <v>361</v>
      </c>
      <c r="H15" s="9">
        <v>17</v>
      </c>
      <c r="I15" s="9">
        <v>5</v>
      </c>
      <c r="J15" s="249" t="s">
        <v>236</v>
      </c>
    </row>
    <row r="16" spans="1:13" x14ac:dyDescent="0.3">
      <c r="A16" s="9">
        <v>12</v>
      </c>
      <c r="B16" s="7" t="s">
        <v>41</v>
      </c>
      <c r="C16" s="9" t="s">
        <v>164</v>
      </c>
      <c r="D16" s="9" t="s">
        <v>164</v>
      </c>
      <c r="E16" s="9" t="s">
        <v>362</v>
      </c>
      <c r="F16" s="9" t="s">
        <v>363</v>
      </c>
      <c r="H16" s="9">
        <v>18</v>
      </c>
      <c r="I16" s="9">
        <v>6</v>
      </c>
      <c r="J16" s="13" t="s">
        <v>348</v>
      </c>
    </row>
    <row r="17" spans="1:12" ht="36" x14ac:dyDescent="0.3">
      <c r="A17" s="9">
        <v>13</v>
      </c>
      <c r="B17" s="8" t="s">
        <v>53</v>
      </c>
      <c r="C17" s="9" t="s">
        <v>248</v>
      </c>
      <c r="D17" s="9"/>
      <c r="E17" s="9" t="s">
        <v>364</v>
      </c>
      <c r="F17" s="9" t="s">
        <v>248</v>
      </c>
      <c r="H17" s="248">
        <v>19</v>
      </c>
      <c r="I17" s="248">
        <v>7</v>
      </c>
      <c r="J17" s="249" t="s">
        <v>136</v>
      </c>
      <c r="K17" s="250" t="s">
        <v>561</v>
      </c>
    </row>
    <row r="18" spans="1:12" x14ac:dyDescent="0.3">
      <c r="A18" s="9">
        <v>14</v>
      </c>
      <c r="B18" s="8" t="s">
        <v>49</v>
      </c>
      <c r="C18" s="9" t="s">
        <v>224</v>
      </c>
      <c r="D18" s="9"/>
      <c r="E18" s="9" t="s">
        <v>365</v>
      </c>
      <c r="F18" s="9" t="s">
        <v>224</v>
      </c>
      <c r="H18" s="11">
        <v>20</v>
      </c>
      <c r="I18" s="302" t="s">
        <v>354</v>
      </c>
      <c r="J18" s="13" t="s">
        <v>140</v>
      </c>
      <c r="L18" s="301" t="s">
        <v>689</v>
      </c>
    </row>
    <row r="19" spans="1:12" ht="36" x14ac:dyDescent="0.3">
      <c r="A19" s="9">
        <v>15</v>
      </c>
      <c r="B19" s="8" t="s">
        <v>288</v>
      </c>
      <c r="C19" s="9" t="s">
        <v>289</v>
      </c>
      <c r="D19" s="9"/>
      <c r="E19" s="9" t="s">
        <v>366</v>
      </c>
      <c r="F19" s="9" t="s">
        <v>289</v>
      </c>
      <c r="H19" s="248">
        <v>21</v>
      </c>
      <c r="I19" s="302">
        <v>2</v>
      </c>
      <c r="J19" s="249" t="s">
        <v>136</v>
      </c>
      <c r="K19" s="250" t="s">
        <v>561</v>
      </c>
      <c r="L19" s="301" t="s">
        <v>689</v>
      </c>
    </row>
    <row r="20" spans="1:12" x14ac:dyDescent="0.3">
      <c r="A20" s="59" t="s">
        <v>367</v>
      </c>
      <c r="B20" s="60" t="s">
        <v>368</v>
      </c>
      <c r="C20" s="60"/>
      <c r="D20" s="60"/>
      <c r="E20" s="60"/>
      <c r="F20" s="60"/>
      <c r="H20" s="9">
        <v>22</v>
      </c>
      <c r="I20" s="9">
        <v>3</v>
      </c>
      <c r="J20" s="13" t="s">
        <v>348</v>
      </c>
    </row>
    <row r="21" spans="1:12" ht="36" x14ac:dyDescent="0.3">
      <c r="A21" s="9">
        <v>1</v>
      </c>
      <c r="B21" s="13" t="s">
        <v>235</v>
      </c>
      <c r="C21" s="9"/>
      <c r="D21" s="9" t="s">
        <v>358</v>
      </c>
      <c r="E21" s="9" t="s">
        <v>369</v>
      </c>
      <c r="F21" s="9"/>
      <c r="H21" s="9">
        <v>23</v>
      </c>
      <c r="I21" s="9">
        <v>4</v>
      </c>
      <c r="J21" s="13" t="s">
        <v>236</v>
      </c>
    </row>
    <row r="22" spans="1:12" x14ac:dyDescent="0.3">
      <c r="A22" s="9">
        <v>2</v>
      </c>
      <c r="B22" s="13" t="s">
        <v>142</v>
      </c>
      <c r="C22" s="9"/>
      <c r="D22" s="9" t="s">
        <v>183</v>
      </c>
      <c r="E22" s="9" t="s">
        <v>370</v>
      </c>
      <c r="F22" s="9"/>
      <c r="H22" s="9">
        <v>24</v>
      </c>
      <c r="I22" s="9">
        <v>5</v>
      </c>
      <c r="J22" s="13" t="s">
        <v>137</v>
      </c>
    </row>
    <row r="23" spans="1:12" x14ac:dyDescent="0.3">
      <c r="H23" s="9">
        <v>25</v>
      </c>
      <c r="I23" s="9">
        <v>6</v>
      </c>
      <c r="J23" s="13" t="s">
        <v>140</v>
      </c>
    </row>
    <row r="24" spans="1:12" x14ac:dyDescent="0.3">
      <c r="A24" s="62" t="s">
        <v>3</v>
      </c>
      <c r="B24" s="2" t="s">
        <v>371</v>
      </c>
      <c r="H24" s="9">
        <v>26</v>
      </c>
      <c r="I24" s="9">
        <v>7</v>
      </c>
      <c r="J24" s="13" t="s">
        <v>138</v>
      </c>
    </row>
    <row r="25" spans="1:12" x14ac:dyDescent="0.3">
      <c r="A25" s="9">
        <v>1</v>
      </c>
      <c r="B25" s="8" t="s">
        <v>372</v>
      </c>
      <c r="H25" s="11">
        <v>27</v>
      </c>
      <c r="I25" s="11" t="s">
        <v>354</v>
      </c>
      <c r="J25" s="12" t="s">
        <v>134</v>
      </c>
    </row>
    <row r="26" spans="1:12" x14ac:dyDescent="0.3">
      <c r="A26" s="9">
        <v>2</v>
      </c>
      <c r="B26" s="8" t="s">
        <v>373</v>
      </c>
      <c r="H26" s="9">
        <v>28</v>
      </c>
      <c r="I26" s="9">
        <v>2</v>
      </c>
      <c r="J26" s="13" t="s">
        <v>140</v>
      </c>
    </row>
    <row r="27" spans="1:12" x14ac:dyDescent="0.3">
      <c r="A27" s="9">
        <v>3</v>
      </c>
      <c r="B27" s="8" t="s">
        <v>374</v>
      </c>
      <c r="H27" s="9">
        <v>29</v>
      </c>
      <c r="I27" s="9">
        <v>3</v>
      </c>
      <c r="J27" s="13" t="s">
        <v>134</v>
      </c>
    </row>
    <row r="28" spans="1:12" x14ac:dyDescent="0.3">
      <c r="A28" s="9">
        <v>4</v>
      </c>
      <c r="B28" s="8" t="s">
        <v>375</v>
      </c>
      <c r="H28" s="9">
        <v>30</v>
      </c>
      <c r="I28" s="9">
        <v>4</v>
      </c>
      <c r="J28" s="13" t="s">
        <v>137</v>
      </c>
    </row>
  </sheetData>
  <mergeCells count="4">
    <mergeCell ref="A1:J1"/>
    <mergeCell ref="H3:J3"/>
    <mergeCell ref="C6:C7"/>
    <mergeCell ref="C8:C14"/>
  </mergeCells>
  <pageMargins left="0.7" right="0.7" top="0.17" bottom="0.75" header="0.17" footer="0.511811023622047"/>
  <pageSetup paperSize="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H200"/>
  <sheetViews>
    <sheetView tabSelected="1" topLeftCell="A22" zoomScaleNormal="100" workbookViewId="0">
      <selection activeCell="D39" sqref="D39"/>
    </sheetView>
  </sheetViews>
  <sheetFormatPr defaultColWidth="9.109375" defaultRowHeight="18" x14ac:dyDescent="0.35"/>
  <cols>
    <col min="1" max="1" width="9.109375" style="63"/>
    <col min="2" max="2" width="34.88671875" style="64" customWidth="1"/>
    <col min="3" max="3" width="21" style="63" customWidth="1"/>
    <col min="4" max="4" width="11.6640625" style="64" customWidth="1"/>
    <col min="5" max="5" width="16" style="64" customWidth="1"/>
    <col min="6" max="6" width="18.109375" style="64" customWidth="1"/>
    <col min="7" max="7" width="9.109375" style="64"/>
    <col min="8" max="8" width="32.6640625" style="64" customWidth="1"/>
    <col min="9" max="16384" width="9.109375" style="64"/>
  </cols>
  <sheetData>
    <row r="1" spans="1:5" x14ac:dyDescent="0.35">
      <c r="A1" s="455" t="s">
        <v>376</v>
      </c>
      <c r="B1" s="455"/>
      <c r="C1" s="455"/>
      <c r="D1" s="455"/>
      <c r="E1" s="455"/>
    </row>
    <row r="2" spans="1:5" x14ac:dyDescent="0.35">
      <c r="A2" s="456" t="s">
        <v>323</v>
      </c>
      <c r="B2" s="456"/>
      <c r="C2" s="456"/>
      <c r="D2" s="456"/>
      <c r="E2" s="456"/>
    </row>
    <row r="4" spans="1:5" s="53" customFormat="1" ht="17.399999999999999" x14ac:dyDescent="0.3">
      <c r="A4" s="3" t="s">
        <v>3</v>
      </c>
      <c r="B4" s="65" t="s">
        <v>8</v>
      </c>
      <c r="C4" s="3" t="s">
        <v>86</v>
      </c>
      <c r="D4" s="3" t="s">
        <v>7</v>
      </c>
      <c r="E4" s="3" t="s">
        <v>17</v>
      </c>
    </row>
    <row r="5" spans="1:5" x14ac:dyDescent="0.35">
      <c r="A5" s="66">
        <v>1</v>
      </c>
      <c r="B5" s="310" t="s">
        <v>33</v>
      </c>
      <c r="C5" s="510"/>
      <c r="D5" s="501">
        <f>SUMIFS(XUẤT!AB:AB,XUẤT!AA:AA,'Vận chuyển'!B5)</f>
        <v>0</v>
      </c>
      <c r="E5" s="511">
        <f t="shared" ref="E5:E30" si="0">D5*5000</f>
        <v>0</v>
      </c>
    </row>
    <row r="6" spans="1:5" ht="18.75" customHeight="1" x14ac:dyDescent="0.35">
      <c r="A6" s="67">
        <v>2</v>
      </c>
      <c r="B6" s="68" t="s">
        <v>37</v>
      </c>
      <c r="C6" s="69" t="s">
        <v>336</v>
      </c>
      <c r="D6" s="513">
        <f>SUMIFS(XUẤT!AB:AB,XUẤT!AA:AA,'Vận chuyển'!B6)</f>
        <v>323</v>
      </c>
      <c r="E6" s="70">
        <f t="shared" si="0"/>
        <v>1615000</v>
      </c>
    </row>
    <row r="7" spans="1:5" ht="18.75" customHeight="1" x14ac:dyDescent="0.35">
      <c r="A7" s="67">
        <v>3</v>
      </c>
      <c r="B7" s="71" t="s">
        <v>134</v>
      </c>
      <c r="C7" s="457" t="s">
        <v>345</v>
      </c>
      <c r="D7" s="505">
        <f>SUMIFS(XUẤT!AB:AB,XUẤT!AA:AA,'Vận chuyển'!B7)</f>
        <v>1</v>
      </c>
      <c r="E7" s="70">
        <f t="shared" si="0"/>
        <v>5000</v>
      </c>
    </row>
    <row r="8" spans="1:5" x14ac:dyDescent="0.35">
      <c r="A8" s="67">
        <v>4</v>
      </c>
      <c r="B8" s="71" t="s">
        <v>137</v>
      </c>
      <c r="C8" s="457"/>
      <c r="D8" s="505">
        <f>SUMIFS(XUẤT!AB:AB,XUẤT!AA:AA,'Vận chuyển'!B8)</f>
        <v>5</v>
      </c>
      <c r="E8" s="70">
        <f t="shared" si="0"/>
        <v>25000</v>
      </c>
    </row>
    <row r="9" spans="1:5" x14ac:dyDescent="0.35">
      <c r="A9" s="67">
        <v>5</v>
      </c>
      <c r="B9" s="71" t="s">
        <v>136</v>
      </c>
      <c r="C9" s="457"/>
      <c r="D9" s="505">
        <f>SUMIFS(XUẤT!AB:AB,XUẤT!AA:AA,'Vận chuyển'!B9)</f>
        <v>19</v>
      </c>
      <c r="E9" s="70">
        <f t="shared" si="0"/>
        <v>95000</v>
      </c>
    </row>
    <row r="10" spans="1:5" x14ac:dyDescent="0.35">
      <c r="A10" s="67">
        <v>6</v>
      </c>
      <c r="B10" s="10" t="s">
        <v>139</v>
      </c>
      <c r="C10" s="457"/>
      <c r="D10" s="505">
        <f>SUMIFS(XUẤT!AB:AB,XUẤT!AA:AA,'Vận chuyển'!B10)</f>
        <v>8</v>
      </c>
      <c r="E10" s="70">
        <f t="shared" si="0"/>
        <v>40000</v>
      </c>
    </row>
    <row r="11" spans="1:5" x14ac:dyDescent="0.35">
      <c r="A11" s="67">
        <v>7</v>
      </c>
      <c r="B11" s="71" t="s">
        <v>138</v>
      </c>
      <c r="C11" s="457"/>
      <c r="D11" s="505">
        <f>SUMIFS(XUẤT!AB:AB,XUẤT!AA:AA,'Vận chuyển'!B11)</f>
        <v>10</v>
      </c>
      <c r="E11" s="70">
        <f t="shared" si="0"/>
        <v>50000</v>
      </c>
    </row>
    <row r="12" spans="1:5" x14ac:dyDescent="0.35">
      <c r="A12" s="67">
        <v>8</v>
      </c>
      <c r="B12" s="71" t="s">
        <v>140</v>
      </c>
      <c r="C12" s="457"/>
      <c r="D12" s="505">
        <f>SUMIFS(XUẤT!AB:AB,XUẤT!AA:AA,'Vận chuyển'!B12)</f>
        <v>12</v>
      </c>
      <c r="E12" s="70">
        <f t="shared" si="0"/>
        <v>60000</v>
      </c>
    </row>
    <row r="13" spans="1:5" x14ac:dyDescent="0.35">
      <c r="A13" s="67">
        <v>9</v>
      </c>
      <c r="B13" s="71" t="s">
        <v>236</v>
      </c>
      <c r="C13" s="457"/>
      <c r="D13" s="505">
        <f>SUMIFS(XUẤT!AB:AB,XUẤT!AA:AA,'Vận chuyển'!B13)</f>
        <v>0</v>
      </c>
      <c r="E13" s="70">
        <f t="shared" si="0"/>
        <v>0</v>
      </c>
    </row>
    <row r="14" spans="1:5" x14ac:dyDescent="0.35">
      <c r="A14" s="67">
        <v>10</v>
      </c>
      <c r="B14" s="10" t="s">
        <v>41</v>
      </c>
      <c r="C14" s="69" t="s">
        <v>164</v>
      </c>
      <c r="D14" s="505">
        <f>SUMIFS(XUẤT!AB:AB,XUẤT!AA:AA,'Vận chuyển'!B14)</f>
        <v>51</v>
      </c>
      <c r="E14" s="70">
        <f t="shared" si="0"/>
        <v>255000</v>
      </c>
    </row>
    <row r="15" spans="1:5" x14ac:dyDescent="0.35">
      <c r="A15" s="67">
        <v>11</v>
      </c>
      <c r="B15" s="222" t="s">
        <v>53</v>
      </c>
      <c r="C15" s="69" t="s">
        <v>248</v>
      </c>
      <c r="D15" s="505">
        <f>SUMIFS(XUẤT!AB:AB,XUẤT!AA:AA,'Vận chuyển'!B15)</f>
        <v>55</v>
      </c>
      <c r="E15" s="70">
        <f t="shared" si="0"/>
        <v>275000</v>
      </c>
    </row>
    <row r="16" spans="1:5" x14ac:dyDescent="0.35">
      <c r="A16" s="67">
        <v>12</v>
      </c>
      <c r="B16" s="68" t="s">
        <v>49</v>
      </c>
      <c r="C16" s="69" t="s">
        <v>224</v>
      </c>
      <c r="D16" s="505">
        <f>SUMIFS(XUẤT!AB:AB,XUẤT!AA:AA,'Vận chuyển'!B16)</f>
        <v>143</v>
      </c>
      <c r="E16" s="70">
        <f t="shared" si="0"/>
        <v>715000</v>
      </c>
    </row>
    <row r="17" spans="1:8" s="53" customFormat="1" x14ac:dyDescent="0.35">
      <c r="A17" s="67">
        <v>13</v>
      </c>
      <c r="B17" s="68" t="s">
        <v>288</v>
      </c>
      <c r="C17" s="69" t="s">
        <v>289</v>
      </c>
      <c r="D17" s="505">
        <f>SUMIFS(XUẤT!AB:AB,XUẤT!AA:AA,'Vận chuyển'!B17)</f>
        <v>0</v>
      </c>
      <c r="E17" s="70">
        <f t="shared" si="0"/>
        <v>0</v>
      </c>
      <c r="F17" s="64"/>
      <c r="G17" s="64"/>
      <c r="H17" s="64"/>
    </row>
    <row r="18" spans="1:8" x14ac:dyDescent="0.35">
      <c r="A18" s="67">
        <v>14</v>
      </c>
      <c r="B18" s="10" t="s">
        <v>57</v>
      </c>
      <c r="C18" s="515" t="s">
        <v>90</v>
      </c>
      <c r="D18" s="504">
        <f>SUMIFS(XUẤT!AB:AB,XUẤT!AA:AA,'Vận chuyển'!B18)</f>
        <v>31</v>
      </c>
      <c r="E18" s="70">
        <f t="shared" si="0"/>
        <v>155000</v>
      </c>
    </row>
    <row r="19" spans="1:8" x14ac:dyDescent="0.35">
      <c r="A19" s="67">
        <v>15</v>
      </c>
      <c r="B19" s="212" t="s">
        <v>144</v>
      </c>
      <c r="C19" s="515" t="s">
        <v>90</v>
      </c>
      <c r="D19" s="504">
        <f>SUMIFS(XUẤT!AB:AB,XUẤT!AA:AA,'Vận chuyển'!B19)</f>
        <v>0</v>
      </c>
      <c r="E19" s="512">
        <f t="shared" si="0"/>
        <v>0</v>
      </c>
    </row>
    <row r="20" spans="1:8" x14ac:dyDescent="0.35">
      <c r="A20" s="67">
        <v>16</v>
      </c>
      <c r="B20" s="10" t="s">
        <v>200</v>
      </c>
      <c r="C20" s="67" t="s">
        <v>183</v>
      </c>
      <c r="D20" s="505">
        <f>SUMIFS(XUẤT!AB:AB,XUẤT!AA:AA,'Vận chuyển'!B20)</f>
        <v>17</v>
      </c>
      <c r="E20" s="70">
        <f t="shared" si="0"/>
        <v>85000</v>
      </c>
    </row>
    <row r="21" spans="1:8" x14ac:dyDescent="0.35">
      <c r="A21" s="67">
        <v>17</v>
      </c>
      <c r="B21" s="10" t="s">
        <v>193</v>
      </c>
      <c r="C21" s="67" t="s">
        <v>183</v>
      </c>
      <c r="D21" s="505">
        <f>SUMIFS(XUẤT!AB:AB,XUẤT!AA:AA,'Vận chuyển'!B21)</f>
        <v>2</v>
      </c>
      <c r="E21" s="70">
        <f t="shared" si="0"/>
        <v>10000</v>
      </c>
    </row>
    <row r="22" spans="1:8" x14ac:dyDescent="0.35">
      <c r="A22" s="67">
        <v>18</v>
      </c>
      <c r="B22" s="10" t="s">
        <v>62</v>
      </c>
      <c r="C22" s="67" t="s">
        <v>183</v>
      </c>
      <c r="D22" s="505">
        <f>SUMIFS(XUẤT!AB:AB,XUẤT!AA:AA,'Vận chuyển'!B22)</f>
        <v>8</v>
      </c>
      <c r="E22" s="70">
        <f t="shared" si="0"/>
        <v>40000</v>
      </c>
    </row>
    <row r="23" spans="1:8" x14ac:dyDescent="0.35">
      <c r="A23" s="67">
        <v>19</v>
      </c>
      <c r="B23" s="10" t="s">
        <v>98</v>
      </c>
      <c r="C23" s="69" t="s">
        <v>336</v>
      </c>
      <c r="D23" s="505">
        <f>SUMIFS(XUẤT!AB:AB,XUẤT!AA:AA,'Vận chuyển'!B23)</f>
        <v>76</v>
      </c>
      <c r="E23" s="70">
        <f t="shared" si="0"/>
        <v>380000</v>
      </c>
    </row>
    <row r="24" spans="1:8" x14ac:dyDescent="0.35">
      <c r="A24" s="67">
        <v>20</v>
      </c>
      <c r="B24" s="10" t="s">
        <v>239</v>
      </c>
      <c r="C24" s="69" t="s">
        <v>224</v>
      </c>
      <c r="D24" s="505">
        <f>SUMIFS(XUẤT!AB:AB,XUẤT!AA:AA,'Vận chuyển'!B24)</f>
        <v>8</v>
      </c>
      <c r="E24" s="70">
        <f t="shared" si="0"/>
        <v>40000</v>
      </c>
    </row>
    <row r="25" spans="1:8" x14ac:dyDescent="0.35">
      <c r="A25" s="67">
        <v>21</v>
      </c>
      <c r="B25" s="10" t="s">
        <v>538</v>
      </c>
      <c r="C25" s="69" t="s">
        <v>90</v>
      </c>
      <c r="D25" s="505">
        <f>SUMIFS(XUẤT!AB:AB,XUẤT!AA:AA,'Vận chuyển'!B25)</f>
        <v>4</v>
      </c>
      <c r="E25" s="70">
        <f t="shared" si="0"/>
        <v>20000</v>
      </c>
    </row>
    <row r="26" spans="1:8" x14ac:dyDescent="0.35">
      <c r="A26" s="67">
        <v>22</v>
      </c>
      <c r="B26" s="33" t="s">
        <v>112</v>
      </c>
      <c r="C26" s="69" t="s">
        <v>90</v>
      </c>
      <c r="D26" s="505">
        <f>SUMIFS(XUẤT!AB:AB,XUẤT!AA:AA,'Vận chuyển'!B26)</f>
        <v>10</v>
      </c>
      <c r="E26" s="70">
        <f t="shared" si="0"/>
        <v>50000</v>
      </c>
    </row>
    <row r="27" spans="1:8" x14ac:dyDescent="0.35">
      <c r="A27" s="67">
        <v>23</v>
      </c>
      <c r="B27" s="10" t="s">
        <v>264</v>
      </c>
      <c r="C27" s="69" t="s">
        <v>248</v>
      </c>
      <c r="D27" s="505">
        <f>SUMIFS(XUẤT!AB:AB,XUẤT!AA:AA,'Vận chuyển'!B27)</f>
        <v>3</v>
      </c>
      <c r="E27" s="70">
        <f t="shared" si="0"/>
        <v>15000</v>
      </c>
    </row>
    <row r="28" spans="1:8" x14ac:dyDescent="0.35">
      <c r="A28" s="67">
        <v>24</v>
      </c>
      <c r="B28" s="10" t="s">
        <v>36</v>
      </c>
      <c r="C28" s="69" t="s">
        <v>248</v>
      </c>
      <c r="D28" s="505">
        <f>SUMIFS(XUẤT!AB:AB,XUẤT!AA:AA,'Vận chuyển'!B28)</f>
        <v>20</v>
      </c>
      <c r="E28" s="70">
        <f t="shared" si="0"/>
        <v>100000</v>
      </c>
    </row>
    <row r="29" spans="1:8" x14ac:dyDescent="0.35">
      <c r="A29" s="67">
        <v>25</v>
      </c>
      <c r="B29" s="10" t="s">
        <v>132</v>
      </c>
      <c r="C29" s="69" t="s">
        <v>248</v>
      </c>
      <c r="D29" s="505">
        <v>13</v>
      </c>
      <c r="E29" s="70">
        <f t="shared" si="0"/>
        <v>65000</v>
      </c>
    </row>
    <row r="30" spans="1:8" x14ac:dyDescent="0.35">
      <c r="A30" s="67">
        <v>26</v>
      </c>
      <c r="B30" s="10" t="s">
        <v>221</v>
      </c>
      <c r="C30" s="69" t="s">
        <v>202</v>
      </c>
      <c r="D30" s="505">
        <f>SUMIFS(XUẤT!AB:AB,XUẤT!AA:AA,'Vận chuyển'!B30)</f>
        <v>2</v>
      </c>
      <c r="E30" s="70">
        <f t="shared" si="0"/>
        <v>10000</v>
      </c>
    </row>
    <row r="31" spans="1:8" x14ac:dyDescent="0.35">
      <c r="A31" s="67">
        <v>27</v>
      </c>
      <c r="B31" s="10" t="s">
        <v>198</v>
      </c>
      <c r="C31" s="67" t="s">
        <v>716</v>
      </c>
      <c r="D31" s="505">
        <f>SUMIFS(XUẤT!AB:AB,XUẤT!AA:AA,'Vận chuyển'!B31)</f>
        <v>3</v>
      </c>
      <c r="E31" s="70">
        <f t="shared" ref="E31:E33" si="1">D31*5000</f>
        <v>15000</v>
      </c>
    </row>
    <row r="32" spans="1:8" x14ac:dyDescent="0.35">
      <c r="A32" s="67">
        <v>28</v>
      </c>
      <c r="B32" s="10" t="s">
        <v>219</v>
      </c>
      <c r="C32" s="67" t="s">
        <v>716</v>
      </c>
      <c r="D32" s="505">
        <f>SUMIFS(XUẤT!AB:AB,XUẤT!AA:AA,'Vận chuyển'!B32)</f>
        <v>10</v>
      </c>
      <c r="E32" s="70">
        <f t="shared" si="1"/>
        <v>50000</v>
      </c>
    </row>
    <row r="33" spans="1:5" x14ac:dyDescent="0.35">
      <c r="A33" s="67">
        <v>29</v>
      </c>
      <c r="B33" s="10" t="s">
        <v>235</v>
      </c>
      <c r="C33" s="67" t="s">
        <v>991</v>
      </c>
      <c r="D33" s="505">
        <f>SUMIFS(XUẤT!AB:AB,XUẤT!AA:AA,'Vận chuyển'!B33)</f>
        <v>90</v>
      </c>
      <c r="E33" s="70">
        <f t="shared" si="1"/>
        <v>450000</v>
      </c>
    </row>
    <row r="34" spans="1:5" x14ac:dyDescent="0.35">
      <c r="A34" s="67">
        <v>30</v>
      </c>
      <c r="B34" s="514" t="s">
        <v>990</v>
      </c>
      <c r="C34" s="67"/>
      <c r="D34" s="505">
        <f>SUMIFS(XUẤT!AB:AB,XUẤT!AA:AA,'Vận chuyển'!B34)</f>
        <v>294</v>
      </c>
      <c r="E34" s="70">
        <f t="shared" ref="E34:E40" si="2">D34*5000</f>
        <v>1470000</v>
      </c>
    </row>
    <row r="35" spans="1:5" x14ac:dyDescent="0.35">
      <c r="A35" s="67">
        <v>31</v>
      </c>
      <c r="B35" s="514" t="s">
        <v>670</v>
      </c>
      <c r="C35" s="67"/>
      <c r="D35" s="505">
        <f>SUMIFS(XUẤT!AB:AB,XUẤT!AA:AA,'Vận chuyển'!B35)</f>
        <v>10</v>
      </c>
      <c r="E35" s="70">
        <f t="shared" si="2"/>
        <v>50000</v>
      </c>
    </row>
    <row r="36" spans="1:5" x14ac:dyDescent="0.35">
      <c r="A36" s="67">
        <v>32</v>
      </c>
      <c r="B36" s="514" t="s">
        <v>176</v>
      </c>
      <c r="C36" s="67" t="s">
        <v>716</v>
      </c>
      <c r="D36" s="505">
        <f>SUMIFS(XUẤT!AB:AB,XUẤT!AA:AA,'Vận chuyển'!B36)</f>
        <v>2</v>
      </c>
      <c r="E36" s="70">
        <f t="shared" si="2"/>
        <v>10000</v>
      </c>
    </row>
    <row r="37" spans="1:5" x14ac:dyDescent="0.35">
      <c r="A37" s="67">
        <v>33</v>
      </c>
      <c r="B37" s="506" t="s">
        <v>679</v>
      </c>
      <c r="C37" s="67"/>
      <c r="D37" s="505">
        <f>SUMIFS(XUẤT!AB:AB,XUẤT!AA:AA,'Vận chuyển'!B37)</f>
        <v>30</v>
      </c>
      <c r="E37" s="70">
        <f t="shared" si="2"/>
        <v>150000</v>
      </c>
    </row>
    <row r="38" spans="1:5" x14ac:dyDescent="0.35">
      <c r="A38" s="67">
        <v>34</v>
      </c>
      <c r="B38" s="507" t="s">
        <v>685</v>
      </c>
      <c r="C38" s="515" t="s">
        <v>90</v>
      </c>
      <c r="D38" s="505">
        <f>SUMIFS(XUẤT!AB:AB,XUẤT!AA:AA,'Vận chuyển'!B38)</f>
        <v>5</v>
      </c>
      <c r="E38" s="70">
        <f t="shared" si="2"/>
        <v>25000</v>
      </c>
    </row>
    <row r="39" spans="1:5" x14ac:dyDescent="0.35">
      <c r="A39" s="67">
        <v>35</v>
      </c>
      <c r="B39" s="10" t="s">
        <v>108</v>
      </c>
      <c r="C39" s="67" t="s">
        <v>993</v>
      </c>
      <c r="D39" s="505">
        <f>SUMIFS(XUẤT!AB:AB,XUẤT!AA:AA,'Vận chuyển'!B39)</f>
        <v>1</v>
      </c>
      <c r="E39" s="70">
        <f t="shared" si="2"/>
        <v>5000</v>
      </c>
    </row>
    <row r="40" spans="1:5" x14ac:dyDescent="0.35">
      <c r="A40" s="67">
        <v>36</v>
      </c>
      <c r="B40" s="507" t="s">
        <v>715</v>
      </c>
      <c r="C40" s="67"/>
      <c r="D40" s="505">
        <f>SUMIFS(XUẤT!AB:AB,XUẤT!AA:AA,'Vận chuyển'!B40)</f>
        <v>30</v>
      </c>
      <c r="E40" s="70">
        <f t="shared" si="2"/>
        <v>150000</v>
      </c>
    </row>
    <row r="41" spans="1:5" x14ac:dyDescent="0.35">
      <c r="A41" s="67">
        <v>37</v>
      </c>
      <c r="B41" s="10" t="s">
        <v>213</v>
      </c>
      <c r="C41" s="67"/>
      <c r="D41" s="505">
        <f>SUMIFS(XUẤT!AB:AB,XUẤT!AA:AA,'Vận chuyển'!B41)</f>
        <v>2</v>
      </c>
      <c r="E41" s="70">
        <f t="shared" ref="E41:E43" si="3">D41*5000</f>
        <v>10000</v>
      </c>
    </row>
    <row r="42" spans="1:5" x14ac:dyDescent="0.35">
      <c r="A42" s="67">
        <v>38</v>
      </c>
      <c r="B42" s="222" t="s">
        <v>162</v>
      </c>
      <c r="C42" s="67" t="s">
        <v>163</v>
      </c>
      <c r="D42" s="505">
        <f>SUMIFS(XUẤT!AB:AB,XUẤT!AA:AA,'Vận chuyển'!B42)</f>
        <v>92</v>
      </c>
      <c r="E42" s="70">
        <f t="shared" si="3"/>
        <v>460000</v>
      </c>
    </row>
    <row r="43" spans="1:5" x14ac:dyDescent="0.35">
      <c r="A43" s="67">
        <v>39</v>
      </c>
      <c r="B43" s="10" t="s">
        <v>244</v>
      </c>
      <c r="C43" s="67" t="s">
        <v>992</v>
      </c>
      <c r="D43" s="505">
        <f>SUMIFS(XUẤT!AB:AB,XUẤT!AA:AA,'Vận chuyển'!B43)</f>
        <v>20</v>
      </c>
      <c r="E43" s="70">
        <f t="shared" si="3"/>
        <v>100000</v>
      </c>
    </row>
    <row r="44" spans="1:5" x14ac:dyDescent="0.35">
      <c r="A44" s="67">
        <v>40</v>
      </c>
      <c r="B44" s="508" t="s">
        <v>781</v>
      </c>
      <c r="C44" s="67"/>
      <c r="D44" s="505">
        <f>SUMIFS(XUẤT!AB:AB,XUẤT!AA:AA,'Vận chuyển'!B44)</f>
        <v>10</v>
      </c>
      <c r="E44" s="70">
        <f t="shared" ref="E44" si="4">D44*5000</f>
        <v>50000</v>
      </c>
    </row>
    <row r="45" spans="1:5" x14ac:dyDescent="0.35">
      <c r="A45" s="67">
        <v>41</v>
      </c>
      <c r="B45" s="10" t="s">
        <v>238</v>
      </c>
      <c r="C45" s="67" t="s">
        <v>716</v>
      </c>
      <c r="D45" s="505">
        <f>SUMIFS(XUẤT!AB:AB,XUẤT!AA:AA,'Vận chuyển'!B45)</f>
        <v>5</v>
      </c>
      <c r="E45" s="70">
        <f t="shared" ref="E45" si="5">D45*5000</f>
        <v>25000</v>
      </c>
    </row>
    <row r="46" spans="1:5" x14ac:dyDescent="0.35">
      <c r="A46" s="67">
        <v>42</v>
      </c>
      <c r="B46" s="10" t="s">
        <v>211</v>
      </c>
      <c r="C46" s="67"/>
      <c r="D46" s="505">
        <f>SUMIFS(XUẤT!AB:AB,XUẤT!AA:AA,'Vận chuyển'!B46)</f>
        <v>31</v>
      </c>
      <c r="E46" s="70">
        <f t="shared" ref="E46" si="6">D46*5000</f>
        <v>155000</v>
      </c>
    </row>
    <row r="47" spans="1:5" x14ac:dyDescent="0.35">
      <c r="A47" s="67">
        <v>43</v>
      </c>
      <c r="B47" s="10" t="s">
        <v>106</v>
      </c>
      <c r="C47" s="515" t="s">
        <v>90</v>
      </c>
      <c r="D47" s="505">
        <f>SUMIFS(XUẤT!AB:AB,XUẤT!AA:AA,'Vận chuyển'!B47)</f>
        <v>2</v>
      </c>
      <c r="E47" s="70">
        <f t="shared" ref="E47" si="7">D47*5000</f>
        <v>10000</v>
      </c>
    </row>
    <row r="48" spans="1:5" x14ac:dyDescent="0.35">
      <c r="A48" s="67">
        <v>44</v>
      </c>
      <c r="B48" s="222" t="s">
        <v>201</v>
      </c>
      <c r="C48" s="67"/>
      <c r="D48" s="505">
        <f>SUMIFS(XUẤT!AB:AB,XUẤT!AA:AA,'Vận chuyển'!B48)</f>
        <v>100</v>
      </c>
      <c r="E48" s="70">
        <f t="shared" ref="E48" si="8">D48*5000</f>
        <v>500000</v>
      </c>
    </row>
    <row r="49" spans="1:8" x14ac:dyDescent="0.35">
      <c r="A49" s="67">
        <v>45</v>
      </c>
      <c r="B49" s="10" t="s">
        <v>101</v>
      </c>
      <c r="C49" s="515" t="s">
        <v>90</v>
      </c>
      <c r="D49" s="505">
        <f>SUMIFS(XUẤT!AB:AB,XUẤT!AA:AA,'Vận chuyển'!B49)</f>
        <v>2</v>
      </c>
      <c r="E49" s="70">
        <f t="shared" ref="E49" si="9">D49*5000</f>
        <v>10000</v>
      </c>
    </row>
    <row r="50" spans="1:8" x14ac:dyDescent="0.35">
      <c r="A50" s="67">
        <v>46</v>
      </c>
      <c r="B50" s="10" t="s">
        <v>118</v>
      </c>
      <c r="C50" s="515" t="s">
        <v>90</v>
      </c>
      <c r="D50" s="505">
        <f>SUMIFS(XUẤT!AB:AB,XUẤT!AA:AA,'Vận chuyển'!B50)</f>
        <v>1</v>
      </c>
      <c r="E50" s="70">
        <f t="shared" ref="E50" si="10">D50*5000</f>
        <v>5000</v>
      </c>
    </row>
    <row r="51" spans="1:8" x14ac:dyDescent="0.35">
      <c r="A51" s="67">
        <v>47</v>
      </c>
      <c r="B51" s="10" t="s">
        <v>34</v>
      </c>
      <c r="C51" s="67" t="s">
        <v>716</v>
      </c>
      <c r="D51" s="505">
        <f>SUMIFS(XUẤT!AB:AB,XUẤT!AA:AA,'Vận chuyển'!B51)</f>
        <v>6</v>
      </c>
      <c r="E51" s="70">
        <f t="shared" ref="E51" si="11">D51*5000</f>
        <v>30000</v>
      </c>
    </row>
    <row r="52" spans="1:8" x14ac:dyDescent="0.35">
      <c r="A52" s="67">
        <v>48</v>
      </c>
      <c r="B52" s="509" t="s">
        <v>266</v>
      </c>
      <c r="C52" s="72" t="s">
        <v>267</v>
      </c>
      <c r="D52" s="73">
        <f>SUMIFS(XUẤT!AB:AB,XUẤT!AA:AA,'Vận chuyển'!B52)</f>
        <v>24</v>
      </c>
      <c r="E52" s="74">
        <f t="shared" ref="E52" si="12">D52*5000</f>
        <v>120000</v>
      </c>
    </row>
    <row r="53" spans="1:8" x14ac:dyDescent="0.35">
      <c r="A53" s="72">
        <v>49</v>
      </c>
      <c r="B53" s="503" t="s">
        <v>789</v>
      </c>
      <c r="D53" s="504">
        <f>SUMIFS(XUẤT!AB:AB,XUẤT!AA:AA,'Vận chuyển'!B53)</f>
        <v>370</v>
      </c>
      <c r="E53" s="502">
        <f t="shared" ref="E53" si="13">D53*5000</f>
        <v>1850000</v>
      </c>
    </row>
    <row r="54" spans="1:8" ht="19.2" customHeight="1" x14ac:dyDescent="0.35">
      <c r="A54" s="54"/>
      <c r="B54" s="55" t="s">
        <v>23</v>
      </c>
      <c r="C54" s="54"/>
      <c r="D54" s="55">
        <f>SUM(D5:D33)</f>
        <v>924</v>
      </c>
      <c r="E54" s="281">
        <f>SUM(E5:E34)</f>
        <v>6090000</v>
      </c>
      <c r="F54" s="280">
        <f>E54-XUẤT!AC5</f>
        <v>2625000</v>
      </c>
      <c r="G54" s="53"/>
      <c r="H54" s="53"/>
    </row>
    <row r="143" spans="2:3" x14ac:dyDescent="0.35">
      <c r="B143" s="227"/>
      <c r="C143" s="227"/>
    </row>
    <row r="144" spans="2:3" x14ac:dyDescent="0.35">
      <c r="B144" s="85" t="s">
        <v>715</v>
      </c>
      <c r="C144" s="85" t="s">
        <v>715</v>
      </c>
    </row>
    <row r="145" spans="2:3" x14ac:dyDescent="0.35">
      <c r="B145" s="152" t="s">
        <v>990</v>
      </c>
      <c r="C145" s="152" t="s">
        <v>990</v>
      </c>
    </row>
    <row r="146" spans="2:3" x14ac:dyDescent="0.35">
      <c r="B146" s="10" t="s">
        <v>134</v>
      </c>
      <c r="C146" s="36" t="s">
        <v>134</v>
      </c>
    </row>
    <row r="147" spans="2:3" x14ac:dyDescent="0.35">
      <c r="B147" s="152" t="s">
        <v>990</v>
      </c>
      <c r="C147" s="152" t="s">
        <v>990</v>
      </c>
    </row>
    <row r="148" spans="2:3" x14ac:dyDescent="0.35">
      <c r="B148" s="85" t="s">
        <v>239</v>
      </c>
      <c r="C148" s="85" t="s">
        <v>239</v>
      </c>
    </row>
    <row r="149" spans="2:3" x14ac:dyDescent="0.35">
      <c r="B149" s="85" t="s">
        <v>715</v>
      </c>
      <c r="C149" s="85" t="s">
        <v>715</v>
      </c>
    </row>
    <row r="150" spans="2:3" x14ac:dyDescent="0.35">
      <c r="B150" s="10" t="s">
        <v>139</v>
      </c>
      <c r="C150" s="36" t="s">
        <v>139</v>
      </c>
    </row>
    <row r="151" spans="2:3" x14ac:dyDescent="0.35">
      <c r="B151" s="85" t="s">
        <v>738</v>
      </c>
      <c r="C151" s="85" t="s">
        <v>738</v>
      </c>
    </row>
    <row r="152" spans="2:3" x14ac:dyDescent="0.35">
      <c r="B152" s="10" t="s">
        <v>213</v>
      </c>
      <c r="C152" s="36" t="s">
        <v>213</v>
      </c>
    </row>
    <row r="153" spans="2:3" x14ac:dyDescent="0.35">
      <c r="B153" s="10" t="s">
        <v>244</v>
      </c>
      <c r="C153" s="36" t="s">
        <v>244</v>
      </c>
    </row>
    <row r="154" spans="2:3" x14ac:dyDescent="0.35">
      <c r="B154" s="36" t="s">
        <v>98</v>
      </c>
      <c r="C154" s="36" t="s">
        <v>98</v>
      </c>
    </row>
    <row r="155" spans="2:3" x14ac:dyDescent="0.35">
      <c r="B155" s="10" t="s">
        <v>238</v>
      </c>
      <c r="C155" s="36" t="s">
        <v>238</v>
      </c>
    </row>
    <row r="156" spans="2:3" ht="36" x14ac:dyDescent="0.35">
      <c r="B156" s="10" t="s">
        <v>106</v>
      </c>
      <c r="C156" s="36" t="s">
        <v>106</v>
      </c>
    </row>
    <row r="157" spans="2:3" x14ac:dyDescent="0.35">
      <c r="B157" s="269" t="s">
        <v>181</v>
      </c>
      <c r="C157" s="269" t="s">
        <v>181</v>
      </c>
    </row>
    <row r="158" spans="2:3" x14ac:dyDescent="0.35">
      <c r="B158" s="85" t="s">
        <v>789</v>
      </c>
      <c r="C158" s="85" t="s">
        <v>789</v>
      </c>
    </row>
    <row r="159" spans="2:3" ht="36" x14ac:dyDescent="0.35">
      <c r="B159" s="222" t="s">
        <v>201</v>
      </c>
      <c r="C159" s="269" t="s">
        <v>201</v>
      </c>
    </row>
    <row r="160" spans="2:3" x14ac:dyDescent="0.35">
      <c r="B160" s="10" t="s">
        <v>41</v>
      </c>
      <c r="C160" s="36" t="s">
        <v>41</v>
      </c>
    </row>
    <row r="161" spans="2:3" x14ac:dyDescent="0.35">
      <c r="B161" s="10" t="s">
        <v>37</v>
      </c>
      <c r="C161" s="36" t="s">
        <v>37</v>
      </c>
    </row>
    <row r="162" spans="2:3" x14ac:dyDescent="0.35">
      <c r="B162" s="222" t="s">
        <v>49</v>
      </c>
      <c r="C162" s="269" t="s">
        <v>49</v>
      </c>
    </row>
    <row r="163" spans="2:3" x14ac:dyDescent="0.35">
      <c r="B163" s="85" t="s">
        <v>789</v>
      </c>
      <c r="C163" s="85" t="s">
        <v>789</v>
      </c>
    </row>
    <row r="164" spans="2:3" x14ac:dyDescent="0.35">
      <c r="B164" s="218" t="s">
        <v>715</v>
      </c>
      <c r="C164" s="516" t="s">
        <v>715</v>
      </c>
    </row>
    <row r="165" spans="2:3" ht="36" x14ac:dyDescent="0.35">
      <c r="B165" s="218" t="s">
        <v>830</v>
      </c>
      <c r="C165" s="516" t="s">
        <v>830</v>
      </c>
    </row>
    <row r="166" spans="2:3" ht="36" x14ac:dyDescent="0.35">
      <c r="B166" s="10" t="s">
        <v>57</v>
      </c>
      <c r="C166" s="36" t="s">
        <v>57</v>
      </c>
    </row>
    <row r="167" spans="2:3" x14ac:dyDescent="0.35">
      <c r="B167" s="10" t="s">
        <v>140</v>
      </c>
      <c r="C167" s="36" t="s">
        <v>140</v>
      </c>
    </row>
    <row r="168" spans="2:3" x14ac:dyDescent="0.35">
      <c r="B168" s="10" t="s">
        <v>118</v>
      </c>
      <c r="C168" s="36" t="s">
        <v>118</v>
      </c>
    </row>
    <row r="169" spans="2:3" x14ac:dyDescent="0.35">
      <c r="B169" s="10" t="s">
        <v>132</v>
      </c>
      <c r="C169" s="36" t="s">
        <v>132</v>
      </c>
    </row>
    <row r="170" spans="2:3" x14ac:dyDescent="0.35">
      <c r="B170" s="10" t="s">
        <v>34</v>
      </c>
      <c r="C170" s="36" t="s">
        <v>34</v>
      </c>
    </row>
    <row r="171" spans="2:3" x14ac:dyDescent="0.35">
      <c r="B171" s="10" t="s">
        <v>98</v>
      </c>
      <c r="C171" s="36" t="s">
        <v>98</v>
      </c>
    </row>
    <row r="172" spans="2:3" x14ac:dyDescent="0.35">
      <c r="B172" s="10" t="s">
        <v>211</v>
      </c>
      <c r="C172" s="36" t="s">
        <v>211</v>
      </c>
    </row>
    <row r="173" spans="2:3" x14ac:dyDescent="0.35">
      <c r="B173" s="10" t="s">
        <v>62</v>
      </c>
      <c r="C173" s="36" t="s">
        <v>62</v>
      </c>
    </row>
    <row r="174" spans="2:3" x14ac:dyDescent="0.35">
      <c r="B174" s="10" t="s">
        <v>37</v>
      </c>
      <c r="C174" s="36" t="s">
        <v>37</v>
      </c>
    </row>
    <row r="175" spans="2:3" x14ac:dyDescent="0.35">
      <c r="B175" s="10" t="s">
        <v>37</v>
      </c>
      <c r="C175" s="36" t="s">
        <v>37</v>
      </c>
    </row>
    <row r="176" spans="2:3" x14ac:dyDescent="0.35">
      <c r="B176" s="10" t="s">
        <v>37</v>
      </c>
      <c r="C176" s="36" t="s">
        <v>37</v>
      </c>
    </row>
    <row r="177" spans="2:3" ht="36" x14ac:dyDescent="0.35">
      <c r="B177" s="10" t="s">
        <v>57</v>
      </c>
      <c r="C177" s="36" t="s">
        <v>57</v>
      </c>
    </row>
    <row r="178" spans="2:3" x14ac:dyDescent="0.35">
      <c r="B178" s="85" t="s">
        <v>789</v>
      </c>
      <c r="C178" s="85" t="s">
        <v>789</v>
      </c>
    </row>
    <row r="179" spans="2:3" x14ac:dyDescent="0.35">
      <c r="B179" s="85" t="s">
        <v>789</v>
      </c>
      <c r="C179" s="85" t="s">
        <v>789</v>
      </c>
    </row>
    <row r="180" spans="2:3" x14ac:dyDescent="0.35">
      <c r="B180" s="85" t="s">
        <v>789</v>
      </c>
      <c r="C180" s="85" t="s">
        <v>789</v>
      </c>
    </row>
    <row r="181" spans="2:3" ht="36" x14ac:dyDescent="0.35">
      <c r="B181" s="335" t="s">
        <v>162</v>
      </c>
      <c r="C181" s="335" t="s">
        <v>162</v>
      </c>
    </row>
    <row r="182" spans="2:3" ht="36" x14ac:dyDescent="0.35">
      <c r="B182" s="10" t="s">
        <v>57</v>
      </c>
      <c r="C182" s="36" t="s">
        <v>57</v>
      </c>
    </row>
    <row r="183" spans="2:3" x14ac:dyDescent="0.35">
      <c r="B183" s="85" t="s">
        <v>789</v>
      </c>
      <c r="C183" s="85" t="s">
        <v>789</v>
      </c>
    </row>
    <row r="184" spans="2:3" x14ac:dyDescent="0.35">
      <c r="B184" s="10" t="s">
        <v>139</v>
      </c>
      <c r="C184" s="36" t="s">
        <v>139</v>
      </c>
    </row>
    <row r="185" spans="2:3" x14ac:dyDescent="0.35">
      <c r="B185" s="85" t="s">
        <v>98</v>
      </c>
      <c r="C185" s="85" t="s">
        <v>98</v>
      </c>
    </row>
    <row r="186" spans="2:3" x14ac:dyDescent="0.35">
      <c r="B186" s="85" t="s">
        <v>789</v>
      </c>
      <c r="C186" s="85" t="s">
        <v>789</v>
      </c>
    </row>
    <row r="187" spans="2:3" x14ac:dyDescent="0.35">
      <c r="B187" s="85" t="s">
        <v>789</v>
      </c>
      <c r="C187" s="85" t="s">
        <v>789</v>
      </c>
    </row>
    <row r="188" spans="2:3" x14ac:dyDescent="0.35">
      <c r="B188" s="85" t="s">
        <v>789</v>
      </c>
      <c r="C188" s="85" t="s">
        <v>789</v>
      </c>
    </row>
    <row r="189" spans="2:3" x14ac:dyDescent="0.35">
      <c r="B189" s="10" t="s">
        <v>211</v>
      </c>
      <c r="C189" s="36" t="s">
        <v>211</v>
      </c>
    </row>
    <row r="190" spans="2:3" ht="36" x14ac:dyDescent="0.35">
      <c r="B190" s="10" t="s">
        <v>220</v>
      </c>
      <c r="C190" s="36" t="s">
        <v>220</v>
      </c>
    </row>
    <row r="191" spans="2:3" x14ac:dyDescent="0.35">
      <c r="B191" s="85" t="s">
        <v>98</v>
      </c>
      <c r="C191" s="85" t="s">
        <v>98</v>
      </c>
    </row>
    <row r="192" spans="2:3" x14ac:dyDescent="0.35">
      <c r="B192" s="10" t="s">
        <v>232</v>
      </c>
      <c r="C192" s="36" t="s">
        <v>232</v>
      </c>
    </row>
    <row r="193" spans="2:3" x14ac:dyDescent="0.35">
      <c r="B193" s="10" t="s">
        <v>232</v>
      </c>
      <c r="C193" s="36" t="s">
        <v>232</v>
      </c>
    </row>
    <row r="194" spans="2:3" x14ac:dyDescent="0.35">
      <c r="B194" s="85" t="s">
        <v>789</v>
      </c>
      <c r="C194" s="85" t="s">
        <v>789</v>
      </c>
    </row>
    <row r="195" spans="2:3" x14ac:dyDescent="0.35">
      <c r="B195" s="85" t="s">
        <v>98</v>
      </c>
      <c r="C195" s="85" t="s">
        <v>98</v>
      </c>
    </row>
    <row r="196" spans="2:3" x14ac:dyDescent="0.35">
      <c r="B196" s="85" t="s">
        <v>789</v>
      </c>
      <c r="C196" s="85" t="s">
        <v>789</v>
      </c>
    </row>
    <row r="197" spans="2:3" x14ac:dyDescent="0.35">
      <c r="B197" s="85" t="s">
        <v>789</v>
      </c>
      <c r="C197" s="85" t="s">
        <v>789</v>
      </c>
    </row>
    <row r="198" spans="2:3" x14ac:dyDescent="0.35">
      <c r="B198" s="10" t="s">
        <v>137</v>
      </c>
      <c r="C198" s="36" t="s">
        <v>137</v>
      </c>
    </row>
    <row r="199" spans="2:3" x14ac:dyDescent="0.35">
      <c r="B199" s="85" t="s">
        <v>49</v>
      </c>
      <c r="C199" s="85" t="s">
        <v>49</v>
      </c>
    </row>
    <row r="200" spans="2:3" x14ac:dyDescent="0.35">
      <c r="B200" s="85" t="s">
        <v>139</v>
      </c>
      <c r="C200" s="85" t="s">
        <v>139</v>
      </c>
    </row>
  </sheetData>
  <mergeCells count="3">
    <mergeCell ref="A1:E1"/>
    <mergeCell ref="A2:E2"/>
    <mergeCell ref="C7:C13"/>
  </mergeCells>
  <conditionalFormatting sqref="C146">
    <cfRule type="duplicateValues" dxfId="32" priority="34"/>
  </conditionalFormatting>
  <conditionalFormatting sqref="C150">
    <cfRule type="duplicateValues" dxfId="31" priority="33"/>
  </conditionalFormatting>
  <conditionalFormatting sqref="C152">
    <cfRule type="duplicateValues" dxfId="30" priority="32"/>
  </conditionalFormatting>
  <conditionalFormatting sqref="C153">
    <cfRule type="duplicateValues" dxfId="29" priority="31"/>
  </conditionalFormatting>
  <conditionalFormatting sqref="C154">
    <cfRule type="duplicateValues" dxfId="28" priority="30"/>
  </conditionalFormatting>
  <conditionalFormatting sqref="C155">
    <cfRule type="duplicateValues" dxfId="27" priority="29"/>
  </conditionalFormatting>
  <conditionalFormatting sqref="C156">
    <cfRule type="duplicateValues" dxfId="26" priority="28"/>
  </conditionalFormatting>
  <conditionalFormatting sqref="C157">
    <cfRule type="duplicateValues" dxfId="25" priority="27"/>
  </conditionalFormatting>
  <conditionalFormatting sqref="C159">
    <cfRule type="duplicateValues" dxfId="24" priority="26"/>
  </conditionalFormatting>
  <conditionalFormatting sqref="C160">
    <cfRule type="duplicateValues" dxfId="23" priority="25"/>
  </conditionalFormatting>
  <conditionalFormatting sqref="C161">
    <cfRule type="duplicateValues" dxfId="22" priority="24"/>
  </conditionalFormatting>
  <conditionalFormatting sqref="C162">
    <cfRule type="duplicateValues" dxfId="21" priority="23"/>
  </conditionalFormatting>
  <conditionalFormatting sqref="C164:C165">
    <cfRule type="duplicateValues" dxfId="20" priority="22"/>
  </conditionalFormatting>
  <conditionalFormatting sqref="C166">
    <cfRule type="duplicateValues" dxfId="19" priority="21"/>
  </conditionalFormatting>
  <conditionalFormatting sqref="C167">
    <cfRule type="duplicateValues" dxfId="18" priority="20"/>
  </conditionalFormatting>
  <conditionalFormatting sqref="C168">
    <cfRule type="duplicateValues" dxfId="17" priority="19"/>
  </conditionalFormatting>
  <conditionalFormatting sqref="C169">
    <cfRule type="duplicateValues" dxfId="16" priority="18"/>
  </conditionalFormatting>
  <conditionalFormatting sqref="C170">
    <cfRule type="duplicateValues" dxfId="15" priority="17"/>
  </conditionalFormatting>
  <conditionalFormatting sqref="C171">
    <cfRule type="duplicateValues" dxfId="14" priority="16"/>
  </conditionalFormatting>
  <conditionalFormatting sqref="C172">
    <cfRule type="duplicateValues" dxfId="13" priority="15"/>
  </conditionalFormatting>
  <conditionalFormatting sqref="C173">
    <cfRule type="duplicateValues" dxfId="12" priority="14"/>
  </conditionalFormatting>
  <conditionalFormatting sqref="C174">
    <cfRule type="duplicateValues" dxfId="11" priority="13"/>
  </conditionalFormatting>
  <conditionalFormatting sqref="C175:C176">
    <cfRule type="duplicateValues" dxfId="10" priority="12"/>
  </conditionalFormatting>
  <conditionalFormatting sqref="C177">
    <cfRule type="duplicateValues" dxfId="9" priority="11"/>
  </conditionalFormatting>
  <conditionalFormatting sqref="C181">
    <cfRule type="duplicateValues" dxfId="8" priority="10"/>
  </conditionalFormatting>
  <conditionalFormatting sqref="C182">
    <cfRule type="duplicateValues" dxfId="7" priority="9"/>
  </conditionalFormatting>
  <conditionalFormatting sqref="C184">
    <cfRule type="duplicateValues" dxfId="6" priority="8"/>
  </conditionalFormatting>
  <conditionalFormatting sqref="C189">
    <cfRule type="duplicateValues" dxfId="5" priority="7"/>
  </conditionalFormatting>
  <conditionalFormatting sqref="C190">
    <cfRule type="duplicateValues" dxfId="4" priority="6"/>
  </conditionalFormatting>
  <conditionalFormatting sqref="C192">
    <cfRule type="duplicateValues" dxfId="3" priority="5"/>
  </conditionalFormatting>
  <conditionalFormatting sqref="C193">
    <cfRule type="duplicateValues" dxfId="2" priority="4"/>
  </conditionalFormatting>
  <conditionalFormatting sqref="C198">
    <cfRule type="duplicateValues" dxfId="1" priority="3"/>
  </conditionalFormatting>
  <conditionalFormatting sqref="B5:B53">
    <cfRule type="duplicateValues" dxfId="0" priority="426"/>
  </conditionalFormatting>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xr:uid="{55FD6AE5-B278-43B6-B341-CE5F82D4EA99}">
          <x14:formula1>
            <xm:f>'Đơn giá'!$B$4:$B$9</xm:f>
          </x14:formula1>
          <xm:sqref>B39 B161:C161</xm:sqref>
        </x14:dataValidation>
        <x14:dataValidation type="list" allowBlank="1" showInputMessage="1" showErrorMessage="1" xr:uid="{7F7B7D18-E590-497E-B210-F14E495091B7}">
          <x14:formula1>
            <xm:f>'Đơn giá'!$F$4:$F$5</xm:f>
          </x14:formula1>
          <xm:sqref>B10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K9"/>
  <sheetViews>
    <sheetView zoomScaleNormal="100" workbookViewId="0">
      <selection activeCell="A3" sqref="A3:C9"/>
    </sheetView>
  </sheetViews>
  <sheetFormatPr defaultColWidth="8.5546875" defaultRowHeight="14.4" x14ac:dyDescent="0.3"/>
  <cols>
    <col min="2" max="2" width="13.109375" customWidth="1"/>
    <col min="3" max="3" width="11.109375" customWidth="1"/>
    <col min="6" max="6" width="15.109375" customWidth="1"/>
    <col min="9" max="9" width="13.88671875" bestFit="1" customWidth="1"/>
    <col min="11" max="11" width="11.33203125" customWidth="1"/>
    <col min="12" max="12" width="13.88671875" bestFit="1" customWidth="1"/>
  </cols>
  <sheetData>
    <row r="3" spans="1:11" ht="17.399999999999999" x14ac:dyDescent="0.3">
      <c r="A3" s="4" t="s">
        <v>3</v>
      </c>
      <c r="B3" s="4" t="s">
        <v>19</v>
      </c>
      <c r="C3" s="4" t="s">
        <v>20</v>
      </c>
      <c r="I3" s="314" t="s">
        <v>739</v>
      </c>
      <c r="J3" s="314" t="s">
        <v>740</v>
      </c>
      <c r="K3" s="314" t="s">
        <v>741</v>
      </c>
    </row>
    <row r="4" spans="1:11" ht="18" x14ac:dyDescent="0.3">
      <c r="A4" s="15">
        <v>1</v>
      </c>
      <c r="B4" s="5" t="s">
        <v>29</v>
      </c>
      <c r="C4" s="6">
        <v>85000</v>
      </c>
      <c r="F4" t="s">
        <v>46</v>
      </c>
      <c r="I4" s="77">
        <v>688</v>
      </c>
      <c r="J4" s="315">
        <v>98000</v>
      </c>
      <c r="K4" s="315">
        <f>I4*J4</f>
        <v>67424000</v>
      </c>
    </row>
    <row r="5" spans="1:11" ht="18" x14ac:dyDescent="0.3">
      <c r="A5" s="15">
        <v>2</v>
      </c>
      <c r="B5" s="5" t="s">
        <v>38</v>
      </c>
      <c r="C5" s="6">
        <v>93000</v>
      </c>
      <c r="E5" s="5"/>
      <c r="F5" t="s">
        <v>33</v>
      </c>
      <c r="I5" s="77">
        <v>80</v>
      </c>
      <c r="J5" s="315">
        <v>93000</v>
      </c>
      <c r="K5" s="315">
        <f t="shared" ref="K5:K8" si="0">I5*J5</f>
        <v>7440000</v>
      </c>
    </row>
    <row r="6" spans="1:11" ht="18" x14ac:dyDescent="0.3">
      <c r="A6" s="15">
        <v>3</v>
      </c>
      <c r="B6" s="5" t="s">
        <v>26</v>
      </c>
      <c r="C6" s="6">
        <v>98000</v>
      </c>
      <c r="I6" s="77">
        <v>62</v>
      </c>
      <c r="J6" s="315">
        <v>48000</v>
      </c>
      <c r="K6" s="315">
        <f t="shared" si="0"/>
        <v>2976000</v>
      </c>
    </row>
    <row r="7" spans="1:11" ht="18" x14ac:dyDescent="0.3">
      <c r="A7" s="15">
        <v>4</v>
      </c>
      <c r="B7" s="5" t="s">
        <v>35</v>
      </c>
      <c r="C7" s="6">
        <v>106000</v>
      </c>
      <c r="I7" s="77">
        <v>147</v>
      </c>
      <c r="J7" s="315">
        <v>52000</v>
      </c>
      <c r="K7" s="315">
        <f t="shared" si="0"/>
        <v>7644000</v>
      </c>
    </row>
    <row r="8" spans="1:11" ht="18" x14ac:dyDescent="0.3">
      <c r="A8" s="15">
        <v>5</v>
      </c>
      <c r="B8" s="5" t="s">
        <v>39</v>
      </c>
      <c r="C8" s="6">
        <v>52000</v>
      </c>
      <c r="I8" s="77">
        <v>18</v>
      </c>
      <c r="J8" s="315">
        <v>93000</v>
      </c>
      <c r="K8" s="315">
        <f t="shared" si="0"/>
        <v>1674000</v>
      </c>
    </row>
    <row r="9" spans="1:11" ht="18" x14ac:dyDescent="0.3">
      <c r="A9" s="15">
        <v>6</v>
      </c>
      <c r="B9" s="5" t="s">
        <v>42</v>
      </c>
      <c r="C9" s="6">
        <v>48000</v>
      </c>
      <c r="I9" s="77"/>
      <c r="J9" s="314" t="s">
        <v>742</v>
      </c>
      <c r="K9" s="315">
        <f>SUM(K4:K8)</f>
        <v>87158000</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6007-DA33-457E-973D-29066436F714}">
  <dimension ref="A1:I123"/>
  <sheetViews>
    <sheetView workbookViewId="0">
      <selection activeCell="E86" sqref="E86"/>
    </sheetView>
  </sheetViews>
  <sheetFormatPr defaultColWidth="10.109375" defaultRowHeight="13.8" x14ac:dyDescent="0.3"/>
  <cols>
    <col min="1" max="1" width="5.5546875" style="185" customWidth="1"/>
    <col min="2" max="2" width="13.109375" style="188" customWidth="1"/>
    <col min="3" max="3" width="22" style="188" customWidth="1"/>
    <col min="4" max="4" width="10.109375" style="185"/>
    <col min="5" max="5" width="14.109375" style="185" customWidth="1"/>
    <col min="6" max="6" width="11.5546875" style="185" customWidth="1"/>
    <col min="7" max="8" width="10.109375" style="185"/>
    <col min="9" max="9" width="24.33203125" style="185" customWidth="1"/>
    <col min="10" max="16384" width="10.109375" style="185"/>
  </cols>
  <sheetData>
    <row r="1" spans="1:9" ht="30.6" customHeight="1" x14ac:dyDescent="0.3">
      <c r="A1" s="467" t="s">
        <v>3</v>
      </c>
      <c r="B1" s="467" t="s">
        <v>377</v>
      </c>
      <c r="C1" s="465" t="s">
        <v>487</v>
      </c>
      <c r="D1" s="461" t="s">
        <v>381</v>
      </c>
      <c r="E1" s="461"/>
      <c r="F1" s="461"/>
      <c r="G1" s="461"/>
      <c r="H1" s="461"/>
      <c r="I1" s="182" t="s">
        <v>18</v>
      </c>
    </row>
    <row r="2" spans="1:9" ht="32.85" customHeight="1" x14ac:dyDescent="0.3">
      <c r="A2" s="467"/>
      <c r="B2" s="467"/>
      <c r="C2" s="466"/>
      <c r="D2" s="246" t="s">
        <v>382</v>
      </c>
      <c r="E2" s="247" t="s">
        <v>383</v>
      </c>
      <c r="F2" s="247" t="s">
        <v>557</v>
      </c>
      <c r="G2" s="246" t="s">
        <v>384</v>
      </c>
      <c r="H2" s="246" t="s">
        <v>385</v>
      </c>
      <c r="I2" s="186" t="s">
        <v>386</v>
      </c>
    </row>
    <row r="3" spans="1:9" ht="32.85" hidden="1" customHeight="1" x14ac:dyDescent="0.3">
      <c r="A3" s="187">
        <v>1</v>
      </c>
      <c r="B3" s="462" t="s">
        <v>534</v>
      </c>
      <c r="C3" s="220" t="s">
        <v>555</v>
      </c>
      <c r="D3" s="186">
        <f>'TỒN KHO HUẾ'!R7</f>
        <v>0</v>
      </c>
      <c r="E3" s="186">
        <f>'TỒN KHO HUẾ'!S7</f>
        <v>0</v>
      </c>
      <c r="F3" s="186">
        <f>'TỒN KHO HUẾ'!T7</f>
        <v>0</v>
      </c>
      <c r="G3" s="186">
        <f>'TỒN KHO HUẾ'!U7</f>
        <v>40</v>
      </c>
      <c r="H3" s="186">
        <f>'TỒN KHO HUẾ'!V7</f>
        <v>8</v>
      </c>
      <c r="I3" s="186"/>
    </row>
    <row r="4" spans="1:9" ht="32.85" hidden="1" customHeight="1" x14ac:dyDescent="0.3">
      <c r="A4" s="187">
        <v>2</v>
      </c>
      <c r="B4" s="463"/>
      <c r="C4" s="189" t="s">
        <v>405</v>
      </c>
      <c r="D4" s="186">
        <f>'TỒN KHO TĂNG ÁP'!R7</f>
        <v>0</v>
      </c>
      <c r="E4" s="186">
        <f>'TỒN KHO TĂNG ÁP'!S7</f>
        <v>21</v>
      </c>
      <c r="F4" s="186">
        <f>'TỒN KHO TĂNG ÁP'!T7</f>
        <v>0</v>
      </c>
      <c r="G4" s="186">
        <f>'TỒN KHO TĂNG ÁP'!U7</f>
        <v>139</v>
      </c>
      <c r="H4" s="186">
        <f>'TỒN KHO TĂNG ÁP'!V7</f>
        <v>57</v>
      </c>
      <c r="I4" s="186"/>
    </row>
    <row r="5" spans="1:9" s="245" customFormat="1" ht="32.85" hidden="1" customHeight="1" x14ac:dyDescent="0.3">
      <c r="A5" s="242">
        <v>3</v>
      </c>
      <c r="B5" s="464"/>
      <c r="C5" s="243" t="s">
        <v>556</v>
      </c>
      <c r="D5" s="244">
        <f>'Tồn kho VP'!R6</f>
        <v>0</v>
      </c>
      <c r="E5" s="244">
        <f>'Tồn kho VP'!S6</f>
        <v>0</v>
      </c>
      <c r="F5" s="244">
        <f>'Tồn kho VP'!T6</f>
        <v>0</v>
      </c>
      <c r="G5" s="244">
        <f>'Tồn kho VP'!U6</f>
        <v>51</v>
      </c>
      <c r="H5" s="244">
        <f>'Tồn kho VP'!V6</f>
        <v>0</v>
      </c>
      <c r="I5" s="244"/>
    </row>
    <row r="6" spans="1:9" ht="32.85" hidden="1" customHeight="1" x14ac:dyDescent="0.3">
      <c r="A6" s="187">
        <v>4</v>
      </c>
      <c r="B6" s="462">
        <v>46365</v>
      </c>
      <c r="C6" s="220" t="s">
        <v>555</v>
      </c>
      <c r="D6" s="186">
        <f>'TỒN KHO HUẾ'!R8</f>
        <v>0</v>
      </c>
      <c r="E6" s="186">
        <f>'TỒN KHO HUẾ'!S8</f>
        <v>0</v>
      </c>
      <c r="F6" s="186">
        <f>'TỒN KHO HUẾ'!T8</f>
        <v>0</v>
      </c>
      <c r="G6" s="186">
        <f>'TỒN KHO HUẾ'!U8</f>
        <v>8</v>
      </c>
      <c r="H6" s="186">
        <f>'TỒN KHO HUẾ'!V8</f>
        <v>8</v>
      </c>
      <c r="I6" s="186"/>
    </row>
    <row r="7" spans="1:9" ht="32.85" hidden="1" customHeight="1" x14ac:dyDescent="0.3">
      <c r="A7" s="187">
        <v>5</v>
      </c>
      <c r="B7" s="463"/>
      <c r="C7" s="189" t="s">
        <v>405</v>
      </c>
      <c r="D7" s="186">
        <f>'TỒN KHO TĂNG ÁP'!R8</f>
        <v>0</v>
      </c>
      <c r="E7" s="186">
        <f>'TỒN KHO TĂNG ÁP'!S8</f>
        <v>21</v>
      </c>
      <c r="F7" s="186">
        <f>'TỒN KHO TĂNG ÁP'!T8</f>
        <v>0</v>
      </c>
      <c r="G7" s="186">
        <f>'TỒN KHO TĂNG ÁP'!U8</f>
        <v>123</v>
      </c>
      <c r="H7" s="186">
        <f>'TỒN KHO TĂNG ÁP'!V8</f>
        <v>41</v>
      </c>
      <c r="I7" s="186"/>
    </row>
    <row r="8" spans="1:9" ht="35.1" hidden="1" customHeight="1" x14ac:dyDescent="0.3">
      <c r="A8" s="187">
        <v>6</v>
      </c>
      <c r="B8" s="464"/>
      <c r="C8" s="243" t="s">
        <v>556</v>
      </c>
      <c r="D8" s="186">
        <f>'Tồn kho VP'!R7</f>
        <v>0</v>
      </c>
      <c r="E8" s="186">
        <f>'Tồn kho VP'!S7</f>
        <v>0</v>
      </c>
      <c r="F8" s="186">
        <f>'Tồn kho VP'!T7</f>
        <v>0</v>
      </c>
      <c r="G8" s="186">
        <f>'Tồn kho VP'!U7</f>
        <v>47</v>
      </c>
      <c r="H8" s="186">
        <f>'Tồn kho VP'!V7</f>
        <v>0</v>
      </c>
      <c r="I8" s="186"/>
    </row>
    <row r="9" spans="1:9" ht="35.1" hidden="1" customHeight="1" x14ac:dyDescent="0.3">
      <c r="A9" s="187">
        <v>7</v>
      </c>
      <c r="B9" s="458" t="s">
        <v>582</v>
      </c>
      <c r="C9" s="220" t="s">
        <v>555</v>
      </c>
      <c r="D9" s="186">
        <f>'TỒN KHO HUẾ'!R9</f>
        <v>0</v>
      </c>
      <c r="E9" s="186">
        <f>'TỒN KHO HUẾ'!S9</f>
        <v>0</v>
      </c>
      <c r="F9" s="186">
        <f>'TỒN KHO HUẾ'!T9</f>
        <v>0</v>
      </c>
      <c r="G9" s="186">
        <f>'TỒN KHO HUẾ'!U9</f>
        <v>0</v>
      </c>
      <c r="H9" s="186">
        <f>'TỒN KHO HUẾ'!V9</f>
        <v>8</v>
      </c>
      <c r="I9" s="186"/>
    </row>
    <row r="10" spans="1:9" ht="35.1" hidden="1" customHeight="1" x14ac:dyDescent="0.3">
      <c r="A10" s="187">
        <v>8</v>
      </c>
      <c r="B10" s="459"/>
      <c r="C10" s="189" t="s">
        <v>405</v>
      </c>
      <c r="D10" s="186">
        <f>'TỒN KHO TĂNG ÁP'!R9</f>
        <v>0</v>
      </c>
      <c r="E10" s="186">
        <f>'TỒN KHO TĂNG ÁP'!S9</f>
        <v>21</v>
      </c>
      <c r="F10" s="186">
        <f>'TỒN KHO TĂNG ÁP'!T9</f>
        <v>0</v>
      </c>
      <c r="G10" s="186">
        <f>'TỒN KHO TĂNG ÁP'!U9</f>
        <v>44</v>
      </c>
      <c r="H10" s="186">
        <f>'TỒN KHO TĂNG ÁP'!V9</f>
        <v>41</v>
      </c>
      <c r="I10" s="186"/>
    </row>
    <row r="11" spans="1:9" ht="35.1" hidden="1" customHeight="1" x14ac:dyDescent="0.3">
      <c r="A11" s="187">
        <v>9</v>
      </c>
      <c r="B11" s="459"/>
      <c r="C11" s="243" t="s">
        <v>556</v>
      </c>
      <c r="D11" s="186">
        <f>'Tồn kho VP'!R8</f>
        <v>0</v>
      </c>
      <c r="E11" s="186">
        <f>'Tồn kho VP'!S8</f>
        <v>0</v>
      </c>
      <c r="F11" s="186">
        <f>'Tồn kho VP'!T8</f>
        <v>0</v>
      </c>
      <c r="G11" s="186">
        <f>'Tồn kho VP'!U8</f>
        <v>29</v>
      </c>
      <c r="H11" s="186">
        <f>'Tồn kho VP'!V8</f>
        <v>0</v>
      </c>
      <c r="I11" s="186"/>
    </row>
    <row r="12" spans="1:9" ht="35.1" hidden="1" customHeight="1" x14ac:dyDescent="0.3">
      <c r="A12" s="187">
        <v>10</v>
      </c>
      <c r="B12" s="460"/>
      <c r="C12" s="186" t="s">
        <v>589</v>
      </c>
      <c r="D12" s="186">
        <f>'tồn xe'!O5</f>
        <v>0</v>
      </c>
      <c r="E12" s="186">
        <f>'tồn xe'!P5</f>
        <v>0</v>
      </c>
      <c r="F12" s="186">
        <f>'tồn xe'!Q5</f>
        <v>11</v>
      </c>
      <c r="G12" s="186">
        <f>'tồn xe'!R5</f>
        <v>0</v>
      </c>
      <c r="H12" s="186">
        <f>'tồn xe'!S5</f>
        <v>0</v>
      </c>
      <c r="I12" s="186"/>
    </row>
    <row r="13" spans="1:9" ht="35.1" hidden="1" customHeight="1" x14ac:dyDescent="0.3">
      <c r="A13" s="187">
        <v>11</v>
      </c>
      <c r="B13" s="458" t="s">
        <v>593</v>
      </c>
      <c r="C13" s="220" t="s">
        <v>555</v>
      </c>
      <c r="D13" s="186">
        <f>'TỒN KHO HUẾ'!R10</f>
        <v>0</v>
      </c>
      <c r="E13" s="186">
        <f>'TỒN KHO HUẾ'!S10</f>
        <v>0</v>
      </c>
      <c r="F13" s="186">
        <f>'TỒN KHO HUẾ'!T10</f>
        <v>0</v>
      </c>
      <c r="G13" s="186">
        <f>'TỒN KHO HUẾ'!U10</f>
        <v>33</v>
      </c>
      <c r="H13" s="186">
        <f>'TỒN KHO HUẾ'!V10</f>
        <v>58</v>
      </c>
      <c r="I13" s="186"/>
    </row>
    <row r="14" spans="1:9" ht="35.1" hidden="1" customHeight="1" x14ac:dyDescent="0.3">
      <c r="A14" s="187">
        <v>12</v>
      </c>
      <c r="B14" s="459"/>
      <c r="C14" s="189" t="s">
        <v>405</v>
      </c>
      <c r="D14" s="186">
        <f>'TỒN KHO TĂNG ÁP'!R10</f>
        <v>0</v>
      </c>
      <c r="E14" s="186">
        <f>'TỒN KHO TĂNG ÁP'!S10</f>
        <v>11</v>
      </c>
      <c r="F14" s="186">
        <f>'TỒN KHO TĂNG ÁP'!T10</f>
        <v>0</v>
      </c>
      <c r="G14" s="186">
        <f>'TỒN KHO TĂNG ÁP'!U10</f>
        <v>45</v>
      </c>
      <c r="H14" s="186">
        <f>'TỒN KHO TĂNG ÁP'!V10</f>
        <v>41</v>
      </c>
      <c r="I14" s="186"/>
    </row>
    <row r="15" spans="1:9" ht="35.1" hidden="1" customHeight="1" x14ac:dyDescent="0.3">
      <c r="A15" s="187">
        <v>13</v>
      </c>
      <c r="B15" s="459"/>
      <c r="C15" s="243" t="s">
        <v>556</v>
      </c>
      <c r="D15" s="186">
        <f>'Tồn kho VP'!R9</f>
        <v>0</v>
      </c>
      <c r="E15" s="186">
        <f>'Tồn kho VP'!S9</f>
        <v>0</v>
      </c>
      <c r="F15" s="186">
        <f>'Tồn kho VP'!T9</f>
        <v>0</v>
      </c>
      <c r="G15" s="186">
        <f>'Tồn kho VP'!U9</f>
        <v>29</v>
      </c>
      <c r="H15" s="186">
        <f>'Tồn kho VP'!V9</f>
        <v>0</v>
      </c>
      <c r="I15" s="186"/>
    </row>
    <row r="16" spans="1:9" ht="35.1" hidden="1" customHeight="1" x14ac:dyDescent="0.3">
      <c r="A16" s="187">
        <v>14</v>
      </c>
      <c r="B16" s="459"/>
      <c r="C16" s="186" t="s">
        <v>589</v>
      </c>
      <c r="D16" s="186">
        <f>'tồn xe'!O6</f>
        <v>0</v>
      </c>
      <c r="E16" s="186">
        <f>'tồn xe'!P6</f>
        <v>0</v>
      </c>
      <c r="F16" s="186">
        <f>'tồn xe'!Q6</f>
        <v>0</v>
      </c>
      <c r="G16" s="186">
        <f>'tồn xe'!R6</f>
        <v>0</v>
      </c>
      <c r="H16" s="186">
        <f>'tồn xe'!S6</f>
        <v>0</v>
      </c>
      <c r="I16" s="186"/>
    </row>
    <row r="17" spans="1:9" ht="35.1" hidden="1" customHeight="1" x14ac:dyDescent="0.3">
      <c r="A17" s="187">
        <v>15</v>
      </c>
      <c r="B17" s="460"/>
      <c r="C17" s="186" t="s">
        <v>612</v>
      </c>
      <c r="D17" s="186">
        <f>'TỒN KHO HÀ LẦM'!R7</f>
        <v>0</v>
      </c>
      <c r="E17" s="186">
        <f>'TỒN KHO HÀ LẦM'!S7</f>
        <v>0</v>
      </c>
      <c r="F17" s="186">
        <f>'TỒN KHO HÀ LẦM'!T7</f>
        <v>0</v>
      </c>
      <c r="G17" s="186">
        <f>'TỒN KHO HÀ LẦM'!U7</f>
        <v>17</v>
      </c>
      <c r="H17" s="186">
        <f>'TỒN KHO HÀ LẦM'!V7</f>
        <v>30</v>
      </c>
      <c r="I17" s="186"/>
    </row>
    <row r="18" spans="1:9" ht="35.1" hidden="1" customHeight="1" x14ac:dyDescent="0.3">
      <c r="A18" s="187">
        <v>16</v>
      </c>
      <c r="B18" s="458" t="s">
        <v>617</v>
      </c>
      <c r="C18" s="220" t="s">
        <v>555</v>
      </c>
      <c r="D18" s="186">
        <f>'TỒN KHO HUẾ'!R11</f>
        <v>0</v>
      </c>
      <c r="E18" s="186">
        <f>'TỒN KHO HUẾ'!S11</f>
        <v>0</v>
      </c>
      <c r="F18" s="186">
        <f>'TỒN KHO HUẾ'!T11</f>
        <v>0</v>
      </c>
      <c r="G18" s="186">
        <f>'TỒN KHO HUẾ'!U11</f>
        <v>39</v>
      </c>
      <c r="H18" s="186">
        <f>'TỒN KHO HUẾ'!V11</f>
        <v>58</v>
      </c>
      <c r="I18" s="186"/>
    </row>
    <row r="19" spans="1:9" ht="35.1" hidden="1" customHeight="1" x14ac:dyDescent="0.3">
      <c r="A19" s="187">
        <v>17</v>
      </c>
      <c r="B19" s="459"/>
      <c r="C19" s="189" t="s">
        <v>405</v>
      </c>
      <c r="D19" s="186">
        <f>'TỒN KHO TĂNG ÁP'!R11</f>
        <v>0</v>
      </c>
      <c r="E19" s="186">
        <f>'TỒN KHO TĂNG ÁP'!S11</f>
        <v>11</v>
      </c>
      <c r="F19" s="186">
        <f>'TỒN KHO TĂNG ÁP'!T11</f>
        <v>0</v>
      </c>
      <c r="G19" s="186">
        <f>'TỒN KHO TĂNG ÁP'!U11</f>
        <v>99</v>
      </c>
      <c r="H19" s="186">
        <f>'TỒN KHO TĂNG ÁP'!V11</f>
        <v>39</v>
      </c>
      <c r="I19" s="186"/>
    </row>
    <row r="20" spans="1:9" ht="35.1" hidden="1" customHeight="1" x14ac:dyDescent="0.3">
      <c r="A20" s="187">
        <v>18</v>
      </c>
      <c r="B20" s="459"/>
      <c r="C20" s="243" t="s">
        <v>556</v>
      </c>
      <c r="D20" s="186">
        <f>'Tồn kho VP'!R10</f>
        <v>0</v>
      </c>
      <c r="E20" s="186">
        <f>'Tồn kho VP'!S10</f>
        <v>0</v>
      </c>
      <c r="F20" s="186">
        <f>'Tồn kho VP'!T10</f>
        <v>0</v>
      </c>
      <c r="G20" s="186">
        <f>'Tồn kho VP'!U10</f>
        <v>28</v>
      </c>
      <c r="H20" s="186">
        <f>'Tồn kho VP'!V10</f>
        <v>0</v>
      </c>
      <c r="I20" s="186"/>
    </row>
    <row r="21" spans="1:9" ht="35.1" hidden="1" customHeight="1" x14ac:dyDescent="0.3">
      <c r="A21" s="187">
        <v>19</v>
      </c>
      <c r="B21" s="459"/>
      <c r="C21" s="186" t="s">
        <v>589</v>
      </c>
      <c r="D21" s="186">
        <f>'tồn xe'!O7</f>
        <v>0</v>
      </c>
      <c r="E21" s="186">
        <f>'tồn xe'!P7</f>
        <v>0</v>
      </c>
      <c r="F21" s="186">
        <f>'tồn xe'!Q7</f>
        <v>0</v>
      </c>
      <c r="G21" s="186">
        <f>'tồn xe'!R7</f>
        <v>0</v>
      </c>
      <c r="H21" s="186">
        <f>'tồn xe'!S7</f>
        <v>0</v>
      </c>
      <c r="I21" s="186"/>
    </row>
    <row r="22" spans="1:9" ht="35.1" hidden="1" customHeight="1" x14ac:dyDescent="0.3">
      <c r="A22" s="187">
        <v>20</v>
      </c>
      <c r="B22" s="460"/>
      <c r="C22" s="186" t="s">
        <v>612</v>
      </c>
      <c r="D22" s="186">
        <f>'TỒN KHO HÀ LẦM'!R8</f>
        <v>0</v>
      </c>
      <c r="E22" s="186">
        <f>'TỒN KHO HÀ LẦM'!S8</f>
        <v>0</v>
      </c>
      <c r="F22" s="186">
        <f>'TỒN KHO HÀ LẦM'!T8</f>
        <v>0</v>
      </c>
      <c r="G22" s="186">
        <f>'TỒN KHO HÀ LẦM'!U8</f>
        <v>17</v>
      </c>
      <c r="H22" s="186">
        <f>'TỒN KHO HÀ LẦM'!V8</f>
        <v>30</v>
      </c>
      <c r="I22" s="186"/>
    </row>
    <row r="23" spans="1:9" ht="35.1" hidden="1" customHeight="1" x14ac:dyDescent="0.3">
      <c r="A23" s="187">
        <v>21</v>
      </c>
      <c r="B23" s="458" t="s">
        <v>634</v>
      </c>
      <c r="C23" s="220" t="s">
        <v>555</v>
      </c>
      <c r="D23" s="186">
        <f>'TỒN KHO HUẾ'!R12</f>
        <v>0</v>
      </c>
      <c r="E23" s="186">
        <f>'TỒN KHO HUẾ'!S12</f>
        <v>0</v>
      </c>
      <c r="F23" s="186">
        <f>'TỒN KHO HUẾ'!T12</f>
        <v>0</v>
      </c>
      <c r="G23" s="186">
        <f>'TỒN KHO HUẾ'!U12</f>
        <v>36</v>
      </c>
      <c r="H23" s="186">
        <f>'TỒN KHO HUẾ'!V12</f>
        <v>58</v>
      </c>
      <c r="I23" s="186"/>
    </row>
    <row r="24" spans="1:9" ht="35.1" hidden="1" customHeight="1" x14ac:dyDescent="0.3">
      <c r="A24" s="187">
        <v>22</v>
      </c>
      <c r="B24" s="459"/>
      <c r="C24" s="189" t="s">
        <v>405</v>
      </c>
      <c r="D24" s="186">
        <f>'TỒN KHO TĂNG ÁP'!R12</f>
        <v>0</v>
      </c>
      <c r="E24" s="186">
        <f>'TỒN KHO TĂNG ÁP'!S12</f>
        <v>0</v>
      </c>
      <c r="F24" s="186">
        <f>'TỒN KHO TĂNG ÁP'!T12</f>
        <v>0</v>
      </c>
      <c r="G24" s="186">
        <f>'TỒN KHO TĂNG ÁP'!U12</f>
        <v>139</v>
      </c>
      <c r="H24" s="186">
        <f>'TỒN KHO TĂNG ÁP'!V12</f>
        <v>39</v>
      </c>
      <c r="I24" s="186"/>
    </row>
    <row r="25" spans="1:9" ht="35.1" hidden="1" customHeight="1" x14ac:dyDescent="0.3">
      <c r="A25" s="187">
        <v>23</v>
      </c>
      <c r="B25" s="459"/>
      <c r="C25" s="243" t="s">
        <v>556</v>
      </c>
      <c r="D25" s="186">
        <f>'Tồn kho VP'!R11</f>
        <v>0</v>
      </c>
      <c r="E25" s="186">
        <f>'Tồn kho VP'!S11</f>
        <v>0</v>
      </c>
      <c r="F25" s="186">
        <f>'Tồn kho VP'!T11</f>
        <v>0</v>
      </c>
      <c r="G25" s="186">
        <f>'Tồn kho VP'!U11</f>
        <v>24</v>
      </c>
      <c r="H25" s="186">
        <f>'Tồn kho VP'!V11</f>
        <v>0</v>
      </c>
      <c r="I25" s="186"/>
    </row>
    <row r="26" spans="1:9" ht="28.8" hidden="1" customHeight="1" x14ac:dyDescent="0.3">
      <c r="A26" s="186"/>
      <c r="B26" s="459"/>
      <c r="C26" s="186" t="s">
        <v>589</v>
      </c>
      <c r="D26" s="186"/>
      <c r="E26" s="186"/>
      <c r="F26" s="186"/>
      <c r="G26" s="186"/>
      <c r="H26" s="186"/>
      <c r="I26" s="186"/>
    </row>
    <row r="27" spans="1:9" ht="28.8" hidden="1" customHeight="1" x14ac:dyDescent="0.3">
      <c r="A27" s="186"/>
      <c r="B27" s="460"/>
      <c r="C27" s="186" t="s">
        <v>612</v>
      </c>
      <c r="D27" s="186">
        <f>'TỒN KHO HÀ LẦM'!R9</f>
        <v>0</v>
      </c>
      <c r="E27" s="186">
        <f>'TỒN KHO HÀ LẦM'!S9</f>
        <v>0</v>
      </c>
      <c r="F27" s="186">
        <f>'TỒN KHO HÀ LẦM'!T9</f>
        <v>0</v>
      </c>
      <c r="G27" s="186">
        <f>'TỒN KHO HÀ LẦM'!U9</f>
        <v>17</v>
      </c>
      <c r="H27" s="186">
        <f>'TỒN KHO HÀ LẦM'!V9</f>
        <v>30</v>
      </c>
      <c r="I27" s="186"/>
    </row>
    <row r="28" spans="1:9" ht="33" hidden="1" customHeight="1" x14ac:dyDescent="0.3">
      <c r="A28" s="186"/>
      <c r="B28" s="458" t="s">
        <v>646</v>
      </c>
      <c r="C28" s="220" t="s">
        <v>555</v>
      </c>
      <c r="D28" s="186">
        <f>'TỒN KHO HUẾ'!R13</f>
        <v>20</v>
      </c>
      <c r="E28" s="186">
        <f>'TỒN KHO HUẾ'!S13</f>
        <v>20</v>
      </c>
      <c r="F28" s="186">
        <f>'TỒN KHO HUẾ'!T13</f>
        <v>0</v>
      </c>
      <c r="G28" s="186">
        <f>'TỒN KHO HUẾ'!U13</f>
        <v>68</v>
      </c>
      <c r="H28" s="186">
        <f>'TỒN KHO HUẾ'!V13</f>
        <v>47</v>
      </c>
      <c r="I28" s="186"/>
    </row>
    <row r="29" spans="1:9" ht="33" hidden="1" customHeight="1" x14ac:dyDescent="0.3">
      <c r="A29" s="186"/>
      <c r="B29" s="459"/>
      <c r="C29" s="189" t="s">
        <v>405</v>
      </c>
      <c r="D29" s="186">
        <f>'TỒN KHO TĂNG ÁP'!R13</f>
        <v>0</v>
      </c>
      <c r="E29" s="186">
        <f>'TỒN KHO TĂNG ÁP'!S13</f>
        <v>0</v>
      </c>
      <c r="F29" s="186">
        <f>'TỒN KHO TĂNG ÁP'!T13</f>
        <v>0</v>
      </c>
      <c r="G29" s="186">
        <f>'TỒN KHO TĂNG ÁP'!U13</f>
        <v>130</v>
      </c>
      <c r="H29" s="186">
        <f>'TỒN KHO TĂNG ÁP'!V13</f>
        <v>37</v>
      </c>
      <c r="I29" s="186"/>
    </row>
    <row r="30" spans="1:9" ht="33" hidden="1" customHeight="1" x14ac:dyDescent="0.3">
      <c r="A30" s="186"/>
      <c r="B30" s="459"/>
      <c r="C30" s="243" t="s">
        <v>556</v>
      </c>
      <c r="D30" s="186">
        <f>'Tồn kho VP'!R12</f>
        <v>0</v>
      </c>
      <c r="E30" s="186">
        <f>'Tồn kho VP'!S12</f>
        <v>0</v>
      </c>
      <c r="F30" s="186">
        <f>'Tồn kho VP'!T12</f>
        <v>0</v>
      </c>
      <c r="G30" s="186">
        <f>'Tồn kho VP'!U12</f>
        <v>22</v>
      </c>
      <c r="H30" s="186">
        <f>'Tồn kho VP'!V12</f>
        <v>0</v>
      </c>
      <c r="I30" s="186"/>
    </row>
    <row r="31" spans="1:9" ht="33" hidden="1" customHeight="1" x14ac:dyDescent="0.3">
      <c r="A31" s="186"/>
      <c r="B31" s="459"/>
      <c r="C31" s="186" t="s">
        <v>589</v>
      </c>
      <c r="D31" s="186">
        <f>'tồn xe'!O9</f>
        <v>0</v>
      </c>
      <c r="E31" s="186">
        <f>'tồn xe'!P9</f>
        <v>0</v>
      </c>
      <c r="F31" s="186">
        <f>'tồn xe'!Q9</f>
        <v>0</v>
      </c>
      <c r="G31" s="186">
        <f>'tồn xe'!R9</f>
        <v>0</v>
      </c>
      <c r="H31" s="186">
        <f>'tồn xe'!S9</f>
        <v>0</v>
      </c>
      <c r="I31" s="186"/>
    </row>
    <row r="32" spans="1:9" ht="33" hidden="1" customHeight="1" x14ac:dyDescent="0.3">
      <c r="A32" s="186"/>
      <c r="B32" s="460"/>
      <c r="C32" s="186" t="s">
        <v>612</v>
      </c>
      <c r="D32" s="186">
        <f>'TỒN KHO HÀ LẦM'!R8</f>
        <v>0</v>
      </c>
      <c r="E32" s="186">
        <f>'TỒN KHO HÀ LẦM'!S8</f>
        <v>0</v>
      </c>
      <c r="F32" s="186">
        <f>'TỒN KHO HÀ LẦM'!T8</f>
        <v>0</v>
      </c>
      <c r="G32" s="186">
        <f>'TỒN KHO HÀ LẦM'!U8</f>
        <v>17</v>
      </c>
      <c r="H32" s="186">
        <f>'TỒN KHO HÀ LẦM'!V8</f>
        <v>30</v>
      </c>
      <c r="I32" s="186"/>
    </row>
    <row r="33" spans="1:9" ht="29.4" hidden="1" customHeight="1" x14ac:dyDescent="0.3">
      <c r="A33" s="186"/>
      <c r="B33" s="458" t="s">
        <v>678</v>
      </c>
      <c r="C33" s="220" t="s">
        <v>555</v>
      </c>
      <c r="D33" s="186">
        <f>'TỒN KHO HUẾ'!R14</f>
        <v>3</v>
      </c>
      <c r="E33" s="186">
        <f>'TỒN KHO HUẾ'!S14</f>
        <v>9</v>
      </c>
      <c r="F33" s="186">
        <f>'TỒN KHO HUẾ'!T14</f>
        <v>0</v>
      </c>
      <c r="G33" s="186">
        <f>'TỒN KHO HUẾ'!U14</f>
        <v>106</v>
      </c>
      <c r="H33" s="186">
        <f>'TỒN KHO HUẾ'!V14</f>
        <v>25</v>
      </c>
      <c r="I33" s="186"/>
    </row>
    <row r="34" spans="1:9" ht="29.4" hidden="1" customHeight="1" x14ac:dyDescent="0.3">
      <c r="A34" s="186"/>
      <c r="B34" s="459"/>
      <c r="C34" s="189" t="s">
        <v>405</v>
      </c>
      <c r="D34" s="186">
        <f>'TỒN KHO TĂNG ÁP'!R14</f>
        <v>0</v>
      </c>
      <c r="E34" s="186">
        <f>'TỒN KHO TĂNG ÁP'!S14</f>
        <v>0</v>
      </c>
      <c r="F34" s="186">
        <f>'TỒN KHO TĂNG ÁP'!T14</f>
        <v>0</v>
      </c>
      <c r="G34" s="186">
        <f>'TỒN KHO TĂNG ÁP'!U14</f>
        <v>191</v>
      </c>
      <c r="H34" s="186">
        <f>'TỒN KHO TĂNG ÁP'!V14</f>
        <v>26</v>
      </c>
      <c r="I34" s="186"/>
    </row>
    <row r="35" spans="1:9" ht="29.4" hidden="1" customHeight="1" x14ac:dyDescent="0.3">
      <c r="A35" s="186"/>
      <c r="B35" s="459"/>
      <c r="C35" s="243" t="s">
        <v>556</v>
      </c>
      <c r="D35" s="186">
        <f>'Tồn kho VP'!R13</f>
        <v>0</v>
      </c>
      <c r="E35" s="186">
        <f>'Tồn kho VP'!S13</f>
        <v>0</v>
      </c>
      <c r="F35" s="186">
        <f>'Tồn kho VP'!T13</f>
        <v>0</v>
      </c>
      <c r="G35" s="186">
        <f>'Tồn kho VP'!U13</f>
        <v>18</v>
      </c>
      <c r="H35" s="186">
        <f>'Tồn kho VP'!V13</f>
        <v>0</v>
      </c>
      <c r="I35" s="186"/>
    </row>
    <row r="36" spans="1:9" ht="29.4" hidden="1" customHeight="1" x14ac:dyDescent="0.3">
      <c r="A36" s="186"/>
      <c r="B36" s="459"/>
      <c r="C36" s="186" t="s">
        <v>589</v>
      </c>
      <c r="D36" s="186">
        <f>'tồn xe'!O10</f>
        <v>0</v>
      </c>
      <c r="E36" s="186">
        <f>'tồn xe'!P10</f>
        <v>0</v>
      </c>
      <c r="F36" s="186">
        <f>'tồn xe'!Q10</f>
        <v>0</v>
      </c>
      <c r="G36" s="186">
        <f>'tồn xe'!R10</f>
        <v>0</v>
      </c>
      <c r="H36" s="186">
        <f>'tồn xe'!S10</f>
        <v>0</v>
      </c>
      <c r="I36" s="186"/>
    </row>
    <row r="37" spans="1:9" ht="29.4" hidden="1" customHeight="1" x14ac:dyDescent="0.3">
      <c r="A37" s="186"/>
      <c r="B37" s="460"/>
      <c r="C37" s="186" t="s">
        <v>612</v>
      </c>
      <c r="D37" s="186">
        <f>'TỒN KHO HÀ LẦM'!R11</f>
        <v>0</v>
      </c>
      <c r="E37" s="186">
        <f>'TỒN KHO HÀ LẦM'!S11</f>
        <v>0</v>
      </c>
      <c r="F37" s="186">
        <f>'TỒN KHO HÀ LẦM'!T11</f>
        <v>0</v>
      </c>
      <c r="G37" s="186">
        <f>'TỒN KHO HÀ LẦM'!U11</f>
        <v>17</v>
      </c>
      <c r="H37" s="186">
        <f>'TỒN KHO HÀ LẦM'!V11</f>
        <v>30</v>
      </c>
      <c r="I37" s="186"/>
    </row>
    <row r="38" spans="1:9" ht="28.2" hidden="1" customHeight="1" x14ac:dyDescent="0.3">
      <c r="A38" s="186"/>
      <c r="B38" s="458" t="s">
        <v>731</v>
      </c>
      <c r="C38" s="220" t="s">
        <v>555</v>
      </c>
      <c r="D38" s="186">
        <f>'TỒN KHO HUẾ'!R15</f>
        <v>0</v>
      </c>
      <c r="E38" s="186">
        <f>'TỒN KHO HUẾ'!S15</f>
        <v>8</v>
      </c>
      <c r="F38" s="186">
        <f>'TỒN KHO HUẾ'!T15</f>
        <v>0</v>
      </c>
      <c r="G38" s="186">
        <f>'TỒN KHO HUẾ'!U15</f>
        <v>89</v>
      </c>
      <c r="H38" s="186">
        <f>'TỒN KHO HUẾ'!V15</f>
        <v>3</v>
      </c>
      <c r="I38" s="186"/>
    </row>
    <row r="39" spans="1:9" ht="28.2" hidden="1" customHeight="1" x14ac:dyDescent="0.3">
      <c r="A39" s="186"/>
      <c r="B39" s="459"/>
      <c r="C39" s="189" t="s">
        <v>405</v>
      </c>
      <c r="D39" s="186">
        <f>'TỒN KHO TĂNG ÁP'!R15</f>
        <v>0</v>
      </c>
      <c r="E39" s="186">
        <f>'TỒN KHO TĂNG ÁP'!S15</f>
        <v>30</v>
      </c>
      <c r="F39" s="186">
        <f>'TỒN KHO TĂNG ÁP'!T15</f>
        <v>0</v>
      </c>
      <c r="G39" s="186">
        <f>'TỒN KHO TĂNG ÁP'!U15</f>
        <v>241</v>
      </c>
      <c r="H39" s="186">
        <f>'TỒN KHO TĂNG ÁP'!V15</f>
        <v>26</v>
      </c>
      <c r="I39" s="186"/>
    </row>
    <row r="40" spans="1:9" ht="28.2" hidden="1" customHeight="1" x14ac:dyDescent="0.3">
      <c r="A40" s="186"/>
      <c r="B40" s="459"/>
      <c r="C40" s="243" t="s">
        <v>556</v>
      </c>
      <c r="D40" s="186">
        <f>'Tồn kho VP'!R14</f>
        <v>0</v>
      </c>
      <c r="E40" s="186">
        <f>'Tồn kho VP'!S14</f>
        <v>0</v>
      </c>
      <c r="F40" s="186">
        <f>'Tồn kho VP'!T14</f>
        <v>0</v>
      </c>
      <c r="G40" s="186">
        <f>'Tồn kho VP'!U14</f>
        <v>17</v>
      </c>
      <c r="H40" s="186">
        <f>'Tồn kho VP'!V14</f>
        <v>0</v>
      </c>
      <c r="I40" s="186"/>
    </row>
    <row r="41" spans="1:9" ht="28.2" hidden="1" customHeight="1" x14ac:dyDescent="0.3">
      <c r="A41" s="186"/>
      <c r="B41" s="459"/>
      <c r="C41" s="186" t="s">
        <v>589</v>
      </c>
      <c r="D41" s="186"/>
      <c r="E41" s="186"/>
      <c r="F41" s="186"/>
      <c r="G41" s="186"/>
      <c r="H41" s="186"/>
      <c r="I41" s="186"/>
    </row>
    <row r="42" spans="1:9" ht="28.2" hidden="1" customHeight="1" x14ac:dyDescent="0.3">
      <c r="A42" s="186"/>
      <c r="B42" s="460"/>
      <c r="C42" s="186" t="s">
        <v>612</v>
      </c>
      <c r="D42" s="186">
        <f>'TỒN KHO HÀ LẦM'!R12</f>
        <v>0</v>
      </c>
      <c r="E42" s="186">
        <f>'TỒN KHO HÀ LẦM'!S12</f>
        <v>0</v>
      </c>
      <c r="F42" s="186">
        <f>'TỒN KHO HÀ LẦM'!T12</f>
        <v>0</v>
      </c>
      <c r="G42" s="186">
        <f>'TỒN KHO HÀ LẦM'!U12</f>
        <v>17</v>
      </c>
      <c r="H42" s="186">
        <f>'TỒN KHO HÀ LẦM'!V12</f>
        <v>30</v>
      </c>
      <c r="I42" s="186"/>
    </row>
    <row r="43" spans="1:9" ht="39.6" hidden="1" customHeight="1" x14ac:dyDescent="0.3">
      <c r="A43" s="186"/>
      <c r="B43" s="458" t="s">
        <v>727</v>
      </c>
      <c r="C43" s="220" t="s">
        <v>555</v>
      </c>
      <c r="D43" s="186">
        <f>+'TỒN KHO HUẾ'!R16</f>
        <v>0</v>
      </c>
      <c r="E43" s="186">
        <f>+'TỒN KHO HUẾ'!S16</f>
        <v>8</v>
      </c>
      <c r="F43" s="186">
        <f>+'TỒN KHO HUẾ'!T16</f>
        <v>0</v>
      </c>
      <c r="G43" s="186">
        <f>+'TỒN KHO HUẾ'!U16</f>
        <v>89</v>
      </c>
      <c r="H43" s="186">
        <f>+'TỒN KHO HUẾ'!V16</f>
        <v>3</v>
      </c>
      <c r="I43" s="186"/>
    </row>
    <row r="44" spans="1:9" ht="39.6" hidden="1" customHeight="1" x14ac:dyDescent="0.3">
      <c r="A44" s="186"/>
      <c r="B44" s="459"/>
      <c r="C44" s="189" t="s">
        <v>405</v>
      </c>
      <c r="D44" s="186">
        <f>+'TỒN KHO TĂNG ÁP'!R17</f>
        <v>0</v>
      </c>
      <c r="E44" s="186">
        <f>+'TỒN KHO TĂNG ÁP'!S17</f>
        <v>21</v>
      </c>
      <c r="F44" s="186">
        <f>+'TỒN KHO TĂNG ÁP'!T17</f>
        <v>0</v>
      </c>
      <c r="G44" s="186">
        <f>+'TỒN KHO TĂNG ÁP'!U17</f>
        <v>208</v>
      </c>
      <c r="H44" s="186">
        <f>+'TỒN KHO TĂNG ÁP'!V17</f>
        <v>20</v>
      </c>
      <c r="I44" s="186"/>
    </row>
    <row r="45" spans="1:9" ht="39.6" hidden="1" customHeight="1" x14ac:dyDescent="0.3">
      <c r="A45" s="186"/>
      <c r="B45" s="459"/>
      <c r="C45" s="243" t="s">
        <v>556</v>
      </c>
      <c r="D45" s="186">
        <f>+'Tồn kho VP'!R15</f>
        <v>0</v>
      </c>
      <c r="E45" s="186">
        <f>+'Tồn kho VP'!S15</f>
        <v>0</v>
      </c>
      <c r="F45" s="186">
        <f>+'Tồn kho VP'!T15</f>
        <v>0</v>
      </c>
      <c r="G45" s="186">
        <f>+'Tồn kho VP'!U15</f>
        <v>16</v>
      </c>
      <c r="H45" s="186">
        <f>+'Tồn kho VP'!V15</f>
        <v>0</v>
      </c>
      <c r="I45" s="186"/>
    </row>
    <row r="46" spans="1:9" ht="39.6" hidden="1" customHeight="1" x14ac:dyDescent="0.3">
      <c r="A46" s="186"/>
      <c r="B46" s="459"/>
      <c r="C46" s="186" t="s">
        <v>589</v>
      </c>
      <c r="D46" s="186"/>
      <c r="E46" s="186"/>
      <c r="F46" s="186"/>
      <c r="G46" s="186"/>
      <c r="H46" s="186"/>
      <c r="I46" s="186"/>
    </row>
    <row r="47" spans="1:9" ht="39.6" hidden="1" customHeight="1" x14ac:dyDescent="0.3">
      <c r="A47" s="186"/>
      <c r="B47" s="460"/>
      <c r="C47" s="186" t="s">
        <v>612</v>
      </c>
      <c r="D47" s="186">
        <f>+'TỒN KHO HÀ LẦM'!R13</f>
        <v>0</v>
      </c>
      <c r="E47" s="186">
        <f>+'TỒN KHO HÀ LẦM'!S13</f>
        <v>0</v>
      </c>
      <c r="F47" s="186">
        <f>+'TỒN KHO HÀ LẦM'!T13</f>
        <v>0</v>
      </c>
      <c r="G47" s="186">
        <f>+'TỒN KHO HÀ LẦM'!U13</f>
        <v>17</v>
      </c>
      <c r="H47" s="186">
        <f>+'TỒN KHO HÀ LẦM'!V13</f>
        <v>30</v>
      </c>
      <c r="I47" s="186"/>
    </row>
    <row r="48" spans="1:9" ht="39.6" hidden="1" customHeight="1" x14ac:dyDescent="0.3">
      <c r="A48" s="186"/>
      <c r="B48" s="458" t="s">
        <v>768</v>
      </c>
      <c r="C48" s="220" t="s">
        <v>785</v>
      </c>
      <c r="D48" s="186">
        <f>'TỒN KHO HUẾ'!R17</f>
        <v>8</v>
      </c>
      <c r="E48" s="186">
        <f>'TỒN KHO HUẾ'!S17</f>
        <v>47</v>
      </c>
      <c r="F48" s="186">
        <f>'TỒN KHO HUẾ'!T17</f>
        <v>0</v>
      </c>
      <c r="G48" s="186">
        <f>'TỒN KHO HUẾ'!U17</f>
        <v>51</v>
      </c>
      <c r="H48" s="186">
        <f>'TỒN KHO HUẾ'!V17</f>
        <v>13</v>
      </c>
      <c r="I48" s="186"/>
    </row>
    <row r="49" spans="1:9" ht="39.6" hidden="1" customHeight="1" x14ac:dyDescent="0.3">
      <c r="A49" s="186"/>
      <c r="B49" s="459"/>
      <c r="C49" s="189" t="s">
        <v>405</v>
      </c>
      <c r="D49" s="186">
        <f>'TỒN KHO TĂNG ÁP'!R17</f>
        <v>0</v>
      </c>
      <c r="E49" s="186">
        <f>'TỒN KHO TĂNG ÁP'!S17</f>
        <v>21</v>
      </c>
      <c r="F49" s="186">
        <f>'TỒN KHO TĂNG ÁP'!T17</f>
        <v>0</v>
      </c>
      <c r="G49" s="186">
        <f>'TỒN KHO TĂNG ÁP'!U17</f>
        <v>208</v>
      </c>
      <c r="H49" s="186">
        <f>'TỒN KHO TĂNG ÁP'!V17</f>
        <v>20</v>
      </c>
      <c r="I49" s="186"/>
    </row>
    <row r="50" spans="1:9" ht="39.6" hidden="1" customHeight="1" x14ac:dyDescent="0.3">
      <c r="A50" s="186"/>
      <c r="B50" s="459"/>
      <c r="C50" s="243" t="s">
        <v>556</v>
      </c>
      <c r="D50" s="186">
        <f>'Tồn kho VP'!R16</f>
        <v>0</v>
      </c>
      <c r="E50" s="186">
        <f>'Tồn kho VP'!S16</f>
        <v>1</v>
      </c>
      <c r="F50" s="186">
        <f>'Tồn kho VP'!T16</f>
        <v>0</v>
      </c>
      <c r="G50" s="186">
        <f>'Tồn kho VP'!U16</f>
        <v>49</v>
      </c>
      <c r="H50" s="186">
        <f>'Tồn kho VP'!V16</f>
        <v>0</v>
      </c>
      <c r="I50" s="186"/>
    </row>
    <row r="51" spans="1:9" ht="39.6" hidden="1" customHeight="1" x14ac:dyDescent="0.3">
      <c r="A51" s="186"/>
      <c r="B51" s="459"/>
      <c r="C51" s="186" t="s">
        <v>589</v>
      </c>
      <c r="D51" s="186"/>
      <c r="E51" s="186"/>
      <c r="F51" s="186"/>
      <c r="G51" s="186"/>
      <c r="H51" s="186"/>
      <c r="I51" s="186"/>
    </row>
    <row r="52" spans="1:9" ht="39.6" hidden="1" customHeight="1" x14ac:dyDescent="0.3">
      <c r="A52" s="186"/>
      <c r="B52" s="460"/>
      <c r="C52" s="186" t="s">
        <v>612</v>
      </c>
      <c r="D52" s="186">
        <f>'TỒN KHO HÀ LẦM'!R14</f>
        <v>0</v>
      </c>
      <c r="E52" s="186">
        <f>'TỒN KHO HÀ LẦM'!S14</f>
        <v>0</v>
      </c>
      <c r="F52" s="186">
        <f>'TỒN KHO HÀ LẦM'!T14</f>
        <v>0</v>
      </c>
      <c r="G52" s="186">
        <f>'TỒN KHO HÀ LẦM'!U14</f>
        <v>17</v>
      </c>
      <c r="H52" s="186">
        <f>'TỒN KHO HÀ LẦM'!V14</f>
        <v>30</v>
      </c>
      <c r="I52" s="186"/>
    </row>
    <row r="53" spans="1:9" ht="30" hidden="1" customHeight="1" x14ac:dyDescent="0.3">
      <c r="A53" s="186"/>
      <c r="B53" s="458" t="s">
        <v>787</v>
      </c>
      <c r="C53" s="220" t="s">
        <v>785</v>
      </c>
      <c r="D53" s="186">
        <f>'TỒN KHO HUẾ'!R18</f>
        <v>-3</v>
      </c>
      <c r="E53" s="186">
        <f>'TỒN KHO HUẾ'!S18</f>
        <v>31</v>
      </c>
      <c r="F53" s="186">
        <f>'TỒN KHO HUẾ'!T18</f>
        <v>0</v>
      </c>
      <c r="G53" s="186">
        <f>'TỒN KHO HUẾ'!U18</f>
        <v>46</v>
      </c>
      <c r="H53" s="186">
        <f>'TỒN KHO HUẾ'!V18</f>
        <v>13</v>
      </c>
      <c r="I53" s="186"/>
    </row>
    <row r="54" spans="1:9" ht="30" hidden="1" customHeight="1" x14ac:dyDescent="0.3">
      <c r="A54" s="186"/>
      <c r="B54" s="459"/>
      <c r="C54" s="189" t="s">
        <v>405</v>
      </c>
      <c r="D54" s="186">
        <f>'TỒN KHO TĂNG ÁP'!R18</f>
        <v>0</v>
      </c>
      <c r="E54" s="186">
        <f>'TỒN KHO TĂNG ÁP'!S18</f>
        <v>1</v>
      </c>
      <c r="F54" s="186">
        <f>'TỒN KHO TĂNG ÁP'!T18</f>
        <v>0</v>
      </c>
      <c r="G54" s="186">
        <f>'TỒN KHO TĂNG ÁP'!U18</f>
        <v>197</v>
      </c>
      <c r="H54" s="186">
        <f>'TỒN KHO TĂNG ÁP'!V18</f>
        <v>20</v>
      </c>
      <c r="I54" s="186"/>
    </row>
    <row r="55" spans="1:9" ht="30" hidden="1" customHeight="1" x14ac:dyDescent="0.3">
      <c r="A55" s="186"/>
      <c r="B55" s="459"/>
      <c r="C55" s="243" t="s">
        <v>556</v>
      </c>
      <c r="D55" s="186">
        <f>'Tồn kho VP'!R17</f>
        <v>0</v>
      </c>
      <c r="E55" s="186">
        <f>'Tồn kho VP'!S17</f>
        <v>1</v>
      </c>
      <c r="F55" s="186">
        <f>'Tồn kho VP'!T17</f>
        <v>0</v>
      </c>
      <c r="G55" s="186">
        <f>'Tồn kho VP'!U17</f>
        <v>37</v>
      </c>
      <c r="H55" s="186">
        <f>'Tồn kho VP'!V17</f>
        <v>0</v>
      </c>
      <c r="I55" s="186"/>
    </row>
    <row r="56" spans="1:9" ht="30" hidden="1" customHeight="1" x14ac:dyDescent="0.3">
      <c r="A56" s="186"/>
      <c r="B56" s="459"/>
      <c r="C56" s="186" t="s">
        <v>589</v>
      </c>
      <c r="D56" s="186"/>
      <c r="E56" s="186"/>
      <c r="F56" s="186"/>
      <c r="G56" s="186"/>
      <c r="H56" s="186"/>
      <c r="I56" s="186"/>
    </row>
    <row r="57" spans="1:9" ht="30" hidden="1" customHeight="1" x14ac:dyDescent="0.3">
      <c r="A57" s="186"/>
      <c r="B57" s="460"/>
      <c r="C57" s="186" t="s">
        <v>612</v>
      </c>
      <c r="D57" s="186">
        <f>'TỒN KHO HÀ LẦM'!R14</f>
        <v>0</v>
      </c>
      <c r="E57" s="186">
        <f>'TỒN KHO HÀ LẦM'!S14</f>
        <v>0</v>
      </c>
      <c r="F57" s="186">
        <f>'TỒN KHO HÀ LẦM'!T14</f>
        <v>0</v>
      </c>
      <c r="G57" s="186">
        <f>'TỒN KHO HÀ LẦM'!U14</f>
        <v>17</v>
      </c>
      <c r="H57" s="186">
        <f>'TỒN KHO HÀ LẦM'!V14</f>
        <v>30</v>
      </c>
      <c r="I57" s="186"/>
    </row>
    <row r="58" spans="1:9" ht="31.8" hidden="1" customHeight="1" x14ac:dyDescent="0.3">
      <c r="A58" s="186"/>
      <c r="B58" s="458" t="s">
        <v>827</v>
      </c>
      <c r="C58" s="220" t="s">
        <v>785</v>
      </c>
      <c r="D58" s="186">
        <f>'TỒN KHO HUẾ'!R19</f>
        <v>17</v>
      </c>
      <c r="E58" s="186">
        <f>'TỒN KHO HUẾ'!S19</f>
        <v>11</v>
      </c>
      <c r="F58" s="186">
        <f>'TỒN KHO HUẾ'!T19</f>
        <v>0</v>
      </c>
      <c r="G58" s="186">
        <f>'TỒN KHO HUẾ'!U19</f>
        <v>110</v>
      </c>
      <c r="H58" s="186">
        <f>'TỒN KHO HUẾ'!V19</f>
        <v>13</v>
      </c>
      <c r="I58" s="186"/>
    </row>
    <row r="59" spans="1:9" ht="31.8" hidden="1" customHeight="1" x14ac:dyDescent="0.3">
      <c r="A59" s="186"/>
      <c r="B59" s="459"/>
      <c r="C59" s="189" t="s">
        <v>405</v>
      </c>
      <c r="D59" s="186">
        <f>'TỒN KHO TĂNG ÁP'!R19</f>
        <v>10</v>
      </c>
      <c r="E59" s="186">
        <f>'TỒN KHO TĂNG ÁP'!S19</f>
        <v>15</v>
      </c>
      <c r="F59" s="186">
        <f>'TỒN KHO TĂNG ÁP'!T19</f>
        <v>0</v>
      </c>
      <c r="G59" s="186">
        <f>'TỒN KHO TĂNG ÁP'!U19</f>
        <v>209</v>
      </c>
      <c r="H59" s="186">
        <f>'TỒN KHO TĂNG ÁP'!V19</f>
        <v>39</v>
      </c>
      <c r="I59" s="186"/>
    </row>
    <row r="60" spans="1:9" ht="31.8" hidden="1" customHeight="1" x14ac:dyDescent="0.3">
      <c r="A60" s="186"/>
      <c r="B60" s="459"/>
      <c r="C60" s="243" t="s">
        <v>556</v>
      </c>
      <c r="D60" s="186">
        <f>'Tồn kho VP'!R18</f>
        <v>0</v>
      </c>
      <c r="E60" s="186">
        <f>'Tồn kho VP'!S18</f>
        <v>1</v>
      </c>
      <c r="F60" s="186">
        <f>'Tồn kho VP'!T18</f>
        <v>0</v>
      </c>
      <c r="G60" s="186">
        <f>'Tồn kho VP'!U18</f>
        <v>27</v>
      </c>
      <c r="H60" s="186">
        <f>'Tồn kho VP'!V18</f>
        <v>0</v>
      </c>
      <c r="I60" s="186"/>
    </row>
    <row r="61" spans="1:9" ht="31.8" hidden="1" customHeight="1" x14ac:dyDescent="0.3">
      <c r="A61" s="186"/>
      <c r="B61" s="459"/>
      <c r="C61" s="186" t="s">
        <v>589</v>
      </c>
      <c r="D61" s="186"/>
      <c r="E61" s="186"/>
      <c r="F61" s="186"/>
      <c r="G61" s="186"/>
      <c r="H61" s="186"/>
      <c r="I61" s="186"/>
    </row>
    <row r="62" spans="1:9" ht="31.8" hidden="1" customHeight="1" x14ac:dyDescent="0.3">
      <c r="A62" s="186"/>
      <c r="B62" s="460"/>
      <c r="C62" s="186" t="s">
        <v>612</v>
      </c>
      <c r="D62" s="186">
        <f>'TỒN KHO HÀ LẦM'!R16</f>
        <v>0</v>
      </c>
      <c r="E62" s="186">
        <f>'TỒN KHO HÀ LẦM'!S16</f>
        <v>0</v>
      </c>
      <c r="F62" s="186">
        <f>'TỒN KHO HÀ LẦM'!T16</f>
        <v>0</v>
      </c>
      <c r="G62" s="186">
        <f>'TỒN KHO HÀ LẦM'!U16</f>
        <v>17</v>
      </c>
      <c r="H62" s="186">
        <f>'TỒN KHO HÀ LẦM'!V16</f>
        <v>30</v>
      </c>
      <c r="I62" s="186"/>
    </row>
    <row r="63" spans="1:9" ht="36" hidden="1" customHeight="1" x14ac:dyDescent="0.3">
      <c r="A63" s="186"/>
      <c r="B63" s="458" t="s">
        <v>836</v>
      </c>
      <c r="C63" s="334" t="s">
        <v>785</v>
      </c>
      <c r="D63" s="186">
        <f>'TỒN KHO HUẾ'!R20</f>
        <v>17</v>
      </c>
      <c r="E63" s="186">
        <f>'TỒN KHO HUẾ'!S20</f>
        <v>4</v>
      </c>
      <c r="F63" s="186">
        <f>'TỒN KHO HUẾ'!T20</f>
        <v>0</v>
      </c>
      <c r="G63" s="186">
        <f>'TỒN KHO HUẾ'!U20</f>
        <v>83</v>
      </c>
      <c r="H63" s="186">
        <f>'TỒN KHO HUẾ'!V20</f>
        <v>13</v>
      </c>
      <c r="I63" s="186"/>
    </row>
    <row r="64" spans="1:9" ht="36" hidden="1" customHeight="1" x14ac:dyDescent="0.3">
      <c r="A64" s="186"/>
      <c r="B64" s="459"/>
      <c r="C64" s="332" t="s">
        <v>405</v>
      </c>
      <c r="D64" s="186">
        <f>'TỒN KHO TĂNG ÁP'!R20</f>
        <v>10</v>
      </c>
      <c r="E64" s="186">
        <f>'TỒN KHO TĂNG ÁP'!S20</f>
        <v>0</v>
      </c>
      <c r="F64" s="186">
        <f>'TỒN KHO TĂNG ÁP'!T20</f>
        <v>0</v>
      </c>
      <c r="G64" s="186">
        <f>'TỒN KHO TĂNG ÁP'!U20</f>
        <v>146</v>
      </c>
      <c r="H64" s="186">
        <f>'TỒN KHO TĂNG ÁP'!V20</f>
        <v>50</v>
      </c>
      <c r="I64" s="186"/>
    </row>
    <row r="65" spans="1:9" ht="36" hidden="1" customHeight="1" x14ac:dyDescent="0.3">
      <c r="A65" s="186"/>
      <c r="B65" s="459"/>
      <c r="C65" s="333" t="s">
        <v>556</v>
      </c>
      <c r="D65" s="186">
        <f>'Tồn kho VP'!R19</f>
        <v>0</v>
      </c>
      <c r="E65" s="186">
        <f>'Tồn kho VP'!S19</f>
        <v>1</v>
      </c>
      <c r="F65" s="186">
        <f>'Tồn kho VP'!T19</f>
        <v>0</v>
      </c>
      <c r="G65" s="186">
        <f>'Tồn kho VP'!U19</f>
        <v>27</v>
      </c>
      <c r="H65" s="186">
        <f>'Tồn kho VP'!V19</f>
        <v>0</v>
      </c>
      <c r="I65" s="186"/>
    </row>
    <row r="66" spans="1:9" ht="30.6" hidden="1" customHeight="1" x14ac:dyDescent="0.3">
      <c r="A66" s="186"/>
      <c r="B66" s="459"/>
      <c r="C66" s="186" t="s">
        <v>589</v>
      </c>
      <c r="D66" s="186"/>
      <c r="E66" s="186"/>
      <c r="F66" s="186"/>
      <c r="G66" s="186"/>
      <c r="H66" s="186"/>
      <c r="I66" s="186"/>
    </row>
    <row r="67" spans="1:9" ht="30.6" hidden="1" customHeight="1" x14ac:dyDescent="0.3">
      <c r="A67" s="186"/>
      <c r="B67" s="460"/>
      <c r="C67" s="186" t="s">
        <v>612</v>
      </c>
      <c r="D67" s="186">
        <f>'TỒN KHO HÀ LẦM'!R17</f>
        <v>0</v>
      </c>
      <c r="E67" s="186">
        <f>'TỒN KHO HÀ LẦM'!S17</f>
        <v>0</v>
      </c>
      <c r="F67" s="186">
        <f>'TỒN KHO HÀ LẦM'!T17</f>
        <v>0</v>
      </c>
      <c r="G67" s="186">
        <f>'TỒN KHO HÀ LẦM'!U17</f>
        <v>17</v>
      </c>
      <c r="H67" s="186">
        <f>'TỒN KHO HÀ LẦM'!V17</f>
        <v>30</v>
      </c>
      <c r="I67" s="186"/>
    </row>
    <row r="68" spans="1:9" ht="33.6" hidden="1" customHeight="1" x14ac:dyDescent="0.3">
      <c r="A68" s="186"/>
      <c r="B68" s="458" t="s">
        <v>868</v>
      </c>
      <c r="C68" s="334" t="s">
        <v>785</v>
      </c>
      <c r="D68" s="186">
        <f>'TỒN KHO HUẾ'!R21</f>
        <v>11</v>
      </c>
      <c r="E68" s="186">
        <f>'TỒN KHO HUẾ'!S21</f>
        <v>14</v>
      </c>
      <c r="F68" s="186">
        <f>'TỒN KHO HUẾ'!T21</f>
        <v>0</v>
      </c>
      <c r="G68" s="186">
        <f>'TỒN KHO HUẾ'!U21</f>
        <v>149</v>
      </c>
      <c r="H68" s="186">
        <f>'TỒN KHO HUẾ'!V21</f>
        <v>38</v>
      </c>
      <c r="I68" s="186"/>
    </row>
    <row r="69" spans="1:9" ht="33.6" hidden="1" customHeight="1" x14ac:dyDescent="0.3">
      <c r="A69" s="186"/>
      <c r="B69" s="459"/>
      <c r="C69" s="332" t="s">
        <v>405</v>
      </c>
      <c r="D69" s="186">
        <f>'TỒN KHO TĂNG ÁP'!R21</f>
        <v>0</v>
      </c>
      <c r="E69" s="186">
        <f>'TỒN KHO TĂNG ÁP'!S21</f>
        <v>0</v>
      </c>
      <c r="F69" s="186">
        <f>'TỒN KHO TĂNG ÁP'!T21</f>
        <v>0</v>
      </c>
      <c r="G69" s="186">
        <f>'TỒN KHO TĂNG ÁP'!U21</f>
        <v>120</v>
      </c>
      <c r="H69" s="186">
        <f>'TỒN KHO TĂNG ÁP'!V21</f>
        <v>47</v>
      </c>
      <c r="I69" s="186"/>
    </row>
    <row r="70" spans="1:9" ht="33.6" hidden="1" customHeight="1" x14ac:dyDescent="0.3">
      <c r="A70" s="186"/>
      <c r="B70" s="459"/>
      <c r="C70" s="333" t="s">
        <v>556</v>
      </c>
      <c r="D70" s="186">
        <f>'Tồn kho VP'!R20</f>
        <v>0</v>
      </c>
      <c r="E70" s="186">
        <f>'Tồn kho VP'!S20</f>
        <v>1</v>
      </c>
      <c r="F70" s="186">
        <f>'Tồn kho VP'!T20</f>
        <v>0</v>
      </c>
      <c r="G70" s="186">
        <f>'Tồn kho VP'!U20</f>
        <v>25</v>
      </c>
      <c r="H70" s="186">
        <f>'Tồn kho VP'!V20</f>
        <v>0</v>
      </c>
      <c r="I70" s="186"/>
    </row>
    <row r="71" spans="1:9" ht="33.6" hidden="1" customHeight="1" x14ac:dyDescent="0.3">
      <c r="A71" s="186"/>
      <c r="B71" s="459"/>
      <c r="C71" s="186" t="s">
        <v>589</v>
      </c>
      <c r="D71" s="186"/>
      <c r="E71" s="186"/>
      <c r="F71" s="186"/>
      <c r="G71" s="186"/>
      <c r="H71" s="186"/>
      <c r="I71" s="186"/>
    </row>
    <row r="72" spans="1:9" ht="33.6" hidden="1" customHeight="1" x14ac:dyDescent="0.3">
      <c r="A72" s="186"/>
      <c r="B72" s="460"/>
      <c r="C72" s="186" t="s">
        <v>612</v>
      </c>
      <c r="D72" s="186">
        <f>'TỒN KHO HÀ LẦM'!R18</f>
        <v>0</v>
      </c>
      <c r="E72" s="186">
        <f>'TỒN KHO HÀ LẦM'!S18</f>
        <v>0</v>
      </c>
      <c r="F72" s="186">
        <f>'TỒN KHO HÀ LẦM'!T18</f>
        <v>0</v>
      </c>
      <c r="G72" s="186">
        <f>'TỒN KHO HÀ LẦM'!U18</f>
        <v>17</v>
      </c>
      <c r="H72" s="186">
        <f>'TỒN KHO HÀ LẦM'!V18</f>
        <v>30</v>
      </c>
      <c r="I72" s="186"/>
    </row>
    <row r="73" spans="1:9" ht="25.2" hidden="1" customHeight="1" x14ac:dyDescent="0.3">
      <c r="A73" s="186"/>
      <c r="B73" s="458" t="s">
        <v>892</v>
      </c>
      <c r="C73" s="334" t="s">
        <v>785</v>
      </c>
      <c r="D73" s="186">
        <f>'TỒN KHO HUẾ'!R22</f>
        <v>11</v>
      </c>
      <c r="E73" s="186">
        <f>'TỒN KHO HUẾ'!S22</f>
        <v>11</v>
      </c>
      <c r="F73" s="186">
        <f>'TỒN KHO HUẾ'!T22</f>
        <v>0</v>
      </c>
      <c r="G73" s="186">
        <f>'TỒN KHO HUẾ'!U22</f>
        <v>148</v>
      </c>
      <c r="H73" s="186">
        <f>'TỒN KHO HUẾ'!V22</f>
        <v>28</v>
      </c>
      <c r="I73" s="186"/>
    </row>
    <row r="74" spans="1:9" ht="25.2" hidden="1" customHeight="1" x14ac:dyDescent="0.3">
      <c r="A74" s="186"/>
      <c r="B74" s="459"/>
      <c r="C74" s="332" t="s">
        <v>405</v>
      </c>
      <c r="D74" s="186">
        <f>'TỒN KHO TĂNG ÁP'!R22</f>
        <v>20</v>
      </c>
      <c r="E74" s="186">
        <f>'TỒN KHO TĂNG ÁP'!S22</f>
        <v>9</v>
      </c>
      <c r="F74" s="186">
        <f>'TỒN KHO TĂNG ÁP'!T22</f>
        <v>0</v>
      </c>
      <c r="G74" s="186">
        <f>'TỒN KHO TĂNG ÁP'!U22</f>
        <v>230</v>
      </c>
      <c r="H74" s="186">
        <f>'TỒN KHO TĂNG ÁP'!V22</f>
        <v>45</v>
      </c>
      <c r="I74" s="186"/>
    </row>
    <row r="75" spans="1:9" ht="25.2" hidden="1" customHeight="1" x14ac:dyDescent="0.3">
      <c r="A75" s="186"/>
      <c r="B75" s="459"/>
      <c r="C75" s="333" t="s">
        <v>556</v>
      </c>
      <c r="D75" s="186">
        <f>'Tồn kho VP'!R21</f>
        <v>0</v>
      </c>
      <c r="E75" s="186">
        <f>'Tồn kho VP'!S21</f>
        <v>1</v>
      </c>
      <c r="F75" s="186">
        <f>'Tồn kho VP'!T21</f>
        <v>0</v>
      </c>
      <c r="G75" s="186">
        <f>'Tồn kho VP'!U21</f>
        <v>25</v>
      </c>
      <c r="H75" s="186">
        <f>'Tồn kho VP'!V21</f>
        <v>0</v>
      </c>
      <c r="I75" s="186"/>
    </row>
    <row r="76" spans="1:9" ht="25.2" hidden="1" customHeight="1" x14ac:dyDescent="0.3">
      <c r="A76" s="186"/>
      <c r="B76" s="459"/>
      <c r="C76" s="186" t="s">
        <v>589</v>
      </c>
      <c r="D76" s="186">
        <f>'tồn xe'!O14</f>
        <v>0</v>
      </c>
      <c r="E76" s="186">
        <f>'tồn xe'!P14</f>
        <v>0</v>
      </c>
      <c r="F76" s="186">
        <f>'tồn xe'!Q14</f>
        <v>0</v>
      </c>
      <c r="G76" s="186">
        <f>'tồn xe'!R14</f>
        <v>0</v>
      </c>
      <c r="H76" s="186">
        <f>'tồn xe'!S14</f>
        <v>0</v>
      </c>
      <c r="I76" s="186"/>
    </row>
    <row r="77" spans="1:9" ht="25.2" hidden="1" customHeight="1" x14ac:dyDescent="0.3">
      <c r="A77" s="186"/>
      <c r="B77" s="460"/>
      <c r="C77" s="186" t="s">
        <v>612</v>
      </c>
      <c r="D77" s="186">
        <f>'TỒN KHO HÀ LẦM'!R19</f>
        <v>0</v>
      </c>
      <c r="E77" s="186">
        <f>'TỒN KHO HÀ LẦM'!S19</f>
        <v>0</v>
      </c>
      <c r="F77" s="186">
        <f>'TỒN KHO HÀ LẦM'!T19</f>
        <v>0</v>
      </c>
      <c r="G77" s="186">
        <f>'TỒN KHO HÀ LẦM'!U19</f>
        <v>17</v>
      </c>
      <c r="H77" s="186">
        <f>'TỒN KHO HÀ LẦM'!V19</f>
        <v>30</v>
      </c>
      <c r="I77" s="186"/>
    </row>
    <row r="78" spans="1:9" ht="31.2" hidden="1" customHeight="1" x14ac:dyDescent="0.3">
      <c r="A78" s="186"/>
      <c r="B78" s="458" t="s">
        <v>894</v>
      </c>
      <c r="C78" s="334" t="s">
        <v>926</v>
      </c>
      <c r="D78" s="186">
        <f>'TỒN KHO HUẾ'!R23</f>
        <v>0</v>
      </c>
      <c r="E78" s="186">
        <f>'TỒN KHO HUẾ'!S23</f>
        <v>8</v>
      </c>
      <c r="F78" s="186">
        <f>'TỒN KHO HUẾ'!T23</f>
        <v>0</v>
      </c>
      <c r="G78" s="186">
        <f>'TỒN KHO HUẾ'!U23</f>
        <v>192</v>
      </c>
      <c r="H78" s="186">
        <f>'TỒN KHO HUẾ'!V23</f>
        <v>11</v>
      </c>
      <c r="I78" s="186"/>
    </row>
    <row r="79" spans="1:9" ht="31.2" hidden="1" customHeight="1" x14ac:dyDescent="0.3">
      <c r="A79" s="186"/>
      <c r="B79" s="459"/>
      <c r="C79" s="332" t="s">
        <v>405</v>
      </c>
      <c r="D79" s="186">
        <f>'TỒN KHO TĂNG ÁP'!R23</f>
        <v>1</v>
      </c>
      <c r="E79" s="186">
        <f>'TỒN KHO TĂNG ÁP'!S23</f>
        <v>7</v>
      </c>
      <c r="F79" s="186">
        <f>'TỒN KHO TĂNG ÁP'!T23</f>
        <v>0</v>
      </c>
      <c r="G79" s="186">
        <f>'TỒN KHO TĂNG ÁP'!U23</f>
        <v>214</v>
      </c>
      <c r="H79" s="186">
        <f>'TỒN KHO TĂNG ÁP'!V23</f>
        <v>4</v>
      </c>
      <c r="I79" s="186"/>
    </row>
    <row r="80" spans="1:9" ht="31.2" hidden="1" customHeight="1" x14ac:dyDescent="0.3">
      <c r="A80" s="186"/>
      <c r="B80" s="459"/>
      <c r="C80" s="333" t="s">
        <v>556</v>
      </c>
      <c r="D80" s="186">
        <f>'Tồn kho VP'!R22</f>
        <v>0</v>
      </c>
      <c r="E80" s="186">
        <f>'Tồn kho VP'!S22</f>
        <v>1</v>
      </c>
      <c r="F80" s="186">
        <f>'Tồn kho VP'!T22</f>
        <v>0</v>
      </c>
      <c r="G80" s="186">
        <f>'Tồn kho VP'!U22</f>
        <v>24</v>
      </c>
      <c r="H80" s="186">
        <f>'Tồn kho VP'!V22</f>
        <v>0</v>
      </c>
      <c r="I80" s="186"/>
    </row>
    <row r="81" spans="1:9" ht="31.2" hidden="1" customHeight="1" x14ac:dyDescent="0.3">
      <c r="A81" s="186"/>
      <c r="B81" s="459"/>
      <c r="C81" s="186" t="s">
        <v>589</v>
      </c>
      <c r="D81" s="186"/>
      <c r="E81" s="186"/>
      <c r="F81" s="186"/>
      <c r="G81" s="186"/>
      <c r="H81" s="186"/>
      <c r="I81" s="186"/>
    </row>
    <row r="82" spans="1:9" ht="31.2" hidden="1" customHeight="1" x14ac:dyDescent="0.3">
      <c r="A82" s="186"/>
      <c r="B82" s="460"/>
      <c r="C82" s="186" t="s">
        <v>612</v>
      </c>
      <c r="D82" s="186">
        <f>'TỒN KHO HÀ LẦM'!R19</f>
        <v>0</v>
      </c>
      <c r="E82" s="186">
        <f>'TỒN KHO HÀ LẦM'!S19</f>
        <v>0</v>
      </c>
      <c r="F82" s="186">
        <f>'TỒN KHO HÀ LẦM'!T19</f>
        <v>0</v>
      </c>
      <c r="G82" s="186">
        <f>'TỒN KHO HÀ LẦM'!U19</f>
        <v>17</v>
      </c>
      <c r="H82" s="186">
        <f>'TỒN KHO HÀ LẦM'!V19</f>
        <v>30</v>
      </c>
      <c r="I82" s="186"/>
    </row>
    <row r="83" spans="1:9" ht="27" customHeight="1" x14ac:dyDescent="0.3">
      <c r="A83" s="186"/>
      <c r="B83" s="458" t="s">
        <v>925</v>
      </c>
      <c r="C83" s="334" t="s">
        <v>926</v>
      </c>
      <c r="D83" s="186">
        <f>'TỒN KHO HUẾ'!R24</f>
        <v>0</v>
      </c>
      <c r="E83" s="186">
        <f>'TỒN KHO HUẾ'!S24</f>
        <v>28</v>
      </c>
      <c r="F83" s="186">
        <f>'TỒN KHO HUẾ'!T24</f>
        <v>0</v>
      </c>
      <c r="G83" s="186">
        <f>'TỒN KHO HUẾ'!U24</f>
        <v>213</v>
      </c>
      <c r="H83" s="186">
        <f>'TỒN KHO HUẾ'!V24</f>
        <v>30</v>
      </c>
      <c r="I83" s="186"/>
    </row>
    <row r="84" spans="1:9" ht="27" customHeight="1" x14ac:dyDescent="0.3">
      <c r="A84" s="186"/>
      <c r="B84" s="459"/>
      <c r="C84" s="332" t="s">
        <v>405</v>
      </c>
      <c r="D84" s="186">
        <f>'TỒN KHO TĂNG ÁP'!R24</f>
        <v>1</v>
      </c>
      <c r="E84" s="186">
        <f>'TỒN KHO TĂNG ÁP'!S24</f>
        <v>47</v>
      </c>
      <c r="F84" s="186">
        <f>'TỒN KHO TĂNG ÁP'!T24</f>
        <v>0</v>
      </c>
      <c r="G84" s="186">
        <f>'TỒN KHO TĂNG ÁP'!U24</f>
        <v>237</v>
      </c>
      <c r="H84" s="186">
        <f>'TỒN KHO TĂNG ÁP'!V24</f>
        <v>4</v>
      </c>
      <c r="I84" s="186"/>
    </row>
    <row r="85" spans="1:9" ht="27" customHeight="1" x14ac:dyDescent="0.3">
      <c r="A85" s="186"/>
      <c r="B85" s="459"/>
      <c r="C85" s="333" t="s">
        <v>556</v>
      </c>
      <c r="D85" s="186">
        <f>'Tồn kho VP'!R22</f>
        <v>0</v>
      </c>
      <c r="E85" s="186">
        <f>'Tồn kho VP'!S22</f>
        <v>1</v>
      </c>
      <c r="F85" s="186">
        <f>'Tồn kho VP'!T22</f>
        <v>0</v>
      </c>
      <c r="G85" s="186">
        <f>'Tồn kho VP'!U22</f>
        <v>24</v>
      </c>
      <c r="H85" s="186">
        <f>'Tồn kho VP'!V22</f>
        <v>0</v>
      </c>
      <c r="I85" s="186"/>
    </row>
    <row r="86" spans="1:9" ht="27" customHeight="1" x14ac:dyDescent="0.3">
      <c r="A86" s="186"/>
      <c r="B86" s="459"/>
      <c r="C86" s="186" t="s">
        <v>589</v>
      </c>
      <c r="D86" s="186"/>
      <c r="E86" s="186"/>
      <c r="F86" s="186"/>
      <c r="G86" s="186"/>
      <c r="H86" s="186"/>
      <c r="I86" s="186"/>
    </row>
    <row r="87" spans="1:9" ht="27" customHeight="1" x14ac:dyDescent="0.3">
      <c r="A87" s="186"/>
      <c r="B87" s="460"/>
      <c r="C87" s="186" t="s">
        <v>612</v>
      </c>
      <c r="D87" s="186">
        <f>'TỒN KHO HÀ LẦM'!R20</f>
        <v>0</v>
      </c>
      <c r="E87" s="186">
        <f>'TỒN KHO HÀ LẦM'!S20</f>
        <v>0</v>
      </c>
      <c r="F87" s="186">
        <f>'TỒN KHO HÀ LẦM'!T20</f>
        <v>0</v>
      </c>
      <c r="G87" s="186">
        <f>'TỒN KHO HÀ LẦM'!U20</f>
        <v>17</v>
      </c>
      <c r="H87" s="186">
        <f>'TỒN KHO HÀ LẦM'!V20</f>
        <v>19</v>
      </c>
      <c r="I87" s="186"/>
    </row>
    <row r="88" spans="1:9" ht="25.2" customHeight="1" x14ac:dyDescent="0.3">
      <c r="A88" s="186"/>
      <c r="B88" s="458" t="s">
        <v>955</v>
      </c>
      <c r="C88" s="334" t="s">
        <v>926</v>
      </c>
      <c r="D88" s="186">
        <f>'TỒN KHO HUẾ'!R26</f>
        <v>10</v>
      </c>
      <c r="E88" s="186">
        <f>'TỒN KHO HUẾ'!S26</f>
        <v>28</v>
      </c>
      <c r="F88" s="186">
        <f>'TỒN KHO HUẾ'!T26</f>
        <v>0</v>
      </c>
      <c r="G88" s="186">
        <f>'TỒN KHO HUẾ'!U26</f>
        <v>201</v>
      </c>
      <c r="H88" s="186">
        <f>'TỒN KHO HUẾ'!V26</f>
        <v>6</v>
      </c>
      <c r="I88" s="186"/>
    </row>
    <row r="89" spans="1:9" ht="25.2" customHeight="1" x14ac:dyDescent="0.3">
      <c r="A89" s="186"/>
      <c r="B89" s="459"/>
      <c r="C89" s="332" t="s">
        <v>405</v>
      </c>
      <c r="D89" s="186">
        <f>'TỒN KHO TĂNG ÁP'!R25</f>
        <v>15</v>
      </c>
      <c r="E89" s="186">
        <f>'TỒN KHO TĂNG ÁP'!S25</f>
        <v>43</v>
      </c>
      <c r="F89" s="186">
        <f>'TỒN KHO TĂNG ÁP'!T25</f>
        <v>0</v>
      </c>
      <c r="G89" s="186">
        <f>'TỒN KHO TĂNG ÁP'!U25</f>
        <v>312</v>
      </c>
      <c r="H89" s="186">
        <f>'TỒN KHO TĂNG ÁP'!V25</f>
        <v>54</v>
      </c>
      <c r="I89" s="186"/>
    </row>
    <row r="90" spans="1:9" ht="25.2" customHeight="1" x14ac:dyDescent="0.3">
      <c r="A90" s="186"/>
      <c r="B90" s="459"/>
      <c r="C90" s="333" t="s">
        <v>556</v>
      </c>
      <c r="D90" s="186"/>
      <c r="E90" s="186"/>
      <c r="F90" s="186"/>
      <c r="G90" s="186"/>
      <c r="H90" s="186"/>
      <c r="I90" s="186"/>
    </row>
    <row r="91" spans="1:9" ht="25.2" customHeight="1" x14ac:dyDescent="0.3">
      <c r="A91" s="186"/>
      <c r="B91" s="459"/>
      <c r="C91" s="186" t="s">
        <v>589</v>
      </c>
      <c r="D91" s="186">
        <f>'tồn xe'!O15</f>
        <v>0</v>
      </c>
      <c r="E91" s="186">
        <f>'tồn xe'!P15</f>
        <v>0</v>
      </c>
      <c r="F91" s="186">
        <f>'tồn xe'!Q15</f>
        <v>6</v>
      </c>
      <c r="G91" s="186">
        <f>'tồn xe'!R15</f>
        <v>0</v>
      </c>
      <c r="H91" s="186">
        <f>'tồn xe'!S15</f>
        <v>0</v>
      </c>
      <c r="I91" s="186"/>
    </row>
    <row r="92" spans="1:9" ht="25.2" customHeight="1" x14ac:dyDescent="0.3">
      <c r="A92" s="186"/>
      <c r="B92" s="460"/>
      <c r="C92" s="186" t="s">
        <v>612</v>
      </c>
      <c r="D92" s="186">
        <f>'TỒN KHO HÀ LẦM'!R21</f>
        <v>0</v>
      </c>
      <c r="E92" s="186">
        <f>'TỒN KHO HÀ LẦM'!S21</f>
        <v>0</v>
      </c>
      <c r="F92" s="186">
        <f>'TỒN KHO HÀ LẦM'!T21</f>
        <v>0</v>
      </c>
      <c r="G92" s="186">
        <f>'TỒN KHO HÀ LẦM'!U21</f>
        <v>17</v>
      </c>
      <c r="H92" s="186">
        <f>'TỒN KHO HÀ LẦM'!V21</f>
        <v>19</v>
      </c>
      <c r="I92" s="186"/>
    </row>
    <row r="93" spans="1:9" x14ac:dyDescent="0.3">
      <c r="A93" s="186"/>
      <c r="B93" s="187"/>
      <c r="C93" s="187"/>
      <c r="D93" s="186"/>
      <c r="E93" s="186"/>
      <c r="F93" s="186"/>
      <c r="G93" s="186"/>
      <c r="H93" s="186"/>
      <c r="I93" s="186"/>
    </row>
    <row r="94" spans="1:9" x14ac:dyDescent="0.3">
      <c r="A94" s="186"/>
      <c r="B94" s="187"/>
      <c r="C94" s="187"/>
      <c r="D94" s="186"/>
      <c r="E94" s="186"/>
      <c r="F94" s="186"/>
      <c r="G94" s="186"/>
      <c r="H94" s="186"/>
      <c r="I94" s="186"/>
    </row>
    <row r="95" spans="1:9" x14ac:dyDescent="0.3">
      <c r="A95" s="186"/>
      <c r="B95" s="187"/>
      <c r="C95" s="187"/>
      <c r="D95" s="186"/>
      <c r="E95" s="186"/>
      <c r="F95" s="186"/>
      <c r="G95" s="186"/>
      <c r="H95" s="186"/>
      <c r="I95" s="186"/>
    </row>
    <row r="96" spans="1:9" x14ac:dyDescent="0.3">
      <c r="A96" s="186"/>
      <c r="B96" s="187"/>
      <c r="C96" s="187"/>
      <c r="D96" s="186"/>
      <c r="E96" s="186"/>
      <c r="F96" s="186"/>
      <c r="G96" s="186"/>
      <c r="H96" s="186"/>
      <c r="I96" s="186"/>
    </row>
    <row r="97" spans="1:9" x14ac:dyDescent="0.3">
      <c r="A97" s="186"/>
      <c r="B97" s="187"/>
      <c r="C97" s="187"/>
      <c r="D97" s="186"/>
      <c r="E97" s="186"/>
      <c r="F97" s="186"/>
      <c r="G97" s="186"/>
      <c r="H97" s="186"/>
      <c r="I97" s="186"/>
    </row>
    <row r="98" spans="1:9" x14ac:dyDescent="0.3">
      <c r="A98" s="186"/>
      <c r="B98" s="187"/>
      <c r="C98" s="187"/>
      <c r="D98" s="186"/>
      <c r="E98" s="186"/>
      <c r="F98" s="186"/>
      <c r="G98" s="186"/>
      <c r="H98" s="186"/>
      <c r="I98" s="186"/>
    </row>
    <row r="99" spans="1:9" x14ac:dyDescent="0.3">
      <c r="A99" s="186"/>
      <c r="B99" s="187"/>
      <c r="C99" s="187"/>
      <c r="D99" s="186"/>
      <c r="E99" s="186"/>
      <c r="F99" s="186"/>
      <c r="G99" s="186"/>
      <c r="H99" s="186"/>
      <c r="I99" s="186"/>
    </row>
    <row r="100" spans="1:9" x14ac:dyDescent="0.3">
      <c r="A100" s="186"/>
      <c r="B100" s="187"/>
      <c r="C100" s="187"/>
      <c r="D100" s="186"/>
      <c r="E100" s="186"/>
      <c r="F100" s="186"/>
      <c r="G100" s="186"/>
      <c r="H100" s="186"/>
      <c r="I100" s="186"/>
    </row>
    <row r="101" spans="1:9" x14ac:dyDescent="0.3">
      <c r="A101" s="186"/>
      <c r="B101" s="187"/>
      <c r="C101" s="187"/>
      <c r="D101" s="186"/>
      <c r="E101" s="186"/>
      <c r="F101" s="186"/>
      <c r="G101" s="186"/>
      <c r="H101" s="186"/>
      <c r="I101" s="186"/>
    </row>
    <row r="102" spans="1:9" x14ac:dyDescent="0.3">
      <c r="A102" s="186"/>
      <c r="B102" s="187"/>
      <c r="C102" s="187"/>
      <c r="D102" s="186"/>
      <c r="E102" s="186"/>
      <c r="F102" s="186"/>
      <c r="G102" s="186"/>
      <c r="H102" s="186"/>
      <c r="I102" s="186"/>
    </row>
    <row r="103" spans="1:9" x14ac:dyDescent="0.3">
      <c r="A103" s="186"/>
      <c r="B103" s="187"/>
      <c r="C103" s="187"/>
      <c r="D103" s="186"/>
      <c r="E103" s="186"/>
      <c r="F103" s="186"/>
      <c r="G103" s="186"/>
      <c r="H103" s="186"/>
      <c r="I103" s="186"/>
    </row>
    <row r="104" spans="1:9" x14ac:dyDescent="0.3">
      <c r="A104" s="186"/>
      <c r="B104" s="187"/>
      <c r="C104" s="187"/>
      <c r="D104" s="186"/>
      <c r="E104" s="186"/>
      <c r="F104" s="186"/>
      <c r="G104" s="186"/>
      <c r="H104" s="186"/>
      <c r="I104" s="186"/>
    </row>
    <row r="105" spans="1:9" x14ac:dyDescent="0.3">
      <c r="A105" s="186"/>
      <c r="B105" s="187"/>
      <c r="C105" s="187"/>
      <c r="D105" s="186"/>
      <c r="E105" s="186"/>
      <c r="F105" s="186"/>
      <c r="G105" s="186"/>
      <c r="H105" s="186"/>
      <c r="I105" s="186"/>
    </row>
    <row r="106" spans="1:9" x14ac:dyDescent="0.3">
      <c r="A106" s="186"/>
      <c r="B106" s="187"/>
      <c r="C106" s="187"/>
      <c r="D106" s="186"/>
      <c r="E106" s="186"/>
      <c r="F106" s="186"/>
      <c r="G106" s="186"/>
      <c r="H106" s="186"/>
      <c r="I106" s="186"/>
    </row>
    <row r="107" spans="1:9" x14ac:dyDescent="0.3">
      <c r="A107" s="186"/>
      <c r="B107" s="187"/>
      <c r="C107" s="187"/>
      <c r="D107" s="186"/>
      <c r="E107" s="186"/>
      <c r="F107" s="186"/>
      <c r="G107" s="186"/>
      <c r="H107" s="186"/>
      <c r="I107" s="186"/>
    </row>
    <row r="108" spans="1:9" x14ac:dyDescent="0.3">
      <c r="A108" s="186"/>
      <c r="B108" s="187"/>
      <c r="C108" s="187"/>
      <c r="D108" s="186"/>
      <c r="E108" s="186"/>
      <c r="F108" s="186"/>
      <c r="G108" s="186"/>
      <c r="H108" s="186"/>
      <c r="I108" s="186"/>
    </row>
    <row r="109" spans="1:9" x14ac:dyDescent="0.3">
      <c r="A109" s="186"/>
      <c r="B109" s="187"/>
      <c r="C109" s="187"/>
      <c r="D109" s="186"/>
      <c r="E109" s="186"/>
      <c r="F109" s="186"/>
      <c r="G109" s="186"/>
      <c r="H109" s="186"/>
      <c r="I109" s="186"/>
    </row>
    <row r="110" spans="1:9" x14ac:dyDescent="0.3">
      <c r="A110" s="186"/>
      <c r="B110" s="187"/>
      <c r="C110" s="187"/>
      <c r="D110" s="186"/>
      <c r="E110" s="186"/>
      <c r="F110" s="186"/>
      <c r="G110" s="186"/>
      <c r="H110" s="186"/>
      <c r="I110" s="186"/>
    </row>
    <row r="111" spans="1:9" x14ac:dyDescent="0.3">
      <c r="A111" s="186"/>
      <c r="B111" s="187"/>
      <c r="C111" s="187"/>
      <c r="D111" s="186"/>
      <c r="E111" s="186"/>
      <c r="F111" s="186"/>
      <c r="G111" s="186"/>
      <c r="H111" s="186"/>
      <c r="I111" s="186"/>
    </row>
    <row r="112" spans="1:9" x14ac:dyDescent="0.3">
      <c r="A112" s="186"/>
      <c r="B112" s="187"/>
      <c r="C112" s="187"/>
      <c r="D112" s="186"/>
      <c r="E112" s="186"/>
      <c r="F112" s="186"/>
      <c r="G112" s="186"/>
      <c r="H112" s="186"/>
      <c r="I112" s="186"/>
    </row>
    <row r="113" spans="1:9" x14ac:dyDescent="0.3">
      <c r="A113" s="186"/>
      <c r="B113" s="187"/>
      <c r="C113" s="187"/>
      <c r="D113" s="186"/>
      <c r="E113" s="186"/>
      <c r="F113" s="186"/>
      <c r="G113" s="186"/>
      <c r="H113" s="186"/>
      <c r="I113" s="186"/>
    </row>
    <row r="114" spans="1:9" x14ac:dyDescent="0.3">
      <c r="A114" s="186"/>
      <c r="B114" s="187"/>
      <c r="C114" s="187"/>
      <c r="D114" s="186"/>
      <c r="E114" s="186"/>
      <c r="F114" s="186"/>
      <c r="G114" s="186"/>
      <c r="H114" s="186"/>
      <c r="I114" s="186"/>
    </row>
    <row r="115" spans="1:9" x14ac:dyDescent="0.3">
      <c r="A115" s="186"/>
      <c r="B115" s="187"/>
      <c r="C115" s="187"/>
      <c r="D115" s="186"/>
      <c r="E115" s="186"/>
      <c r="F115" s="186"/>
      <c r="G115" s="186"/>
      <c r="H115" s="186"/>
      <c r="I115" s="186"/>
    </row>
    <row r="116" spans="1:9" x14ac:dyDescent="0.3">
      <c r="A116" s="186"/>
      <c r="B116" s="187"/>
      <c r="C116" s="187"/>
      <c r="D116" s="186"/>
      <c r="E116" s="186"/>
      <c r="F116" s="186"/>
      <c r="G116" s="186"/>
      <c r="H116" s="186"/>
      <c r="I116" s="186"/>
    </row>
    <row r="117" spans="1:9" x14ac:dyDescent="0.3">
      <c r="A117" s="186"/>
      <c r="B117" s="187"/>
      <c r="C117" s="187"/>
      <c r="D117" s="186"/>
      <c r="E117" s="186"/>
      <c r="F117" s="186"/>
      <c r="G117" s="186"/>
      <c r="H117" s="186"/>
      <c r="I117" s="186"/>
    </row>
    <row r="118" spans="1:9" x14ac:dyDescent="0.3">
      <c r="A118" s="186"/>
      <c r="B118" s="187"/>
      <c r="C118" s="187"/>
      <c r="D118" s="186"/>
      <c r="E118" s="186"/>
      <c r="F118" s="186"/>
      <c r="G118" s="186"/>
      <c r="H118" s="186"/>
      <c r="I118" s="186"/>
    </row>
    <row r="119" spans="1:9" x14ac:dyDescent="0.3">
      <c r="A119" s="186"/>
      <c r="B119" s="187"/>
      <c r="C119" s="187"/>
      <c r="D119" s="186"/>
      <c r="E119" s="186"/>
      <c r="F119" s="186"/>
      <c r="G119" s="186"/>
      <c r="H119" s="186"/>
      <c r="I119" s="186"/>
    </row>
    <row r="120" spans="1:9" x14ac:dyDescent="0.3">
      <c r="A120" s="186"/>
      <c r="B120" s="187"/>
      <c r="C120" s="187"/>
      <c r="D120" s="186"/>
      <c r="E120" s="186"/>
      <c r="F120" s="186"/>
      <c r="G120" s="186"/>
      <c r="H120" s="186"/>
      <c r="I120" s="186"/>
    </row>
    <row r="121" spans="1:9" x14ac:dyDescent="0.3">
      <c r="A121" s="186"/>
      <c r="B121" s="187"/>
      <c r="C121" s="187"/>
      <c r="D121" s="186"/>
      <c r="E121" s="186"/>
      <c r="F121" s="186"/>
      <c r="G121" s="186"/>
      <c r="H121" s="186"/>
      <c r="I121" s="186"/>
    </row>
    <row r="122" spans="1:9" x14ac:dyDescent="0.3">
      <c r="A122" s="186"/>
      <c r="B122" s="187"/>
      <c r="C122" s="187"/>
      <c r="D122" s="186"/>
      <c r="E122" s="186"/>
      <c r="F122" s="186"/>
      <c r="G122" s="186"/>
      <c r="H122" s="186"/>
      <c r="I122" s="186"/>
    </row>
    <row r="123" spans="1:9" x14ac:dyDescent="0.3">
      <c r="A123" s="186"/>
      <c r="B123" s="187"/>
      <c r="C123" s="187"/>
      <c r="D123" s="186"/>
      <c r="E123" s="186"/>
      <c r="F123" s="186"/>
      <c r="G123" s="186"/>
      <c r="H123" s="186"/>
      <c r="I123" s="186"/>
    </row>
  </sheetData>
  <mergeCells count="23">
    <mergeCell ref="B38:B42"/>
    <mergeCell ref="A1:A2"/>
    <mergeCell ref="B1:B2"/>
    <mergeCell ref="B33:B37"/>
    <mergeCell ref="B28:B32"/>
    <mergeCell ref="B23:B27"/>
    <mergeCell ref="B18:B22"/>
    <mergeCell ref="B88:B92"/>
    <mergeCell ref="B83:B87"/>
    <mergeCell ref="B78:B82"/>
    <mergeCell ref="D1:H1"/>
    <mergeCell ref="B6:B8"/>
    <mergeCell ref="B13:B17"/>
    <mergeCell ref="B9:B12"/>
    <mergeCell ref="B3:B5"/>
    <mergeCell ref="C1:C2"/>
    <mergeCell ref="B73:B77"/>
    <mergeCell ref="B68:B72"/>
    <mergeCell ref="B63:B67"/>
    <mergeCell ref="B58:B62"/>
    <mergeCell ref="B53:B57"/>
    <mergeCell ref="B43:B47"/>
    <mergeCell ref="B48:B5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104"/>
  <sheetViews>
    <sheetView topLeftCell="D1" zoomScaleNormal="100" workbookViewId="0">
      <selection activeCell="R26" sqref="R26"/>
    </sheetView>
  </sheetViews>
  <sheetFormatPr defaultColWidth="10.109375" defaultRowHeight="14.4" x14ac:dyDescent="0.3"/>
  <cols>
    <col min="1" max="1" width="5.5546875" customWidth="1"/>
    <col min="2" max="2" width="21" style="77" customWidth="1"/>
    <col min="3" max="3" width="13.109375" customWidth="1"/>
    <col min="23" max="23" width="14.33203125" customWidth="1"/>
    <col min="24" max="24" width="23.33203125" style="124" customWidth="1"/>
    <col min="25" max="25" width="23.33203125" customWidth="1"/>
    <col min="26" max="26" width="14.33203125" customWidth="1"/>
    <col min="27" max="27" width="10.44140625"/>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76" t="s">
        <v>3</v>
      </c>
      <c r="B1" s="76" t="s">
        <v>377</v>
      </c>
      <c r="C1" s="468" t="s">
        <v>378</v>
      </c>
      <c r="D1" s="468"/>
      <c r="E1" s="468"/>
      <c r="F1" s="468"/>
      <c r="G1" s="468"/>
      <c r="H1" s="469" t="s">
        <v>379</v>
      </c>
      <c r="I1" s="469"/>
      <c r="J1" s="469"/>
      <c r="K1" s="469"/>
      <c r="L1" s="469"/>
      <c r="M1" s="470" t="s">
        <v>380</v>
      </c>
      <c r="N1" s="470"/>
      <c r="O1" s="470"/>
      <c r="P1" s="470"/>
      <c r="Q1" s="470"/>
      <c r="R1" s="471" t="s">
        <v>381</v>
      </c>
      <c r="S1" s="471"/>
      <c r="T1" s="471"/>
      <c r="U1" s="471"/>
      <c r="V1" s="471"/>
      <c r="W1" s="75" t="s">
        <v>450</v>
      </c>
      <c r="X1" s="116"/>
      <c r="Y1" s="115" t="s">
        <v>380</v>
      </c>
      <c r="Z1" s="115"/>
      <c r="AA1" s="115"/>
      <c r="AB1" s="115"/>
      <c r="AC1" s="115"/>
      <c r="AD1" s="115"/>
      <c r="AE1" s="115"/>
      <c r="AF1" s="115"/>
      <c r="AG1" s="115"/>
      <c r="AH1" s="115"/>
      <c r="AI1" s="115"/>
      <c r="AJ1" s="115"/>
      <c r="AK1" s="115"/>
      <c r="AL1" s="115"/>
    </row>
    <row r="2" spans="1:38" ht="30.6" customHeight="1" x14ac:dyDescent="0.3">
      <c r="A2" s="76"/>
      <c r="B2" s="76"/>
      <c r="C2" s="202"/>
      <c r="D2" s="202"/>
      <c r="E2" s="202"/>
      <c r="F2" s="202"/>
      <c r="G2" s="202"/>
      <c r="H2" s="203"/>
      <c r="I2" s="203"/>
      <c r="J2" s="203"/>
      <c r="K2" s="203"/>
      <c r="L2" s="203"/>
      <c r="M2" s="204"/>
      <c r="N2" s="204"/>
      <c r="O2" s="204"/>
      <c r="P2" s="204"/>
      <c r="Q2" s="204"/>
      <c r="R2" s="205"/>
      <c r="S2" s="205"/>
      <c r="T2" s="205"/>
      <c r="U2" s="205"/>
      <c r="V2" s="205"/>
      <c r="W2" s="75"/>
      <c r="X2" s="116"/>
      <c r="Y2" s="115"/>
      <c r="Z2" s="115"/>
      <c r="AA2" s="115"/>
      <c r="AB2" s="115"/>
      <c r="AC2" s="115"/>
      <c r="AD2" s="115"/>
      <c r="AE2" s="115"/>
      <c r="AF2" s="115"/>
      <c r="AG2" s="115"/>
      <c r="AH2" s="115"/>
      <c r="AI2" s="115"/>
      <c r="AJ2" s="115"/>
      <c r="AK2" s="115"/>
      <c r="AL2" s="115"/>
    </row>
    <row r="3" spans="1:38" ht="32.85" customHeight="1" x14ac:dyDescent="0.3">
      <c r="A3" s="75"/>
      <c r="B3" s="78"/>
      <c r="C3" s="94" t="s">
        <v>382</v>
      </c>
      <c r="D3" s="94" t="s">
        <v>383</v>
      </c>
      <c r="E3" s="94" t="s">
        <v>516</v>
      </c>
      <c r="F3" s="94" t="s">
        <v>384</v>
      </c>
      <c r="G3" s="94" t="s">
        <v>385</v>
      </c>
      <c r="H3" s="95" t="s">
        <v>382</v>
      </c>
      <c r="I3" s="95" t="s">
        <v>383</v>
      </c>
      <c r="J3" s="95" t="s">
        <v>515</v>
      </c>
      <c r="K3" s="95" t="s">
        <v>384</v>
      </c>
      <c r="L3" s="95" t="s">
        <v>385</v>
      </c>
      <c r="M3" s="96" t="s">
        <v>382</v>
      </c>
      <c r="N3" s="96" t="s">
        <v>383</v>
      </c>
      <c r="O3" s="96" t="s">
        <v>516</v>
      </c>
      <c r="P3" s="96" t="s">
        <v>384</v>
      </c>
      <c r="Q3" s="96" t="s">
        <v>385</v>
      </c>
      <c r="R3" s="223" t="s">
        <v>382</v>
      </c>
      <c r="S3" s="223" t="s">
        <v>383</v>
      </c>
      <c r="T3" s="223" t="s">
        <v>517</v>
      </c>
      <c r="U3" s="223" t="s">
        <v>384</v>
      </c>
      <c r="V3" s="223" t="s">
        <v>385</v>
      </c>
      <c r="W3" s="75"/>
      <c r="X3" s="122"/>
      <c r="Y3" s="107" t="s">
        <v>328</v>
      </c>
      <c r="Z3" s="107" t="s">
        <v>412</v>
      </c>
      <c r="AA3" s="108" t="s">
        <v>26</v>
      </c>
      <c r="AB3" s="106" t="s">
        <v>413</v>
      </c>
      <c r="AC3" s="106" t="s">
        <v>414</v>
      </c>
      <c r="AD3" s="106" t="s">
        <v>415</v>
      </c>
      <c r="AE3" s="106" t="s">
        <v>29</v>
      </c>
      <c r="AF3" s="106" t="s">
        <v>416</v>
      </c>
      <c r="AG3" s="106" t="s">
        <v>417</v>
      </c>
      <c r="AH3" s="106" t="s">
        <v>418</v>
      </c>
      <c r="AI3" s="106" t="s">
        <v>419</v>
      </c>
      <c r="AJ3" s="106" t="s">
        <v>420</v>
      </c>
      <c r="AK3" s="106" t="s">
        <v>42</v>
      </c>
      <c r="AL3" s="106" t="s">
        <v>421</v>
      </c>
    </row>
    <row r="4" spans="1:38" ht="32.85" hidden="1" customHeight="1" x14ac:dyDescent="0.35">
      <c r="A4" s="75"/>
      <c r="B4" s="78">
        <v>46273</v>
      </c>
      <c r="C4" s="75"/>
      <c r="D4" s="75">
        <v>0</v>
      </c>
      <c r="E4" s="75"/>
      <c r="F4" s="75">
        <v>17</v>
      </c>
      <c r="G4" s="75">
        <v>30</v>
      </c>
      <c r="H4" s="75"/>
      <c r="I4" s="75"/>
      <c r="J4" s="75"/>
      <c r="K4" s="75">
        <f>120</f>
        <v>120</v>
      </c>
      <c r="L4" s="75"/>
      <c r="M4" s="75"/>
      <c r="N4" s="75"/>
      <c r="O4" s="75"/>
      <c r="P4" s="75">
        <f>11+4+3</f>
        <v>18</v>
      </c>
      <c r="Q4" s="75"/>
      <c r="R4" s="75">
        <f>C4+H4-M4</f>
        <v>0</v>
      </c>
      <c r="S4" s="75">
        <f>D4+I4-N4</f>
        <v>0</v>
      </c>
      <c r="T4" s="75">
        <f>E4+J4-O4</f>
        <v>0</v>
      </c>
      <c r="U4" s="75">
        <f>F4+K4-P4</f>
        <v>119</v>
      </c>
      <c r="V4" s="75">
        <f>G4+L4-Q4</f>
        <v>30</v>
      </c>
      <c r="W4" s="75"/>
      <c r="X4" s="125"/>
      <c r="Y4" s="109"/>
      <c r="Z4" s="109"/>
      <c r="AA4" s="109"/>
      <c r="AB4" s="109"/>
      <c r="AC4" s="109"/>
      <c r="AD4" s="109"/>
      <c r="AE4" s="109"/>
      <c r="AF4" s="109"/>
      <c r="AG4" s="109"/>
      <c r="AH4" s="109"/>
      <c r="AI4" s="109"/>
      <c r="AJ4" s="109"/>
      <c r="AK4" s="109"/>
      <c r="AL4" s="109"/>
    </row>
    <row r="5" spans="1:38" ht="32.85" hidden="1" customHeight="1" x14ac:dyDescent="0.3">
      <c r="A5" s="75"/>
      <c r="B5" s="97" t="s">
        <v>398</v>
      </c>
      <c r="C5" s="75">
        <f t="shared" ref="C5:D7" si="0">R4</f>
        <v>0</v>
      </c>
      <c r="D5" s="75">
        <f t="shared" si="0"/>
        <v>0</v>
      </c>
      <c r="E5" s="75"/>
      <c r="F5" s="75">
        <f t="shared" ref="F5:G7" si="1">U4</f>
        <v>119</v>
      </c>
      <c r="G5" s="75">
        <f t="shared" si="1"/>
        <v>30</v>
      </c>
      <c r="H5" s="75"/>
      <c r="I5" s="75"/>
      <c r="J5" s="75"/>
      <c r="K5" s="75"/>
      <c r="L5" s="75"/>
      <c r="M5" s="75"/>
      <c r="N5" s="75"/>
      <c r="O5" s="75"/>
      <c r="P5" s="75"/>
      <c r="Q5" s="75"/>
      <c r="R5" s="75">
        <f t="shared" ref="R5:R9" si="2">C5+H5-M5</f>
        <v>0</v>
      </c>
      <c r="S5" s="75">
        <f t="shared" ref="S5:V6" si="3">D5+I5-N5</f>
        <v>0</v>
      </c>
      <c r="T5" s="75">
        <f t="shared" si="3"/>
        <v>0</v>
      </c>
      <c r="U5" s="75">
        <f t="shared" si="3"/>
        <v>119</v>
      </c>
      <c r="V5" s="75">
        <f t="shared" si="3"/>
        <v>30</v>
      </c>
      <c r="W5" s="75"/>
      <c r="X5" s="123">
        <v>46263</v>
      </c>
      <c r="Y5" s="110" t="s">
        <v>422</v>
      </c>
      <c r="Z5" s="110" t="s">
        <v>423</v>
      </c>
      <c r="AA5" s="110">
        <v>113</v>
      </c>
      <c r="AB5" s="110"/>
      <c r="AC5" s="110"/>
      <c r="AD5" s="110"/>
      <c r="AE5" s="110"/>
      <c r="AF5" s="110"/>
      <c r="AG5" s="110"/>
      <c r="AH5" s="110"/>
      <c r="AI5" s="110"/>
      <c r="AJ5" s="110"/>
      <c r="AK5" s="110"/>
      <c r="AL5" s="110"/>
    </row>
    <row r="6" spans="1:38" ht="32.85" hidden="1" customHeight="1" x14ac:dyDescent="0.3">
      <c r="A6" s="75"/>
      <c r="B6" s="97" t="s">
        <v>498</v>
      </c>
      <c r="C6" s="75">
        <f t="shared" si="0"/>
        <v>0</v>
      </c>
      <c r="D6" s="75">
        <f t="shared" si="0"/>
        <v>0</v>
      </c>
      <c r="E6" s="75"/>
      <c r="F6" s="75">
        <f t="shared" si="1"/>
        <v>119</v>
      </c>
      <c r="G6" s="75">
        <f t="shared" si="1"/>
        <v>30</v>
      </c>
      <c r="H6" s="75"/>
      <c r="I6" s="75"/>
      <c r="J6" s="75"/>
      <c r="K6" s="75"/>
      <c r="L6" s="75"/>
      <c r="M6" s="75"/>
      <c r="N6" s="75"/>
      <c r="O6" s="75"/>
      <c r="P6" s="75">
        <v>47</v>
      </c>
      <c r="Q6" s="75">
        <v>22</v>
      </c>
      <c r="R6" s="75">
        <f t="shared" si="2"/>
        <v>0</v>
      </c>
      <c r="S6" s="75">
        <f t="shared" si="3"/>
        <v>0</v>
      </c>
      <c r="T6" s="75">
        <f t="shared" si="3"/>
        <v>0</v>
      </c>
      <c r="U6" s="75">
        <f t="shared" si="3"/>
        <v>72</v>
      </c>
      <c r="V6" s="75">
        <f t="shared" si="3"/>
        <v>8</v>
      </c>
      <c r="W6" s="75"/>
      <c r="X6" s="123">
        <v>46263</v>
      </c>
      <c r="Y6" s="110" t="s">
        <v>424</v>
      </c>
      <c r="Z6" s="110" t="s">
        <v>423</v>
      </c>
      <c r="AA6" s="110">
        <v>44</v>
      </c>
      <c r="AB6" s="110"/>
      <c r="AC6" s="110"/>
      <c r="AD6" s="110"/>
      <c r="AE6" s="110"/>
      <c r="AF6" s="110"/>
      <c r="AG6" s="110"/>
      <c r="AH6" s="110"/>
      <c r="AI6" s="110"/>
      <c r="AJ6" s="110"/>
      <c r="AK6" s="110"/>
      <c r="AL6" s="110"/>
    </row>
    <row r="7" spans="1:38" ht="32.85" hidden="1" customHeight="1" x14ac:dyDescent="0.3">
      <c r="A7" s="75"/>
      <c r="B7" s="97" t="s">
        <v>533</v>
      </c>
      <c r="C7" s="75">
        <f t="shared" si="0"/>
        <v>0</v>
      </c>
      <c r="D7" s="75">
        <f t="shared" si="0"/>
        <v>0</v>
      </c>
      <c r="E7" s="75"/>
      <c r="F7" s="75">
        <f t="shared" si="1"/>
        <v>72</v>
      </c>
      <c r="G7" s="75">
        <f t="shared" si="1"/>
        <v>8</v>
      </c>
      <c r="H7" s="75"/>
      <c r="I7" s="75"/>
      <c r="J7" s="75"/>
      <c r="K7" s="75"/>
      <c r="L7" s="75"/>
      <c r="M7" s="75"/>
      <c r="N7" s="75"/>
      <c r="O7" s="75"/>
      <c r="P7" s="75">
        <v>32</v>
      </c>
      <c r="Q7" s="75"/>
      <c r="R7" s="75">
        <f t="shared" si="2"/>
        <v>0</v>
      </c>
      <c r="S7" s="75">
        <f t="shared" ref="S7" si="4">D7+I7-N7</f>
        <v>0</v>
      </c>
      <c r="T7" s="75">
        <f t="shared" ref="T7" si="5">E7+J7-O7</f>
        <v>0</v>
      </c>
      <c r="U7" s="75">
        <f t="shared" ref="U7" si="6">F7+K7-P7</f>
        <v>40</v>
      </c>
      <c r="V7" s="75">
        <f t="shared" ref="V7" si="7">G7+L7-Q7</f>
        <v>8</v>
      </c>
      <c r="W7" s="75"/>
      <c r="X7" s="123">
        <v>46264</v>
      </c>
      <c r="Y7" s="110" t="s">
        <v>425</v>
      </c>
      <c r="Z7" s="110" t="s">
        <v>423</v>
      </c>
      <c r="AA7" s="110"/>
      <c r="AB7" s="110"/>
      <c r="AC7" s="110"/>
      <c r="AD7" s="110"/>
      <c r="AE7" s="110">
        <v>1</v>
      </c>
      <c r="AF7" s="110"/>
      <c r="AG7" s="110"/>
      <c r="AH7" s="110"/>
      <c r="AI7" s="110"/>
      <c r="AJ7" s="110"/>
      <c r="AK7" s="110"/>
      <c r="AL7" s="110"/>
    </row>
    <row r="8" spans="1:38" ht="32.85" hidden="1" customHeight="1" x14ac:dyDescent="0.3">
      <c r="A8" s="75"/>
      <c r="B8" s="251" t="s">
        <v>564</v>
      </c>
      <c r="C8" s="75">
        <f t="shared" ref="C8" si="8">R7</f>
        <v>0</v>
      </c>
      <c r="D8" s="75">
        <f t="shared" ref="D8" si="9">S7</f>
        <v>0</v>
      </c>
      <c r="E8" s="75"/>
      <c r="F8" s="75">
        <f t="shared" ref="F8" si="10">U7</f>
        <v>40</v>
      </c>
      <c r="G8" s="75">
        <f t="shared" ref="G8" si="11">V7</f>
        <v>8</v>
      </c>
      <c r="H8" s="75"/>
      <c r="I8" s="75"/>
      <c r="J8" s="75"/>
      <c r="K8" s="75"/>
      <c r="L8" s="75"/>
      <c r="M8" s="75"/>
      <c r="N8" s="75"/>
      <c r="O8" s="75"/>
      <c r="P8" s="75">
        <v>32</v>
      </c>
      <c r="Q8" s="75"/>
      <c r="R8" s="75">
        <f t="shared" si="2"/>
        <v>0</v>
      </c>
      <c r="S8" s="75">
        <f t="shared" ref="S8" si="12">D8+I8-N8</f>
        <v>0</v>
      </c>
      <c r="T8" s="75">
        <f t="shared" ref="T8" si="13">E8+J8-O8</f>
        <v>0</v>
      </c>
      <c r="U8" s="75">
        <f t="shared" ref="U8" si="14">F8+K8-P8</f>
        <v>8</v>
      </c>
      <c r="V8" s="75">
        <f t="shared" ref="V8" si="15">G8+L8-Q8</f>
        <v>8</v>
      </c>
      <c r="W8" s="75"/>
      <c r="X8" s="123">
        <v>46264</v>
      </c>
      <c r="Y8" s="111" t="s">
        <v>426</v>
      </c>
      <c r="Z8" s="110" t="s">
        <v>423</v>
      </c>
      <c r="AA8" s="111"/>
      <c r="AB8" s="112"/>
      <c r="AC8" s="110"/>
      <c r="AD8" s="110"/>
      <c r="AE8" s="110">
        <v>2</v>
      </c>
      <c r="AF8" s="110"/>
      <c r="AG8" s="110"/>
      <c r="AH8" s="110"/>
      <c r="AI8" s="110"/>
      <c r="AJ8" s="110"/>
      <c r="AK8" s="110"/>
      <c r="AL8" s="110"/>
    </row>
    <row r="9" spans="1:38" ht="35.1" hidden="1" customHeight="1" x14ac:dyDescent="0.3">
      <c r="A9" s="75"/>
      <c r="B9" s="83" t="s">
        <v>582</v>
      </c>
      <c r="C9" s="75">
        <f t="shared" ref="C9" si="16">R8</f>
        <v>0</v>
      </c>
      <c r="D9" s="75">
        <f t="shared" ref="D9" si="17">S8</f>
        <v>0</v>
      </c>
      <c r="E9" s="75"/>
      <c r="F9" s="75">
        <f t="shared" ref="F9" si="18">U8</f>
        <v>8</v>
      </c>
      <c r="G9" s="75">
        <f t="shared" ref="G9" si="19">V8</f>
        <v>8</v>
      </c>
      <c r="H9" s="75"/>
      <c r="I9" s="75"/>
      <c r="J9" s="75"/>
      <c r="K9" s="75"/>
      <c r="L9" s="75"/>
      <c r="M9" s="75"/>
      <c r="N9" s="75"/>
      <c r="O9" s="75"/>
      <c r="P9" s="75">
        <v>8</v>
      </c>
      <c r="Q9" s="75"/>
      <c r="R9" s="75">
        <f t="shared" si="2"/>
        <v>0</v>
      </c>
      <c r="S9" s="75">
        <f t="shared" ref="S9" si="20">D9+I9-N9</f>
        <v>0</v>
      </c>
      <c r="T9" s="75">
        <f t="shared" ref="T9" si="21">E9+J9-O9</f>
        <v>0</v>
      </c>
      <c r="U9" s="75">
        <f t="shared" ref="U9" si="22">F9+K9-P9</f>
        <v>0</v>
      </c>
      <c r="V9" s="75">
        <f t="shared" ref="V9" si="23">G9+L9-Q9</f>
        <v>8</v>
      </c>
      <c r="W9" s="75"/>
      <c r="X9" s="123">
        <v>46264</v>
      </c>
      <c r="Y9" s="111" t="s">
        <v>422</v>
      </c>
      <c r="Z9" s="110" t="s">
        <v>423</v>
      </c>
      <c r="AA9" s="110">
        <v>11</v>
      </c>
      <c r="AB9" s="110"/>
      <c r="AC9" s="110"/>
      <c r="AD9" s="110"/>
      <c r="AE9" s="110"/>
      <c r="AF9" s="110"/>
      <c r="AG9" s="110"/>
      <c r="AH9" s="110"/>
      <c r="AI9" s="110"/>
      <c r="AJ9" s="110"/>
      <c r="AK9" s="110"/>
      <c r="AL9" s="110"/>
    </row>
    <row r="10" spans="1:38" ht="35.1" hidden="1" customHeight="1" x14ac:dyDescent="0.3">
      <c r="A10" s="75"/>
      <c r="B10" s="83" t="s">
        <v>593</v>
      </c>
      <c r="C10" s="75">
        <f t="shared" ref="C10" si="24">R9</f>
        <v>0</v>
      </c>
      <c r="D10" s="75">
        <f t="shared" ref="D10" si="25">S9</f>
        <v>0</v>
      </c>
      <c r="E10" s="75"/>
      <c r="F10" s="75">
        <f t="shared" ref="F10" si="26">U9</f>
        <v>0</v>
      </c>
      <c r="G10" s="75">
        <f t="shared" ref="G10" si="27">V9</f>
        <v>8</v>
      </c>
      <c r="H10" s="75"/>
      <c r="I10" s="75"/>
      <c r="J10" s="75"/>
      <c r="K10" s="75">
        <v>38</v>
      </c>
      <c r="L10" s="75">
        <v>50</v>
      </c>
      <c r="M10" s="75"/>
      <c r="N10" s="75"/>
      <c r="O10" s="75"/>
      <c r="P10" s="75">
        <v>5</v>
      </c>
      <c r="Q10" s="75"/>
      <c r="R10" s="75">
        <f t="shared" ref="R10" si="28">C10+H10-M10</f>
        <v>0</v>
      </c>
      <c r="S10" s="75">
        <f t="shared" ref="S10" si="29">D10+I10-N10</f>
        <v>0</v>
      </c>
      <c r="T10" s="75">
        <f t="shared" ref="T10" si="30">E10+J10-O10</f>
        <v>0</v>
      </c>
      <c r="U10" s="75">
        <f t="shared" ref="U10" si="31">F10+K10-P10</f>
        <v>33</v>
      </c>
      <c r="V10" s="75">
        <f t="shared" ref="V10" si="32">G10+L10-Q10</f>
        <v>58</v>
      </c>
      <c r="W10" s="75"/>
      <c r="X10" s="123">
        <v>46267</v>
      </c>
      <c r="Y10" s="110" t="s">
        <v>427</v>
      </c>
      <c r="Z10" s="110" t="s">
        <v>423</v>
      </c>
      <c r="AA10" s="110"/>
      <c r="AB10" s="110"/>
      <c r="AC10" s="110"/>
      <c r="AD10" s="110"/>
      <c r="AE10" s="110">
        <v>5</v>
      </c>
      <c r="AF10" s="110"/>
      <c r="AG10" s="110"/>
      <c r="AH10" s="110"/>
      <c r="AI10" s="110"/>
      <c r="AJ10" s="110"/>
      <c r="AK10" s="110"/>
      <c r="AL10" s="110"/>
    </row>
    <row r="11" spans="1:38" ht="35.1" hidden="1" customHeight="1" x14ac:dyDescent="0.3">
      <c r="A11" s="75"/>
      <c r="B11" s="83" t="s">
        <v>617</v>
      </c>
      <c r="C11" s="75">
        <f t="shared" ref="C11" si="33">R10</f>
        <v>0</v>
      </c>
      <c r="D11" s="75">
        <f t="shared" ref="D11" si="34">S10</f>
        <v>0</v>
      </c>
      <c r="E11" s="75"/>
      <c r="F11" s="75">
        <f t="shared" ref="F11" si="35">U10</f>
        <v>33</v>
      </c>
      <c r="G11" s="75">
        <f t="shared" ref="G11" si="36">V10</f>
        <v>58</v>
      </c>
      <c r="H11" s="75"/>
      <c r="I11" s="75"/>
      <c r="J11" s="75"/>
      <c r="K11" s="75">
        <v>50</v>
      </c>
      <c r="L11" s="75"/>
      <c r="M11" s="75"/>
      <c r="N11" s="75"/>
      <c r="O11" s="75"/>
      <c r="P11" s="75">
        <f>33+11</f>
        <v>44</v>
      </c>
      <c r="Q11" s="75"/>
      <c r="R11" s="75">
        <f t="shared" ref="R11" si="37">C11+H11-M11</f>
        <v>0</v>
      </c>
      <c r="S11" s="75">
        <f t="shared" ref="S11" si="38">D11+I11-N11</f>
        <v>0</v>
      </c>
      <c r="T11" s="75">
        <f t="shared" ref="T11" si="39">E11+J11-O11</f>
        <v>0</v>
      </c>
      <c r="U11" s="75">
        <f t="shared" ref="U11" si="40">F11+K11-P11</f>
        <v>39</v>
      </c>
      <c r="V11" s="75">
        <f t="shared" ref="V11" si="41">G11+L11-Q11</f>
        <v>58</v>
      </c>
      <c r="W11" s="75"/>
      <c r="X11" s="123">
        <v>46268</v>
      </c>
      <c r="Y11" s="110" t="s">
        <v>428</v>
      </c>
      <c r="Z11" s="110" t="s">
        <v>423</v>
      </c>
      <c r="AA11" s="110">
        <v>5</v>
      </c>
      <c r="AB11" s="110"/>
      <c r="AC11" s="110"/>
      <c r="AD11" s="110"/>
      <c r="AE11" s="110"/>
      <c r="AF11" s="110"/>
      <c r="AG11" s="110"/>
      <c r="AH11" s="110"/>
      <c r="AI11" s="110"/>
      <c r="AJ11" s="110"/>
      <c r="AK11" s="110"/>
      <c r="AL11" s="110"/>
    </row>
    <row r="12" spans="1:38" ht="35.1" hidden="1" customHeight="1" x14ac:dyDescent="0.3">
      <c r="A12" s="75"/>
      <c r="B12" s="83" t="s">
        <v>634</v>
      </c>
      <c r="C12" s="75">
        <f t="shared" ref="C12" si="42">R11</f>
        <v>0</v>
      </c>
      <c r="D12" s="75">
        <f t="shared" ref="D12" si="43">S11</f>
        <v>0</v>
      </c>
      <c r="E12" s="75"/>
      <c r="F12" s="75">
        <f t="shared" ref="F12" si="44">U11</f>
        <v>39</v>
      </c>
      <c r="G12" s="75">
        <f t="shared" ref="G12" si="45">V11</f>
        <v>58</v>
      </c>
      <c r="H12" s="75">
        <f>17+13</f>
        <v>30</v>
      </c>
      <c r="I12" s="75"/>
      <c r="J12" s="75"/>
      <c r="K12" s="75">
        <v>8</v>
      </c>
      <c r="L12" s="75"/>
      <c r="M12" s="75">
        <f>17+13</f>
        <v>30</v>
      </c>
      <c r="N12" s="75"/>
      <c r="O12" s="75"/>
      <c r="P12" s="75">
        <v>11</v>
      </c>
      <c r="Q12" s="75"/>
      <c r="R12" s="75">
        <f t="shared" ref="R12" si="46">C12+H12-M12</f>
        <v>0</v>
      </c>
      <c r="S12" s="75">
        <f t="shared" ref="S12" si="47">D12+I12-N12</f>
        <v>0</v>
      </c>
      <c r="T12" s="75">
        <f t="shared" ref="T12" si="48">E12+J12-O12</f>
        <v>0</v>
      </c>
      <c r="U12" s="75">
        <f t="shared" ref="U12" si="49">F12+K12-P12</f>
        <v>36</v>
      </c>
      <c r="V12" s="75">
        <f t="shared" ref="V12" si="50">G12+L12-Q12</f>
        <v>58</v>
      </c>
      <c r="W12" s="75"/>
      <c r="X12" s="123">
        <v>46268</v>
      </c>
      <c r="Y12" s="110" t="s">
        <v>429</v>
      </c>
      <c r="Z12" s="110" t="s">
        <v>423</v>
      </c>
      <c r="AA12" s="110">
        <v>2</v>
      </c>
      <c r="AB12" s="110"/>
      <c r="AC12" s="110"/>
      <c r="AD12" s="110"/>
      <c r="AE12" s="110"/>
      <c r="AF12" s="110"/>
      <c r="AG12" s="110"/>
      <c r="AH12" s="110"/>
      <c r="AI12" s="110"/>
      <c r="AJ12" s="110"/>
      <c r="AK12" s="110"/>
      <c r="AL12" s="110"/>
    </row>
    <row r="13" spans="1:38" ht="35.1" hidden="1" customHeight="1" x14ac:dyDescent="0.3">
      <c r="A13" s="75"/>
      <c r="B13" s="83" t="s">
        <v>646</v>
      </c>
      <c r="C13" s="75">
        <f t="shared" ref="C13" si="51">R12</f>
        <v>0</v>
      </c>
      <c r="D13" s="75">
        <f t="shared" ref="D13" si="52">S12</f>
        <v>0</v>
      </c>
      <c r="E13" s="75"/>
      <c r="F13" s="75">
        <f t="shared" ref="F13" si="53">U12</f>
        <v>36</v>
      </c>
      <c r="G13" s="75">
        <f t="shared" ref="G13" si="54">V12</f>
        <v>58</v>
      </c>
      <c r="H13" s="75">
        <v>20</v>
      </c>
      <c r="I13" s="75">
        <v>20</v>
      </c>
      <c r="J13" s="75"/>
      <c r="K13" s="75">
        <v>55</v>
      </c>
      <c r="L13" s="75"/>
      <c r="M13" s="75"/>
      <c r="N13" s="75"/>
      <c r="O13" s="75"/>
      <c r="P13" s="75">
        <v>23</v>
      </c>
      <c r="Q13" s="75">
        <v>11</v>
      </c>
      <c r="R13" s="75">
        <f t="shared" ref="R13" si="55">C13+H13-M13</f>
        <v>20</v>
      </c>
      <c r="S13" s="75">
        <f t="shared" ref="S13" si="56">D13+I13-N13</f>
        <v>20</v>
      </c>
      <c r="T13" s="75">
        <f t="shared" ref="T13" si="57">E13+J13-O13</f>
        <v>0</v>
      </c>
      <c r="U13" s="75">
        <f t="shared" ref="U13" si="58">F13+K13-P13</f>
        <v>68</v>
      </c>
      <c r="V13" s="75">
        <f t="shared" ref="V13" si="59">G13+L13-Q13</f>
        <v>47</v>
      </c>
      <c r="W13" s="75"/>
      <c r="X13" s="123">
        <v>46269</v>
      </c>
      <c r="Y13" s="110" t="s">
        <v>430</v>
      </c>
      <c r="Z13" s="110" t="s">
        <v>431</v>
      </c>
      <c r="AA13" s="110">
        <v>11</v>
      </c>
      <c r="AB13" s="110"/>
      <c r="AC13" s="110"/>
      <c r="AD13" s="110"/>
      <c r="AE13" s="110"/>
      <c r="AF13" s="110"/>
      <c r="AG13" s="110"/>
      <c r="AH13" s="110"/>
      <c r="AI13" s="110"/>
      <c r="AJ13" s="110"/>
      <c r="AK13" s="110"/>
      <c r="AL13" s="110"/>
    </row>
    <row r="14" spans="1:38" ht="35.1" hidden="1" customHeight="1" x14ac:dyDescent="0.3">
      <c r="A14" s="75"/>
      <c r="B14" s="83" t="s">
        <v>678</v>
      </c>
      <c r="C14" s="75">
        <f t="shared" ref="C14" si="60">R13</f>
        <v>20</v>
      </c>
      <c r="D14" s="75">
        <f t="shared" ref="D14" si="61">S13</f>
        <v>20</v>
      </c>
      <c r="E14" s="75"/>
      <c r="F14" s="75">
        <f t="shared" ref="F14" si="62">U13</f>
        <v>68</v>
      </c>
      <c r="G14" s="75">
        <f t="shared" ref="G14" si="63">V13</f>
        <v>47</v>
      </c>
      <c r="H14" s="75"/>
      <c r="I14" s="75"/>
      <c r="J14" s="75"/>
      <c r="K14" s="75">
        <v>50</v>
      </c>
      <c r="L14" s="75"/>
      <c r="M14" s="75">
        <v>17</v>
      </c>
      <c r="N14" s="75">
        <v>11</v>
      </c>
      <c r="O14" s="75"/>
      <c r="P14" s="75">
        <v>12</v>
      </c>
      <c r="Q14" s="75">
        <v>22</v>
      </c>
      <c r="R14" s="119">
        <f t="shared" ref="R14" si="64">C14+H14-M14</f>
        <v>3</v>
      </c>
      <c r="S14" s="119">
        <f t="shared" ref="S14" si="65">D14+I14-N14</f>
        <v>9</v>
      </c>
      <c r="T14" s="75">
        <f t="shared" ref="T14" si="66">E14+J14-O14</f>
        <v>0</v>
      </c>
      <c r="U14" s="94">
        <f t="shared" ref="U14" si="67">F14+K14-P14</f>
        <v>106</v>
      </c>
      <c r="V14" s="75">
        <f t="shared" ref="V14" si="68">G14+L14-Q14</f>
        <v>25</v>
      </c>
      <c r="W14" s="75"/>
      <c r="X14" s="123">
        <v>46269</v>
      </c>
      <c r="Y14" s="110" t="s">
        <v>432</v>
      </c>
      <c r="Z14" s="110" t="s">
        <v>423</v>
      </c>
      <c r="AA14" s="110">
        <v>11</v>
      </c>
      <c r="AB14" s="110"/>
      <c r="AC14" s="110"/>
      <c r="AD14" s="110"/>
      <c r="AE14" s="110"/>
      <c r="AF14" s="110"/>
      <c r="AG14" s="110"/>
      <c r="AH14" s="110"/>
      <c r="AI14" s="110"/>
      <c r="AJ14" s="110"/>
      <c r="AK14" s="110"/>
      <c r="AL14" s="110"/>
    </row>
    <row r="15" spans="1:38" ht="35.1" hidden="1" customHeight="1" x14ac:dyDescent="0.3">
      <c r="A15" s="75"/>
      <c r="B15" s="83" t="s">
        <v>720</v>
      </c>
      <c r="C15" s="75">
        <f t="shared" ref="C15" si="69">R14</f>
        <v>3</v>
      </c>
      <c r="D15" s="75">
        <f t="shared" ref="D15" si="70">S14</f>
        <v>9</v>
      </c>
      <c r="E15" s="75"/>
      <c r="F15" s="75">
        <f t="shared" ref="F15" si="71">U14</f>
        <v>106</v>
      </c>
      <c r="G15" s="75">
        <f t="shared" ref="G15" si="72">V14</f>
        <v>25</v>
      </c>
      <c r="H15" s="75"/>
      <c r="I15" s="75"/>
      <c r="J15" s="75"/>
      <c r="K15" s="75"/>
      <c r="L15" s="75"/>
      <c r="M15" s="75">
        <v>3</v>
      </c>
      <c r="N15" s="75">
        <v>1</v>
      </c>
      <c r="O15" s="75"/>
      <c r="P15" s="75">
        <f>11+6</f>
        <v>17</v>
      </c>
      <c r="Q15" s="75">
        <v>22</v>
      </c>
      <c r="R15" s="119">
        <f t="shared" ref="R15" si="73">C15+H15-M15</f>
        <v>0</v>
      </c>
      <c r="S15" s="119">
        <f t="shared" ref="S15" si="74">D15+I15-N15</f>
        <v>8</v>
      </c>
      <c r="T15" s="75">
        <f t="shared" ref="T15" si="75">E15+J15-O15</f>
        <v>0</v>
      </c>
      <c r="U15" s="119">
        <f t="shared" ref="U15" si="76">F15+K15-P15</f>
        <v>89</v>
      </c>
      <c r="V15" s="75">
        <f t="shared" ref="V15" si="77">G15+L15-Q15</f>
        <v>3</v>
      </c>
      <c r="W15" s="75"/>
      <c r="X15" s="123">
        <v>46269</v>
      </c>
      <c r="Y15" s="110" t="s">
        <v>433</v>
      </c>
      <c r="Z15" s="110" t="s">
        <v>423</v>
      </c>
      <c r="AA15" s="110">
        <v>11</v>
      </c>
      <c r="AB15" s="110"/>
      <c r="AC15" s="110"/>
      <c r="AD15" s="110"/>
      <c r="AE15" s="110"/>
      <c r="AF15" s="110"/>
      <c r="AG15" s="110"/>
      <c r="AH15" s="110"/>
      <c r="AI15" s="110"/>
      <c r="AJ15" s="110"/>
      <c r="AK15" s="110"/>
      <c r="AL15" s="110"/>
    </row>
    <row r="16" spans="1:38" ht="35.1" hidden="1" customHeight="1" x14ac:dyDescent="0.3">
      <c r="A16" s="75"/>
      <c r="B16" s="83" t="s">
        <v>758</v>
      </c>
      <c r="C16" s="75">
        <f t="shared" ref="C16" si="78">R15</f>
        <v>0</v>
      </c>
      <c r="D16" s="75">
        <f t="shared" ref="D16" si="79">S15</f>
        <v>8</v>
      </c>
      <c r="E16" s="75"/>
      <c r="F16" s="75">
        <f t="shared" ref="F16" si="80">U15</f>
        <v>89</v>
      </c>
      <c r="G16" s="75">
        <f t="shared" ref="G16" si="81">V15</f>
        <v>3</v>
      </c>
      <c r="H16" s="75"/>
      <c r="I16" s="75"/>
      <c r="J16" s="75"/>
      <c r="K16" s="75"/>
      <c r="L16" s="75"/>
      <c r="M16" s="75"/>
      <c r="N16" s="75"/>
      <c r="O16" s="75"/>
      <c r="P16" s="75"/>
      <c r="Q16" s="75"/>
      <c r="R16" s="119">
        <f t="shared" ref="R16" si="82">C16+H16-M16</f>
        <v>0</v>
      </c>
      <c r="S16" s="119">
        <f t="shared" ref="S16" si="83">D16+I16-N16</f>
        <v>8</v>
      </c>
      <c r="T16" s="75">
        <f t="shared" ref="T16" si="84">E16+J16-O16</f>
        <v>0</v>
      </c>
      <c r="U16" s="119">
        <f t="shared" ref="U16" si="85">F16+K16-P16</f>
        <v>89</v>
      </c>
      <c r="V16" s="75">
        <f t="shared" ref="V16" si="86">G16+L16-Q16</f>
        <v>3</v>
      </c>
      <c r="W16" s="75"/>
      <c r="X16" s="123">
        <v>46269</v>
      </c>
      <c r="Y16" s="110" t="s">
        <v>434</v>
      </c>
      <c r="Z16" s="110" t="s">
        <v>435</v>
      </c>
      <c r="AA16" s="110">
        <v>11</v>
      </c>
      <c r="AB16" s="110"/>
      <c r="AC16" s="110"/>
      <c r="AD16" s="110"/>
      <c r="AE16" s="110"/>
      <c r="AF16" s="110"/>
      <c r="AG16" s="110"/>
      <c r="AH16" s="110"/>
      <c r="AI16" s="110"/>
      <c r="AJ16" s="110"/>
      <c r="AK16" s="110"/>
      <c r="AL16" s="110"/>
    </row>
    <row r="17" spans="1:38" ht="35.1" hidden="1" customHeight="1" x14ac:dyDescent="0.3">
      <c r="A17" s="75"/>
      <c r="B17" s="83" t="s">
        <v>737</v>
      </c>
      <c r="C17" s="75">
        <f t="shared" ref="C17" si="87">R16</f>
        <v>0</v>
      </c>
      <c r="D17" s="75">
        <f t="shared" ref="D17" si="88">S16</f>
        <v>8</v>
      </c>
      <c r="E17" s="75"/>
      <c r="F17" s="75">
        <f t="shared" ref="F17" si="89">U16</f>
        <v>89</v>
      </c>
      <c r="G17" s="75">
        <f t="shared" ref="G17" si="90">V16</f>
        <v>3</v>
      </c>
      <c r="H17" s="75">
        <v>10</v>
      </c>
      <c r="I17" s="75">
        <f>30+10</f>
        <v>40</v>
      </c>
      <c r="J17" s="75"/>
      <c r="K17" s="75">
        <v>28</v>
      </c>
      <c r="L17" s="75">
        <v>10</v>
      </c>
      <c r="M17" s="75">
        <v>2</v>
      </c>
      <c r="N17" s="75">
        <v>1</v>
      </c>
      <c r="O17" s="75"/>
      <c r="P17" s="75">
        <v>66</v>
      </c>
      <c r="Q17" s="75"/>
      <c r="R17" s="119">
        <f t="shared" ref="R17" si="91">C17+H17-M17</f>
        <v>8</v>
      </c>
      <c r="S17" s="119">
        <f t="shared" ref="S17" si="92">D17+I17-N17</f>
        <v>47</v>
      </c>
      <c r="T17" s="119">
        <f t="shared" ref="T17" si="93">E17+J17-O17</f>
        <v>0</v>
      </c>
      <c r="U17" s="119">
        <f t="shared" ref="U17" si="94">F17+K17-P17</f>
        <v>51</v>
      </c>
      <c r="V17" s="119">
        <f t="shared" ref="V17" si="95">G17+L17-Q17</f>
        <v>13</v>
      </c>
      <c r="W17" s="75" t="s">
        <v>784</v>
      </c>
      <c r="X17" s="123">
        <v>46269</v>
      </c>
      <c r="Y17" s="110" t="s">
        <v>436</v>
      </c>
      <c r="Z17" s="110" t="s">
        <v>423</v>
      </c>
      <c r="AA17" s="110">
        <v>11</v>
      </c>
      <c r="AB17" s="110"/>
      <c r="AC17" s="110"/>
      <c r="AD17" s="110"/>
      <c r="AE17" s="110"/>
      <c r="AF17" s="110"/>
      <c r="AG17" s="110"/>
      <c r="AH17" s="110"/>
      <c r="AI17" s="110"/>
      <c r="AJ17" s="110"/>
      <c r="AK17" s="110"/>
      <c r="AL17" s="110"/>
    </row>
    <row r="18" spans="1:38" ht="35.1" hidden="1" customHeight="1" x14ac:dyDescent="0.3">
      <c r="A18" s="75"/>
      <c r="B18" s="83" t="s">
        <v>787</v>
      </c>
      <c r="C18" s="75">
        <f t="shared" ref="C18" si="96">R17</f>
        <v>8</v>
      </c>
      <c r="D18" s="75">
        <f t="shared" ref="D18" si="97">S17</f>
        <v>47</v>
      </c>
      <c r="E18" s="75"/>
      <c r="F18" s="75">
        <f t="shared" ref="F18" si="98">U17</f>
        <v>51</v>
      </c>
      <c r="G18" s="75">
        <f t="shared" ref="G18" si="99">V17</f>
        <v>13</v>
      </c>
      <c r="H18" s="75"/>
      <c r="I18" s="75"/>
      <c r="J18" s="75"/>
      <c r="K18" s="75">
        <f>50+85</f>
        <v>135</v>
      </c>
      <c r="L18" s="75"/>
      <c r="M18" s="75">
        <v>11</v>
      </c>
      <c r="N18" s="75">
        <v>16</v>
      </c>
      <c r="O18" s="75"/>
      <c r="P18" s="75">
        <f>55+85</f>
        <v>140</v>
      </c>
      <c r="Q18" s="75"/>
      <c r="R18" s="119">
        <f t="shared" ref="R18" si="100">C18+H18-M18</f>
        <v>-3</v>
      </c>
      <c r="S18" s="119">
        <f t="shared" ref="S18" si="101">D18+I18-N18</f>
        <v>31</v>
      </c>
      <c r="T18" s="119">
        <f t="shared" ref="T18" si="102">E18+J18-O18</f>
        <v>0</v>
      </c>
      <c r="U18" s="119">
        <f t="shared" ref="U18" si="103">F18+K18-P18</f>
        <v>46</v>
      </c>
      <c r="V18" s="119">
        <f t="shared" ref="V18" si="104">G18+L18-Q18</f>
        <v>13</v>
      </c>
      <c r="W18" s="75"/>
      <c r="X18" s="123">
        <v>46269</v>
      </c>
      <c r="Y18" s="110" t="s">
        <v>437</v>
      </c>
      <c r="Z18" s="110" t="s">
        <v>438</v>
      </c>
      <c r="AA18" s="110">
        <v>11</v>
      </c>
      <c r="AB18" s="110"/>
      <c r="AC18" s="110"/>
      <c r="AD18" s="110"/>
      <c r="AE18" s="110"/>
      <c r="AF18" s="110"/>
      <c r="AG18" s="110"/>
      <c r="AH18" s="110"/>
      <c r="AI18" s="110"/>
      <c r="AJ18" s="110"/>
      <c r="AK18" s="110"/>
      <c r="AL18" s="110"/>
    </row>
    <row r="19" spans="1:38" ht="35.1" hidden="1" customHeight="1" x14ac:dyDescent="0.3">
      <c r="A19" s="75"/>
      <c r="B19" s="83" t="s">
        <v>827</v>
      </c>
      <c r="C19" s="75">
        <f t="shared" ref="C19" si="105">R18</f>
        <v>-3</v>
      </c>
      <c r="D19" s="75">
        <f t="shared" ref="D19" si="106">S18</f>
        <v>31</v>
      </c>
      <c r="E19" s="75"/>
      <c r="F19" s="75">
        <f t="shared" ref="F19" si="107">U18</f>
        <v>46</v>
      </c>
      <c r="G19" s="75">
        <f t="shared" ref="G19" si="108">V18</f>
        <v>13</v>
      </c>
      <c r="H19" s="75">
        <v>20</v>
      </c>
      <c r="I19" s="75"/>
      <c r="J19" s="75"/>
      <c r="K19" s="75">
        <v>88</v>
      </c>
      <c r="L19" s="75"/>
      <c r="M19" s="75"/>
      <c r="N19" s="75">
        <v>20</v>
      </c>
      <c r="O19" s="75"/>
      <c r="P19" s="75">
        <v>24</v>
      </c>
      <c r="Q19" s="75"/>
      <c r="R19" s="119">
        <f t="shared" ref="R19" si="109">C19+H19-M19</f>
        <v>17</v>
      </c>
      <c r="S19" s="119">
        <f t="shared" ref="S19" si="110">D19+I19-N19</f>
        <v>11</v>
      </c>
      <c r="T19" s="119">
        <f t="shared" ref="T19" si="111">E19+J19-O19</f>
        <v>0</v>
      </c>
      <c r="U19" s="119">
        <f t="shared" ref="U19" si="112">F19+K19-P19</f>
        <v>110</v>
      </c>
      <c r="V19" s="119">
        <f t="shared" ref="V19" si="113">G19+L19-Q19</f>
        <v>13</v>
      </c>
      <c r="W19" s="75"/>
      <c r="X19" s="123">
        <v>46269</v>
      </c>
      <c r="Y19" s="110" t="s">
        <v>439</v>
      </c>
      <c r="Z19" s="110" t="s">
        <v>423</v>
      </c>
      <c r="AA19" s="110">
        <v>11</v>
      </c>
      <c r="AB19" s="110"/>
      <c r="AC19" s="110"/>
      <c r="AD19" s="110"/>
      <c r="AE19" s="110"/>
      <c r="AF19" s="110"/>
      <c r="AG19" s="110"/>
      <c r="AH19" s="110"/>
      <c r="AI19" s="110"/>
      <c r="AJ19" s="110"/>
      <c r="AK19" s="110"/>
      <c r="AL19" s="110"/>
    </row>
    <row r="20" spans="1:38" ht="35.1" hidden="1" customHeight="1" x14ac:dyDescent="0.3">
      <c r="A20" s="75"/>
      <c r="B20" s="83" t="s">
        <v>871</v>
      </c>
      <c r="C20" s="75">
        <f t="shared" ref="C20" si="114">R19</f>
        <v>17</v>
      </c>
      <c r="D20" s="75">
        <f t="shared" ref="D20" si="115">S19</f>
        <v>11</v>
      </c>
      <c r="E20" s="75"/>
      <c r="F20" s="75">
        <f t="shared" ref="F20" si="116">U19</f>
        <v>110</v>
      </c>
      <c r="G20" s="75">
        <f t="shared" ref="G20" si="117">V19</f>
        <v>13</v>
      </c>
      <c r="H20" s="75"/>
      <c r="I20" s="75"/>
      <c r="J20" s="75"/>
      <c r="K20" s="75"/>
      <c r="L20" s="75"/>
      <c r="M20" s="75"/>
      <c r="N20" s="75">
        <v>7</v>
      </c>
      <c r="O20" s="75"/>
      <c r="P20" s="75">
        <v>27</v>
      </c>
      <c r="Q20" s="75"/>
      <c r="R20" s="119">
        <f t="shared" ref="R20" si="118">C20+H20-M20</f>
        <v>17</v>
      </c>
      <c r="S20" s="119">
        <f t="shared" ref="S20" si="119">D20+I20-N20</f>
        <v>4</v>
      </c>
      <c r="T20" s="119">
        <f t="shared" ref="T20" si="120">E20+J20-O20</f>
        <v>0</v>
      </c>
      <c r="U20" s="119">
        <f t="shared" ref="U20" si="121">F20+K20-P20</f>
        <v>83</v>
      </c>
      <c r="V20" s="119">
        <f t="shared" ref="V20" si="122">G20+L20-Q20</f>
        <v>13</v>
      </c>
      <c r="W20" s="75"/>
      <c r="X20" s="123">
        <v>46269</v>
      </c>
      <c r="Y20" s="110" t="s">
        <v>440</v>
      </c>
      <c r="Z20" s="110" t="s">
        <v>423</v>
      </c>
      <c r="AA20" s="110">
        <v>11</v>
      </c>
      <c r="AB20" s="110"/>
      <c r="AC20" s="110"/>
      <c r="AD20" s="110"/>
      <c r="AE20" s="110"/>
      <c r="AF20" s="110"/>
      <c r="AG20" s="110"/>
      <c r="AH20" s="110"/>
      <c r="AI20" s="110"/>
      <c r="AJ20" s="110"/>
      <c r="AK20" s="110"/>
      <c r="AL20" s="110"/>
    </row>
    <row r="21" spans="1:38" ht="35.1" customHeight="1" x14ac:dyDescent="0.3">
      <c r="A21" s="75"/>
      <c r="B21" s="83" t="s">
        <v>868</v>
      </c>
      <c r="C21" s="75">
        <f t="shared" ref="C21" si="123">R20</f>
        <v>17</v>
      </c>
      <c r="D21" s="75">
        <f t="shared" ref="D21" si="124">S20</f>
        <v>4</v>
      </c>
      <c r="E21" s="75"/>
      <c r="F21" s="75">
        <f t="shared" ref="F21" si="125">U20</f>
        <v>83</v>
      </c>
      <c r="G21" s="75">
        <f t="shared" ref="G21" si="126">V20</f>
        <v>13</v>
      </c>
      <c r="H21" s="75">
        <f>10</f>
        <v>10</v>
      </c>
      <c r="I21" s="75">
        <v>10</v>
      </c>
      <c r="J21" s="75"/>
      <c r="K21" s="75">
        <f>22+11+22+11</f>
        <v>66</v>
      </c>
      <c r="L21" s="94">
        <f>11+22</f>
        <v>33</v>
      </c>
      <c r="M21" s="75">
        <v>16</v>
      </c>
      <c r="N21" s="75"/>
      <c r="O21" s="75"/>
      <c r="P21" s="75"/>
      <c r="Q21" s="75">
        <v>8</v>
      </c>
      <c r="R21" s="119">
        <f t="shared" ref="R21" si="127">C21+H21-M21</f>
        <v>11</v>
      </c>
      <c r="S21" s="119">
        <f t="shared" ref="S21" si="128">D21+I21-N21</f>
        <v>14</v>
      </c>
      <c r="T21" s="119">
        <f t="shared" ref="T21" si="129">E21+J21-O21</f>
        <v>0</v>
      </c>
      <c r="U21" s="119">
        <f t="shared" ref="U21" si="130">F21+K21-P21</f>
        <v>149</v>
      </c>
      <c r="V21" s="119">
        <f t="shared" ref="V21" si="131">G21+L21-Q21</f>
        <v>38</v>
      </c>
      <c r="W21" s="75"/>
      <c r="X21" s="123">
        <v>46269</v>
      </c>
      <c r="Y21" s="110" t="s">
        <v>441</v>
      </c>
      <c r="Z21" s="110" t="s">
        <v>423</v>
      </c>
      <c r="AA21" s="110">
        <v>2</v>
      </c>
      <c r="AB21" s="110"/>
      <c r="AC21" s="110"/>
      <c r="AD21" s="110"/>
      <c r="AE21" s="110"/>
      <c r="AF21" s="110"/>
      <c r="AG21" s="110"/>
      <c r="AH21" s="110"/>
      <c r="AI21" s="110"/>
      <c r="AJ21" s="110"/>
      <c r="AK21" s="110"/>
      <c r="AL21" s="110"/>
    </row>
    <row r="22" spans="1:38" ht="35.1" customHeight="1" x14ac:dyDescent="0.3">
      <c r="A22" s="75"/>
      <c r="B22" s="83" t="s">
        <v>892</v>
      </c>
      <c r="C22" s="75">
        <f t="shared" ref="C22" si="132">R21</f>
        <v>11</v>
      </c>
      <c r="D22" s="75">
        <f t="shared" ref="D22" si="133">S21</f>
        <v>14</v>
      </c>
      <c r="E22" s="75"/>
      <c r="F22" s="75">
        <f t="shared" ref="F22" si="134">U21</f>
        <v>149</v>
      </c>
      <c r="G22" s="75">
        <f t="shared" ref="G22" si="135">V21</f>
        <v>38</v>
      </c>
      <c r="H22" s="75"/>
      <c r="I22" s="75"/>
      <c r="J22" s="75"/>
      <c r="K22" s="75"/>
      <c r="L22" s="75"/>
      <c r="M22" s="75"/>
      <c r="N22" s="75">
        <v>3</v>
      </c>
      <c r="O22" s="75"/>
      <c r="P22" s="75">
        <v>1</v>
      </c>
      <c r="Q22" s="75">
        <v>10</v>
      </c>
      <c r="R22" s="119">
        <f t="shared" ref="R22" si="136">C22+H22-M22</f>
        <v>11</v>
      </c>
      <c r="S22" s="119">
        <f t="shared" ref="S22" si="137">D22+I22-N22</f>
        <v>11</v>
      </c>
      <c r="T22" s="119">
        <f t="shared" ref="T22" si="138">E22+J22-O22</f>
        <v>0</v>
      </c>
      <c r="U22" s="119">
        <f t="shared" ref="U22" si="139">F22+K22-P22</f>
        <v>148</v>
      </c>
      <c r="V22" s="119">
        <f t="shared" ref="V22" si="140">G22+L22-Q22</f>
        <v>28</v>
      </c>
      <c r="W22" s="75"/>
      <c r="X22" s="123">
        <v>46269</v>
      </c>
      <c r="Y22" s="110" t="s">
        <v>428</v>
      </c>
      <c r="Z22" s="110" t="s">
        <v>423</v>
      </c>
      <c r="AA22" s="110">
        <v>2</v>
      </c>
      <c r="AB22" s="110"/>
      <c r="AC22" s="110"/>
      <c r="AD22" s="110"/>
      <c r="AE22" s="110"/>
      <c r="AF22" s="110"/>
      <c r="AG22" s="110"/>
      <c r="AH22" s="110"/>
      <c r="AI22" s="110"/>
      <c r="AJ22" s="110"/>
      <c r="AK22" s="110"/>
      <c r="AL22" s="110"/>
    </row>
    <row r="23" spans="1:38" ht="35.1" customHeight="1" x14ac:dyDescent="0.3">
      <c r="A23" s="75"/>
      <c r="B23" s="83" t="s">
        <v>894</v>
      </c>
      <c r="C23" s="75">
        <f t="shared" ref="C23" si="141">R22</f>
        <v>11</v>
      </c>
      <c r="D23" s="75">
        <f t="shared" ref="D23" si="142">S22</f>
        <v>11</v>
      </c>
      <c r="E23" s="75"/>
      <c r="F23" s="75">
        <f t="shared" ref="F23" si="143">U22</f>
        <v>148</v>
      </c>
      <c r="G23" s="75">
        <f t="shared" ref="G23" si="144">V22</f>
        <v>28</v>
      </c>
      <c r="H23" s="75"/>
      <c r="I23" s="75">
        <v>33</v>
      </c>
      <c r="J23" s="75"/>
      <c r="K23" s="75">
        <v>108</v>
      </c>
      <c r="L23" s="75"/>
      <c r="M23" s="75">
        <v>11</v>
      </c>
      <c r="N23" s="75">
        <f>6+30</f>
        <v>36</v>
      </c>
      <c r="O23" s="75"/>
      <c r="P23" s="75">
        <v>64</v>
      </c>
      <c r="Q23" s="75">
        <v>17</v>
      </c>
      <c r="R23" s="119">
        <f t="shared" ref="R23" si="145">C23+H23-M23</f>
        <v>0</v>
      </c>
      <c r="S23" s="119">
        <f t="shared" ref="S23" si="146">D23+I23-N23</f>
        <v>8</v>
      </c>
      <c r="T23" s="119">
        <f t="shared" ref="T23" si="147">E23+J23-O23</f>
        <v>0</v>
      </c>
      <c r="U23" s="119">
        <f t="shared" ref="U23" si="148">F23+K23-P23</f>
        <v>192</v>
      </c>
      <c r="V23" s="119">
        <f t="shared" ref="V23" si="149">G23+L23-Q23</f>
        <v>11</v>
      </c>
      <c r="W23" s="75"/>
      <c r="X23" s="123">
        <v>46269</v>
      </c>
      <c r="Y23" s="110" t="s">
        <v>442</v>
      </c>
      <c r="Z23" s="110" t="s">
        <v>431</v>
      </c>
      <c r="AA23" s="110"/>
      <c r="AB23" s="110"/>
      <c r="AC23" s="110"/>
      <c r="AD23" s="110"/>
      <c r="AE23" s="110">
        <v>5</v>
      </c>
      <c r="AF23" s="110"/>
      <c r="AG23" s="110"/>
      <c r="AH23" s="110"/>
      <c r="AI23" s="110"/>
      <c r="AJ23" s="110"/>
      <c r="AK23" s="110"/>
      <c r="AL23" s="110"/>
    </row>
    <row r="24" spans="1:38" ht="35.1" customHeight="1" x14ac:dyDescent="0.3">
      <c r="A24" s="75"/>
      <c r="B24" s="83" t="s">
        <v>925</v>
      </c>
      <c r="C24" s="75">
        <f t="shared" ref="C24" si="150">R23</f>
        <v>0</v>
      </c>
      <c r="D24" s="75">
        <f t="shared" ref="D24" si="151">S23</f>
        <v>8</v>
      </c>
      <c r="E24" s="75"/>
      <c r="F24" s="75">
        <f t="shared" ref="F24" si="152">U23</f>
        <v>192</v>
      </c>
      <c r="G24" s="75">
        <f t="shared" ref="G24" si="153">V23</f>
        <v>11</v>
      </c>
      <c r="H24" s="75"/>
      <c r="I24" s="75">
        <v>20</v>
      </c>
      <c r="J24" s="75"/>
      <c r="K24" s="75">
        <v>32</v>
      </c>
      <c r="L24" s="75">
        <v>30</v>
      </c>
      <c r="M24" s="75"/>
      <c r="N24" s="75"/>
      <c r="O24" s="75"/>
      <c r="P24" s="75">
        <v>11</v>
      </c>
      <c r="Q24" s="75">
        <v>11</v>
      </c>
      <c r="R24" s="119">
        <f t="shared" ref="R24" si="154">C24+H24-M24</f>
        <v>0</v>
      </c>
      <c r="S24" s="119">
        <f t="shared" ref="S24" si="155">D24+I24-N24</f>
        <v>28</v>
      </c>
      <c r="T24" s="119">
        <f t="shared" ref="T24" si="156">E24+J24-O24</f>
        <v>0</v>
      </c>
      <c r="U24" s="119">
        <f t="shared" ref="U24" si="157">F24+K24-P24</f>
        <v>213</v>
      </c>
      <c r="V24" s="119">
        <f t="shared" ref="V24" si="158">G24+L24-Q24</f>
        <v>30</v>
      </c>
      <c r="W24" s="75"/>
      <c r="X24" s="123">
        <v>46270</v>
      </c>
      <c r="Y24" s="110" t="s">
        <v>443</v>
      </c>
      <c r="Z24" s="110" t="s">
        <v>423</v>
      </c>
      <c r="AA24" s="110">
        <v>55</v>
      </c>
      <c r="AB24" s="110"/>
      <c r="AC24" s="110"/>
      <c r="AD24" s="110"/>
      <c r="AE24" s="110"/>
      <c r="AF24" s="110"/>
      <c r="AG24" s="110"/>
      <c r="AH24" s="110"/>
      <c r="AI24" s="110"/>
      <c r="AJ24" s="110"/>
      <c r="AK24" s="110"/>
      <c r="AL24" s="110"/>
    </row>
    <row r="25" spans="1:38" ht="35.1" customHeight="1" x14ac:dyDescent="0.3">
      <c r="A25" s="75"/>
      <c r="B25" s="83" t="s">
        <v>925</v>
      </c>
      <c r="C25" s="75">
        <f t="shared" ref="C25" si="159">R24</f>
        <v>0</v>
      </c>
      <c r="D25" s="75">
        <f t="shared" ref="D25" si="160">S24</f>
        <v>28</v>
      </c>
      <c r="E25" s="75"/>
      <c r="F25" s="75">
        <f t="shared" ref="F25" si="161">U24</f>
        <v>213</v>
      </c>
      <c r="G25" s="75">
        <f t="shared" ref="G25" si="162">V24</f>
        <v>30</v>
      </c>
      <c r="H25" s="75"/>
      <c r="I25" s="75"/>
      <c r="J25" s="75"/>
      <c r="K25" s="75"/>
      <c r="L25" s="75"/>
      <c r="M25" s="75"/>
      <c r="N25" s="75"/>
      <c r="O25" s="75"/>
      <c r="P25" s="75"/>
      <c r="Q25" s="75"/>
      <c r="R25" s="119">
        <f t="shared" ref="R25" si="163">C25+H25-M25</f>
        <v>0</v>
      </c>
      <c r="S25" s="119">
        <f t="shared" ref="S25" si="164">D25+I25-N25</f>
        <v>28</v>
      </c>
      <c r="T25" s="119">
        <f t="shared" ref="T25" si="165">E25+J25-O25</f>
        <v>0</v>
      </c>
      <c r="U25" s="119">
        <f t="shared" ref="U25" si="166">F25+K25-P25</f>
        <v>213</v>
      </c>
      <c r="V25" s="119">
        <f t="shared" ref="V25" si="167">G25+L25-Q25</f>
        <v>30</v>
      </c>
      <c r="W25" s="75"/>
      <c r="X25" s="123">
        <v>46271</v>
      </c>
      <c r="Y25" s="110" t="s">
        <v>444</v>
      </c>
      <c r="Z25" s="110" t="s">
        <v>423</v>
      </c>
      <c r="AA25" s="110">
        <v>2</v>
      </c>
      <c r="AB25" s="110"/>
      <c r="AC25" s="110"/>
      <c r="AD25" s="110"/>
      <c r="AE25" s="110"/>
      <c r="AF25" s="110"/>
      <c r="AG25" s="110"/>
      <c r="AH25" s="110"/>
      <c r="AI25" s="110"/>
      <c r="AJ25" s="110"/>
      <c r="AK25" s="110"/>
      <c r="AL25" s="110"/>
    </row>
    <row r="26" spans="1:38" ht="35.1" customHeight="1" x14ac:dyDescent="0.3">
      <c r="A26" s="75"/>
      <c r="B26" s="83" t="s">
        <v>955</v>
      </c>
      <c r="C26" s="75">
        <f t="shared" ref="C26" si="168">R25</f>
        <v>0</v>
      </c>
      <c r="D26" s="75">
        <f t="shared" ref="D26" si="169">S25</f>
        <v>28</v>
      </c>
      <c r="E26" s="75"/>
      <c r="F26" s="75">
        <f t="shared" ref="F26" si="170">U25</f>
        <v>213</v>
      </c>
      <c r="G26" s="75">
        <f t="shared" ref="G26" si="171">V25</f>
        <v>30</v>
      </c>
      <c r="H26" s="75">
        <v>10</v>
      </c>
      <c r="I26" s="75"/>
      <c r="J26" s="75"/>
      <c r="K26" s="75">
        <v>10</v>
      </c>
      <c r="L26" s="75"/>
      <c r="M26" s="75"/>
      <c r="N26" s="75"/>
      <c r="O26" s="75"/>
      <c r="P26" s="75">
        <v>22</v>
      </c>
      <c r="Q26" s="75">
        <v>24</v>
      </c>
      <c r="R26" s="119">
        <f t="shared" ref="R26" si="172">C26+H26-M26</f>
        <v>10</v>
      </c>
      <c r="S26" s="119">
        <f t="shared" ref="S26" si="173">D26+I26-N26</f>
        <v>28</v>
      </c>
      <c r="T26" s="119">
        <f t="shared" ref="T26" si="174">E26+J26-O26</f>
        <v>0</v>
      </c>
      <c r="U26" s="119">
        <f t="shared" ref="U26" si="175">F26+K26-P26</f>
        <v>201</v>
      </c>
      <c r="V26" s="119">
        <f t="shared" ref="V26" si="176">G26+L26-Q26</f>
        <v>6</v>
      </c>
      <c r="W26" s="75"/>
      <c r="X26" s="123">
        <v>46271</v>
      </c>
      <c r="Y26" s="110" t="s">
        <v>445</v>
      </c>
      <c r="Z26" s="110" t="s">
        <v>423</v>
      </c>
      <c r="AA26" s="110">
        <v>11</v>
      </c>
      <c r="AB26" s="110"/>
      <c r="AC26" s="110"/>
      <c r="AD26" s="110"/>
      <c r="AE26" s="110"/>
      <c r="AF26" s="110"/>
      <c r="AG26" s="110"/>
      <c r="AH26" s="110"/>
      <c r="AI26" s="110"/>
      <c r="AJ26" s="110"/>
      <c r="AK26" s="110"/>
      <c r="AL26" s="110"/>
    </row>
    <row r="27" spans="1:38" ht="35.1" customHeight="1" x14ac:dyDescent="0.3">
      <c r="R27" s="75"/>
      <c r="S27" s="75"/>
      <c r="T27" s="75"/>
      <c r="U27" s="75"/>
      <c r="V27" s="75"/>
      <c r="W27" s="75"/>
      <c r="X27" s="123">
        <v>46271</v>
      </c>
      <c r="Y27" s="110" t="s">
        <v>446</v>
      </c>
      <c r="Z27" s="110" t="s">
        <v>423</v>
      </c>
      <c r="AA27" s="110"/>
      <c r="AB27" s="110"/>
      <c r="AC27" s="110"/>
      <c r="AD27" s="110"/>
      <c r="AE27" s="110">
        <v>1</v>
      </c>
      <c r="AF27" s="110"/>
      <c r="AG27" s="110"/>
      <c r="AH27" s="110"/>
      <c r="AI27" s="110"/>
      <c r="AJ27" s="110"/>
      <c r="AK27" s="110"/>
      <c r="AL27" s="110"/>
    </row>
    <row r="28" spans="1:38" ht="35.1" customHeight="1" x14ac:dyDescent="0.3">
      <c r="R28" s="75"/>
      <c r="S28" s="75"/>
      <c r="T28" s="75"/>
      <c r="U28" s="75"/>
      <c r="V28" s="75"/>
      <c r="W28" s="75"/>
      <c r="X28" s="213" t="s">
        <v>509</v>
      </c>
      <c r="Y28" s="110" t="s">
        <v>424</v>
      </c>
      <c r="Z28" s="110"/>
      <c r="AA28" s="110">
        <v>22</v>
      </c>
      <c r="AB28" s="110"/>
      <c r="AC28" s="110"/>
      <c r="AD28" s="110"/>
      <c r="AE28" s="110"/>
      <c r="AF28" s="110"/>
      <c r="AG28" s="110"/>
      <c r="AH28" s="110"/>
      <c r="AI28" s="110"/>
      <c r="AJ28" s="110"/>
      <c r="AK28" s="110"/>
      <c r="AL28" s="110"/>
    </row>
    <row r="29" spans="1:38" ht="35.1" customHeight="1" x14ac:dyDescent="0.3">
      <c r="R29" s="75"/>
      <c r="S29" s="75"/>
      <c r="T29" s="75"/>
      <c r="U29" s="75"/>
      <c r="V29" s="75"/>
      <c r="W29" s="75"/>
      <c r="X29" s="213" t="s">
        <v>509</v>
      </c>
      <c r="Y29" s="110" t="s">
        <v>424</v>
      </c>
      <c r="Z29" s="110"/>
      <c r="AA29" s="110">
        <v>17</v>
      </c>
      <c r="AB29" s="110"/>
      <c r="AC29" s="110"/>
      <c r="AD29" s="110"/>
      <c r="AE29" s="110"/>
      <c r="AF29" s="110"/>
      <c r="AG29" s="110"/>
      <c r="AH29" s="110"/>
      <c r="AI29" s="110"/>
      <c r="AJ29" s="110"/>
      <c r="AK29" s="110"/>
      <c r="AL29" s="110"/>
    </row>
    <row r="30" spans="1:38" ht="35.1" customHeight="1" x14ac:dyDescent="0.3">
      <c r="R30" s="75"/>
      <c r="S30" s="75"/>
      <c r="T30" s="75"/>
      <c r="U30" s="75"/>
      <c r="V30" s="75"/>
      <c r="W30" s="75"/>
      <c r="X30" s="213" t="s">
        <v>509</v>
      </c>
      <c r="Y30" s="110" t="s">
        <v>447</v>
      </c>
      <c r="Z30" s="110" t="s">
        <v>435</v>
      </c>
      <c r="AA30" s="110"/>
      <c r="AB30" s="110"/>
      <c r="AC30" s="110"/>
      <c r="AD30" s="110"/>
      <c r="AE30" s="110"/>
      <c r="AF30" s="110"/>
      <c r="AG30" s="110"/>
      <c r="AH30" s="110"/>
      <c r="AI30" s="110">
        <v>1</v>
      </c>
      <c r="AJ30" s="110"/>
      <c r="AK30" s="110"/>
      <c r="AL30" s="110"/>
    </row>
    <row r="31" spans="1:38" ht="35.1" customHeight="1" x14ac:dyDescent="0.3">
      <c r="R31" s="75"/>
      <c r="S31" s="75"/>
      <c r="T31" s="75"/>
      <c r="U31" s="75"/>
      <c r="V31" s="75"/>
      <c r="W31" s="75"/>
      <c r="X31" s="213" t="s">
        <v>509</v>
      </c>
      <c r="Y31" s="110" t="s">
        <v>447</v>
      </c>
      <c r="Z31" s="110" t="s">
        <v>435</v>
      </c>
      <c r="AA31" s="110"/>
      <c r="AB31" s="110"/>
      <c r="AC31" s="110"/>
      <c r="AD31" s="110"/>
      <c r="AE31" s="110"/>
      <c r="AF31" s="110"/>
      <c r="AG31" s="110"/>
      <c r="AH31" s="110"/>
      <c r="AI31" s="110">
        <v>1</v>
      </c>
      <c r="AJ31" s="110"/>
      <c r="AK31" s="110"/>
      <c r="AL31" s="110"/>
    </row>
    <row r="32" spans="1:38" ht="35.1" customHeight="1" x14ac:dyDescent="0.3">
      <c r="X32" s="126" t="s">
        <v>400</v>
      </c>
      <c r="Y32" s="110" t="s">
        <v>453</v>
      </c>
      <c r="Z32" s="110"/>
      <c r="AA32" s="110">
        <v>11</v>
      </c>
      <c r="AB32" s="110"/>
      <c r="AC32" s="110"/>
      <c r="AD32" s="110"/>
      <c r="AE32" s="110"/>
      <c r="AF32" s="110"/>
      <c r="AG32" s="110"/>
      <c r="AH32" s="110"/>
      <c r="AI32" s="110"/>
      <c r="AJ32" s="110"/>
      <c r="AK32" s="110"/>
      <c r="AL32" s="110"/>
    </row>
    <row r="33" spans="24:38" ht="35.1" customHeight="1" x14ac:dyDescent="0.3">
      <c r="X33" s="120"/>
      <c r="Y33" s="110" t="s">
        <v>451</v>
      </c>
      <c r="Z33" s="110"/>
      <c r="AA33" s="110">
        <v>4</v>
      </c>
      <c r="AB33" s="110"/>
      <c r="AC33" s="110"/>
      <c r="AD33" s="110"/>
      <c r="AE33" s="110"/>
      <c r="AF33" s="110"/>
      <c r="AG33" s="110"/>
      <c r="AH33" s="110"/>
      <c r="AI33" s="110"/>
      <c r="AJ33" s="110"/>
      <c r="AK33" s="110"/>
      <c r="AL33" s="110"/>
    </row>
    <row r="34" spans="24:38" ht="35.1" customHeight="1" x14ac:dyDescent="0.3">
      <c r="X34" s="120"/>
      <c r="Y34" s="110" t="s">
        <v>452</v>
      </c>
      <c r="Z34" s="110"/>
      <c r="AA34" s="110">
        <v>3</v>
      </c>
      <c r="AB34" s="110"/>
      <c r="AC34" s="110"/>
      <c r="AD34" s="110"/>
      <c r="AE34" s="110"/>
      <c r="AF34" s="110"/>
      <c r="AG34" s="110"/>
      <c r="AH34" s="110"/>
      <c r="AI34" s="110"/>
      <c r="AJ34" s="110"/>
      <c r="AK34" s="110"/>
      <c r="AL34" s="110"/>
    </row>
    <row r="35" spans="24:38" ht="35.1" customHeight="1" x14ac:dyDescent="0.3">
      <c r="X35" s="126" t="s">
        <v>498</v>
      </c>
      <c r="Y35" s="154" t="s">
        <v>501</v>
      </c>
      <c r="Z35" s="110"/>
      <c r="AA35" s="110"/>
      <c r="AB35" s="110"/>
      <c r="AC35" s="110"/>
      <c r="AD35" s="110"/>
      <c r="AE35" s="110"/>
      <c r="AF35" s="110"/>
      <c r="AG35" s="110"/>
      <c r="AH35" s="110"/>
      <c r="AI35" s="110"/>
      <c r="AJ35" s="110"/>
      <c r="AK35" s="110"/>
      <c r="AL35" s="110"/>
    </row>
    <row r="36" spans="24:38" x14ac:dyDescent="0.3">
      <c r="X36" s="400"/>
      <c r="Y36" s="400" t="s">
        <v>502</v>
      </c>
      <c r="Z36" s="110"/>
      <c r="AA36" s="110"/>
      <c r="AB36" s="110"/>
      <c r="AC36" s="110"/>
      <c r="AD36" s="110"/>
      <c r="AE36" s="110"/>
      <c r="AF36" s="110"/>
      <c r="AG36" s="110"/>
      <c r="AH36" s="110"/>
      <c r="AI36" s="110"/>
      <c r="AJ36" s="110"/>
      <c r="AK36" s="110"/>
      <c r="AL36" s="110"/>
    </row>
    <row r="37" spans="24:38" x14ac:dyDescent="0.3">
      <c r="X37" s="401"/>
      <c r="Y37" s="401"/>
      <c r="Z37" s="110"/>
      <c r="AA37" s="110"/>
      <c r="AB37" s="110"/>
      <c r="AC37" s="110"/>
      <c r="AD37" s="110"/>
      <c r="AE37" s="110"/>
      <c r="AF37" s="110"/>
      <c r="AG37" s="110"/>
      <c r="AH37" s="110"/>
      <c r="AI37" s="110"/>
      <c r="AJ37" s="110"/>
      <c r="AK37" s="110"/>
      <c r="AL37" s="110"/>
    </row>
    <row r="38" spans="24:38" x14ac:dyDescent="0.3">
      <c r="X38" s="120"/>
      <c r="Y38" s="110"/>
      <c r="Z38" s="110"/>
      <c r="AA38" s="110"/>
      <c r="AB38" s="110"/>
      <c r="AC38" s="110"/>
      <c r="AD38" s="110"/>
      <c r="AE38" s="110"/>
      <c r="AF38" s="110"/>
      <c r="AG38" s="110"/>
      <c r="AH38" s="110"/>
      <c r="AI38" s="110"/>
      <c r="AJ38" s="110"/>
      <c r="AK38" s="110"/>
      <c r="AL38" s="110"/>
    </row>
    <row r="39" spans="24:38" x14ac:dyDescent="0.3">
      <c r="X39" s="120"/>
      <c r="Y39" s="110"/>
      <c r="Z39" s="110"/>
      <c r="AA39" s="110"/>
      <c r="AB39" s="110"/>
      <c r="AC39" s="110"/>
      <c r="AD39" s="110"/>
      <c r="AE39" s="110"/>
      <c r="AF39" s="110"/>
      <c r="AG39" s="110"/>
      <c r="AH39" s="110"/>
      <c r="AI39" s="110"/>
      <c r="AJ39" s="110"/>
      <c r="AK39" s="110"/>
      <c r="AL39" s="110"/>
    </row>
    <row r="40" spans="24:38" x14ac:dyDescent="0.3">
      <c r="X40" s="120"/>
      <c r="Y40" s="110"/>
      <c r="Z40" s="110"/>
      <c r="AA40" s="110"/>
      <c r="AB40" s="110"/>
      <c r="AC40" s="110"/>
      <c r="AD40" s="110"/>
      <c r="AE40" s="110"/>
      <c r="AF40" s="110"/>
      <c r="AG40" s="110"/>
      <c r="AH40" s="110"/>
      <c r="AI40" s="110"/>
      <c r="AJ40" s="110"/>
      <c r="AK40" s="110"/>
      <c r="AL40" s="110"/>
    </row>
    <row r="41" spans="24:38" x14ac:dyDescent="0.3">
      <c r="X41" s="120"/>
      <c r="Y41" s="110"/>
      <c r="Z41" s="110"/>
      <c r="AA41" s="110"/>
      <c r="AB41" s="110"/>
      <c r="AC41" s="110"/>
      <c r="AD41" s="110"/>
      <c r="AE41" s="110"/>
      <c r="AF41" s="110"/>
      <c r="AG41" s="110"/>
      <c r="AH41" s="110"/>
      <c r="AI41" s="110"/>
      <c r="AJ41" s="110"/>
      <c r="AK41" s="110"/>
      <c r="AL41" s="110"/>
    </row>
    <row r="42" spans="24:38" x14ac:dyDescent="0.3">
      <c r="X42" s="120"/>
      <c r="Y42" s="110"/>
      <c r="Z42" s="110"/>
      <c r="AA42" s="110"/>
      <c r="AB42" s="110"/>
      <c r="AC42" s="110"/>
      <c r="AD42" s="110"/>
      <c r="AE42" s="110"/>
      <c r="AF42" s="110"/>
      <c r="AG42" s="110"/>
      <c r="AH42" s="110"/>
      <c r="AI42" s="110"/>
      <c r="AJ42" s="110"/>
      <c r="AK42" s="110"/>
      <c r="AL42" s="110"/>
    </row>
    <row r="43" spans="24:38" x14ac:dyDescent="0.3">
      <c r="X43" s="120"/>
      <c r="Y43" s="110"/>
      <c r="Z43" s="110"/>
      <c r="AA43" s="110"/>
      <c r="AB43" s="110"/>
      <c r="AC43" s="110"/>
      <c r="AD43" s="110"/>
      <c r="AE43" s="110"/>
      <c r="AF43" s="110"/>
      <c r="AG43" s="110"/>
      <c r="AH43" s="110"/>
      <c r="AI43" s="110"/>
      <c r="AJ43" s="110"/>
      <c r="AK43" s="110"/>
      <c r="AL43" s="110"/>
    </row>
    <row r="44" spans="24:38" x14ac:dyDescent="0.3">
      <c r="X44" s="120"/>
      <c r="Y44" s="110"/>
      <c r="Z44" s="110"/>
      <c r="AA44" s="110"/>
      <c r="AB44" s="110"/>
      <c r="AC44" s="110"/>
      <c r="AD44" s="110"/>
      <c r="AE44" s="110"/>
      <c r="AF44" s="110"/>
      <c r="AG44" s="110"/>
      <c r="AH44" s="110"/>
      <c r="AI44" s="110"/>
      <c r="AJ44" s="110"/>
      <c r="AK44" s="110"/>
      <c r="AL44" s="110"/>
    </row>
    <row r="45" spans="24:38" x14ac:dyDescent="0.3">
      <c r="X45" s="120"/>
      <c r="Y45" s="110"/>
      <c r="Z45" s="110"/>
      <c r="AA45" s="110"/>
      <c r="AB45" s="110"/>
      <c r="AC45" s="110"/>
      <c r="AD45" s="110"/>
      <c r="AE45" s="110"/>
      <c r="AF45" s="110"/>
      <c r="AG45" s="110"/>
      <c r="AH45" s="110"/>
      <c r="AI45" s="110"/>
      <c r="AJ45" s="110"/>
      <c r="AK45" s="110"/>
      <c r="AL45" s="110"/>
    </row>
    <row r="46" spans="24:38" x14ac:dyDescent="0.3">
      <c r="X46" s="120"/>
      <c r="Y46" s="110"/>
      <c r="Z46" s="110"/>
      <c r="AA46" s="110"/>
      <c r="AB46" s="110"/>
      <c r="AC46" s="110"/>
      <c r="AD46" s="110"/>
      <c r="AE46" s="110"/>
      <c r="AF46" s="110"/>
      <c r="AG46" s="110"/>
      <c r="AH46" s="110"/>
      <c r="AI46" s="110"/>
      <c r="AJ46" s="110"/>
      <c r="AK46" s="110"/>
      <c r="AL46" s="110"/>
    </row>
    <row r="47" spans="24:38" x14ac:dyDescent="0.3">
      <c r="X47" s="120"/>
      <c r="Y47" s="110"/>
      <c r="Z47" s="110"/>
      <c r="AA47" s="110"/>
      <c r="AB47" s="110"/>
      <c r="AC47" s="110"/>
      <c r="AD47" s="110"/>
      <c r="AE47" s="110"/>
      <c r="AF47" s="110"/>
      <c r="AG47" s="110"/>
      <c r="AH47" s="110"/>
      <c r="AI47" s="110"/>
      <c r="AJ47" s="110"/>
      <c r="AK47" s="110"/>
      <c r="AL47" s="110"/>
    </row>
    <row r="48" spans="24:38" x14ac:dyDescent="0.3">
      <c r="X48" s="120"/>
      <c r="Y48" s="110"/>
      <c r="Z48" s="110"/>
      <c r="AA48" s="110"/>
      <c r="AB48" s="110"/>
      <c r="AC48" s="110"/>
      <c r="AD48" s="110"/>
      <c r="AE48" s="110"/>
      <c r="AF48" s="110"/>
      <c r="AG48" s="110"/>
      <c r="AH48" s="110"/>
      <c r="AI48" s="110"/>
      <c r="AJ48" s="110"/>
      <c r="AK48" s="110"/>
      <c r="AL48" s="110"/>
    </row>
    <row r="49" spans="24:38" x14ac:dyDescent="0.3">
      <c r="X49" s="120"/>
      <c r="Y49" s="110"/>
      <c r="Z49" s="110"/>
      <c r="AA49" s="110"/>
      <c r="AB49" s="110"/>
      <c r="AC49" s="110"/>
      <c r="AD49" s="110"/>
      <c r="AE49" s="110"/>
      <c r="AF49" s="110"/>
      <c r="AG49" s="110"/>
      <c r="AH49" s="110"/>
      <c r="AI49" s="110"/>
      <c r="AJ49" s="110"/>
      <c r="AK49" s="110"/>
      <c r="AL49" s="110"/>
    </row>
    <row r="50" spans="24:38" x14ac:dyDescent="0.3">
      <c r="X50" s="120"/>
      <c r="Y50" s="110"/>
      <c r="Z50" s="110"/>
      <c r="AA50" s="110"/>
      <c r="AB50" s="110"/>
      <c r="AC50" s="110"/>
      <c r="AD50" s="110"/>
      <c r="AE50" s="110"/>
      <c r="AF50" s="110"/>
      <c r="AG50" s="110"/>
      <c r="AH50" s="110"/>
      <c r="AI50" s="110"/>
      <c r="AJ50" s="110"/>
      <c r="AK50" s="110"/>
      <c r="AL50" s="110"/>
    </row>
    <row r="51" spans="24:38" x14ac:dyDescent="0.3">
      <c r="X51" s="120"/>
      <c r="Y51" s="110"/>
      <c r="Z51" s="110"/>
      <c r="AA51" s="110"/>
      <c r="AB51" s="110"/>
      <c r="AC51" s="110"/>
      <c r="AD51" s="110"/>
      <c r="AE51" s="110"/>
      <c r="AF51" s="110"/>
      <c r="AG51" s="110"/>
      <c r="AH51" s="110"/>
      <c r="AI51" s="110"/>
      <c r="AJ51" s="110"/>
      <c r="AK51" s="110"/>
      <c r="AL51" s="110"/>
    </row>
    <row r="52" spans="24:38" x14ac:dyDescent="0.3">
      <c r="X52" s="120"/>
      <c r="Y52" s="110"/>
      <c r="Z52" s="110"/>
      <c r="AA52" s="110"/>
      <c r="AB52" s="110"/>
      <c r="AC52" s="110"/>
      <c r="AD52" s="110"/>
      <c r="AE52" s="110"/>
      <c r="AF52" s="110"/>
      <c r="AG52" s="110"/>
      <c r="AH52" s="110"/>
      <c r="AI52" s="110"/>
      <c r="AJ52" s="110"/>
      <c r="AK52" s="110"/>
      <c r="AL52" s="110"/>
    </row>
    <row r="53" spans="24:38" x14ac:dyDescent="0.3">
      <c r="X53" s="120"/>
      <c r="Y53" s="110"/>
      <c r="Z53" s="110"/>
      <c r="AA53" s="110"/>
      <c r="AB53" s="110"/>
      <c r="AC53" s="110"/>
      <c r="AD53" s="110"/>
      <c r="AE53" s="110"/>
      <c r="AF53" s="110"/>
      <c r="AG53" s="110"/>
      <c r="AH53" s="110"/>
      <c r="AI53" s="110"/>
      <c r="AJ53" s="110"/>
      <c r="AK53" s="110"/>
      <c r="AL53" s="110"/>
    </row>
    <row r="54" spans="24:38" x14ac:dyDescent="0.3">
      <c r="X54" s="120"/>
      <c r="Y54" s="110"/>
      <c r="Z54" s="110"/>
      <c r="AA54" s="110"/>
      <c r="AB54" s="110"/>
      <c r="AC54" s="110"/>
      <c r="AD54" s="110"/>
      <c r="AE54" s="110"/>
      <c r="AF54" s="110"/>
      <c r="AG54" s="110"/>
      <c r="AH54" s="110"/>
      <c r="AI54" s="110"/>
      <c r="AJ54" s="110"/>
      <c r="AK54" s="110"/>
      <c r="AL54" s="110"/>
    </row>
    <row r="55" spans="24:38" x14ac:dyDescent="0.3">
      <c r="X55" s="120"/>
      <c r="Y55" s="110"/>
      <c r="Z55" s="110"/>
      <c r="AA55" s="110"/>
      <c r="AB55" s="110"/>
      <c r="AC55" s="110"/>
      <c r="AD55" s="110"/>
      <c r="AE55" s="110"/>
      <c r="AF55" s="110"/>
      <c r="AG55" s="110"/>
      <c r="AH55" s="110"/>
      <c r="AI55" s="110"/>
      <c r="AJ55" s="110"/>
      <c r="AK55" s="110"/>
      <c r="AL55" s="110"/>
    </row>
    <row r="56" spans="24:38" x14ac:dyDescent="0.3">
      <c r="X56" s="120"/>
      <c r="Y56" s="110"/>
      <c r="Z56" s="110"/>
      <c r="AA56" s="110"/>
      <c r="AB56" s="110"/>
      <c r="AC56" s="110"/>
      <c r="AD56" s="110"/>
      <c r="AE56" s="110"/>
      <c r="AF56" s="110"/>
      <c r="AG56" s="110"/>
      <c r="AH56" s="110"/>
      <c r="AI56" s="110"/>
      <c r="AJ56" s="110"/>
      <c r="AK56" s="110"/>
      <c r="AL56" s="110"/>
    </row>
    <row r="57" spans="24:38" x14ac:dyDescent="0.3">
      <c r="X57" s="120"/>
      <c r="Y57" s="110"/>
      <c r="Z57" s="110"/>
      <c r="AA57" s="110"/>
      <c r="AB57" s="110"/>
      <c r="AC57" s="110"/>
      <c r="AD57" s="110"/>
      <c r="AE57" s="110"/>
      <c r="AF57" s="110"/>
      <c r="AG57" s="110"/>
      <c r="AH57" s="110"/>
      <c r="AI57" s="110"/>
      <c r="AJ57" s="110"/>
      <c r="AK57" s="110"/>
      <c r="AL57" s="110"/>
    </row>
    <row r="58" spans="24:38" x14ac:dyDescent="0.3">
      <c r="X58" s="120"/>
      <c r="Y58" s="110"/>
      <c r="Z58" s="110"/>
      <c r="AA58" s="110"/>
      <c r="AB58" s="110"/>
      <c r="AC58" s="110"/>
      <c r="AD58" s="110"/>
      <c r="AE58" s="110"/>
      <c r="AF58" s="110"/>
      <c r="AG58" s="110"/>
      <c r="AH58" s="110"/>
      <c r="AI58" s="110"/>
      <c r="AJ58" s="110"/>
      <c r="AK58" s="110"/>
      <c r="AL58" s="110"/>
    </row>
    <row r="59" spans="24:38" x14ac:dyDescent="0.3">
      <c r="X59" s="121"/>
      <c r="Y59" s="75"/>
      <c r="Z59" s="75"/>
      <c r="AA59" s="75"/>
      <c r="AB59" s="75"/>
      <c r="AC59" s="75"/>
      <c r="AD59" s="75"/>
      <c r="AE59" s="75"/>
      <c r="AF59" s="75"/>
      <c r="AG59" s="75"/>
      <c r="AH59" s="75"/>
      <c r="AI59" s="75"/>
      <c r="AJ59" s="75"/>
      <c r="AK59" s="75"/>
      <c r="AL59" s="75"/>
    </row>
    <row r="60" spans="24:38" x14ac:dyDescent="0.3">
      <c r="X60" s="121"/>
      <c r="Y60" s="75"/>
      <c r="Z60" s="75"/>
      <c r="AA60" s="75"/>
      <c r="AB60" s="75"/>
      <c r="AC60" s="75"/>
      <c r="AD60" s="75"/>
      <c r="AE60" s="75"/>
      <c r="AF60" s="75"/>
      <c r="AG60" s="75"/>
      <c r="AH60" s="75"/>
      <c r="AI60" s="75"/>
      <c r="AJ60" s="75"/>
      <c r="AK60" s="75"/>
      <c r="AL60" s="75"/>
    </row>
    <row r="61" spans="24:38" x14ac:dyDescent="0.3">
      <c r="X61" s="121"/>
      <c r="Y61" s="75"/>
      <c r="Z61" s="75"/>
      <c r="AA61" s="75"/>
      <c r="AB61" s="75"/>
      <c r="AC61" s="75"/>
      <c r="AD61" s="75"/>
      <c r="AE61" s="75"/>
      <c r="AF61" s="75"/>
      <c r="AG61" s="75"/>
      <c r="AH61" s="75"/>
      <c r="AI61" s="75"/>
      <c r="AJ61" s="75"/>
      <c r="AK61" s="75"/>
      <c r="AL61" s="75"/>
    </row>
    <row r="62" spans="24:38" x14ac:dyDescent="0.3">
      <c r="X62" s="121"/>
      <c r="Y62" s="75"/>
      <c r="Z62" s="75"/>
      <c r="AA62" s="75"/>
      <c r="AB62" s="75"/>
      <c r="AC62" s="75"/>
      <c r="AD62" s="75"/>
      <c r="AE62" s="75"/>
      <c r="AF62" s="75"/>
      <c r="AG62" s="75"/>
      <c r="AH62" s="75"/>
      <c r="AI62" s="75"/>
      <c r="AJ62" s="75"/>
      <c r="AK62" s="75"/>
      <c r="AL62" s="75"/>
    </row>
    <row r="63" spans="24:38" x14ac:dyDescent="0.3">
      <c r="X63" s="121"/>
      <c r="Y63" s="75"/>
      <c r="Z63" s="75"/>
      <c r="AA63" s="75"/>
      <c r="AB63" s="75"/>
      <c r="AC63" s="75"/>
      <c r="AD63" s="75"/>
      <c r="AE63" s="75"/>
      <c r="AF63" s="75"/>
      <c r="AG63" s="75"/>
      <c r="AH63" s="75"/>
      <c r="AI63" s="75"/>
      <c r="AJ63" s="75"/>
      <c r="AK63" s="75"/>
      <c r="AL63" s="75"/>
    </row>
    <row r="64" spans="24:38" x14ac:dyDescent="0.3">
      <c r="X64" s="121"/>
      <c r="Y64" s="75"/>
      <c r="Z64" s="75"/>
      <c r="AA64" s="75"/>
      <c r="AB64" s="75"/>
      <c r="AC64" s="75"/>
      <c r="AD64" s="75"/>
      <c r="AE64" s="75"/>
      <c r="AF64" s="75"/>
      <c r="AG64" s="75"/>
      <c r="AH64" s="75"/>
      <c r="AI64" s="75"/>
      <c r="AJ64" s="75"/>
      <c r="AK64" s="75"/>
      <c r="AL64" s="75"/>
    </row>
    <row r="65" spans="24:38" x14ac:dyDescent="0.3">
      <c r="X65" s="121"/>
      <c r="Y65" s="75"/>
      <c r="Z65" s="75"/>
      <c r="AA65" s="75"/>
      <c r="AB65" s="75"/>
      <c r="AC65" s="75"/>
      <c r="AD65" s="75"/>
      <c r="AE65" s="75"/>
      <c r="AF65" s="75"/>
      <c r="AG65" s="75"/>
      <c r="AH65" s="75"/>
      <c r="AI65" s="75"/>
      <c r="AJ65" s="75"/>
      <c r="AK65" s="75"/>
      <c r="AL65" s="75"/>
    </row>
    <row r="66" spans="24:38" x14ac:dyDescent="0.3">
      <c r="X66" s="121"/>
      <c r="Y66" s="75"/>
      <c r="Z66" s="75"/>
      <c r="AA66" s="75"/>
      <c r="AB66" s="75"/>
      <c r="AC66" s="75"/>
      <c r="AD66" s="75"/>
      <c r="AE66" s="75"/>
      <c r="AF66" s="75"/>
      <c r="AG66" s="75"/>
      <c r="AH66" s="75"/>
      <c r="AI66" s="75"/>
      <c r="AJ66" s="75"/>
      <c r="AK66" s="75"/>
      <c r="AL66" s="75"/>
    </row>
    <row r="67" spans="24:38" x14ac:dyDescent="0.3">
      <c r="X67" s="121"/>
      <c r="Y67" s="75"/>
      <c r="Z67" s="75"/>
      <c r="AA67" s="75"/>
      <c r="AB67" s="75"/>
      <c r="AC67" s="75"/>
      <c r="AD67" s="75"/>
      <c r="AE67" s="75"/>
      <c r="AF67" s="75"/>
      <c r="AG67" s="75"/>
      <c r="AH67" s="75"/>
      <c r="AI67" s="75"/>
      <c r="AJ67" s="75"/>
      <c r="AK67" s="75"/>
      <c r="AL67" s="75"/>
    </row>
    <row r="68" spans="24:38" x14ac:dyDescent="0.3">
      <c r="X68" s="121"/>
      <c r="Y68" s="75"/>
      <c r="Z68" s="75"/>
      <c r="AA68" s="75"/>
      <c r="AB68" s="75"/>
      <c r="AC68" s="75"/>
      <c r="AD68" s="75"/>
      <c r="AE68" s="75"/>
      <c r="AF68" s="75"/>
      <c r="AG68" s="75"/>
      <c r="AH68" s="75"/>
      <c r="AI68" s="75"/>
      <c r="AJ68" s="75"/>
      <c r="AK68" s="75"/>
      <c r="AL68" s="75"/>
    </row>
    <row r="69" spans="24:38" x14ac:dyDescent="0.3">
      <c r="X69" s="121"/>
      <c r="Y69" s="75"/>
      <c r="Z69" s="75"/>
      <c r="AA69" s="75"/>
      <c r="AB69" s="75"/>
      <c r="AC69" s="75"/>
      <c r="AD69" s="75"/>
      <c r="AE69" s="75"/>
      <c r="AF69" s="75"/>
      <c r="AG69" s="75"/>
      <c r="AH69" s="75"/>
      <c r="AI69" s="75"/>
      <c r="AJ69" s="75"/>
      <c r="AK69" s="75"/>
      <c r="AL69" s="75"/>
    </row>
    <row r="70" spans="24:38" x14ac:dyDescent="0.3">
      <c r="X70" s="121"/>
      <c r="Y70" s="75"/>
      <c r="Z70" s="75"/>
      <c r="AA70" s="75"/>
      <c r="AB70" s="75"/>
      <c r="AC70" s="75"/>
      <c r="AD70" s="75"/>
      <c r="AE70" s="75"/>
      <c r="AF70" s="75"/>
      <c r="AG70" s="75"/>
      <c r="AH70" s="75"/>
      <c r="AI70" s="75"/>
      <c r="AJ70" s="75"/>
      <c r="AK70" s="75"/>
      <c r="AL70" s="75"/>
    </row>
    <row r="71" spans="24:38" x14ac:dyDescent="0.3">
      <c r="X71" s="121"/>
      <c r="Y71" s="75"/>
      <c r="Z71" s="75"/>
      <c r="AA71" s="75"/>
      <c r="AB71" s="75"/>
      <c r="AC71" s="75"/>
      <c r="AD71" s="75"/>
      <c r="AE71" s="75"/>
      <c r="AF71" s="75"/>
      <c r="AG71" s="75"/>
      <c r="AH71" s="75"/>
      <c r="AI71" s="75"/>
      <c r="AJ71" s="75"/>
      <c r="AK71" s="75"/>
      <c r="AL71" s="75"/>
    </row>
    <row r="72" spans="24:38" x14ac:dyDescent="0.3">
      <c r="X72" s="121"/>
      <c r="Y72" s="75"/>
      <c r="Z72" s="75"/>
      <c r="AA72" s="75"/>
      <c r="AB72" s="75"/>
      <c r="AC72" s="75"/>
      <c r="AD72" s="75"/>
      <c r="AE72" s="75"/>
      <c r="AF72" s="75"/>
      <c r="AG72" s="75"/>
      <c r="AH72" s="75"/>
      <c r="AI72" s="75"/>
      <c r="AJ72" s="75"/>
      <c r="AK72" s="75"/>
      <c r="AL72" s="75"/>
    </row>
    <row r="73" spans="24:38" x14ac:dyDescent="0.3">
      <c r="X73" s="121"/>
      <c r="Y73" s="75"/>
      <c r="Z73" s="75"/>
      <c r="AA73" s="75"/>
      <c r="AB73" s="75"/>
      <c r="AC73" s="75"/>
      <c r="AD73" s="75"/>
      <c r="AE73" s="75"/>
      <c r="AF73" s="75"/>
      <c r="AG73" s="75"/>
      <c r="AH73" s="75"/>
      <c r="AI73" s="75"/>
      <c r="AJ73" s="75"/>
      <c r="AK73" s="75"/>
      <c r="AL73" s="75"/>
    </row>
    <row r="74" spans="24:38" x14ac:dyDescent="0.3">
      <c r="X74" s="121"/>
      <c r="Y74" s="75"/>
      <c r="Z74" s="75"/>
      <c r="AA74" s="75"/>
      <c r="AB74" s="75"/>
      <c r="AC74" s="75"/>
      <c r="AD74" s="75"/>
      <c r="AE74" s="75"/>
      <c r="AF74" s="75"/>
      <c r="AG74" s="75"/>
      <c r="AH74" s="75"/>
      <c r="AI74" s="75"/>
      <c r="AJ74" s="75"/>
      <c r="AK74" s="75"/>
      <c r="AL74" s="75"/>
    </row>
    <row r="75" spans="24:38" x14ac:dyDescent="0.3">
      <c r="X75" s="121"/>
      <c r="Y75" s="75"/>
      <c r="Z75" s="75"/>
      <c r="AA75" s="75"/>
      <c r="AB75" s="75"/>
      <c r="AC75" s="75"/>
      <c r="AD75" s="75"/>
      <c r="AE75" s="75"/>
      <c r="AF75" s="75"/>
      <c r="AG75" s="75"/>
      <c r="AH75" s="75"/>
      <c r="AI75" s="75"/>
      <c r="AJ75" s="75"/>
      <c r="AK75" s="75"/>
      <c r="AL75" s="75"/>
    </row>
    <row r="76" spans="24:38" x14ac:dyDescent="0.3">
      <c r="X76" s="121"/>
      <c r="Y76" s="75"/>
      <c r="Z76" s="75"/>
      <c r="AA76" s="75"/>
      <c r="AB76" s="75"/>
      <c r="AC76" s="75"/>
      <c r="AD76" s="75"/>
      <c r="AE76" s="75"/>
      <c r="AF76" s="75"/>
      <c r="AG76" s="75"/>
      <c r="AH76" s="75"/>
      <c r="AI76" s="75"/>
      <c r="AJ76" s="75"/>
      <c r="AK76" s="75"/>
      <c r="AL76" s="75"/>
    </row>
    <row r="77" spans="24:38" x14ac:dyDescent="0.3">
      <c r="X77" s="121"/>
      <c r="Y77" s="75"/>
      <c r="Z77" s="75"/>
      <c r="AA77" s="75"/>
      <c r="AB77" s="75"/>
      <c r="AC77" s="75"/>
      <c r="AD77" s="75"/>
      <c r="AE77" s="75"/>
      <c r="AF77" s="75"/>
      <c r="AG77" s="75"/>
      <c r="AH77" s="75"/>
      <c r="AI77" s="75"/>
      <c r="AJ77" s="75"/>
      <c r="AK77" s="75"/>
      <c r="AL77" s="75"/>
    </row>
    <row r="78" spans="24:38" x14ac:dyDescent="0.3">
      <c r="X78" s="121"/>
      <c r="Y78" s="75"/>
      <c r="Z78" s="75"/>
      <c r="AA78" s="75"/>
      <c r="AB78" s="75"/>
      <c r="AC78" s="75"/>
      <c r="AD78" s="75"/>
      <c r="AE78" s="75"/>
      <c r="AF78" s="75"/>
      <c r="AG78" s="75"/>
      <c r="AH78" s="75"/>
      <c r="AI78" s="75"/>
      <c r="AJ78" s="75"/>
      <c r="AK78" s="75"/>
      <c r="AL78" s="75"/>
    </row>
    <row r="79" spans="24:38" x14ac:dyDescent="0.3">
      <c r="X79" s="121"/>
      <c r="Y79" s="75"/>
      <c r="Z79" s="75"/>
      <c r="AA79" s="75"/>
      <c r="AB79" s="75"/>
      <c r="AC79" s="75"/>
      <c r="AD79" s="75"/>
      <c r="AE79" s="75"/>
      <c r="AF79" s="75"/>
      <c r="AG79" s="75"/>
      <c r="AH79" s="75"/>
      <c r="AI79" s="75"/>
      <c r="AJ79" s="75"/>
      <c r="AK79" s="75"/>
      <c r="AL79" s="75"/>
    </row>
    <row r="80" spans="24:38" x14ac:dyDescent="0.3">
      <c r="X80" s="121"/>
      <c r="Y80" s="75"/>
      <c r="Z80" s="75"/>
      <c r="AA80" s="75"/>
      <c r="AB80" s="75"/>
      <c r="AC80" s="75"/>
      <c r="AD80" s="75"/>
      <c r="AE80" s="75"/>
      <c r="AF80" s="75"/>
      <c r="AG80" s="75"/>
      <c r="AH80" s="75"/>
      <c r="AI80" s="75"/>
      <c r="AJ80" s="75"/>
      <c r="AK80" s="75"/>
      <c r="AL80" s="75"/>
    </row>
    <row r="81" spans="24:38" x14ac:dyDescent="0.3">
      <c r="X81" s="121"/>
      <c r="Y81" s="75"/>
      <c r="Z81" s="75"/>
      <c r="AA81" s="75"/>
      <c r="AB81" s="75"/>
      <c r="AC81" s="75"/>
      <c r="AD81" s="75"/>
      <c r="AE81" s="75"/>
      <c r="AF81" s="75"/>
      <c r="AG81" s="75"/>
      <c r="AH81" s="75"/>
      <c r="AI81" s="75"/>
      <c r="AJ81" s="75"/>
      <c r="AK81" s="75"/>
      <c r="AL81" s="75"/>
    </row>
    <row r="82" spans="24:38" x14ac:dyDescent="0.3">
      <c r="X82" s="121"/>
      <c r="Y82" s="75"/>
      <c r="Z82" s="75"/>
      <c r="AA82" s="75"/>
      <c r="AB82" s="75"/>
      <c r="AC82" s="75"/>
      <c r="AD82" s="75"/>
      <c r="AE82" s="75"/>
      <c r="AF82" s="75"/>
      <c r="AG82" s="75"/>
      <c r="AH82" s="75"/>
      <c r="AI82" s="75"/>
      <c r="AJ82" s="75"/>
      <c r="AK82" s="75"/>
      <c r="AL82" s="75"/>
    </row>
    <row r="83" spans="24:38" x14ac:dyDescent="0.3">
      <c r="X83" s="121"/>
      <c r="Y83" s="75"/>
      <c r="Z83" s="75"/>
      <c r="AA83" s="75"/>
      <c r="AB83" s="75"/>
      <c r="AC83" s="75"/>
      <c r="AD83" s="75"/>
      <c r="AE83" s="75"/>
      <c r="AF83" s="75"/>
      <c r="AG83" s="75"/>
      <c r="AH83" s="75"/>
      <c r="AI83" s="75"/>
      <c r="AJ83" s="75"/>
      <c r="AK83" s="75"/>
      <c r="AL83" s="75"/>
    </row>
    <row r="84" spans="24:38" x14ac:dyDescent="0.3">
      <c r="X84" s="121"/>
      <c r="Y84" s="75"/>
      <c r="Z84" s="75"/>
      <c r="AA84" s="75"/>
      <c r="AB84" s="75"/>
      <c r="AC84" s="75"/>
      <c r="AD84" s="75"/>
      <c r="AE84" s="75"/>
      <c r="AF84" s="75"/>
      <c r="AG84" s="75"/>
      <c r="AH84" s="75"/>
      <c r="AI84" s="75"/>
      <c r="AJ84" s="75"/>
      <c r="AK84" s="75"/>
      <c r="AL84" s="75"/>
    </row>
    <row r="85" spans="24:38" x14ac:dyDescent="0.3">
      <c r="X85" s="121"/>
      <c r="Y85" s="75"/>
      <c r="Z85" s="75"/>
      <c r="AA85" s="75"/>
      <c r="AB85" s="75"/>
      <c r="AC85" s="75"/>
      <c r="AD85" s="75"/>
      <c r="AE85" s="75"/>
      <c r="AF85" s="75"/>
      <c r="AG85" s="75"/>
      <c r="AH85" s="75"/>
      <c r="AI85" s="75"/>
      <c r="AJ85" s="75"/>
      <c r="AK85" s="75"/>
      <c r="AL85" s="75"/>
    </row>
    <row r="86" spans="24:38" x14ac:dyDescent="0.3">
      <c r="X86" s="121"/>
      <c r="Y86" s="75"/>
      <c r="Z86" s="75"/>
      <c r="AA86" s="75"/>
      <c r="AB86" s="75"/>
      <c r="AC86" s="75"/>
      <c r="AD86" s="75"/>
      <c r="AE86" s="75"/>
      <c r="AF86" s="75"/>
      <c r="AG86" s="75"/>
      <c r="AH86" s="75"/>
      <c r="AI86" s="75"/>
      <c r="AJ86" s="75"/>
      <c r="AK86" s="75"/>
      <c r="AL86" s="75"/>
    </row>
    <row r="87" spans="24:38" x14ac:dyDescent="0.3">
      <c r="X87" s="121"/>
      <c r="Y87" s="75"/>
      <c r="Z87" s="75"/>
      <c r="AA87" s="75"/>
      <c r="AB87" s="75"/>
      <c r="AC87" s="75"/>
      <c r="AD87" s="75"/>
      <c r="AE87" s="75"/>
      <c r="AF87" s="75"/>
      <c r="AG87" s="75"/>
      <c r="AH87" s="75"/>
      <c r="AI87" s="75"/>
      <c r="AJ87" s="75"/>
      <c r="AK87" s="75"/>
      <c r="AL87" s="75"/>
    </row>
    <row r="88" spans="24:38" x14ac:dyDescent="0.3">
      <c r="X88" s="121"/>
      <c r="Y88" s="75"/>
      <c r="Z88" s="75"/>
      <c r="AA88" s="75"/>
      <c r="AB88" s="75"/>
      <c r="AC88" s="75"/>
      <c r="AD88" s="75"/>
      <c r="AE88" s="75"/>
      <c r="AF88" s="75"/>
      <c r="AG88" s="75"/>
      <c r="AH88" s="75"/>
      <c r="AI88" s="75"/>
      <c r="AJ88" s="75"/>
      <c r="AK88" s="75"/>
      <c r="AL88" s="75"/>
    </row>
    <row r="89" spans="24:38" x14ac:dyDescent="0.3">
      <c r="X89" s="121"/>
      <c r="Y89" s="75"/>
      <c r="Z89" s="75"/>
      <c r="AA89" s="75"/>
      <c r="AB89" s="75"/>
      <c r="AC89" s="75"/>
      <c r="AD89" s="75"/>
      <c r="AE89" s="75"/>
      <c r="AF89" s="75"/>
      <c r="AG89" s="75"/>
      <c r="AH89" s="75"/>
      <c r="AI89" s="75"/>
      <c r="AJ89" s="75"/>
      <c r="AK89" s="75"/>
      <c r="AL89" s="75"/>
    </row>
    <row r="90" spans="24:38" x14ac:dyDescent="0.3">
      <c r="X90" s="121"/>
      <c r="Y90" s="75"/>
      <c r="Z90" s="75"/>
      <c r="AA90" s="75"/>
      <c r="AB90" s="75"/>
      <c r="AC90" s="75"/>
      <c r="AD90" s="75"/>
      <c r="AE90" s="75"/>
      <c r="AF90" s="75"/>
      <c r="AG90" s="75"/>
      <c r="AH90" s="75"/>
      <c r="AI90" s="75"/>
      <c r="AJ90" s="75"/>
      <c r="AK90" s="75"/>
      <c r="AL90" s="75"/>
    </row>
    <row r="91" spans="24:38" x14ac:dyDescent="0.3">
      <c r="X91" s="121"/>
      <c r="Y91" s="75"/>
      <c r="Z91" s="75"/>
      <c r="AA91" s="75"/>
      <c r="AB91" s="75"/>
      <c r="AC91" s="75"/>
      <c r="AD91" s="75"/>
      <c r="AE91" s="75"/>
      <c r="AF91" s="75"/>
      <c r="AG91" s="75"/>
      <c r="AH91" s="75"/>
      <c r="AI91" s="75"/>
      <c r="AJ91" s="75"/>
      <c r="AK91" s="75"/>
      <c r="AL91" s="75"/>
    </row>
    <row r="92" spans="24:38" x14ac:dyDescent="0.3">
      <c r="X92" s="121"/>
      <c r="Y92" s="75"/>
      <c r="Z92" s="75"/>
      <c r="AA92" s="75"/>
      <c r="AB92" s="75"/>
      <c r="AC92" s="75"/>
      <c r="AD92" s="75"/>
      <c r="AE92" s="75"/>
      <c r="AF92" s="75"/>
      <c r="AG92" s="75"/>
      <c r="AH92" s="75"/>
      <c r="AI92" s="75"/>
      <c r="AJ92" s="75"/>
      <c r="AK92" s="75"/>
      <c r="AL92" s="75"/>
    </row>
    <row r="93" spans="24:38" x14ac:dyDescent="0.3">
      <c r="X93" s="121"/>
      <c r="Y93" s="75"/>
      <c r="Z93" s="75"/>
      <c r="AA93" s="75"/>
      <c r="AB93" s="75"/>
      <c r="AC93" s="75"/>
      <c r="AD93" s="75"/>
      <c r="AE93" s="75"/>
      <c r="AF93" s="75"/>
      <c r="AG93" s="75"/>
      <c r="AH93" s="75"/>
      <c r="AI93" s="75"/>
      <c r="AJ93" s="75"/>
      <c r="AK93" s="75"/>
      <c r="AL93" s="75"/>
    </row>
    <row r="94" spans="24:38" x14ac:dyDescent="0.3">
      <c r="X94" s="121"/>
      <c r="Y94" s="75"/>
      <c r="Z94" s="75"/>
      <c r="AA94" s="75"/>
      <c r="AB94" s="75"/>
      <c r="AC94" s="75"/>
      <c r="AD94" s="75"/>
      <c r="AE94" s="75"/>
      <c r="AF94" s="75"/>
      <c r="AG94" s="75"/>
      <c r="AH94" s="75"/>
      <c r="AI94" s="75"/>
      <c r="AJ94" s="75"/>
      <c r="AK94" s="75"/>
      <c r="AL94" s="75"/>
    </row>
    <row r="95" spans="24:38" x14ac:dyDescent="0.3">
      <c r="X95" s="121"/>
      <c r="Y95" s="75"/>
      <c r="Z95" s="75"/>
      <c r="AA95" s="75"/>
      <c r="AB95" s="75"/>
      <c r="AC95" s="75"/>
      <c r="AD95" s="75"/>
      <c r="AE95" s="75"/>
      <c r="AF95" s="75"/>
      <c r="AG95" s="75"/>
      <c r="AH95" s="75"/>
      <c r="AI95" s="75"/>
      <c r="AJ95" s="75"/>
      <c r="AK95" s="75"/>
      <c r="AL95" s="75"/>
    </row>
    <row r="96" spans="24:38" x14ac:dyDescent="0.3">
      <c r="X96" s="121"/>
      <c r="Y96" s="75"/>
      <c r="Z96" s="75"/>
      <c r="AA96" s="75"/>
      <c r="AB96" s="75"/>
      <c r="AC96" s="75"/>
      <c r="AD96" s="75"/>
      <c r="AE96" s="75"/>
      <c r="AF96" s="75"/>
      <c r="AG96" s="75"/>
      <c r="AH96" s="75"/>
      <c r="AI96" s="75"/>
      <c r="AJ96" s="75"/>
      <c r="AK96" s="75"/>
      <c r="AL96" s="75"/>
    </row>
    <row r="97" spans="24:38" x14ac:dyDescent="0.3">
      <c r="X97" s="121"/>
      <c r="Y97" s="75"/>
      <c r="Z97" s="75"/>
      <c r="AA97" s="75"/>
      <c r="AB97" s="75"/>
      <c r="AC97" s="75"/>
      <c r="AD97" s="75"/>
      <c r="AE97" s="75"/>
      <c r="AF97" s="75"/>
      <c r="AG97" s="75"/>
      <c r="AH97" s="75"/>
      <c r="AI97" s="75"/>
      <c r="AJ97" s="75"/>
      <c r="AK97" s="75"/>
      <c r="AL97" s="75"/>
    </row>
    <row r="98" spans="24:38" x14ac:dyDescent="0.3">
      <c r="X98" s="121"/>
      <c r="Y98" s="75"/>
      <c r="Z98" s="75"/>
      <c r="AA98" s="75"/>
      <c r="AB98" s="75"/>
      <c r="AC98" s="75"/>
      <c r="AD98" s="75"/>
      <c r="AE98" s="75"/>
      <c r="AF98" s="75"/>
      <c r="AG98" s="75"/>
      <c r="AH98" s="75"/>
      <c r="AI98" s="75"/>
      <c r="AJ98" s="75"/>
      <c r="AK98" s="75"/>
      <c r="AL98" s="75"/>
    </row>
    <row r="99" spans="24:38" x14ac:dyDescent="0.3">
      <c r="X99" s="121"/>
      <c r="Y99" s="75"/>
      <c r="Z99" s="75"/>
      <c r="AA99" s="75"/>
      <c r="AB99" s="75"/>
      <c r="AC99" s="75"/>
      <c r="AD99" s="75"/>
      <c r="AE99" s="75"/>
      <c r="AF99" s="75"/>
      <c r="AG99" s="75"/>
      <c r="AH99" s="75"/>
      <c r="AI99" s="75"/>
      <c r="AJ99" s="75"/>
      <c r="AK99" s="75"/>
      <c r="AL99" s="75"/>
    </row>
    <row r="100" spans="24:38" x14ac:dyDescent="0.3">
      <c r="X100" s="121"/>
      <c r="Y100" s="75"/>
      <c r="Z100" s="75"/>
      <c r="AA100" s="75"/>
      <c r="AB100" s="75"/>
      <c r="AC100" s="75"/>
      <c r="AD100" s="75"/>
      <c r="AE100" s="75"/>
      <c r="AF100" s="75"/>
      <c r="AG100" s="75"/>
      <c r="AH100" s="75"/>
      <c r="AI100" s="75"/>
      <c r="AJ100" s="75"/>
      <c r="AK100" s="75"/>
      <c r="AL100" s="75"/>
    </row>
    <row r="101" spans="24:38" x14ac:dyDescent="0.3">
      <c r="X101" s="121"/>
      <c r="Y101" s="75"/>
      <c r="Z101" s="75"/>
      <c r="AA101" s="75"/>
      <c r="AB101" s="75"/>
      <c r="AC101" s="75"/>
      <c r="AD101" s="75"/>
      <c r="AE101" s="75"/>
      <c r="AF101" s="75"/>
      <c r="AG101" s="75"/>
      <c r="AH101" s="75"/>
      <c r="AI101" s="75"/>
      <c r="AJ101" s="75"/>
      <c r="AK101" s="75"/>
      <c r="AL101" s="75"/>
    </row>
    <row r="102" spans="24:38" x14ac:dyDescent="0.3">
      <c r="X102" s="121"/>
      <c r="Y102" s="75"/>
      <c r="Z102" s="75"/>
      <c r="AA102" s="75"/>
      <c r="AB102" s="75"/>
      <c r="AC102" s="75"/>
      <c r="AD102" s="75"/>
      <c r="AE102" s="75"/>
      <c r="AF102" s="75"/>
      <c r="AG102" s="75"/>
      <c r="AH102" s="75"/>
      <c r="AI102" s="75"/>
      <c r="AJ102" s="75"/>
      <c r="AK102" s="75"/>
      <c r="AL102" s="75"/>
    </row>
    <row r="103" spans="24:38" x14ac:dyDescent="0.3">
      <c r="X103" s="121"/>
      <c r="Y103" s="75"/>
      <c r="Z103" s="113" t="s">
        <v>448</v>
      </c>
      <c r="AA103" s="75">
        <f t="shared" ref="AA103:AL103" si="177">SUM(AA6:AA102)</f>
        <v>279</v>
      </c>
      <c r="AB103" s="75">
        <f t="shared" si="177"/>
        <v>0</v>
      </c>
      <c r="AC103" s="75">
        <f t="shared" si="177"/>
        <v>0</v>
      </c>
      <c r="AD103" s="75">
        <f t="shared" si="177"/>
        <v>0</v>
      </c>
      <c r="AE103" s="75">
        <f t="shared" si="177"/>
        <v>14</v>
      </c>
      <c r="AF103" s="75">
        <f t="shared" si="177"/>
        <v>0</v>
      </c>
      <c r="AG103" s="75">
        <f t="shared" si="177"/>
        <v>0</v>
      </c>
      <c r="AH103" s="75">
        <f t="shared" si="177"/>
        <v>0</v>
      </c>
      <c r="AI103" s="75">
        <f t="shared" si="177"/>
        <v>2</v>
      </c>
      <c r="AJ103" s="75">
        <f t="shared" si="177"/>
        <v>0</v>
      </c>
      <c r="AK103" s="75">
        <f t="shared" si="177"/>
        <v>0</v>
      </c>
      <c r="AL103" s="75">
        <f t="shared" si="177"/>
        <v>0</v>
      </c>
    </row>
    <row r="104" spans="24:38" x14ac:dyDescent="0.3">
      <c r="X104" s="121"/>
      <c r="Y104" s="75"/>
      <c r="Z104" s="113" t="s">
        <v>449</v>
      </c>
      <c r="AA104" s="114">
        <f>I5+I103-AA103</f>
        <v>-279</v>
      </c>
      <c r="AB104" s="114">
        <f>K5+K103-AB103</f>
        <v>0</v>
      </c>
      <c r="AC104" s="114">
        <f>L5+L103-AC103</f>
        <v>0</v>
      </c>
      <c r="AD104" s="114">
        <f>M5+M103-AD103</f>
        <v>0</v>
      </c>
      <c r="AE104" s="114">
        <f>N5+N103-AE103</f>
        <v>-14</v>
      </c>
      <c r="AF104" s="114">
        <f>P5+P103-AF103</f>
        <v>0</v>
      </c>
      <c r="AG104" s="114">
        <f>Q5+Q103-AG103</f>
        <v>0</v>
      </c>
      <c r="AH104" s="114">
        <f>R5+R103-AH103</f>
        <v>0</v>
      </c>
      <c r="AI104" s="114">
        <f>S5+S103-AI103</f>
        <v>-2</v>
      </c>
      <c r="AJ104" s="114">
        <f t="shared" ref="AJ104:AL104" si="178">U5+U103-AJ103</f>
        <v>119</v>
      </c>
      <c r="AK104" s="114">
        <f t="shared" si="178"/>
        <v>30</v>
      </c>
      <c r="AL104" s="114">
        <f t="shared" si="178"/>
        <v>0</v>
      </c>
    </row>
  </sheetData>
  <autoFilter ref="A2:AL2" xr:uid="{00000000-0001-0000-0700-000000000000}"/>
  <mergeCells count="6">
    <mergeCell ref="Y36:Y37"/>
    <mergeCell ref="C1:G1"/>
    <mergeCell ref="H1:L1"/>
    <mergeCell ref="M1:Q1"/>
    <mergeCell ref="R1:V1"/>
    <mergeCell ref="X36:X37"/>
  </mergeCells>
  <dataValidations count="1">
    <dataValidation type="list" allowBlank="1" showInputMessage="1" showErrorMessage="1" sqref="Y103:Y1104 Y1:Y4" xr:uid="{F3A35D46-F104-47B1-AFD8-5FB672FEA399}">
      <formula1>$A$4:$A$454</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Roman,thường"&amp;12&amp;Kffffff&amp;A</oddHeader>
    <oddFooter>&amp;C&amp;"Times New Roman,thường"&amp;12&amp;KffffffTrang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26"/>
  <sheetViews>
    <sheetView topLeftCell="H1" zoomScaleNormal="100" workbookViewId="0">
      <pane ySplit="2" topLeftCell="A3" activePane="bottomLeft" state="frozen"/>
      <selection activeCell="H1" sqref="H1"/>
      <selection pane="bottomLeft" activeCell="K26" sqref="K26"/>
    </sheetView>
  </sheetViews>
  <sheetFormatPr defaultColWidth="10.109375" defaultRowHeight="14.4" x14ac:dyDescent="0.3"/>
  <cols>
    <col min="1" max="1" width="5.5546875" customWidth="1"/>
    <col min="2" max="2" width="13.109375" style="77" customWidth="1"/>
    <col min="3" max="3" width="7.44140625" customWidth="1"/>
    <col min="4" max="5" width="11.109375" customWidth="1"/>
    <col min="19" max="20" width="11.6640625" customWidth="1"/>
    <col min="24" max="25" width="26.6640625" customWidth="1"/>
    <col min="26" max="26" width="14.33203125" customWidth="1"/>
    <col min="27" max="27" width="10.44140625"/>
    <col min="28" max="28" width="7.88671875" customWidth="1"/>
    <col min="29" max="29" width="9.441406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76" t="s">
        <v>3</v>
      </c>
      <c r="B1" s="76" t="s">
        <v>377</v>
      </c>
      <c r="C1" s="468" t="s">
        <v>378</v>
      </c>
      <c r="D1" s="468"/>
      <c r="E1" s="468"/>
      <c r="F1" s="468"/>
      <c r="G1" s="468"/>
      <c r="H1" s="469" t="s">
        <v>379</v>
      </c>
      <c r="I1" s="469"/>
      <c r="J1" s="469"/>
      <c r="K1" s="469"/>
      <c r="L1" s="469"/>
      <c r="M1" s="470" t="s">
        <v>380</v>
      </c>
      <c r="N1" s="470"/>
      <c r="O1" s="470"/>
      <c r="P1" s="470"/>
      <c r="Q1" s="470"/>
      <c r="R1" s="471" t="s">
        <v>381</v>
      </c>
      <c r="S1" s="471"/>
      <c r="T1" s="471"/>
      <c r="U1" s="471"/>
      <c r="V1" s="471"/>
      <c r="W1" s="75"/>
      <c r="X1" s="116"/>
      <c r="Y1" s="115" t="s">
        <v>380</v>
      </c>
      <c r="Z1" s="115"/>
      <c r="AA1" s="115"/>
      <c r="AB1" s="115"/>
      <c r="AC1" s="115"/>
      <c r="AD1" s="115"/>
      <c r="AE1" s="115"/>
      <c r="AF1" s="115"/>
      <c r="AG1" s="115"/>
      <c r="AH1" s="115"/>
      <c r="AI1" s="115"/>
      <c r="AJ1" s="115"/>
      <c r="AK1" s="115"/>
      <c r="AL1" s="115"/>
    </row>
    <row r="2" spans="1:38" ht="32.85" customHeight="1" x14ac:dyDescent="0.3">
      <c r="A2" s="75"/>
      <c r="B2" s="78"/>
      <c r="C2" s="79" t="s">
        <v>382</v>
      </c>
      <c r="D2" s="79" t="s">
        <v>383</v>
      </c>
      <c r="E2" s="79" t="s">
        <v>494</v>
      </c>
      <c r="F2" s="79" t="s">
        <v>384</v>
      </c>
      <c r="G2" s="79" t="s">
        <v>385</v>
      </c>
      <c r="H2" s="80" t="s">
        <v>382</v>
      </c>
      <c r="I2" s="80" t="s">
        <v>383</v>
      </c>
      <c r="J2" s="80" t="s">
        <v>494</v>
      </c>
      <c r="K2" s="80" t="s">
        <v>384</v>
      </c>
      <c r="L2" s="80" t="s">
        <v>385</v>
      </c>
      <c r="M2" s="81" t="s">
        <v>382</v>
      </c>
      <c r="N2" s="81" t="s">
        <v>383</v>
      </c>
      <c r="O2" s="200" t="s">
        <v>494</v>
      </c>
      <c r="P2" s="81" t="s">
        <v>384</v>
      </c>
      <c r="Q2" s="81" t="s">
        <v>385</v>
      </c>
      <c r="R2" s="82" t="s">
        <v>382</v>
      </c>
      <c r="S2" s="82" t="s">
        <v>383</v>
      </c>
      <c r="T2" s="199" t="s">
        <v>494</v>
      </c>
      <c r="U2" s="82" t="s">
        <v>384</v>
      </c>
      <c r="V2" s="82" t="s">
        <v>385</v>
      </c>
      <c r="W2" s="75"/>
      <c r="X2" s="117"/>
      <c r="Y2" s="107" t="s">
        <v>328</v>
      </c>
      <c r="Z2" s="107" t="s">
        <v>412</v>
      </c>
      <c r="AA2" s="108" t="s">
        <v>26</v>
      </c>
      <c r="AB2" s="106" t="s">
        <v>413</v>
      </c>
      <c r="AC2" s="106" t="s">
        <v>414</v>
      </c>
      <c r="AD2" s="106" t="s">
        <v>415</v>
      </c>
      <c r="AE2" s="106" t="s">
        <v>29</v>
      </c>
      <c r="AF2" s="106" t="s">
        <v>416</v>
      </c>
      <c r="AG2" s="106" t="s">
        <v>417</v>
      </c>
      <c r="AH2" s="106" t="s">
        <v>418</v>
      </c>
      <c r="AI2" s="106" t="s">
        <v>419</v>
      </c>
      <c r="AJ2" s="106" t="s">
        <v>420</v>
      </c>
      <c r="AK2" s="106" t="s">
        <v>42</v>
      </c>
      <c r="AL2" s="106" t="s">
        <v>421</v>
      </c>
    </row>
    <row r="3" spans="1:38" ht="32.85" customHeight="1" x14ac:dyDescent="0.3">
      <c r="A3" s="75"/>
      <c r="B3" s="78"/>
      <c r="C3" s="79"/>
      <c r="D3" s="79"/>
      <c r="E3" s="79"/>
      <c r="F3" s="79"/>
      <c r="G3" s="79"/>
      <c r="H3" s="80"/>
      <c r="I3" s="80"/>
      <c r="J3" s="80"/>
      <c r="K3" s="80"/>
      <c r="L3" s="80"/>
      <c r="M3" s="81"/>
      <c r="N3" s="81"/>
      <c r="O3" s="200"/>
      <c r="P3" s="81"/>
      <c r="Q3" s="81"/>
      <c r="R3" s="82"/>
      <c r="S3" s="82"/>
      <c r="T3" s="199"/>
      <c r="U3" s="82"/>
      <c r="V3" s="82"/>
      <c r="W3" s="75"/>
      <c r="X3" s="117"/>
      <c r="Y3" s="107"/>
      <c r="Z3" s="107"/>
      <c r="AA3" s="108"/>
      <c r="AB3" s="106"/>
      <c r="AC3" s="106"/>
      <c r="AD3" s="106"/>
      <c r="AE3" s="106"/>
      <c r="AF3" s="106"/>
      <c r="AG3" s="106"/>
      <c r="AH3" s="106"/>
      <c r="AI3" s="106"/>
      <c r="AJ3" s="106"/>
      <c r="AK3" s="106"/>
      <c r="AL3" s="106"/>
    </row>
    <row r="4" spans="1:38" ht="32.85" hidden="1" customHeight="1" x14ac:dyDescent="0.35">
      <c r="A4" s="75"/>
      <c r="B4" s="78">
        <v>46273</v>
      </c>
      <c r="C4" s="75"/>
      <c r="D4" s="75">
        <v>9</v>
      </c>
      <c r="E4" s="75"/>
      <c r="F4" s="75">
        <v>0</v>
      </c>
      <c r="G4" s="75">
        <v>16</v>
      </c>
      <c r="H4" s="75"/>
      <c r="I4" s="75">
        <v>3</v>
      </c>
      <c r="J4" s="75"/>
      <c r="K4" s="75">
        <f>52+60</f>
        <v>112</v>
      </c>
      <c r="L4" s="75">
        <v>38</v>
      </c>
      <c r="M4" s="75"/>
      <c r="N4" s="75">
        <f>4+3</f>
        <v>7</v>
      </c>
      <c r="O4" s="75"/>
      <c r="P4" s="75">
        <f>22+22+3+2+4</f>
        <v>53</v>
      </c>
      <c r="Q4" s="75">
        <f>11+3+22</f>
        <v>36</v>
      </c>
      <c r="R4" s="75">
        <f t="shared" ref="R4:V5" si="0">C4+H4-M4</f>
        <v>0</v>
      </c>
      <c r="S4" s="75">
        <f t="shared" si="0"/>
        <v>5</v>
      </c>
      <c r="T4" s="75">
        <f t="shared" si="0"/>
        <v>0</v>
      </c>
      <c r="U4" s="75">
        <f t="shared" si="0"/>
        <v>59</v>
      </c>
      <c r="V4" s="75">
        <f t="shared" si="0"/>
        <v>18</v>
      </c>
      <c r="W4" s="75"/>
      <c r="X4" s="118"/>
      <c r="Y4" s="109"/>
      <c r="Z4" s="109"/>
      <c r="AA4" s="109"/>
      <c r="AB4" s="109"/>
      <c r="AC4" s="109"/>
      <c r="AD4" s="109"/>
      <c r="AE4" s="109"/>
      <c r="AF4" s="109"/>
      <c r="AG4" s="109"/>
      <c r="AH4" s="109"/>
      <c r="AI4" s="109"/>
      <c r="AJ4" s="109"/>
      <c r="AK4" s="109"/>
      <c r="AL4" s="109"/>
    </row>
    <row r="5" spans="1:38" ht="32.85" hidden="1" customHeight="1" x14ac:dyDescent="0.3">
      <c r="A5" s="75"/>
      <c r="B5" s="78">
        <v>46274</v>
      </c>
      <c r="C5" s="75">
        <f t="shared" ref="C5:C10" si="1">R4</f>
        <v>0</v>
      </c>
      <c r="D5" s="75">
        <f t="shared" ref="D5" si="2">S4</f>
        <v>5</v>
      </c>
      <c r="E5" s="75"/>
      <c r="F5" s="75">
        <f t="shared" ref="F5:G6" si="3">U4</f>
        <v>59</v>
      </c>
      <c r="G5" s="75">
        <f t="shared" si="3"/>
        <v>18</v>
      </c>
      <c r="H5" s="75"/>
      <c r="I5" s="75">
        <v>20</v>
      </c>
      <c r="J5" s="75">
        <v>11</v>
      </c>
      <c r="K5" s="75"/>
      <c r="L5" s="75">
        <v>40</v>
      </c>
      <c r="M5" s="75">
        <f>AK70</f>
        <v>0</v>
      </c>
      <c r="N5" s="75">
        <v>3</v>
      </c>
      <c r="O5" s="75">
        <v>11</v>
      </c>
      <c r="P5" s="75">
        <v>7</v>
      </c>
      <c r="Q5" s="75">
        <v>1</v>
      </c>
      <c r="R5" s="75">
        <f>C5+H5-M5</f>
        <v>0</v>
      </c>
      <c r="S5" s="75">
        <f>D5+I5-N5</f>
        <v>22</v>
      </c>
      <c r="T5" s="75">
        <f t="shared" si="0"/>
        <v>0</v>
      </c>
      <c r="U5" s="75">
        <f t="shared" si="0"/>
        <v>52</v>
      </c>
      <c r="V5" s="75">
        <f t="shared" si="0"/>
        <v>57</v>
      </c>
      <c r="W5" s="75"/>
      <c r="X5" s="127">
        <v>46262</v>
      </c>
      <c r="Y5" s="75" t="s">
        <v>454</v>
      </c>
      <c r="Z5" s="75" t="s">
        <v>46</v>
      </c>
      <c r="AA5" s="75">
        <v>11</v>
      </c>
      <c r="AB5" s="75"/>
      <c r="AC5" s="75"/>
      <c r="AD5" s="75"/>
      <c r="AE5" s="75"/>
      <c r="AF5" s="75"/>
      <c r="AG5" s="75"/>
      <c r="AH5" s="75"/>
      <c r="AI5" s="75"/>
      <c r="AJ5" s="75"/>
      <c r="AK5" s="75"/>
      <c r="AL5" s="75"/>
    </row>
    <row r="6" spans="1:38" ht="32.85" hidden="1" customHeight="1" x14ac:dyDescent="0.3">
      <c r="A6" s="75"/>
      <c r="B6" s="97" t="s">
        <v>498</v>
      </c>
      <c r="C6" s="75">
        <f t="shared" si="1"/>
        <v>0</v>
      </c>
      <c r="D6" s="75">
        <f t="shared" ref="D6" si="4">S5</f>
        <v>22</v>
      </c>
      <c r="E6" s="75">
        <v>11</v>
      </c>
      <c r="F6" s="75">
        <f t="shared" si="3"/>
        <v>52</v>
      </c>
      <c r="G6" s="75">
        <f t="shared" si="3"/>
        <v>57</v>
      </c>
      <c r="H6" s="75"/>
      <c r="I6" s="75">
        <v>22</v>
      </c>
      <c r="J6" s="75"/>
      <c r="K6" s="75">
        <v>66</v>
      </c>
      <c r="L6" s="75"/>
      <c r="M6" s="75"/>
      <c r="N6" s="75">
        <v>23</v>
      </c>
      <c r="O6" s="75">
        <v>11</v>
      </c>
      <c r="P6" s="75">
        <v>33</v>
      </c>
      <c r="Q6" s="75"/>
      <c r="R6" s="75">
        <f>C6+H6-M6</f>
        <v>0</v>
      </c>
      <c r="S6" s="75">
        <f>D6+I6-N6</f>
        <v>21</v>
      </c>
      <c r="T6" s="75">
        <f t="shared" ref="T6" si="5">E6+J6-O6</f>
        <v>0</v>
      </c>
      <c r="U6" s="75">
        <f t="shared" ref="U6" si="6">F6+K6-P6</f>
        <v>85</v>
      </c>
      <c r="V6" s="75">
        <f t="shared" ref="V6" si="7">G6+L6-Q6</f>
        <v>57</v>
      </c>
      <c r="W6" s="75"/>
      <c r="X6" s="127">
        <v>46262</v>
      </c>
      <c r="Y6" s="75" t="s">
        <v>455</v>
      </c>
      <c r="Z6" s="75" t="s">
        <v>72</v>
      </c>
      <c r="AA6" s="75"/>
      <c r="AB6" s="75"/>
      <c r="AC6" s="75"/>
      <c r="AD6" s="75"/>
      <c r="AE6" s="75">
        <v>3</v>
      </c>
      <c r="AF6" s="75"/>
      <c r="AG6" s="75"/>
      <c r="AH6" s="75"/>
      <c r="AI6" s="75"/>
      <c r="AJ6" s="75"/>
      <c r="AK6" s="75"/>
      <c r="AL6" s="75"/>
    </row>
    <row r="7" spans="1:38" ht="32.85" hidden="1" customHeight="1" x14ac:dyDescent="0.3">
      <c r="A7" s="75"/>
      <c r="B7" s="97" t="s">
        <v>546</v>
      </c>
      <c r="C7" s="75">
        <f t="shared" si="1"/>
        <v>0</v>
      </c>
      <c r="D7" s="75">
        <f t="shared" ref="D7" si="8">S6</f>
        <v>21</v>
      </c>
      <c r="E7" s="75"/>
      <c r="F7" s="75">
        <f t="shared" ref="F7" si="9">U6</f>
        <v>85</v>
      </c>
      <c r="G7" s="75">
        <f t="shared" ref="G7" si="10">V6</f>
        <v>57</v>
      </c>
      <c r="H7" s="75"/>
      <c r="I7" s="75"/>
      <c r="J7" s="75"/>
      <c r="K7" s="75">
        <v>60</v>
      </c>
      <c r="L7" s="75"/>
      <c r="M7" s="75"/>
      <c r="N7" s="75"/>
      <c r="O7" s="75"/>
      <c r="P7" s="75">
        <v>6</v>
      </c>
      <c r="Q7" s="75"/>
      <c r="R7" s="75"/>
      <c r="S7" s="75">
        <f t="shared" ref="S7:S12" si="11">D7+I7-N7</f>
        <v>21</v>
      </c>
      <c r="T7" s="75">
        <f t="shared" ref="T7" si="12">E7+J7-O7</f>
        <v>0</v>
      </c>
      <c r="U7" s="75">
        <f t="shared" ref="U7" si="13">F7+K7-P7</f>
        <v>139</v>
      </c>
      <c r="V7" s="75">
        <f t="shared" ref="V7" si="14">G7+L7-Q7</f>
        <v>57</v>
      </c>
      <c r="W7" s="75"/>
      <c r="X7" s="128">
        <v>46262</v>
      </c>
      <c r="Y7" s="75" t="s">
        <v>456</v>
      </c>
      <c r="Z7" s="75" t="s">
        <v>423</v>
      </c>
      <c r="AA7" s="75"/>
      <c r="AB7" s="75"/>
      <c r="AC7" s="75"/>
      <c r="AD7" s="75"/>
      <c r="AE7" s="75">
        <v>3</v>
      </c>
      <c r="AF7" s="75"/>
      <c r="AG7" s="75"/>
      <c r="AH7" s="75"/>
      <c r="AI7" s="75"/>
      <c r="AJ7" s="75"/>
      <c r="AK7" s="75"/>
      <c r="AL7" s="75"/>
    </row>
    <row r="8" spans="1:38" ht="32.85" hidden="1" customHeight="1" x14ac:dyDescent="0.3">
      <c r="A8" s="75"/>
      <c r="B8" s="97" t="s">
        <v>574</v>
      </c>
      <c r="C8" s="75">
        <f t="shared" si="1"/>
        <v>0</v>
      </c>
      <c r="D8" s="75">
        <f t="shared" ref="D8" si="15">S7</f>
        <v>21</v>
      </c>
      <c r="E8" s="75"/>
      <c r="F8" s="75">
        <f t="shared" ref="F8" si="16">U7</f>
        <v>139</v>
      </c>
      <c r="G8" s="75">
        <f t="shared" ref="G8" si="17">V7</f>
        <v>57</v>
      </c>
      <c r="H8" s="75"/>
      <c r="I8" s="75"/>
      <c r="J8" s="75"/>
      <c r="K8" s="75"/>
      <c r="L8" s="75">
        <v>20</v>
      </c>
      <c r="M8" s="75"/>
      <c r="N8" s="75"/>
      <c r="O8" s="75"/>
      <c r="P8" s="75">
        <v>16</v>
      </c>
      <c r="Q8" s="75">
        <v>36</v>
      </c>
      <c r="R8" s="75"/>
      <c r="S8" s="75">
        <f t="shared" si="11"/>
        <v>21</v>
      </c>
      <c r="T8" s="75">
        <f t="shared" ref="T8" si="18">E8+J8-O8</f>
        <v>0</v>
      </c>
      <c r="U8" s="75">
        <f t="shared" ref="U8" si="19">F8+K8-P8</f>
        <v>123</v>
      </c>
      <c r="V8" s="75">
        <f t="shared" ref="V8" si="20">G8+L8-Q8</f>
        <v>41</v>
      </c>
      <c r="W8" s="75"/>
      <c r="X8" s="128">
        <v>46262</v>
      </c>
      <c r="Y8" s="75" t="s">
        <v>424</v>
      </c>
      <c r="Z8" s="75" t="s">
        <v>423</v>
      </c>
      <c r="AA8" s="75">
        <v>22</v>
      </c>
      <c r="AB8" s="75"/>
      <c r="AC8" s="75"/>
      <c r="AD8" s="75"/>
      <c r="AE8" s="75"/>
      <c r="AF8" s="75"/>
      <c r="AG8" s="75"/>
      <c r="AH8" s="75"/>
      <c r="AI8" s="75"/>
      <c r="AJ8" s="75"/>
      <c r="AK8" s="75"/>
      <c r="AL8" s="75"/>
    </row>
    <row r="9" spans="1:38" ht="35.1" hidden="1" customHeight="1" x14ac:dyDescent="0.3">
      <c r="A9" s="75"/>
      <c r="B9" s="83" t="s">
        <v>582</v>
      </c>
      <c r="C9" s="75">
        <f t="shared" si="1"/>
        <v>0</v>
      </c>
      <c r="D9" s="75">
        <f t="shared" ref="D9" si="21">S8</f>
        <v>21</v>
      </c>
      <c r="E9" s="75"/>
      <c r="F9" s="75">
        <f t="shared" ref="F9" si="22">U8</f>
        <v>123</v>
      </c>
      <c r="G9" s="75">
        <f t="shared" ref="G9" si="23">V8</f>
        <v>41</v>
      </c>
      <c r="H9" s="75"/>
      <c r="I9" s="75"/>
      <c r="J9" s="75"/>
      <c r="K9" s="75"/>
      <c r="L9" s="75"/>
      <c r="M9" s="75"/>
      <c r="N9" s="75"/>
      <c r="O9" s="75"/>
      <c r="P9" s="75">
        <f>46+33</f>
        <v>79</v>
      </c>
      <c r="Q9" s="75"/>
      <c r="R9" s="75"/>
      <c r="S9" s="75">
        <f t="shared" si="11"/>
        <v>21</v>
      </c>
      <c r="T9" s="75">
        <f t="shared" ref="T9" si="24">E9+J9-O9</f>
        <v>0</v>
      </c>
      <c r="U9" s="75">
        <f t="shared" ref="U9" si="25">F9+K9-P9</f>
        <v>44</v>
      </c>
      <c r="V9" s="75">
        <f t="shared" ref="V9" si="26">G9+L9-Q9</f>
        <v>41</v>
      </c>
      <c r="W9" s="75"/>
      <c r="X9" s="128">
        <v>46263</v>
      </c>
      <c r="Y9" s="75" t="s">
        <v>457</v>
      </c>
      <c r="Z9" s="75" t="s">
        <v>423</v>
      </c>
      <c r="AA9" s="75">
        <v>2</v>
      </c>
      <c r="AB9" s="75"/>
      <c r="AC9" s="75"/>
      <c r="AD9" s="75"/>
      <c r="AE9" s="75"/>
      <c r="AF9" s="75"/>
      <c r="AG9" s="75"/>
      <c r="AH9" s="75"/>
      <c r="AI9" s="75"/>
      <c r="AJ9" s="75"/>
      <c r="AK9" s="75"/>
      <c r="AL9" s="75"/>
    </row>
    <row r="10" spans="1:38" ht="35.1" hidden="1" customHeight="1" x14ac:dyDescent="0.3">
      <c r="A10" s="75"/>
      <c r="B10" s="83" t="s">
        <v>593</v>
      </c>
      <c r="C10" s="75">
        <f t="shared" si="1"/>
        <v>0</v>
      </c>
      <c r="D10" s="75">
        <f t="shared" ref="D10" si="27">S9</f>
        <v>21</v>
      </c>
      <c r="E10" s="75"/>
      <c r="F10" s="75">
        <f t="shared" ref="F10" si="28">U9</f>
        <v>44</v>
      </c>
      <c r="G10" s="75">
        <f t="shared" ref="G10" si="29">V9</f>
        <v>41</v>
      </c>
      <c r="H10" s="75"/>
      <c r="I10" s="75"/>
      <c r="J10" s="75"/>
      <c r="K10" s="75">
        <v>50</v>
      </c>
      <c r="L10" s="75"/>
      <c r="M10" s="75"/>
      <c r="N10" s="75">
        <v>10</v>
      </c>
      <c r="O10" s="75"/>
      <c r="P10" s="75">
        <f>44+5</f>
        <v>49</v>
      </c>
      <c r="Q10" s="75"/>
      <c r="R10" s="75"/>
      <c r="S10" s="75">
        <f t="shared" si="11"/>
        <v>11</v>
      </c>
      <c r="T10" s="75">
        <f t="shared" ref="T10" si="30">E10+J10-O10</f>
        <v>0</v>
      </c>
      <c r="U10" s="75">
        <f t="shared" ref="U10" si="31">F10+K10-P10</f>
        <v>45</v>
      </c>
      <c r="V10" s="75">
        <f t="shared" ref="V10" si="32">G10+L10-Q10</f>
        <v>41</v>
      </c>
      <c r="W10" s="75"/>
      <c r="X10" s="128">
        <v>46263</v>
      </c>
      <c r="Y10" s="75" t="s">
        <v>458</v>
      </c>
      <c r="Z10" s="75" t="s">
        <v>423</v>
      </c>
      <c r="AA10" s="75">
        <v>11</v>
      </c>
      <c r="AB10" s="75"/>
      <c r="AC10" s="75"/>
      <c r="AD10" s="75"/>
      <c r="AE10" s="75"/>
      <c r="AF10" s="75"/>
      <c r="AG10" s="75"/>
      <c r="AH10" s="75"/>
      <c r="AI10" s="75"/>
      <c r="AJ10" s="75"/>
      <c r="AK10" s="75"/>
      <c r="AL10" s="75"/>
    </row>
    <row r="11" spans="1:38" ht="35.1" hidden="1" customHeight="1" x14ac:dyDescent="0.3">
      <c r="A11" s="75"/>
      <c r="B11" s="83" t="s">
        <v>617</v>
      </c>
      <c r="C11" s="75">
        <f t="shared" ref="C11" si="33">R10</f>
        <v>0</v>
      </c>
      <c r="D11" s="75">
        <f t="shared" ref="D11" si="34">S10</f>
        <v>11</v>
      </c>
      <c r="E11" s="75"/>
      <c r="F11" s="75">
        <f t="shared" ref="F11" si="35">U10</f>
        <v>45</v>
      </c>
      <c r="G11" s="75">
        <f t="shared" ref="G11" si="36">V10</f>
        <v>41</v>
      </c>
      <c r="H11" s="75">
        <v>4</v>
      </c>
      <c r="I11" s="75">
        <v>10</v>
      </c>
      <c r="J11" s="75"/>
      <c r="K11" s="75">
        <v>54</v>
      </c>
      <c r="L11" s="75"/>
      <c r="M11" s="75">
        <v>4</v>
      </c>
      <c r="N11" s="75">
        <v>10</v>
      </c>
      <c r="O11" s="75"/>
      <c r="P11" s="75"/>
      <c r="Q11" s="75">
        <v>2</v>
      </c>
      <c r="R11" s="75"/>
      <c r="S11" s="75">
        <f t="shared" si="11"/>
        <v>11</v>
      </c>
      <c r="T11" s="75">
        <f t="shared" ref="T11" si="37">E11+J11-O11</f>
        <v>0</v>
      </c>
      <c r="U11" s="75">
        <f t="shared" ref="U11" si="38">F11+K11-P11</f>
        <v>99</v>
      </c>
      <c r="V11" s="75">
        <f t="shared" ref="V11" si="39">G11+L11-Q11</f>
        <v>39</v>
      </c>
      <c r="W11" s="75"/>
      <c r="X11" s="128">
        <v>46263</v>
      </c>
      <c r="Y11" s="75" t="s">
        <v>459</v>
      </c>
      <c r="Z11" s="75" t="s">
        <v>423</v>
      </c>
      <c r="AA11" s="75">
        <v>33</v>
      </c>
      <c r="AB11" s="75"/>
      <c r="AC11" s="75"/>
      <c r="AD11" s="75"/>
      <c r="AE11" s="75"/>
      <c r="AF11" s="75"/>
      <c r="AG11" s="75"/>
      <c r="AH11" s="75"/>
      <c r="AI11" s="75"/>
      <c r="AJ11" s="75"/>
      <c r="AK11" s="75"/>
      <c r="AL11" s="75"/>
    </row>
    <row r="12" spans="1:38" ht="35.1" hidden="1" customHeight="1" x14ac:dyDescent="0.3">
      <c r="A12" s="75"/>
      <c r="B12" s="83" t="s">
        <v>634</v>
      </c>
      <c r="C12" s="75">
        <f t="shared" ref="C12" si="40">R11</f>
        <v>0</v>
      </c>
      <c r="D12" s="75">
        <f t="shared" ref="D12" si="41">S11</f>
        <v>11</v>
      </c>
      <c r="E12" s="75"/>
      <c r="F12" s="75">
        <f t="shared" ref="F12" si="42">U11</f>
        <v>99</v>
      </c>
      <c r="G12" s="75">
        <f t="shared" ref="G12" si="43">V11</f>
        <v>39</v>
      </c>
      <c r="H12" s="75"/>
      <c r="I12" s="75">
        <v>22</v>
      </c>
      <c r="J12" s="75"/>
      <c r="K12" s="75">
        <v>58</v>
      </c>
      <c r="L12" s="75"/>
      <c r="M12" s="75"/>
      <c r="N12" s="75">
        <v>33</v>
      </c>
      <c r="O12" s="75"/>
      <c r="P12" s="75">
        <v>18</v>
      </c>
      <c r="Q12" s="75"/>
      <c r="R12" s="75"/>
      <c r="S12" s="75">
        <f t="shared" si="11"/>
        <v>0</v>
      </c>
      <c r="T12" s="75">
        <f t="shared" ref="T12" si="44">E12+J12-O12</f>
        <v>0</v>
      </c>
      <c r="U12" s="75">
        <f t="shared" ref="U12" si="45">F12+K12-P12</f>
        <v>139</v>
      </c>
      <c r="V12" s="75">
        <f t="shared" ref="V12" si="46">G12+L12-Q12</f>
        <v>39</v>
      </c>
      <c r="W12" s="75"/>
      <c r="X12" s="128">
        <v>46263</v>
      </c>
      <c r="Y12" s="75" t="s">
        <v>460</v>
      </c>
      <c r="Z12" s="75" t="s">
        <v>423</v>
      </c>
      <c r="AA12" s="75"/>
      <c r="AB12" s="75"/>
      <c r="AC12" s="75"/>
      <c r="AD12" s="75"/>
      <c r="AE12" s="75"/>
      <c r="AF12" s="75"/>
      <c r="AG12" s="75"/>
      <c r="AH12" s="75"/>
      <c r="AI12" s="75">
        <v>2</v>
      </c>
      <c r="AJ12" s="75"/>
      <c r="AK12" s="75"/>
      <c r="AL12" s="75"/>
    </row>
    <row r="13" spans="1:38" ht="35.1" hidden="1" customHeight="1" x14ac:dyDescent="0.3">
      <c r="A13" s="75"/>
      <c r="B13" s="83" t="s">
        <v>646</v>
      </c>
      <c r="C13" s="75">
        <f t="shared" ref="C13" si="47">R12</f>
        <v>0</v>
      </c>
      <c r="D13" s="75">
        <f t="shared" ref="D13" si="48">S12</f>
        <v>0</v>
      </c>
      <c r="E13" s="75"/>
      <c r="F13" s="75">
        <f t="shared" ref="F13" si="49">U12</f>
        <v>139</v>
      </c>
      <c r="G13" s="75">
        <f t="shared" ref="G13" si="50">V12</f>
        <v>39</v>
      </c>
      <c r="H13" s="75"/>
      <c r="I13" s="75"/>
      <c r="J13" s="75"/>
      <c r="K13" s="75">
        <v>85</v>
      </c>
      <c r="L13" s="75"/>
      <c r="M13" s="75"/>
      <c r="N13" s="75"/>
      <c r="O13" s="75"/>
      <c r="P13" s="75">
        <v>94</v>
      </c>
      <c r="Q13" s="75">
        <v>2</v>
      </c>
      <c r="R13" s="75"/>
      <c r="S13" s="75">
        <f t="shared" ref="S13" si="51">D13+I13-N13</f>
        <v>0</v>
      </c>
      <c r="T13" s="75">
        <f t="shared" ref="T13" si="52">E13+J13-O13</f>
        <v>0</v>
      </c>
      <c r="U13" s="75">
        <f t="shared" ref="U13" si="53">F13+K13-P13</f>
        <v>130</v>
      </c>
      <c r="V13" s="75">
        <f t="shared" ref="V13" si="54">G13+L13-Q13</f>
        <v>37</v>
      </c>
      <c r="W13" s="75"/>
      <c r="X13" s="128">
        <v>46264</v>
      </c>
      <c r="Y13" s="75" t="s">
        <v>461</v>
      </c>
      <c r="Z13" s="75"/>
      <c r="AA13" s="75">
        <v>22</v>
      </c>
      <c r="AB13" s="75"/>
      <c r="AC13" s="75"/>
      <c r="AD13" s="75"/>
      <c r="AE13" s="75"/>
      <c r="AF13" s="75"/>
      <c r="AG13" s="75"/>
      <c r="AH13" s="75"/>
      <c r="AI13" s="75"/>
      <c r="AJ13" s="75"/>
      <c r="AK13" s="75"/>
      <c r="AL13" s="75"/>
    </row>
    <row r="14" spans="1:38" ht="35.1" hidden="1" customHeight="1" x14ac:dyDescent="0.3">
      <c r="A14" s="75"/>
      <c r="B14" s="83" t="s">
        <v>678</v>
      </c>
      <c r="C14" s="75">
        <f t="shared" ref="C14" si="55">R13</f>
        <v>0</v>
      </c>
      <c r="D14" s="75">
        <f t="shared" ref="D14" si="56">S13</f>
        <v>0</v>
      </c>
      <c r="E14" s="75"/>
      <c r="F14" s="75">
        <f t="shared" ref="F14" si="57">U13</f>
        <v>130</v>
      </c>
      <c r="G14" s="75">
        <f t="shared" ref="G14" si="58">V13</f>
        <v>37</v>
      </c>
      <c r="H14" s="75"/>
      <c r="I14" s="75"/>
      <c r="J14" s="75"/>
      <c r="K14" s="75">
        <f>70+3</f>
        <v>73</v>
      </c>
      <c r="L14" s="75"/>
      <c r="M14" s="75"/>
      <c r="N14" s="75"/>
      <c r="O14" s="75"/>
      <c r="P14" s="75">
        <v>12</v>
      </c>
      <c r="Q14" s="75">
        <v>11</v>
      </c>
      <c r="R14" s="75"/>
      <c r="S14" s="75">
        <f t="shared" ref="S14" si="59">D14+I14-N14</f>
        <v>0</v>
      </c>
      <c r="T14" s="75">
        <f t="shared" ref="T14" si="60">E14+J14-O14</f>
        <v>0</v>
      </c>
      <c r="U14" s="75">
        <f t="shared" ref="U14" si="61">F14+K14-P14</f>
        <v>191</v>
      </c>
      <c r="V14" s="75">
        <f t="shared" ref="V14" si="62">G14+L14-Q14</f>
        <v>26</v>
      </c>
      <c r="W14" s="75"/>
      <c r="X14" s="128">
        <v>46264</v>
      </c>
      <c r="Y14" s="75" t="s">
        <v>462</v>
      </c>
      <c r="Z14" s="75"/>
      <c r="AA14" s="75">
        <v>2</v>
      </c>
      <c r="AB14" s="75"/>
      <c r="AC14" s="75"/>
      <c r="AD14" s="75"/>
      <c r="AE14" s="75"/>
      <c r="AF14" s="75"/>
      <c r="AG14" s="75"/>
      <c r="AH14" s="75"/>
      <c r="AI14" s="75"/>
      <c r="AJ14" s="75"/>
      <c r="AK14" s="75"/>
      <c r="AL14" s="75"/>
    </row>
    <row r="15" spans="1:38" ht="35.1" hidden="1" customHeight="1" x14ac:dyDescent="0.3">
      <c r="A15" s="75"/>
      <c r="B15" s="83" t="s">
        <v>720</v>
      </c>
      <c r="C15" s="75">
        <f t="shared" ref="C15" si="63">R14</f>
        <v>0</v>
      </c>
      <c r="D15" s="75">
        <f t="shared" ref="D15" si="64">S14</f>
        <v>0</v>
      </c>
      <c r="E15" s="75"/>
      <c r="F15" s="75">
        <f t="shared" ref="F15" si="65">U14</f>
        <v>191</v>
      </c>
      <c r="G15" s="75">
        <f t="shared" ref="G15" si="66">V14</f>
        <v>26</v>
      </c>
      <c r="H15" s="75"/>
      <c r="I15" s="75">
        <v>30</v>
      </c>
      <c r="J15" s="75"/>
      <c r="K15" s="75">
        <v>72</v>
      </c>
      <c r="L15" s="75"/>
      <c r="M15" s="75"/>
      <c r="N15" s="75"/>
      <c r="O15" s="75"/>
      <c r="P15" s="75">
        <f>11+11</f>
        <v>22</v>
      </c>
      <c r="Q15" s="75"/>
      <c r="R15" s="75"/>
      <c r="S15" s="75">
        <f t="shared" ref="S15" si="67">D15+I15-N15</f>
        <v>30</v>
      </c>
      <c r="T15" s="75">
        <f t="shared" ref="T15" si="68">E15+J15-O15</f>
        <v>0</v>
      </c>
      <c r="U15" s="75">
        <f t="shared" ref="U15" si="69">F15+K15-P15</f>
        <v>241</v>
      </c>
      <c r="V15" s="75">
        <f t="shared" ref="V15" si="70">G15+L15-Q15</f>
        <v>26</v>
      </c>
      <c r="W15" s="75"/>
      <c r="X15" s="128">
        <v>46264</v>
      </c>
      <c r="Y15" s="75" t="s">
        <v>463</v>
      </c>
      <c r="Z15" s="75"/>
      <c r="AA15" s="75"/>
      <c r="AB15" s="75"/>
      <c r="AC15" s="75"/>
      <c r="AD15" s="75"/>
      <c r="AE15" s="75">
        <v>4</v>
      </c>
      <c r="AF15" s="75"/>
      <c r="AG15" s="75"/>
      <c r="AH15" s="75"/>
      <c r="AI15" s="75"/>
      <c r="AJ15" s="75"/>
      <c r="AK15" s="75"/>
      <c r="AL15" s="75"/>
    </row>
    <row r="16" spans="1:38" ht="35.1" hidden="1" customHeight="1" x14ac:dyDescent="0.3">
      <c r="A16" s="75"/>
      <c r="B16" s="83" t="s">
        <v>758</v>
      </c>
      <c r="C16" s="75">
        <f t="shared" ref="C16" si="71">R15</f>
        <v>0</v>
      </c>
      <c r="D16" s="75">
        <f t="shared" ref="D16" si="72">S15</f>
        <v>30</v>
      </c>
      <c r="E16" s="75"/>
      <c r="F16" s="75">
        <f t="shared" ref="F16" si="73">U15</f>
        <v>241</v>
      </c>
      <c r="G16" s="75">
        <f t="shared" ref="G16" si="74">V15</f>
        <v>26</v>
      </c>
      <c r="H16" s="75"/>
      <c r="I16" s="75"/>
      <c r="J16" s="75"/>
      <c r="K16" s="75"/>
      <c r="L16" s="75"/>
      <c r="M16" s="75"/>
      <c r="N16" s="75"/>
      <c r="O16" s="75"/>
      <c r="P16" s="75">
        <f>22+11</f>
        <v>33</v>
      </c>
      <c r="Q16" s="75"/>
      <c r="R16" s="75"/>
      <c r="S16" s="75">
        <f t="shared" ref="S16:S19" si="75">D16+I16-N16</f>
        <v>30</v>
      </c>
      <c r="T16" s="75">
        <f t="shared" ref="T16:T19" si="76">E16+J16-O16</f>
        <v>0</v>
      </c>
      <c r="U16" s="75">
        <f t="shared" ref="U16:U19" si="77">F16+K16-P16</f>
        <v>208</v>
      </c>
      <c r="V16" s="75">
        <f t="shared" ref="V16:V19" si="78">G16+L16-Q16</f>
        <v>26</v>
      </c>
      <c r="W16" s="75"/>
      <c r="X16" s="128">
        <v>46264</v>
      </c>
      <c r="Y16" s="75" t="s">
        <v>461</v>
      </c>
      <c r="Z16" s="75"/>
      <c r="AA16" s="75"/>
      <c r="AB16" s="75"/>
      <c r="AC16" s="75"/>
      <c r="AD16" s="75"/>
      <c r="AE16" s="75"/>
      <c r="AF16" s="75"/>
      <c r="AG16" s="75"/>
      <c r="AH16" s="75"/>
      <c r="AI16" s="75">
        <v>5</v>
      </c>
      <c r="AJ16" s="75"/>
      <c r="AK16" s="75"/>
      <c r="AL16" s="75"/>
    </row>
    <row r="17" spans="1:38" ht="35.1" hidden="1" customHeight="1" x14ac:dyDescent="0.3">
      <c r="A17" s="75"/>
      <c r="B17" s="83" t="s">
        <v>737</v>
      </c>
      <c r="C17" s="75">
        <f t="shared" ref="C17" si="79">R16</f>
        <v>0</v>
      </c>
      <c r="D17" s="75">
        <f t="shared" ref="D17" si="80">S16</f>
        <v>30</v>
      </c>
      <c r="E17" s="75"/>
      <c r="F17" s="75">
        <f t="shared" ref="F17" si="81">U16</f>
        <v>208</v>
      </c>
      <c r="G17" s="75">
        <f t="shared" ref="G17" si="82">V16</f>
        <v>26</v>
      </c>
      <c r="H17" s="75"/>
      <c r="I17" s="75"/>
      <c r="J17" s="75"/>
      <c r="K17" s="75"/>
      <c r="L17" s="75"/>
      <c r="M17" s="75"/>
      <c r="N17" s="75">
        <v>9</v>
      </c>
      <c r="O17" s="75"/>
      <c r="P17" s="75"/>
      <c r="Q17" s="75">
        <v>6</v>
      </c>
      <c r="R17" s="75"/>
      <c r="S17" s="75">
        <f t="shared" si="75"/>
        <v>21</v>
      </c>
      <c r="T17" s="75">
        <f t="shared" si="76"/>
        <v>0</v>
      </c>
      <c r="U17" s="75">
        <f t="shared" si="77"/>
        <v>208</v>
      </c>
      <c r="V17" s="75">
        <f t="shared" si="78"/>
        <v>20</v>
      </c>
      <c r="W17" s="75"/>
      <c r="X17" s="128">
        <v>46264</v>
      </c>
      <c r="Y17" s="75" t="s">
        <v>461</v>
      </c>
      <c r="Z17" s="75"/>
      <c r="AA17" s="75"/>
      <c r="AB17" s="75"/>
      <c r="AC17" s="75"/>
      <c r="AD17" s="75"/>
      <c r="AE17" s="75"/>
      <c r="AF17" s="75"/>
      <c r="AG17" s="75"/>
      <c r="AH17" s="75"/>
      <c r="AI17" s="75"/>
      <c r="AJ17" s="75"/>
      <c r="AK17" s="75">
        <v>6</v>
      </c>
      <c r="AL17" s="75"/>
    </row>
    <row r="18" spans="1:38" ht="35.1" hidden="1" customHeight="1" x14ac:dyDescent="0.3">
      <c r="A18" s="75"/>
      <c r="B18" s="83" t="s">
        <v>787</v>
      </c>
      <c r="C18" s="75">
        <f t="shared" ref="C18" si="83">R17</f>
        <v>0</v>
      </c>
      <c r="D18" s="75">
        <f t="shared" ref="D18" si="84">S17</f>
        <v>21</v>
      </c>
      <c r="E18" s="75"/>
      <c r="F18" s="75">
        <f t="shared" ref="F18" si="85">U17</f>
        <v>208</v>
      </c>
      <c r="G18" s="75">
        <f t="shared" ref="G18" si="86">V17</f>
        <v>20</v>
      </c>
      <c r="H18" s="75"/>
      <c r="I18" s="75"/>
      <c r="J18" s="75"/>
      <c r="K18" s="75"/>
      <c r="L18" s="75"/>
      <c r="M18" s="75"/>
      <c r="N18" s="75">
        <v>20</v>
      </c>
      <c r="O18" s="75"/>
      <c r="P18" s="75">
        <v>11</v>
      </c>
      <c r="Q18" s="75"/>
      <c r="R18" s="75"/>
      <c r="S18" s="75">
        <f t="shared" si="75"/>
        <v>1</v>
      </c>
      <c r="T18" s="75">
        <f t="shared" si="76"/>
        <v>0</v>
      </c>
      <c r="U18" s="75">
        <f t="shared" si="77"/>
        <v>197</v>
      </c>
      <c r="V18" s="75">
        <f t="shared" si="78"/>
        <v>20</v>
      </c>
      <c r="W18" s="75"/>
      <c r="X18" s="129">
        <v>46266</v>
      </c>
      <c r="Y18" s="119" t="s">
        <v>464</v>
      </c>
      <c r="Z18" s="75" t="s">
        <v>431</v>
      </c>
      <c r="AA18" s="119">
        <v>3</v>
      </c>
      <c r="AB18" s="75"/>
      <c r="AC18" s="75"/>
      <c r="AD18" s="75"/>
      <c r="AE18" s="75"/>
      <c r="AF18" s="75"/>
      <c r="AG18" s="75"/>
      <c r="AH18" s="75"/>
      <c r="AI18" s="75"/>
      <c r="AJ18" s="75"/>
      <c r="AK18" s="75"/>
      <c r="AL18" s="75"/>
    </row>
    <row r="19" spans="1:38" ht="35.1" hidden="1" customHeight="1" x14ac:dyDescent="0.3">
      <c r="A19" s="75"/>
      <c r="B19" s="83" t="s">
        <v>827</v>
      </c>
      <c r="C19" s="75">
        <f t="shared" ref="C19" si="87">R18</f>
        <v>0</v>
      </c>
      <c r="D19" s="75">
        <f t="shared" ref="D19" si="88">S18</f>
        <v>1</v>
      </c>
      <c r="E19" s="75"/>
      <c r="F19" s="75">
        <f t="shared" ref="F19" si="89">U18</f>
        <v>197</v>
      </c>
      <c r="G19" s="75">
        <f t="shared" ref="G19" si="90">V18</f>
        <v>20</v>
      </c>
      <c r="H19" s="75">
        <v>10</v>
      </c>
      <c r="I19" s="75">
        <v>36</v>
      </c>
      <c r="J19" s="75"/>
      <c r="K19" s="75">
        <v>67</v>
      </c>
      <c r="L19" s="75">
        <v>30</v>
      </c>
      <c r="M19" s="75"/>
      <c r="N19" s="75">
        <v>22</v>
      </c>
      <c r="O19" s="75"/>
      <c r="P19" s="75">
        <v>55</v>
      </c>
      <c r="Q19" s="75">
        <v>11</v>
      </c>
      <c r="R19" s="119">
        <f t="shared" ref="R19:R24" si="91">C19+H19-M19</f>
        <v>10</v>
      </c>
      <c r="S19" s="119">
        <f t="shared" si="75"/>
        <v>15</v>
      </c>
      <c r="T19" s="119">
        <f t="shared" si="76"/>
        <v>0</v>
      </c>
      <c r="U19" s="119">
        <f t="shared" si="77"/>
        <v>209</v>
      </c>
      <c r="V19" s="119">
        <f t="shared" si="78"/>
        <v>39</v>
      </c>
      <c r="W19" s="75"/>
      <c r="X19" s="128">
        <v>46266</v>
      </c>
      <c r="Y19" s="75" t="s">
        <v>460</v>
      </c>
      <c r="Z19" s="75" t="s">
        <v>423</v>
      </c>
      <c r="AA19" s="75">
        <v>5</v>
      </c>
      <c r="AB19" s="75"/>
      <c r="AC19" s="75"/>
      <c r="AD19" s="75"/>
      <c r="AE19" s="75"/>
      <c r="AF19" s="75"/>
      <c r="AG19" s="75"/>
      <c r="AH19" s="75"/>
      <c r="AI19" s="75"/>
      <c r="AJ19" s="75"/>
      <c r="AK19" s="75"/>
      <c r="AL19" s="75"/>
    </row>
    <row r="20" spans="1:38" ht="35.1" hidden="1" customHeight="1" x14ac:dyDescent="0.3">
      <c r="A20" s="75"/>
      <c r="B20" s="83" t="s">
        <v>872</v>
      </c>
      <c r="C20" s="75">
        <f t="shared" ref="C20" si="92">R19</f>
        <v>10</v>
      </c>
      <c r="D20" s="75">
        <f t="shared" ref="D20" si="93">S19</f>
        <v>15</v>
      </c>
      <c r="E20" s="75"/>
      <c r="F20" s="75">
        <f t="shared" ref="F20" si="94">U19</f>
        <v>209</v>
      </c>
      <c r="G20" s="75">
        <f t="shared" ref="G20" si="95">V19</f>
        <v>39</v>
      </c>
      <c r="H20" s="75"/>
      <c r="I20" s="75"/>
      <c r="J20" s="75"/>
      <c r="K20" s="75">
        <v>104</v>
      </c>
      <c r="L20" s="75">
        <v>11</v>
      </c>
      <c r="M20" s="75"/>
      <c r="N20" s="75">
        <f>5+10</f>
        <v>15</v>
      </c>
      <c r="O20" s="75"/>
      <c r="P20" s="75">
        <f>68+99</f>
        <v>167</v>
      </c>
      <c r="Q20" s="75"/>
      <c r="R20" s="119">
        <f t="shared" si="91"/>
        <v>10</v>
      </c>
      <c r="S20" s="119">
        <f t="shared" ref="S20" si="96">D20+I20-N20</f>
        <v>0</v>
      </c>
      <c r="T20" s="119">
        <f t="shared" ref="T20" si="97">E20+J20-O20</f>
        <v>0</v>
      </c>
      <c r="U20" s="119">
        <f t="shared" ref="U20" si="98">F20+K20-P20</f>
        <v>146</v>
      </c>
      <c r="V20" s="119">
        <f t="shared" ref="V20" si="99">G20+L20-Q20</f>
        <v>50</v>
      </c>
      <c r="W20" s="75"/>
      <c r="X20" s="128">
        <v>46266</v>
      </c>
      <c r="Y20" s="75" t="s">
        <v>461</v>
      </c>
      <c r="Z20" s="75"/>
      <c r="AA20" s="75"/>
      <c r="AB20" s="75"/>
      <c r="AC20" s="75"/>
      <c r="AD20" s="75"/>
      <c r="AE20" s="75"/>
      <c r="AF20" s="75"/>
      <c r="AG20" s="75"/>
      <c r="AH20" s="75"/>
      <c r="AI20" s="75">
        <v>2</v>
      </c>
      <c r="AJ20" s="75"/>
      <c r="AK20" s="75"/>
      <c r="AL20" s="75"/>
    </row>
    <row r="21" spans="1:38" ht="35.1" customHeight="1" x14ac:dyDescent="0.3">
      <c r="A21" s="75"/>
      <c r="B21" s="83" t="s">
        <v>868</v>
      </c>
      <c r="C21" s="75">
        <f t="shared" ref="C21" si="100">R20</f>
        <v>10</v>
      </c>
      <c r="D21" s="75">
        <f t="shared" ref="D21" si="101">S20</f>
        <v>0</v>
      </c>
      <c r="E21" s="75"/>
      <c r="F21" s="75">
        <f t="shared" ref="F21" si="102">U20</f>
        <v>146</v>
      </c>
      <c r="G21" s="75">
        <f t="shared" ref="G21" si="103">V20</f>
        <v>50</v>
      </c>
      <c r="H21" s="75"/>
      <c r="I21" s="75"/>
      <c r="J21" s="75"/>
      <c r="K21" s="75"/>
      <c r="L21" s="75"/>
      <c r="M21" s="75">
        <v>10</v>
      </c>
      <c r="N21" s="75"/>
      <c r="O21" s="75"/>
      <c r="P21" s="75">
        <v>26</v>
      </c>
      <c r="Q21" s="75">
        <v>3</v>
      </c>
      <c r="R21" s="119">
        <f t="shared" si="91"/>
        <v>0</v>
      </c>
      <c r="S21" s="119">
        <f t="shared" ref="S21" si="104">D21+I21-N21</f>
        <v>0</v>
      </c>
      <c r="T21" s="119">
        <f t="shared" ref="T21" si="105">E21+J21-O21</f>
        <v>0</v>
      </c>
      <c r="U21" s="119">
        <f t="shared" ref="U21" si="106">F21+K21-P21</f>
        <v>120</v>
      </c>
      <c r="V21" s="119">
        <f t="shared" ref="V21" si="107">G21+L21-Q21</f>
        <v>47</v>
      </c>
      <c r="W21" s="75"/>
      <c r="X21" s="128">
        <v>46267</v>
      </c>
      <c r="Y21" s="75" t="s">
        <v>461</v>
      </c>
      <c r="Z21" s="75"/>
      <c r="AA21" s="75"/>
      <c r="AB21" s="75"/>
      <c r="AC21" s="75"/>
      <c r="AD21" s="75"/>
      <c r="AE21" s="75"/>
      <c r="AF21" s="75"/>
      <c r="AG21" s="75"/>
      <c r="AH21" s="75"/>
      <c r="AI21" s="75">
        <v>4</v>
      </c>
      <c r="AJ21" s="75"/>
      <c r="AK21" s="75"/>
      <c r="AL21" s="75"/>
    </row>
    <row r="22" spans="1:38" ht="35.1" customHeight="1" x14ac:dyDescent="0.3">
      <c r="A22" s="75"/>
      <c r="B22" s="83" t="s">
        <v>892</v>
      </c>
      <c r="C22" s="75">
        <f t="shared" ref="C22" si="108">R21</f>
        <v>0</v>
      </c>
      <c r="D22" s="75">
        <f t="shared" ref="D22" si="109">S21</f>
        <v>0</v>
      </c>
      <c r="E22" s="75"/>
      <c r="F22" s="75">
        <f t="shared" ref="F22" si="110">U21</f>
        <v>120</v>
      </c>
      <c r="G22" s="75">
        <f t="shared" ref="G22" si="111">V21</f>
        <v>47</v>
      </c>
      <c r="H22" s="75">
        <v>20</v>
      </c>
      <c r="I22" s="75">
        <v>12</v>
      </c>
      <c r="J22" s="75"/>
      <c r="K22" s="75">
        <v>110</v>
      </c>
      <c r="L22" s="75"/>
      <c r="M22" s="75"/>
      <c r="N22" s="75">
        <v>3</v>
      </c>
      <c r="O22" s="75"/>
      <c r="P22" s="75"/>
      <c r="Q22" s="75">
        <v>2</v>
      </c>
      <c r="R22" s="119">
        <f t="shared" si="91"/>
        <v>20</v>
      </c>
      <c r="S22" s="119">
        <f t="shared" ref="S22" si="112">D22+I22-N22</f>
        <v>9</v>
      </c>
      <c r="T22" s="119">
        <f t="shared" ref="T22" si="113">E22+J22-O22</f>
        <v>0</v>
      </c>
      <c r="U22" s="119">
        <f t="shared" ref="U22" si="114">F22+K22-P22</f>
        <v>230</v>
      </c>
      <c r="V22" s="119">
        <f t="shared" ref="V22" si="115">G22+L22-Q22</f>
        <v>45</v>
      </c>
      <c r="W22" s="75"/>
      <c r="X22" s="128">
        <v>46268</v>
      </c>
      <c r="Y22" s="75" t="s">
        <v>465</v>
      </c>
      <c r="Z22" s="75"/>
      <c r="AA22" s="75"/>
      <c r="AB22" s="75"/>
      <c r="AC22" s="75"/>
      <c r="AD22" s="75"/>
      <c r="AE22" s="75"/>
      <c r="AF22" s="75"/>
      <c r="AG22" s="75"/>
      <c r="AH22" s="75"/>
      <c r="AI22" s="75"/>
      <c r="AJ22" s="75"/>
      <c r="AK22" s="75">
        <v>2</v>
      </c>
      <c r="AL22" s="75"/>
    </row>
    <row r="23" spans="1:38" ht="35.1" customHeight="1" x14ac:dyDescent="0.3">
      <c r="A23" s="75"/>
      <c r="B23" s="83" t="s">
        <v>894</v>
      </c>
      <c r="C23" s="75">
        <f t="shared" ref="C23" si="116">R22</f>
        <v>20</v>
      </c>
      <c r="D23" s="75">
        <f t="shared" ref="D23" si="117">S22</f>
        <v>9</v>
      </c>
      <c r="E23" s="75"/>
      <c r="F23" s="75">
        <f t="shared" ref="F23" si="118">U22</f>
        <v>230</v>
      </c>
      <c r="G23" s="75">
        <f t="shared" ref="G23" si="119">V22</f>
        <v>45</v>
      </c>
      <c r="H23" s="75"/>
      <c r="I23" s="75"/>
      <c r="J23" s="75"/>
      <c r="K23" s="75"/>
      <c r="L23" s="75"/>
      <c r="M23" s="75">
        <v>19</v>
      </c>
      <c r="N23" s="75">
        <v>2</v>
      </c>
      <c r="O23" s="75"/>
      <c r="P23" s="75">
        <v>16</v>
      </c>
      <c r="Q23" s="75">
        <v>41</v>
      </c>
      <c r="R23" s="119">
        <f t="shared" si="91"/>
        <v>1</v>
      </c>
      <c r="S23" s="119">
        <f t="shared" ref="S23" si="120">D23+I23-N23</f>
        <v>7</v>
      </c>
      <c r="T23" s="119">
        <f t="shared" ref="T23" si="121">E23+J23-O23</f>
        <v>0</v>
      </c>
      <c r="U23" s="119">
        <f t="shared" ref="U23" si="122">F23+K23-P23</f>
        <v>214</v>
      </c>
      <c r="V23" s="119">
        <f t="shared" ref="V23" si="123">G23+L23-Q23</f>
        <v>4</v>
      </c>
      <c r="W23" s="75"/>
      <c r="X23" s="128">
        <v>46268</v>
      </c>
      <c r="Y23" s="75" t="s">
        <v>466</v>
      </c>
      <c r="Z23" s="75" t="s">
        <v>423</v>
      </c>
      <c r="AA23" s="75"/>
      <c r="AB23" s="75"/>
      <c r="AC23" s="75"/>
      <c r="AD23" s="75"/>
      <c r="AE23" s="75"/>
      <c r="AF23" s="75"/>
      <c r="AG23" s="75"/>
      <c r="AH23" s="75"/>
      <c r="AI23" s="75"/>
      <c r="AJ23" s="75"/>
      <c r="AK23" s="75">
        <v>3</v>
      </c>
      <c r="AL23" s="75"/>
    </row>
    <row r="24" spans="1:38" ht="35.1" customHeight="1" x14ac:dyDescent="0.3">
      <c r="A24" s="75"/>
      <c r="B24" s="83" t="s">
        <v>925</v>
      </c>
      <c r="C24" s="75">
        <f t="shared" ref="C24" si="124">R23</f>
        <v>1</v>
      </c>
      <c r="D24" s="75">
        <f t="shared" ref="D24" si="125">S23</f>
        <v>7</v>
      </c>
      <c r="E24" s="75"/>
      <c r="F24" s="75">
        <f t="shared" ref="F24" si="126">U23</f>
        <v>214</v>
      </c>
      <c r="G24" s="75">
        <f t="shared" ref="G24" si="127">V23</f>
        <v>4</v>
      </c>
      <c r="H24" s="75">
        <v>33</v>
      </c>
      <c r="I24" s="75">
        <v>40</v>
      </c>
      <c r="J24" s="75"/>
      <c r="K24" s="75">
        <f>11+34</f>
        <v>45</v>
      </c>
      <c r="L24" s="75"/>
      <c r="M24" s="75">
        <v>33</v>
      </c>
      <c r="N24" s="75"/>
      <c r="O24" s="75"/>
      <c r="P24" s="75">
        <f>11+11</f>
        <v>22</v>
      </c>
      <c r="Q24" s="75"/>
      <c r="R24" s="119">
        <f t="shared" si="91"/>
        <v>1</v>
      </c>
      <c r="S24" s="119">
        <f t="shared" ref="S24" si="128">D24+I24-N24</f>
        <v>47</v>
      </c>
      <c r="T24" s="119">
        <f t="shared" ref="T24" si="129">E24+J24-O24</f>
        <v>0</v>
      </c>
      <c r="U24" s="119">
        <f t="shared" ref="U24" si="130">F24+K24-P24</f>
        <v>237</v>
      </c>
      <c r="V24" s="119">
        <f t="shared" ref="V24" si="131">G24+L24-Q24</f>
        <v>4</v>
      </c>
      <c r="W24" s="75"/>
      <c r="X24" s="128">
        <v>46268</v>
      </c>
      <c r="Y24" s="75" t="s">
        <v>467</v>
      </c>
      <c r="Z24" s="75" t="s">
        <v>46</v>
      </c>
      <c r="AA24" s="75"/>
      <c r="AB24" s="75"/>
      <c r="AC24" s="75"/>
      <c r="AD24" s="75"/>
      <c r="AE24" s="75"/>
      <c r="AF24" s="75"/>
      <c r="AG24" s="75"/>
      <c r="AH24" s="75"/>
      <c r="AI24" s="75">
        <v>2</v>
      </c>
      <c r="AJ24" s="75"/>
      <c r="AK24" s="75"/>
      <c r="AL24" s="75"/>
    </row>
    <row r="25" spans="1:38" ht="35.1" customHeight="1" x14ac:dyDescent="0.3">
      <c r="A25" s="75"/>
      <c r="B25" s="83" t="s">
        <v>955</v>
      </c>
      <c r="C25" s="75">
        <f t="shared" ref="C25" si="132">R24</f>
        <v>1</v>
      </c>
      <c r="D25" s="75">
        <f t="shared" ref="D25" si="133">S24</f>
        <v>47</v>
      </c>
      <c r="E25" s="75"/>
      <c r="F25" s="75">
        <f t="shared" ref="F25" si="134">U24</f>
        <v>237</v>
      </c>
      <c r="G25" s="75">
        <f t="shared" ref="G25" si="135">V24</f>
        <v>4</v>
      </c>
      <c r="H25" s="75">
        <v>30</v>
      </c>
      <c r="I25" s="75"/>
      <c r="J25" s="75"/>
      <c r="K25" s="75">
        <f>78+2</f>
        <v>80</v>
      </c>
      <c r="L25" s="75">
        <v>50</v>
      </c>
      <c r="M25" s="75">
        <v>16</v>
      </c>
      <c r="N25" s="75">
        <v>4</v>
      </c>
      <c r="O25" s="75"/>
      <c r="P25" s="75">
        <v>5</v>
      </c>
      <c r="Q25" s="75"/>
      <c r="R25" s="119">
        <f t="shared" ref="R25" si="136">C25+H25-M25</f>
        <v>15</v>
      </c>
      <c r="S25" s="119">
        <f t="shared" ref="S25" si="137">D25+I25-N25</f>
        <v>43</v>
      </c>
      <c r="T25" s="119">
        <f t="shared" ref="T25" si="138">E25+J25-O25</f>
        <v>0</v>
      </c>
      <c r="U25" s="119">
        <f t="shared" ref="U25" si="139">F25+K25-P25</f>
        <v>312</v>
      </c>
      <c r="V25" s="119">
        <f t="shared" ref="V25" si="140">G25+L25-Q25</f>
        <v>54</v>
      </c>
      <c r="W25" s="75"/>
      <c r="X25" s="128">
        <v>46268</v>
      </c>
      <c r="Y25" s="75" t="s">
        <v>468</v>
      </c>
      <c r="Z25" s="75" t="s">
        <v>46</v>
      </c>
      <c r="AA25" s="75"/>
      <c r="AB25" s="75"/>
      <c r="AC25" s="75"/>
      <c r="AD25" s="75"/>
      <c r="AE25" s="75"/>
      <c r="AF25" s="75"/>
      <c r="AG25" s="75"/>
      <c r="AH25" s="75"/>
      <c r="AI25" s="75">
        <v>4</v>
      </c>
      <c r="AJ25" s="75"/>
      <c r="AK25" s="75"/>
      <c r="AL25" s="75"/>
    </row>
    <row r="26" spans="1:38" ht="35.1" customHeight="1" x14ac:dyDescent="0.3">
      <c r="K26" t="s">
        <v>973</v>
      </c>
      <c r="R26" s="75"/>
      <c r="S26" s="75"/>
      <c r="T26" s="75"/>
      <c r="U26" s="75"/>
      <c r="V26" s="75"/>
      <c r="W26" s="75"/>
      <c r="X26" s="128">
        <v>46268</v>
      </c>
      <c r="Y26" s="75" t="s">
        <v>424</v>
      </c>
      <c r="Z26" s="75"/>
      <c r="AA26" s="75">
        <v>21</v>
      </c>
      <c r="AB26" s="75"/>
      <c r="AC26" s="75"/>
      <c r="AD26" s="75"/>
      <c r="AE26" s="75"/>
      <c r="AF26" s="75"/>
      <c r="AG26" s="75"/>
      <c r="AH26" s="75"/>
      <c r="AI26" s="75"/>
      <c r="AJ26" s="75"/>
      <c r="AK26" s="75"/>
      <c r="AL26" s="75"/>
    </row>
    <row r="27" spans="1:38" ht="35.1" customHeight="1" x14ac:dyDescent="0.3">
      <c r="R27" s="75"/>
      <c r="S27" s="75"/>
      <c r="T27" s="75"/>
      <c r="U27" s="75"/>
      <c r="V27" s="75"/>
      <c r="W27" s="75"/>
      <c r="X27" s="128">
        <v>46268</v>
      </c>
      <c r="Y27" s="75" t="s">
        <v>469</v>
      </c>
      <c r="Z27" s="75"/>
      <c r="AA27" s="75">
        <v>12</v>
      </c>
      <c r="AB27" s="75"/>
      <c r="AC27" s="75"/>
      <c r="AD27" s="75"/>
      <c r="AE27" s="75"/>
      <c r="AF27" s="75"/>
      <c r="AG27" s="75"/>
      <c r="AH27" s="75"/>
      <c r="AI27" s="75"/>
      <c r="AJ27" s="75"/>
      <c r="AK27" s="75"/>
      <c r="AL27" s="75"/>
    </row>
    <row r="28" spans="1:38" ht="35.1" customHeight="1" x14ac:dyDescent="0.3">
      <c r="R28" s="75"/>
      <c r="S28" s="75"/>
      <c r="T28" s="75"/>
      <c r="U28" s="75"/>
      <c r="V28" s="75"/>
      <c r="W28" s="75"/>
      <c r="X28" s="128">
        <v>46269</v>
      </c>
      <c r="Y28" s="75" t="s">
        <v>424</v>
      </c>
      <c r="Z28" s="75"/>
      <c r="AA28" s="75">
        <v>22</v>
      </c>
      <c r="AB28" s="75"/>
      <c r="AC28" s="75"/>
      <c r="AD28" s="75"/>
      <c r="AE28" s="75">
        <v>16</v>
      </c>
      <c r="AF28" s="75"/>
      <c r="AG28" s="75"/>
      <c r="AH28" s="75"/>
      <c r="AI28" s="75"/>
      <c r="AJ28" s="75"/>
      <c r="AK28" s="75"/>
      <c r="AL28" s="75"/>
    </row>
    <row r="29" spans="1:38" ht="35.1" customHeight="1" x14ac:dyDescent="0.3">
      <c r="R29" s="75"/>
      <c r="S29" s="75"/>
      <c r="T29" s="75"/>
      <c r="U29" s="75"/>
      <c r="V29" s="75"/>
      <c r="W29" s="75"/>
      <c r="X29" s="128">
        <v>46269</v>
      </c>
      <c r="Y29" s="75" t="s">
        <v>470</v>
      </c>
      <c r="Z29" s="75"/>
      <c r="AA29" s="75"/>
      <c r="AB29" s="75"/>
      <c r="AC29" s="75"/>
      <c r="AD29" s="75"/>
      <c r="AE29" s="75"/>
      <c r="AF29" s="75"/>
      <c r="AG29" s="75"/>
      <c r="AH29" s="75"/>
      <c r="AI29" s="75">
        <v>3</v>
      </c>
      <c r="AJ29" s="75"/>
      <c r="AK29" s="75"/>
      <c r="AL29" s="75"/>
    </row>
    <row r="30" spans="1:38" ht="35.1" customHeight="1" x14ac:dyDescent="0.3">
      <c r="R30" s="75"/>
      <c r="S30" s="75"/>
      <c r="T30" s="75"/>
      <c r="U30" s="75"/>
      <c r="V30" s="75"/>
      <c r="W30" s="75"/>
      <c r="X30" s="128">
        <v>46269</v>
      </c>
      <c r="Y30" s="75" t="s">
        <v>471</v>
      </c>
      <c r="Z30" s="75"/>
      <c r="AA30" s="75">
        <v>2</v>
      </c>
      <c r="AB30" s="75"/>
      <c r="AC30" s="75"/>
      <c r="AD30" s="75"/>
      <c r="AE30" s="75"/>
      <c r="AF30" s="75"/>
      <c r="AG30" s="75"/>
      <c r="AH30" s="75"/>
      <c r="AI30" s="75"/>
      <c r="AJ30" s="75"/>
      <c r="AK30" s="75"/>
      <c r="AL30" s="75"/>
    </row>
    <row r="31" spans="1:38" ht="35.1" customHeight="1" x14ac:dyDescent="0.3">
      <c r="R31" s="75"/>
      <c r="S31" s="75"/>
      <c r="T31" s="75"/>
      <c r="U31" s="75"/>
      <c r="V31" s="75"/>
      <c r="W31" s="75"/>
      <c r="X31" s="128">
        <v>46270</v>
      </c>
      <c r="Y31" s="75" t="s">
        <v>424</v>
      </c>
      <c r="Z31" s="75"/>
      <c r="AA31" s="75">
        <v>33</v>
      </c>
      <c r="AB31" s="75"/>
      <c r="AC31" s="75"/>
      <c r="AD31" s="75"/>
      <c r="AE31" s="75"/>
      <c r="AF31" s="75"/>
      <c r="AG31" s="75"/>
      <c r="AH31" s="75"/>
      <c r="AI31" s="75"/>
      <c r="AJ31" s="75"/>
      <c r="AK31" s="75"/>
      <c r="AL31" s="75"/>
    </row>
    <row r="32" spans="1:38" ht="35.1" customHeight="1" x14ac:dyDescent="0.3">
      <c r="X32" s="128">
        <v>46270</v>
      </c>
      <c r="Y32" s="75" t="s">
        <v>472</v>
      </c>
      <c r="Z32" s="75" t="s">
        <v>431</v>
      </c>
      <c r="AA32" s="75">
        <v>2</v>
      </c>
      <c r="AB32" s="75"/>
      <c r="AC32" s="75"/>
      <c r="AD32" s="75"/>
      <c r="AE32" s="75"/>
      <c r="AF32" s="75"/>
      <c r="AG32" s="75"/>
      <c r="AH32" s="75"/>
      <c r="AI32" s="75"/>
      <c r="AJ32" s="75"/>
      <c r="AK32" s="75"/>
      <c r="AL32" s="75"/>
    </row>
    <row r="33" spans="24:38" ht="35.1" customHeight="1" x14ac:dyDescent="0.3">
      <c r="X33" s="128">
        <v>46270</v>
      </c>
      <c r="Y33" s="75" t="s">
        <v>473</v>
      </c>
      <c r="Z33" s="75" t="s">
        <v>431</v>
      </c>
      <c r="AA33" s="75">
        <v>4</v>
      </c>
      <c r="AB33" s="75"/>
      <c r="AC33" s="75"/>
      <c r="AD33" s="75"/>
      <c r="AE33" s="75"/>
      <c r="AF33" s="75"/>
      <c r="AG33" s="75"/>
      <c r="AH33" s="75"/>
      <c r="AI33" s="75"/>
      <c r="AJ33" s="75"/>
      <c r="AK33" s="75"/>
      <c r="AL33" s="75"/>
    </row>
    <row r="34" spans="24:38" ht="35.1" customHeight="1" x14ac:dyDescent="0.3">
      <c r="X34" s="128">
        <v>46271</v>
      </c>
      <c r="Y34" s="75" t="s">
        <v>473</v>
      </c>
      <c r="Z34" s="75" t="s">
        <v>431</v>
      </c>
      <c r="AA34" s="75"/>
      <c r="AB34" s="75"/>
      <c r="AC34" s="75"/>
      <c r="AD34" s="75"/>
      <c r="AE34" s="75">
        <v>2</v>
      </c>
      <c r="AF34" s="75"/>
      <c r="AG34" s="75"/>
      <c r="AH34" s="75"/>
      <c r="AI34" s="75"/>
      <c r="AJ34" s="75"/>
      <c r="AK34" s="75"/>
      <c r="AL34" s="75"/>
    </row>
    <row r="35" spans="24:38" ht="35.1" customHeight="1" x14ac:dyDescent="0.3">
      <c r="X35" s="128">
        <v>46271</v>
      </c>
      <c r="Y35" s="75" t="s">
        <v>474</v>
      </c>
      <c r="Z35" s="75" t="s">
        <v>423</v>
      </c>
      <c r="AA35" s="75"/>
      <c r="AB35" s="75"/>
      <c r="AC35" s="75"/>
      <c r="AD35" s="75"/>
      <c r="AE35" s="75"/>
      <c r="AF35" s="75"/>
      <c r="AG35" s="75"/>
      <c r="AH35" s="75"/>
      <c r="AI35" s="75">
        <v>2</v>
      </c>
      <c r="AJ35" s="75"/>
      <c r="AK35" s="75"/>
      <c r="AL35" s="75"/>
    </row>
    <row r="36" spans="24:38" x14ac:dyDescent="0.3">
      <c r="X36" s="128">
        <v>46271</v>
      </c>
      <c r="Y36" s="75" t="s">
        <v>473</v>
      </c>
      <c r="Z36" s="75" t="s">
        <v>431</v>
      </c>
      <c r="AA36" s="75"/>
      <c r="AB36" s="75"/>
      <c r="AC36" s="75"/>
      <c r="AD36" s="75"/>
      <c r="AE36" s="75"/>
      <c r="AF36" s="75"/>
      <c r="AG36" s="75"/>
      <c r="AH36" s="75"/>
      <c r="AI36" s="75">
        <v>2</v>
      </c>
      <c r="AJ36" s="75"/>
      <c r="AK36" s="75"/>
      <c r="AL36" s="75"/>
    </row>
    <row r="37" spans="24:38" x14ac:dyDescent="0.3">
      <c r="X37" s="128">
        <v>46272</v>
      </c>
      <c r="Y37" s="75" t="s">
        <v>73</v>
      </c>
      <c r="Z37" s="75"/>
      <c r="AA37" s="75">
        <v>3</v>
      </c>
      <c r="AB37" s="75"/>
      <c r="AC37" s="75"/>
      <c r="AD37" s="75"/>
      <c r="AE37" s="75">
        <v>2</v>
      </c>
      <c r="AF37" s="75"/>
      <c r="AG37" s="75"/>
      <c r="AH37" s="75"/>
      <c r="AI37" s="75">
        <v>10</v>
      </c>
      <c r="AJ37" s="75">
        <v>1</v>
      </c>
      <c r="AK37" s="75"/>
      <c r="AL37" s="75"/>
    </row>
    <row r="38" spans="24:38" x14ac:dyDescent="0.3">
      <c r="X38" s="128">
        <v>46272</v>
      </c>
      <c r="Y38" s="75" t="s">
        <v>73</v>
      </c>
      <c r="Z38" s="75"/>
      <c r="AA38" s="75">
        <v>3</v>
      </c>
      <c r="AB38" s="75"/>
      <c r="AC38" s="75"/>
      <c r="AD38" s="75"/>
      <c r="AE38" s="75">
        <v>2</v>
      </c>
      <c r="AF38" s="75"/>
      <c r="AG38" s="75"/>
      <c r="AH38" s="75"/>
      <c r="AI38" s="75">
        <v>10</v>
      </c>
      <c r="AJ38" s="75">
        <v>1</v>
      </c>
      <c r="AK38" s="75"/>
      <c r="AL38" s="75"/>
    </row>
    <row r="39" spans="24:38" x14ac:dyDescent="0.3">
      <c r="X39" s="75"/>
      <c r="Y39" s="75" t="s">
        <v>457</v>
      </c>
      <c r="Z39" s="75"/>
      <c r="AA39" s="75">
        <v>2</v>
      </c>
      <c r="AB39" s="75"/>
      <c r="AC39" s="75"/>
      <c r="AD39" s="75"/>
      <c r="AE39" s="75"/>
      <c r="AF39" s="75"/>
      <c r="AG39" s="75"/>
      <c r="AH39" s="75"/>
      <c r="AI39" s="75"/>
      <c r="AJ39" s="75"/>
      <c r="AK39" s="75"/>
      <c r="AL39" s="75"/>
    </row>
    <row r="40" spans="24:38" x14ac:dyDescent="0.3">
      <c r="X40" s="75"/>
      <c r="Y40" s="75" t="s">
        <v>424</v>
      </c>
      <c r="Z40" s="75"/>
      <c r="AA40" s="75">
        <v>36</v>
      </c>
      <c r="AB40" s="75"/>
      <c r="AC40" s="75"/>
      <c r="AD40" s="75"/>
      <c r="AE40" s="75"/>
      <c r="AF40" s="75"/>
      <c r="AG40" s="75"/>
      <c r="AH40" s="75"/>
      <c r="AI40" s="75"/>
      <c r="AJ40" s="75"/>
      <c r="AK40" s="75"/>
      <c r="AL40" s="75"/>
    </row>
    <row r="41" spans="24:38" x14ac:dyDescent="0.3">
      <c r="X41" s="75"/>
      <c r="Y41" s="75" t="s">
        <v>475</v>
      </c>
      <c r="Z41" s="75"/>
      <c r="AA41" s="75">
        <v>6</v>
      </c>
      <c r="AB41" s="75"/>
      <c r="AC41" s="75"/>
      <c r="AD41" s="75"/>
      <c r="AE41" s="75"/>
      <c r="AF41" s="75"/>
      <c r="AG41" s="75"/>
      <c r="AH41" s="75"/>
      <c r="AI41" s="75"/>
      <c r="AJ41" s="75"/>
      <c r="AK41" s="75"/>
      <c r="AL41" s="75"/>
    </row>
    <row r="42" spans="24:38" x14ac:dyDescent="0.3">
      <c r="X42" s="75"/>
      <c r="Y42" s="75" t="s">
        <v>476</v>
      </c>
      <c r="Z42" s="75"/>
      <c r="AA42" s="75"/>
      <c r="AB42" s="75"/>
      <c r="AC42" s="75"/>
      <c r="AD42" s="75"/>
      <c r="AE42" s="75"/>
      <c r="AF42" s="75"/>
      <c r="AG42" s="75"/>
      <c r="AH42" s="75"/>
      <c r="AI42" s="75"/>
      <c r="AJ42" s="75"/>
      <c r="AK42" s="75">
        <v>10</v>
      </c>
      <c r="AL42" s="75">
        <v>1</v>
      </c>
    </row>
    <row r="43" spans="24:38" x14ac:dyDescent="0.3">
      <c r="X43" s="75"/>
      <c r="Y43" s="75" t="s">
        <v>477</v>
      </c>
      <c r="Z43" s="75"/>
      <c r="AA43" s="75">
        <v>2</v>
      </c>
      <c r="AB43" s="75"/>
      <c r="AC43" s="75"/>
      <c r="AD43" s="75"/>
      <c r="AE43" s="75"/>
      <c r="AF43" s="75"/>
      <c r="AG43" s="75"/>
      <c r="AH43" s="75"/>
      <c r="AI43" s="75"/>
      <c r="AJ43" s="75"/>
      <c r="AK43" s="75"/>
      <c r="AL43" s="75"/>
    </row>
    <row r="44" spans="24:38" x14ac:dyDescent="0.3">
      <c r="X44" s="75"/>
      <c r="Y44" s="75" t="s">
        <v>478</v>
      </c>
      <c r="Z44" s="75"/>
      <c r="AA44" s="75">
        <v>6</v>
      </c>
      <c r="AB44" s="75"/>
      <c r="AC44" s="75"/>
      <c r="AD44" s="75"/>
      <c r="AE44" s="75"/>
      <c r="AF44" s="75"/>
      <c r="AG44" s="75"/>
      <c r="AH44" s="75"/>
      <c r="AI44" s="75"/>
      <c r="AJ44" s="75"/>
      <c r="AK44" s="75"/>
      <c r="AL44" s="75"/>
    </row>
    <row r="45" spans="24:38" x14ac:dyDescent="0.3">
      <c r="X45" s="75"/>
      <c r="Y45" s="75" t="s">
        <v>479</v>
      </c>
      <c r="Z45" s="75"/>
      <c r="AA45" s="75">
        <v>2</v>
      </c>
      <c r="AB45" s="75"/>
      <c r="AC45" s="75"/>
      <c r="AD45" s="75"/>
      <c r="AE45" s="75"/>
      <c r="AF45" s="75"/>
      <c r="AG45" s="75"/>
      <c r="AH45" s="75"/>
      <c r="AI45" s="75"/>
      <c r="AJ45" s="75"/>
      <c r="AK45" s="75"/>
      <c r="AL45" s="75"/>
    </row>
    <row r="46" spans="24:38" x14ac:dyDescent="0.3">
      <c r="X46" s="75"/>
      <c r="Y46" s="75" t="s">
        <v>480</v>
      </c>
      <c r="Z46" s="75"/>
      <c r="AA46" s="75"/>
      <c r="AB46" s="75"/>
      <c r="AC46" s="75"/>
      <c r="AD46" s="75"/>
      <c r="AE46" s="75"/>
      <c r="AF46" s="75"/>
      <c r="AG46" s="75"/>
      <c r="AH46" s="75"/>
      <c r="AI46" s="75">
        <v>4</v>
      </c>
      <c r="AJ46" s="75"/>
      <c r="AK46" s="75"/>
      <c r="AL46" s="75"/>
    </row>
    <row r="47" spans="24:38" x14ac:dyDescent="0.3">
      <c r="X47" s="75"/>
      <c r="Y47" s="75" t="s">
        <v>424</v>
      </c>
      <c r="Z47" s="75"/>
      <c r="AA47" s="75">
        <v>11</v>
      </c>
      <c r="AB47" s="75"/>
      <c r="AC47" s="75"/>
      <c r="AD47" s="75"/>
      <c r="AE47" s="75">
        <v>33</v>
      </c>
      <c r="AF47" s="75"/>
      <c r="AG47" s="75"/>
      <c r="AH47" s="75"/>
      <c r="AI47" s="75">
        <v>2</v>
      </c>
      <c r="AJ47" s="75"/>
      <c r="AK47" s="75"/>
      <c r="AL47" s="75"/>
    </row>
    <row r="48" spans="24:38" x14ac:dyDescent="0.3">
      <c r="X48" s="75"/>
      <c r="Y48" s="75" t="s">
        <v>481</v>
      </c>
      <c r="Z48" s="75"/>
      <c r="AA48" s="75"/>
      <c r="AB48" s="75"/>
      <c r="AC48" s="75"/>
      <c r="AD48" s="75"/>
      <c r="AE48" s="75"/>
      <c r="AF48" s="75"/>
      <c r="AG48" s="75"/>
      <c r="AH48" s="75"/>
      <c r="AI48" s="75"/>
      <c r="AJ48" s="75"/>
      <c r="AK48" s="75">
        <v>8</v>
      </c>
      <c r="AL48" s="75"/>
    </row>
    <row r="49" spans="24:38" x14ac:dyDescent="0.3">
      <c r="X49" s="75"/>
      <c r="Y49" s="75" t="s">
        <v>470</v>
      </c>
      <c r="Z49" s="75"/>
      <c r="AA49" s="75"/>
      <c r="AB49" s="75"/>
      <c r="AC49" s="75"/>
      <c r="AD49" s="75"/>
      <c r="AE49" s="75"/>
      <c r="AF49" s="75"/>
      <c r="AG49" s="75"/>
      <c r="AH49" s="75"/>
      <c r="AI49" s="75"/>
      <c r="AJ49" s="75"/>
      <c r="AK49" s="75">
        <v>4</v>
      </c>
      <c r="AL49" s="75"/>
    </row>
    <row r="50" spans="24:38" x14ac:dyDescent="0.3">
      <c r="X50" s="128">
        <v>46243</v>
      </c>
      <c r="Y50" s="75" t="s">
        <v>482</v>
      </c>
      <c r="Z50" s="75"/>
      <c r="AA50" s="75">
        <v>22</v>
      </c>
      <c r="AB50" s="75"/>
      <c r="AC50" s="75"/>
      <c r="AD50" s="75"/>
      <c r="AE50" s="75"/>
      <c r="AF50" s="75"/>
      <c r="AG50" s="75"/>
      <c r="AH50" s="75"/>
      <c r="AI50" s="75"/>
      <c r="AJ50" s="75"/>
      <c r="AK50" s="75"/>
      <c r="AL50" s="75"/>
    </row>
    <row r="51" spans="24:38" x14ac:dyDescent="0.3">
      <c r="X51" s="75"/>
      <c r="Y51" s="75" t="s">
        <v>482</v>
      </c>
      <c r="Z51" s="75"/>
      <c r="AA51" s="75">
        <v>22</v>
      </c>
      <c r="AB51" s="75"/>
      <c r="AC51" s="75"/>
      <c r="AD51" s="75"/>
      <c r="AE51" s="75"/>
      <c r="AF51" s="75"/>
      <c r="AG51" s="75"/>
      <c r="AH51" s="75"/>
      <c r="AI51" s="75"/>
      <c r="AJ51" s="75"/>
      <c r="AK51" s="75"/>
      <c r="AL51" s="75"/>
    </row>
    <row r="52" spans="24:38" x14ac:dyDescent="0.3">
      <c r="X52" s="75"/>
      <c r="Y52" s="75" t="s">
        <v>482</v>
      </c>
      <c r="Z52" s="75"/>
      <c r="AA52" s="75"/>
      <c r="AB52" s="75"/>
      <c r="AC52" s="75"/>
      <c r="AD52" s="75"/>
      <c r="AE52" s="75">
        <v>11</v>
      </c>
      <c r="AF52" s="75"/>
      <c r="AG52" s="75"/>
      <c r="AH52" s="75"/>
      <c r="AI52" s="75">
        <v>4</v>
      </c>
      <c r="AJ52" s="75"/>
      <c r="AK52" s="75"/>
      <c r="AL52" s="75"/>
    </row>
    <row r="53" spans="24:38" x14ac:dyDescent="0.3">
      <c r="X53" s="75"/>
      <c r="Y53" s="75" t="s">
        <v>73</v>
      </c>
      <c r="Z53" s="75"/>
      <c r="AA53" s="75">
        <v>3</v>
      </c>
      <c r="AB53" s="75"/>
      <c r="AC53" s="75"/>
      <c r="AD53" s="75"/>
      <c r="AE53" s="75">
        <v>3</v>
      </c>
      <c r="AF53" s="75"/>
      <c r="AG53" s="75"/>
      <c r="AH53" s="75"/>
      <c r="AI53" s="75"/>
      <c r="AJ53" s="75"/>
      <c r="AK53" s="75"/>
      <c r="AL53" s="75"/>
    </row>
    <row r="54" spans="24:38" x14ac:dyDescent="0.3">
      <c r="X54" s="75"/>
      <c r="Y54" s="75" t="s">
        <v>483</v>
      </c>
      <c r="Z54" s="75"/>
      <c r="AA54" s="75">
        <v>2</v>
      </c>
      <c r="AB54" s="75"/>
      <c r="AC54" s="75"/>
      <c r="AD54" s="75"/>
      <c r="AE54" s="75"/>
      <c r="AF54" s="75"/>
      <c r="AG54" s="75"/>
      <c r="AH54" s="75"/>
      <c r="AI54" s="75"/>
      <c r="AJ54" s="75"/>
      <c r="AK54" s="75"/>
      <c r="AL54" s="75"/>
    </row>
    <row r="55" spans="24:38" x14ac:dyDescent="0.3">
      <c r="X55" s="75"/>
      <c r="Y55" s="75" t="s">
        <v>475</v>
      </c>
      <c r="Z55" s="75"/>
      <c r="AA55" s="75">
        <v>4</v>
      </c>
      <c r="AB55" s="75"/>
      <c r="AC55" s="75"/>
      <c r="AD55" s="75"/>
      <c r="AE55" s="75"/>
      <c r="AF55" s="75"/>
      <c r="AG55" s="75"/>
      <c r="AH55" s="75"/>
      <c r="AI55" s="75"/>
      <c r="AJ55" s="75"/>
      <c r="AK55" s="75"/>
      <c r="AL55" s="75"/>
    </row>
    <row r="56" spans="24:38" x14ac:dyDescent="0.3">
      <c r="X56" s="75"/>
      <c r="Y56" s="75" t="s">
        <v>482</v>
      </c>
      <c r="Z56" s="75"/>
      <c r="AA56" s="75"/>
      <c r="AB56" s="75"/>
      <c r="AC56" s="75"/>
      <c r="AD56" s="75"/>
      <c r="AE56" s="75">
        <v>22</v>
      </c>
      <c r="AF56" s="75"/>
      <c r="AG56" s="75"/>
      <c r="AH56" s="75"/>
      <c r="AI56" s="75"/>
      <c r="AJ56" s="75"/>
      <c r="AK56" s="75"/>
      <c r="AL56" s="75"/>
    </row>
    <row r="57" spans="24:38" x14ac:dyDescent="0.3">
      <c r="X57" s="75"/>
      <c r="Y57" s="75" t="s">
        <v>484</v>
      </c>
      <c r="Z57" s="75"/>
      <c r="AA57" s="75"/>
      <c r="AB57" s="75"/>
      <c r="AC57" s="75"/>
      <c r="AD57" s="75"/>
      <c r="AE57" s="75"/>
      <c r="AF57" s="75"/>
      <c r="AG57" s="75"/>
      <c r="AH57" s="75"/>
      <c r="AI57" s="75">
        <v>3</v>
      </c>
      <c r="AJ57" s="75"/>
      <c r="AK57" s="75"/>
      <c r="AL57" s="75"/>
    </row>
    <row r="58" spans="24:38" x14ac:dyDescent="0.3">
      <c r="X58" s="201" t="s">
        <v>398</v>
      </c>
      <c r="Y58" s="75" t="s">
        <v>483</v>
      </c>
      <c r="Z58" s="75"/>
      <c r="AA58" s="75"/>
      <c r="AB58" s="75"/>
      <c r="AC58" s="75"/>
      <c r="AD58" s="75"/>
      <c r="AE58" s="75"/>
      <c r="AF58" s="75"/>
      <c r="AG58" s="75"/>
      <c r="AH58" s="75"/>
      <c r="AI58" s="75">
        <v>1</v>
      </c>
      <c r="AJ58" s="75"/>
      <c r="AK58" s="75"/>
      <c r="AL58" s="75"/>
    </row>
    <row r="59" spans="24:38" x14ac:dyDescent="0.3">
      <c r="X59" s="75"/>
      <c r="Y59" s="75" t="s">
        <v>73</v>
      </c>
      <c r="Z59" s="75"/>
      <c r="AA59" s="75">
        <v>4</v>
      </c>
      <c r="AB59" s="75"/>
      <c r="AC59" s="75"/>
      <c r="AD59" s="75"/>
      <c r="AE59" s="75"/>
      <c r="AF59" s="75"/>
      <c r="AG59" s="75"/>
      <c r="AH59" s="75"/>
      <c r="AI59" s="75"/>
      <c r="AJ59" s="75"/>
      <c r="AK59" s="75"/>
      <c r="AL59" s="75"/>
    </row>
    <row r="60" spans="24:38" x14ac:dyDescent="0.3">
      <c r="X60" s="75"/>
      <c r="Y60" s="75" t="s">
        <v>483</v>
      </c>
      <c r="Z60" s="75"/>
      <c r="AA60" s="75">
        <v>3</v>
      </c>
      <c r="AB60" s="75"/>
      <c r="AC60" s="75"/>
      <c r="AD60" s="75"/>
      <c r="AE60" s="75">
        <v>1</v>
      </c>
      <c r="AF60" s="75"/>
      <c r="AG60" s="75"/>
      <c r="AH60" s="75"/>
      <c r="AI60" s="75"/>
      <c r="AJ60" s="75"/>
      <c r="AK60" s="75"/>
      <c r="AL60" s="75"/>
    </row>
    <row r="61" spans="24:38" x14ac:dyDescent="0.3">
      <c r="X61" s="75"/>
      <c r="Y61" s="75" t="s">
        <v>496</v>
      </c>
      <c r="Z61" s="75"/>
      <c r="AA61" s="75"/>
      <c r="AB61" s="75"/>
      <c r="AC61" s="75"/>
      <c r="AD61" s="75"/>
      <c r="AE61" s="75"/>
      <c r="AF61" s="75"/>
      <c r="AG61" s="75"/>
      <c r="AH61" s="75"/>
      <c r="AI61" s="75">
        <v>2</v>
      </c>
      <c r="AJ61" s="75"/>
      <c r="AK61" s="75"/>
      <c r="AL61" s="75"/>
    </row>
    <row r="62" spans="24:38" x14ac:dyDescent="0.3">
      <c r="X62" s="75"/>
      <c r="Y62" s="75" t="s">
        <v>497</v>
      </c>
      <c r="Z62" s="75"/>
      <c r="AA62" s="75"/>
      <c r="AB62" s="75"/>
      <c r="AC62" s="75">
        <v>11</v>
      </c>
      <c r="AD62" s="75"/>
      <c r="AE62" s="75"/>
      <c r="AF62" s="75"/>
      <c r="AG62" s="75"/>
      <c r="AH62" s="75"/>
      <c r="AI62" s="75"/>
      <c r="AJ62" s="75"/>
      <c r="AK62" s="75"/>
      <c r="AL62" s="75"/>
    </row>
    <row r="63" spans="24:38" x14ac:dyDescent="0.3">
      <c r="X63" s="75"/>
      <c r="Y63" s="75"/>
      <c r="Z63" s="75"/>
      <c r="AA63" s="75"/>
      <c r="AB63" s="75"/>
      <c r="AC63" s="75"/>
      <c r="AD63" s="75"/>
      <c r="AE63" s="75"/>
      <c r="AF63" s="75"/>
      <c r="AG63" s="75"/>
      <c r="AH63" s="75"/>
      <c r="AI63" s="75"/>
      <c r="AJ63" s="75"/>
      <c r="AK63" s="75"/>
      <c r="AL63" s="75"/>
    </row>
    <row r="64" spans="24:38" x14ac:dyDescent="0.3">
      <c r="X64" s="75"/>
      <c r="Y64" s="75"/>
      <c r="Z64" s="75"/>
      <c r="AA64" s="75"/>
      <c r="AB64" s="75"/>
      <c r="AC64" s="75"/>
      <c r="AD64" s="75"/>
      <c r="AE64" s="75"/>
      <c r="AF64" s="75"/>
      <c r="AG64" s="75"/>
      <c r="AH64" s="75"/>
      <c r="AI64" s="75"/>
      <c r="AJ64" s="75"/>
      <c r="AK64" s="75"/>
      <c r="AL64" s="75"/>
    </row>
    <row r="65" spans="24:38" x14ac:dyDescent="0.3">
      <c r="X65" s="75"/>
      <c r="Y65" s="75"/>
      <c r="Z65" s="75"/>
      <c r="AA65" s="75"/>
      <c r="AB65" s="75"/>
      <c r="AC65" s="75"/>
      <c r="AD65" s="75"/>
      <c r="AE65" s="75"/>
      <c r="AF65" s="75"/>
      <c r="AG65" s="75"/>
      <c r="AH65" s="75"/>
      <c r="AI65" s="75"/>
      <c r="AJ65" s="75"/>
      <c r="AK65" s="75"/>
      <c r="AL65" s="75"/>
    </row>
    <row r="66" spans="24:38" x14ac:dyDescent="0.3">
      <c r="X66" s="75"/>
      <c r="Y66" s="75"/>
      <c r="Z66" s="75"/>
      <c r="AA66" s="75"/>
      <c r="AB66" s="75"/>
      <c r="AC66" s="75"/>
      <c r="AD66" s="75"/>
      <c r="AE66" s="75"/>
      <c r="AF66" s="75"/>
      <c r="AG66" s="75"/>
      <c r="AH66" s="75"/>
      <c r="AI66" s="75"/>
      <c r="AJ66" s="75"/>
      <c r="AK66" s="75"/>
      <c r="AL66" s="75"/>
    </row>
    <row r="67" spans="24:38" x14ac:dyDescent="0.3">
      <c r="X67" s="75"/>
      <c r="Z67" s="75"/>
      <c r="AA67" s="75"/>
      <c r="AB67" s="75"/>
      <c r="AC67" s="75"/>
      <c r="AD67" s="75"/>
      <c r="AE67" s="75"/>
      <c r="AF67" s="75"/>
      <c r="AG67" s="75"/>
      <c r="AH67" s="75"/>
      <c r="AI67" s="75"/>
      <c r="AJ67" s="75"/>
      <c r="AK67" s="75"/>
      <c r="AL67" s="75"/>
    </row>
    <row r="68" spans="24:38" x14ac:dyDescent="0.3">
      <c r="X68" s="75"/>
      <c r="Y68" s="75"/>
      <c r="Z68" s="75"/>
      <c r="AA68" s="75"/>
      <c r="AB68" s="75"/>
      <c r="AC68" s="75"/>
      <c r="AD68" s="75"/>
      <c r="AE68" s="75"/>
      <c r="AF68" s="75"/>
      <c r="AG68" s="75"/>
      <c r="AH68" s="75"/>
      <c r="AI68" s="75"/>
      <c r="AJ68" s="75"/>
      <c r="AK68" s="75"/>
      <c r="AL68" s="75"/>
    </row>
    <row r="69" spans="24:38" x14ac:dyDescent="0.3">
      <c r="X69" s="75"/>
      <c r="Y69" s="75"/>
      <c r="Z69" s="75"/>
      <c r="AA69" s="75"/>
      <c r="AB69" s="75"/>
      <c r="AC69" s="75"/>
      <c r="AD69" s="75"/>
      <c r="AE69" s="75"/>
      <c r="AF69" s="75"/>
      <c r="AG69" s="75"/>
      <c r="AH69" s="75"/>
      <c r="AI69" s="75"/>
      <c r="AJ69" s="75"/>
      <c r="AK69" s="75"/>
      <c r="AL69" s="75"/>
    </row>
    <row r="70" spans="24:38" x14ac:dyDescent="0.3">
      <c r="X70" s="75"/>
      <c r="Y70" s="75"/>
      <c r="Z70" s="113" t="s">
        <v>448</v>
      </c>
      <c r="AA70" s="75">
        <f>SUM(AA50:AA69)</f>
        <v>60</v>
      </c>
      <c r="AB70" s="75">
        <f t="shared" ref="AB70:AL70" si="141">SUM(AB50:AB69)</f>
        <v>0</v>
      </c>
      <c r="AC70" s="75">
        <f t="shared" si="141"/>
        <v>11</v>
      </c>
      <c r="AD70" s="75">
        <f t="shared" si="141"/>
        <v>0</v>
      </c>
      <c r="AE70" s="75">
        <f t="shared" si="141"/>
        <v>37</v>
      </c>
      <c r="AF70" s="75">
        <f t="shared" si="141"/>
        <v>0</v>
      </c>
      <c r="AG70" s="75">
        <f t="shared" si="141"/>
        <v>0</v>
      </c>
      <c r="AH70" s="75">
        <f t="shared" si="141"/>
        <v>0</v>
      </c>
      <c r="AI70" s="75">
        <f t="shared" si="141"/>
        <v>10</v>
      </c>
      <c r="AJ70" s="75">
        <f t="shared" si="141"/>
        <v>0</v>
      </c>
      <c r="AK70" s="75">
        <f t="shared" si="141"/>
        <v>0</v>
      </c>
      <c r="AL70" s="75">
        <f t="shared" si="141"/>
        <v>0</v>
      </c>
    </row>
    <row r="71" spans="24:38" x14ac:dyDescent="0.3">
      <c r="X71" s="75"/>
      <c r="Y71" s="75"/>
      <c r="Z71" s="113" t="s">
        <v>449</v>
      </c>
      <c r="AA71" s="114">
        <f>I5+I125-AA70</f>
        <v>-40</v>
      </c>
      <c r="AB71" s="114">
        <f>K5+K125-AB70</f>
        <v>0</v>
      </c>
      <c r="AC71" s="114">
        <f>L5+L125-AC70</f>
        <v>29</v>
      </c>
      <c r="AD71" s="114">
        <f>M5+M125-AD70</f>
        <v>0</v>
      </c>
      <c r="AE71" s="114">
        <f>N5+N125-AE70</f>
        <v>-34</v>
      </c>
      <c r="AF71" s="114">
        <f>P5+P125-AF70</f>
        <v>7</v>
      </c>
      <c r="AG71" s="114">
        <f>Q5+Q125-AG70</f>
        <v>1</v>
      </c>
      <c r="AH71" s="114">
        <f>R5+R125-AH70</f>
        <v>0</v>
      </c>
      <c r="AI71" s="114">
        <f>S5+S125-AI70</f>
        <v>12</v>
      </c>
      <c r="AJ71" s="114">
        <f t="shared" ref="AJ71:AL71" si="142">U5+U125-AJ70</f>
        <v>52</v>
      </c>
      <c r="AK71" s="114">
        <f t="shared" si="142"/>
        <v>57</v>
      </c>
      <c r="AL71" s="114">
        <f t="shared" si="142"/>
        <v>0</v>
      </c>
    </row>
    <row r="72" spans="24:38" x14ac:dyDescent="0.3">
      <c r="X72" s="75"/>
    </row>
    <row r="73" spans="24:38" x14ac:dyDescent="0.3">
      <c r="X73" s="75"/>
    </row>
    <row r="74" spans="24:38" x14ac:dyDescent="0.3">
      <c r="X74" s="75"/>
    </row>
    <row r="75" spans="24:38" x14ac:dyDescent="0.3">
      <c r="X75" s="75"/>
    </row>
    <row r="76" spans="24:38" x14ac:dyDescent="0.3">
      <c r="X76" s="75"/>
    </row>
    <row r="77" spans="24:38" x14ac:dyDescent="0.3">
      <c r="X77" s="75"/>
    </row>
    <row r="78" spans="24:38" x14ac:dyDescent="0.3">
      <c r="X78" s="75"/>
    </row>
    <row r="79" spans="24:38" x14ac:dyDescent="0.3">
      <c r="X79" s="75"/>
    </row>
    <row r="80" spans="24:38" x14ac:dyDescent="0.3">
      <c r="X80" s="75"/>
    </row>
    <row r="81" spans="24:24" x14ac:dyDescent="0.3">
      <c r="X81" s="75"/>
    </row>
    <row r="82" spans="24:24" x14ac:dyDescent="0.3">
      <c r="X82" s="75"/>
    </row>
    <row r="83" spans="24:24" x14ac:dyDescent="0.3">
      <c r="X83" s="75"/>
    </row>
    <row r="84" spans="24:24" x14ac:dyDescent="0.3">
      <c r="X84" s="75"/>
    </row>
    <row r="85" spans="24:24" x14ac:dyDescent="0.3">
      <c r="X85" s="75"/>
    </row>
    <row r="86" spans="24:24" x14ac:dyDescent="0.3">
      <c r="X86" s="75"/>
    </row>
    <row r="87" spans="24:24" x14ac:dyDescent="0.3">
      <c r="X87" s="75"/>
    </row>
    <row r="88" spans="24:24" x14ac:dyDescent="0.3">
      <c r="X88" s="75"/>
    </row>
    <row r="89" spans="24:24" x14ac:dyDescent="0.3">
      <c r="X89" s="75"/>
    </row>
    <row r="90" spans="24:24" x14ac:dyDescent="0.3">
      <c r="X90" s="75"/>
    </row>
    <row r="91" spans="24:24" x14ac:dyDescent="0.3">
      <c r="X91" s="75"/>
    </row>
    <row r="92" spans="24:24" x14ac:dyDescent="0.3">
      <c r="X92" s="75"/>
    </row>
    <row r="93" spans="24:24" x14ac:dyDescent="0.3">
      <c r="X93" s="75"/>
    </row>
    <row r="94" spans="24:24" x14ac:dyDescent="0.3">
      <c r="X94" s="75"/>
    </row>
    <row r="95" spans="24:24" x14ac:dyDescent="0.3">
      <c r="X95" s="75"/>
    </row>
    <row r="96" spans="24:24" x14ac:dyDescent="0.3">
      <c r="X96" s="75"/>
    </row>
    <row r="97" spans="24:24" x14ac:dyDescent="0.3">
      <c r="X97" s="75"/>
    </row>
    <row r="98" spans="24:24" x14ac:dyDescent="0.3">
      <c r="X98" s="75"/>
    </row>
    <row r="99" spans="24:24" x14ac:dyDescent="0.3">
      <c r="X99" s="75"/>
    </row>
    <row r="100" spans="24:24" x14ac:dyDescent="0.3">
      <c r="X100" s="75"/>
    </row>
    <row r="101" spans="24:24" x14ac:dyDescent="0.3">
      <c r="X101" s="75"/>
    </row>
    <row r="102" spans="24:24" x14ac:dyDescent="0.3">
      <c r="X102" s="75"/>
    </row>
    <row r="103" spans="24:24" x14ac:dyDescent="0.3">
      <c r="X103" s="75"/>
    </row>
    <row r="104" spans="24:24" x14ac:dyDescent="0.3">
      <c r="X104" s="75"/>
    </row>
    <row r="105" spans="24:24" x14ac:dyDescent="0.3">
      <c r="X105" s="75"/>
    </row>
    <row r="106" spans="24:24" x14ac:dyDescent="0.3">
      <c r="X106" s="75"/>
    </row>
    <row r="107" spans="24:24" x14ac:dyDescent="0.3">
      <c r="X107" s="75"/>
    </row>
    <row r="108" spans="24:24" x14ac:dyDescent="0.3">
      <c r="X108" s="75"/>
    </row>
    <row r="109" spans="24:24" x14ac:dyDescent="0.3">
      <c r="X109" s="75"/>
    </row>
    <row r="110" spans="24:24" x14ac:dyDescent="0.3">
      <c r="X110" s="75"/>
    </row>
    <row r="111" spans="24:24" x14ac:dyDescent="0.3">
      <c r="X111" s="75"/>
    </row>
    <row r="112" spans="24:24" x14ac:dyDescent="0.3">
      <c r="X112" s="75"/>
    </row>
    <row r="113" spans="24:24" x14ac:dyDescent="0.3">
      <c r="X113" s="75"/>
    </row>
    <row r="114" spans="24:24" x14ac:dyDescent="0.3">
      <c r="X114" s="75"/>
    </row>
    <row r="115" spans="24:24" x14ac:dyDescent="0.3">
      <c r="X115" s="75"/>
    </row>
    <row r="116" spans="24:24" x14ac:dyDescent="0.3">
      <c r="X116" s="75"/>
    </row>
    <row r="117" spans="24:24" x14ac:dyDescent="0.3">
      <c r="X117" s="75"/>
    </row>
    <row r="118" spans="24:24" x14ac:dyDescent="0.3">
      <c r="X118" s="75"/>
    </row>
    <row r="119" spans="24:24" x14ac:dyDescent="0.3">
      <c r="X119" s="75"/>
    </row>
    <row r="120" spans="24:24" x14ac:dyDescent="0.3">
      <c r="X120" s="75"/>
    </row>
    <row r="121" spans="24:24" x14ac:dyDescent="0.3">
      <c r="X121" s="75"/>
    </row>
    <row r="122" spans="24:24" x14ac:dyDescent="0.3">
      <c r="X122" s="75"/>
    </row>
    <row r="123" spans="24:24" x14ac:dyDescent="0.3">
      <c r="X123" s="75"/>
    </row>
    <row r="124" spans="24:24" x14ac:dyDescent="0.3">
      <c r="X124" s="75"/>
    </row>
    <row r="125" spans="24:24" x14ac:dyDescent="0.3">
      <c r="X125" s="75"/>
    </row>
    <row r="126" spans="24:24" x14ac:dyDescent="0.3">
      <c r="X126" s="75"/>
    </row>
  </sheetData>
  <mergeCells count="4">
    <mergeCell ref="C1:G1"/>
    <mergeCell ref="H1:L1"/>
    <mergeCell ref="M1:Q1"/>
    <mergeCell ref="R1:V1"/>
  </mergeCells>
  <dataValidations count="1">
    <dataValidation type="list" allowBlank="1" showInputMessage="1" showErrorMessage="1" sqref="Y70:Y1071 Y1:Y4" xr:uid="{DCAE6A82-7BE0-4C4E-A8DC-91242BF08B54}">
      <formula1>$A$4:$A$476</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r:id="rId1"/>
  <headerFooter>
    <oddHeader>&amp;C&amp;"Times New Roman,thường"&amp;12&amp;Kffffff&amp;A</oddHeader>
    <oddFooter>&amp;C&amp;"Times New Roman,thường"&amp;12&amp;KffffffTrang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A2E9-C323-41E9-986E-93A3DDC3FB46}">
  <dimension ref="A1:AH125"/>
  <sheetViews>
    <sheetView workbookViewId="0">
      <selection activeCell="N15" sqref="N15"/>
    </sheetView>
  </sheetViews>
  <sheetFormatPr defaultColWidth="10.109375" defaultRowHeight="14.4" x14ac:dyDescent="0.3"/>
  <cols>
    <col min="1" max="1" width="5.5546875" customWidth="1"/>
    <col min="2" max="2" width="13.109375" style="77" customWidth="1"/>
    <col min="3" max="3" width="13.109375" customWidth="1"/>
    <col min="4" max="4" width="11.109375" customWidth="1"/>
    <col min="16" max="16" width="11.6640625" customWidth="1"/>
    <col min="20" max="21" width="26.6640625" customWidth="1"/>
    <col min="22" max="22" width="14.33203125" customWidth="1"/>
    <col min="24" max="24" width="7.88671875" customWidth="1"/>
    <col min="25" max="25" width="7.33203125" customWidth="1"/>
    <col min="26" max="26" width="9.33203125" customWidth="1"/>
    <col min="27" max="27" width="8" customWidth="1"/>
    <col min="28" max="29" width="8.109375" customWidth="1"/>
    <col min="30" max="30" width="7.88671875" customWidth="1"/>
    <col min="31" max="31" width="7.109375" customWidth="1"/>
    <col min="32" max="32" width="8.109375" customWidth="1"/>
    <col min="33" max="33" width="7.44140625" customWidth="1"/>
    <col min="34" max="34" width="7.6640625" customWidth="1"/>
  </cols>
  <sheetData>
    <row r="1" spans="1:34" ht="30.6" customHeight="1" x14ac:dyDescent="0.3">
      <c r="A1" s="76" t="s">
        <v>3</v>
      </c>
      <c r="B1" s="76" t="s">
        <v>377</v>
      </c>
      <c r="C1" s="468" t="s">
        <v>378</v>
      </c>
      <c r="D1" s="468"/>
      <c r="E1" s="468"/>
      <c r="F1" s="468"/>
      <c r="G1" s="469" t="s">
        <v>379</v>
      </c>
      <c r="H1" s="469"/>
      <c r="I1" s="469"/>
      <c r="J1" s="469"/>
      <c r="K1" s="470" t="s">
        <v>380</v>
      </c>
      <c r="L1" s="470"/>
      <c r="M1" s="470"/>
      <c r="N1" s="470"/>
      <c r="O1" s="471" t="s">
        <v>381</v>
      </c>
      <c r="P1" s="471"/>
      <c r="Q1" s="471"/>
      <c r="R1" s="471"/>
      <c r="S1" s="75"/>
      <c r="T1" s="116"/>
      <c r="U1" s="115" t="s">
        <v>380</v>
      </c>
      <c r="V1" s="115"/>
      <c r="W1" s="115"/>
      <c r="X1" s="115"/>
      <c r="Y1" s="115"/>
      <c r="Z1" s="115"/>
      <c r="AA1" s="115"/>
      <c r="AB1" s="115"/>
      <c r="AC1" s="115"/>
      <c r="AD1" s="115"/>
      <c r="AE1" s="115"/>
      <c r="AF1" s="115"/>
      <c r="AG1" s="115"/>
      <c r="AH1" s="115"/>
    </row>
    <row r="2" spans="1:34" ht="32.85" customHeight="1" x14ac:dyDescent="0.3">
      <c r="A2" s="75"/>
      <c r="B2" s="78"/>
      <c r="C2" s="79" t="s">
        <v>382</v>
      </c>
      <c r="D2" s="79" t="s">
        <v>383</v>
      </c>
      <c r="E2" s="79" t="s">
        <v>384</v>
      </c>
      <c r="F2" s="79" t="s">
        <v>385</v>
      </c>
      <c r="G2" s="80" t="s">
        <v>382</v>
      </c>
      <c r="H2" s="80" t="s">
        <v>383</v>
      </c>
      <c r="I2" s="80" t="s">
        <v>384</v>
      </c>
      <c r="J2" s="80" t="s">
        <v>385</v>
      </c>
      <c r="K2" s="81" t="s">
        <v>382</v>
      </c>
      <c r="L2" s="81" t="s">
        <v>383</v>
      </c>
      <c r="M2" s="81" t="s">
        <v>384</v>
      </c>
      <c r="N2" s="81" t="s">
        <v>385</v>
      </c>
      <c r="O2" s="82" t="s">
        <v>382</v>
      </c>
      <c r="P2" s="82" t="s">
        <v>383</v>
      </c>
      <c r="Q2" s="82" t="s">
        <v>384</v>
      </c>
      <c r="R2" s="82" t="s">
        <v>385</v>
      </c>
      <c r="S2" s="75"/>
      <c r="T2" s="117"/>
      <c r="U2" s="107" t="s">
        <v>328</v>
      </c>
      <c r="V2" s="107" t="s">
        <v>412</v>
      </c>
      <c r="W2" s="108" t="s">
        <v>26</v>
      </c>
      <c r="X2" s="106" t="s">
        <v>413</v>
      </c>
      <c r="Y2" s="106" t="s">
        <v>414</v>
      </c>
      <c r="Z2" s="106" t="s">
        <v>415</v>
      </c>
      <c r="AA2" s="106" t="s">
        <v>29</v>
      </c>
      <c r="AB2" s="106" t="s">
        <v>416</v>
      </c>
      <c r="AC2" s="106" t="s">
        <v>417</v>
      </c>
      <c r="AD2" s="106" t="s">
        <v>418</v>
      </c>
      <c r="AE2" s="106" t="s">
        <v>419</v>
      </c>
      <c r="AF2" s="106" t="s">
        <v>420</v>
      </c>
      <c r="AG2" s="106" t="s">
        <v>42</v>
      </c>
      <c r="AH2" s="106" t="s">
        <v>421</v>
      </c>
    </row>
    <row r="3" spans="1:34" ht="32.85" hidden="1" customHeight="1" x14ac:dyDescent="0.35">
      <c r="A3" s="75"/>
      <c r="B3" s="78">
        <v>46273</v>
      </c>
      <c r="C3" s="75"/>
      <c r="D3" s="75"/>
      <c r="E3" s="75">
        <v>11</v>
      </c>
      <c r="F3" s="75"/>
      <c r="G3" s="75"/>
      <c r="H3" s="75"/>
      <c r="I3" s="75"/>
      <c r="J3" s="75"/>
      <c r="K3" s="75"/>
      <c r="L3" s="75"/>
      <c r="M3" s="75">
        <v>11</v>
      </c>
      <c r="N3" s="75"/>
      <c r="O3" s="75">
        <f>C3+G3-K3</f>
        <v>0</v>
      </c>
      <c r="P3" s="75">
        <f>D3+H3-L3</f>
        <v>0</v>
      </c>
      <c r="Q3" s="75">
        <f>E3+I3-M3</f>
        <v>0</v>
      </c>
      <c r="R3" s="75">
        <f>F3+J3-N3</f>
        <v>0</v>
      </c>
      <c r="S3" s="75"/>
      <c r="T3" s="118"/>
      <c r="U3" s="109"/>
      <c r="V3" s="109"/>
      <c r="W3" s="109"/>
      <c r="X3" s="109"/>
      <c r="Y3" s="109"/>
      <c r="Z3" s="109"/>
      <c r="AA3" s="109"/>
      <c r="AB3" s="109"/>
      <c r="AC3" s="109"/>
      <c r="AD3" s="109"/>
      <c r="AE3" s="109"/>
      <c r="AF3" s="109"/>
      <c r="AG3" s="109"/>
      <c r="AH3" s="109"/>
    </row>
    <row r="4" spans="1:34" ht="32.85" hidden="1" customHeight="1" x14ac:dyDescent="0.3">
      <c r="A4" s="75"/>
      <c r="B4" s="78">
        <v>46274</v>
      </c>
      <c r="C4" s="75"/>
      <c r="D4" s="75"/>
      <c r="E4" s="75"/>
      <c r="F4" s="75"/>
      <c r="G4" s="75"/>
      <c r="H4" s="75"/>
      <c r="I4" s="75"/>
      <c r="J4" s="75"/>
      <c r="K4" s="75"/>
      <c r="L4" s="75"/>
      <c r="M4" s="75"/>
      <c r="N4" s="75"/>
      <c r="O4" s="75">
        <f t="shared" ref="O4:O5" si="0">C4+G4-K4</f>
        <v>0</v>
      </c>
      <c r="P4" s="75">
        <f t="shared" ref="P4:P5" si="1">D4+H4-L4</f>
        <v>0</v>
      </c>
      <c r="Q4" s="75">
        <f t="shared" ref="Q4:Q5" si="2">E4+I4-M4</f>
        <v>0</v>
      </c>
      <c r="R4" s="75">
        <f t="shared" ref="R4:R5" si="3">F4+J4-N4</f>
        <v>0</v>
      </c>
      <c r="S4" s="130"/>
      <c r="T4" s="128">
        <v>46243</v>
      </c>
      <c r="U4" s="84" t="s">
        <v>60</v>
      </c>
      <c r="V4" s="75"/>
      <c r="W4" s="75">
        <v>11</v>
      </c>
      <c r="X4" s="75"/>
      <c r="Y4" s="75"/>
      <c r="Z4" s="75"/>
      <c r="AA4" s="75"/>
      <c r="AB4" s="75"/>
      <c r="AC4" s="75"/>
      <c r="AD4" s="75"/>
      <c r="AE4" s="75"/>
      <c r="AF4" s="75"/>
      <c r="AG4" s="75"/>
      <c r="AH4" s="75"/>
    </row>
    <row r="5" spans="1:34" ht="32.85" hidden="1" customHeight="1" x14ac:dyDescent="0.3">
      <c r="A5" s="75"/>
      <c r="B5" s="83" t="s">
        <v>582</v>
      </c>
      <c r="C5" s="75"/>
      <c r="D5" s="75"/>
      <c r="E5" s="75"/>
      <c r="F5" s="75"/>
      <c r="G5" s="75"/>
      <c r="H5" s="75"/>
      <c r="I5" s="75">
        <f>49+8</f>
        <v>57</v>
      </c>
      <c r="J5" s="75"/>
      <c r="K5" s="75"/>
      <c r="L5" s="75"/>
      <c r="M5" s="75">
        <f>22+24</f>
        <v>46</v>
      </c>
      <c r="N5" s="75"/>
      <c r="O5" s="75">
        <f t="shared" si="0"/>
        <v>0</v>
      </c>
      <c r="P5" s="75">
        <f t="shared" si="1"/>
        <v>0</v>
      </c>
      <c r="Q5" s="75">
        <f t="shared" si="2"/>
        <v>11</v>
      </c>
      <c r="R5" s="75">
        <f t="shared" si="3"/>
        <v>0</v>
      </c>
      <c r="S5" s="130"/>
      <c r="T5" s="75"/>
      <c r="U5" s="75"/>
      <c r="V5" s="75"/>
      <c r="W5" s="75"/>
      <c r="X5" s="75"/>
      <c r="Y5" s="75"/>
      <c r="Z5" s="75"/>
      <c r="AA5" s="75"/>
      <c r="AB5" s="75"/>
      <c r="AC5" s="75"/>
      <c r="AD5" s="75"/>
      <c r="AE5" s="75"/>
      <c r="AF5" s="75"/>
      <c r="AG5" s="75"/>
      <c r="AH5" s="75"/>
    </row>
    <row r="6" spans="1:34" ht="32.85" hidden="1" customHeight="1" x14ac:dyDescent="0.3">
      <c r="A6" s="75"/>
      <c r="B6" s="83" t="s">
        <v>593</v>
      </c>
      <c r="C6" s="75">
        <f>O5</f>
        <v>0</v>
      </c>
      <c r="D6" s="75">
        <f t="shared" ref="D6:F6" si="4">P5</f>
        <v>0</v>
      </c>
      <c r="E6" s="75">
        <f t="shared" si="4"/>
        <v>11</v>
      </c>
      <c r="F6" s="75">
        <f t="shared" si="4"/>
        <v>0</v>
      </c>
      <c r="G6" s="75"/>
      <c r="H6" s="75"/>
      <c r="I6" s="75"/>
      <c r="J6" s="75"/>
      <c r="K6" s="75"/>
      <c r="L6" s="75"/>
      <c r="M6" s="75">
        <v>11</v>
      </c>
      <c r="N6" s="75"/>
      <c r="O6" s="75">
        <f t="shared" ref="O6" si="5">C6+G6-K6</f>
        <v>0</v>
      </c>
      <c r="P6" s="75">
        <f t="shared" ref="P6" si="6">D6+H6-L6</f>
        <v>0</v>
      </c>
      <c r="Q6" s="75">
        <f t="shared" ref="Q6" si="7">E6+I6-M6</f>
        <v>0</v>
      </c>
      <c r="R6" s="75">
        <f t="shared" ref="R6" si="8">F6+J6-N6</f>
        <v>0</v>
      </c>
      <c r="S6" s="130"/>
      <c r="T6" s="75"/>
      <c r="U6" s="75"/>
      <c r="V6" s="75"/>
      <c r="W6" s="75"/>
      <c r="X6" s="75"/>
      <c r="Y6" s="75"/>
      <c r="Z6" s="75"/>
      <c r="AA6" s="75"/>
      <c r="AB6" s="75"/>
      <c r="AC6" s="75"/>
      <c r="AD6" s="75"/>
      <c r="AE6" s="75"/>
      <c r="AF6" s="75"/>
      <c r="AG6" s="75"/>
      <c r="AH6" s="75"/>
    </row>
    <row r="7" spans="1:34" ht="32.85" hidden="1" customHeight="1" x14ac:dyDescent="0.3">
      <c r="A7" s="75"/>
      <c r="B7" s="83" t="s">
        <v>617</v>
      </c>
      <c r="C7" s="75">
        <f>O6</f>
        <v>0</v>
      </c>
      <c r="D7" s="75">
        <f t="shared" ref="D7" si="9">P6</f>
        <v>0</v>
      </c>
      <c r="E7" s="75">
        <f t="shared" ref="E7" si="10">Q6</f>
        <v>0</v>
      </c>
      <c r="F7" s="75">
        <f t="shared" ref="F7" si="11">R6</f>
        <v>0</v>
      </c>
      <c r="G7" s="75"/>
      <c r="H7" s="75"/>
      <c r="I7" s="75">
        <v>33</v>
      </c>
      <c r="J7" s="75"/>
      <c r="K7" s="75"/>
      <c r="L7" s="75"/>
      <c r="M7" s="75">
        <f>22+11</f>
        <v>33</v>
      </c>
      <c r="N7" s="75"/>
      <c r="O7" s="75">
        <f t="shared" ref="O7" si="12">C7+G7-K7</f>
        <v>0</v>
      </c>
      <c r="P7" s="75">
        <f t="shared" ref="P7" si="13">D7+H7-L7</f>
        <v>0</v>
      </c>
      <c r="Q7" s="75">
        <f t="shared" ref="Q7" si="14">E7+I7-M7</f>
        <v>0</v>
      </c>
      <c r="R7" s="75">
        <f t="shared" ref="R7" si="15">F7+J7-N7</f>
        <v>0</v>
      </c>
      <c r="S7" s="130"/>
      <c r="T7" s="75"/>
      <c r="U7" s="75"/>
      <c r="V7" s="75"/>
      <c r="W7" s="75"/>
      <c r="X7" s="75"/>
      <c r="Y7" s="75"/>
      <c r="Z7" s="75"/>
      <c r="AA7" s="75"/>
      <c r="AB7" s="75"/>
      <c r="AC7" s="75"/>
      <c r="AD7" s="75"/>
      <c r="AE7" s="75"/>
      <c r="AF7" s="75"/>
      <c r="AG7" s="75"/>
      <c r="AH7" s="75"/>
    </row>
    <row r="8" spans="1:34" ht="35.1" hidden="1" customHeight="1" x14ac:dyDescent="0.3">
      <c r="A8" s="75"/>
      <c r="B8" s="83" t="s">
        <v>634</v>
      </c>
      <c r="C8" s="75">
        <f t="shared" ref="C8:C9" si="16">O7</f>
        <v>0</v>
      </c>
      <c r="D8" s="75">
        <f t="shared" ref="D8:D9" si="17">P7</f>
        <v>0</v>
      </c>
      <c r="E8" s="75">
        <f t="shared" ref="E8:E9" si="18">Q7</f>
        <v>0</v>
      </c>
      <c r="F8" s="75">
        <f t="shared" ref="F8:F9" si="19">R7</f>
        <v>0</v>
      </c>
      <c r="G8" s="75"/>
      <c r="H8" s="75"/>
      <c r="I8" s="75"/>
      <c r="J8" s="75"/>
      <c r="K8" s="75"/>
      <c r="L8" s="75"/>
      <c r="M8" s="75"/>
      <c r="N8" s="75"/>
      <c r="O8" s="75">
        <f t="shared" ref="O8:O9" si="20">C8+G8-K8</f>
        <v>0</v>
      </c>
      <c r="P8" s="75">
        <f t="shared" ref="P8:P9" si="21">D8+H8-L8</f>
        <v>0</v>
      </c>
      <c r="Q8" s="75">
        <f t="shared" ref="Q8:Q9" si="22">E8+I8-M8</f>
        <v>0</v>
      </c>
      <c r="R8" s="75">
        <f t="shared" ref="R8:R9" si="23">F8+J8-N8</f>
        <v>0</v>
      </c>
      <c r="S8" s="130"/>
      <c r="T8" s="75"/>
      <c r="U8" s="75"/>
      <c r="V8" s="75"/>
      <c r="W8" s="75"/>
      <c r="X8" s="75"/>
      <c r="Y8" s="75"/>
      <c r="Z8" s="75"/>
      <c r="AA8" s="75"/>
      <c r="AB8" s="75"/>
      <c r="AC8" s="75"/>
      <c r="AD8" s="75"/>
      <c r="AE8" s="75"/>
      <c r="AF8" s="75"/>
      <c r="AG8" s="75"/>
      <c r="AH8" s="75"/>
    </row>
    <row r="9" spans="1:34" ht="35.1" hidden="1" customHeight="1" x14ac:dyDescent="0.3">
      <c r="A9" s="75"/>
      <c r="B9" s="83" t="s">
        <v>646</v>
      </c>
      <c r="C9" s="75">
        <f t="shared" si="16"/>
        <v>0</v>
      </c>
      <c r="D9" s="75">
        <f t="shared" si="17"/>
        <v>0</v>
      </c>
      <c r="E9" s="75">
        <f t="shared" si="18"/>
        <v>0</v>
      </c>
      <c r="F9" s="75">
        <f t="shared" si="19"/>
        <v>0</v>
      </c>
      <c r="G9" s="75"/>
      <c r="H9" s="75"/>
      <c r="I9" s="75"/>
      <c r="J9" s="75"/>
      <c r="K9" s="75"/>
      <c r="L9" s="75"/>
      <c r="M9" s="75"/>
      <c r="N9" s="75"/>
      <c r="O9" s="75">
        <f t="shared" si="20"/>
        <v>0</v>
      </c>
      <c r="P9" s="75">
        <f t="shared" si="21"/>
        <v>0</v>
      </c>
      <c r="Q9" s="75">
        <f t="shared" si="22"/>
        <v>0</v>
      </c>
      <c r="R9" s="75">
        <f t="shared" si="23"/>
        <v>0</v>
      </c>
      <c r="S9" s="130"/>
      <c r="T9" s="75"/>
      <c r="U9" s="75"/>
      <c r="V9" s="75"/>
      <c r="W9" s="75"/>
      <c r="X9" s="75"/>
      <c r="Y9" s="75"/>
      <c r="Z9" s="75"/>
      <c r="AA9" s="75"/>
      <c r="AB9" s="75"/>
      <c r="AC9" s="75"/>
      <c r="AD9" s="75"/>
      <c r="AE9" s="75"/>
      <c r="AF9" s="75"/>
      <c r="AG9" s="75"/>
      <c r="AH9" s="75"/>
    </row>
    <row r="10" spans="1:34" ht="35.1" hidden="1" customHeight="1" x14ac:dyDescent="0.3">
      <c r="A10" s="75"/>
      <c r="B10" s="83" t="s">
        <v>678</v>
      </c>
      <c r="C10" s="75">
        <f t="shared" ref="C10" si="24">O9</f>
        <v>0</v>
      </c>
      <c r="D10" s="75">
        <f t="shared" ref="D10" si="25">P9</f>
        <v>0</v>
      </c>
      <c r="E10" s="75">
        <f t="shared" ref="E10" si="26">Q9</f>
        <v>0</v>
      </c>
      <c r="F10" s="75">
        <f t="shared" ref="F10" si="27">R9</f>
        <v>0</v>
      </c>
      <c r="G10" s="75"/>
      <c r="H10" s="75"/>
      <c r="I10" s="75"/>
      <c r="J10" s="75"/>
      <c r="K10" s="75"/>
      <c r="L10" s="75"/>
      <c r="M10" s="75"/>
      <c r="N10" s="75"/>
      <c r="O10" s="75">
        <f t="shared" ref="O10" si="28">C10+G10-K10</f>
        <v>0</v>
      </c>
      <c r="P10" s="75">
        <f t="shared" ref="P10" si="29">D10+H10-L10</f>
        <v>0</v>
      </c>
      <c r="Q10" s="75">
        <f t="shared" ref="Q10" si="30">E10+I10-M10</f>
        <v>0</v>
      </c>
      <c r="R10" s="75">
        <f t="shared" ref="R10" si="31">F10+J10-N10</f>
        <v>0</v>
      </c>
      <c r="S10" s="130"/>
      <c r="T10" s="75"/>
      <c r="U10" s="75"/>
      <c r="V10" s="75"/>
      <c r="W10" s="75"/>
      <c r="X10" s="75"/>
      <c r="Y10" s="75"/>
      <c r="Z10" s="75"/>
      <c r="AA10" s="75"/>
      <c r="AB10" s="75"/>
      <c r="AC10" s="75"/>
      <c r="AD10" s="75"/>
      <c r="AE10" s="75"/>
      <c r="AF10" s="75"/>
      <c r="AG10" s="75"/>
      <c r="AH10" s="75"/>
    </row>
    <row r="11" spans="1:34" ht="35.1" hidden="1" customHeight="1" x14ac:dyDescent="0.3">
      <c r="A11" s="75"/>
      <c r="B11" s="83" t="s">
        <v>720</v>
      </c>
      <c r="C11" s="75">
        <f t="shared" ref="C11" si="32">O10</f>
        <v>0</v>
      </c>
      <c r="D11" s="75">
        <f t="shared" ref="D11" si="33">P10</f>
        <v>0</v>
      </c>
      <c r="E11" s="75">
        <f t="shared" ref="E11" si="34">Q10</f>
        <v>0</v>
      </c>
      <c r="F11" s="75">
        <f t="shared" ref="F11" si="35">R10</f>
        <v>0</v>
      </c>
      <c r="G11" s="75"/>
      <c r="H11" s="75"/>
      <c r="I11" s="75"/>
      <c r="J11" s="75"/>
      <c r="K11" s="75"/>
      <c r="L11" s="75"/>
      <c r="M11" s="75"/>
      <c r="N11" s="75"/>
      <c r="O11" s="75">
        <f t="shared" ref="O11" si="36">C11+G11-K11</f>
        <v>0</v>
      </c>
      <c r="P11" s="75">
        <f t="shared" ref="P11" si="37">D11+H11-L11</f>
        <v>0</v>
      </c>
      <c r="Q11" s="75">
        <f t="shared" ref="Q11" si="38">E11+I11-M11</f>
        <v>0</v>
      </c>
      <c r="R11" s="75">
        <f t="shared" ref="R11" si="39">F11+J11-N11</f>
        <v>0</v>
      </c>
      <c r="S11" s="130"/>
      <c r="T11" s="75"/>
      <c r="U11" s="75"/>
      <c r="V11" s="75"/>
      <c r="W11" s="75"/>
      <c r="X11" s="75"/>
      <c r="Y11" s="75"/>
      <c r="Z11" s="75"/>
      <c r="AA11" s="75"/>
      <c r="AB11" s="75"/>
      <c r="AC11" s="75"/>
      <c r="AD11" s="75"/>
      <c r="AE11" s="75"/>
      <c r="AF11" s="75"/>
      <c r="AG11" s="75"/>
      <c r="AH11" s="75"/>
    </row>
    <row r="12" spans="1:34" ht="35.1" hidden="1" customHeight="1" x14ac:dyDescent="0.3">
      <c r="A12" s="75"/>
      <c r="B12" s="83" t="s">
        <v>758</v>
      </c>
      <c r="C12" s="75">
        <f t="shared" ref="C12" si="40">O11</f>
        <v>0</v>
      </c>
      <c r="D12" s="75">
        <f t="shared" ref="D12" si="41">P11</f>
        <v>0</v>
      </c>
      <c r="E12" s="75">
        <f t="shared" ref="E12" si="42">Q11</f>
        <v>0</v>
      </c>
      <c r="F12" s="75">
        <f t="shared" ref="F12" si="43">R11</f>
        <v>0</v>
      </c>
      <c r="G12" s="75"/>
      <c r="H12" s="75"/>
      <c r="I12" s="75"/>
      <c r="J12" s="75"/>
      <c r="K12" s="75"/>
      <c r="L12" s="75"/>
      <c r="M12" s="75"/>
      <c r="N12" s="75"/>
      <c r="O12" s="75">
        <f t="shared" ref="O12" si="44">C12+G12-K12</f>
        <v>0</v>
      </c>
      <c r="P12" s="75">
        <f t="shared" ref="P12" si="45">D12+H12-L12</f>
        <v>0</v>
      </c>
      <c r="Q12" s="75">
        <f t="shared" ref="Q12" si="46">E12+I12-M12</f>
        <v>0</v>
      </c>
      <c r="R12" s="75">
        <f t="shared" ref="R12" si="47">F12+J12-N12</f>
        <v>0</v>
      </c>
      <c r="S12" s="130"/>
      <c r="T12" s="75"/>
      <c r="U12" s="75"/>
      <c r="V12" s="75"/>
      <c r="W12" s="75"/>
      <c r="X12" s="75"/>
      <c r="Y12" s="75"/>
      <c r="Z12" s="75"/>
      <c r="AA12" s="75"/>
      <c r="AB12" s="75"/>
      <c r="AC12" s="75"/>
      <c r="AD12" s="75"/>
      <c r="AE12" s="75"/>
      <c r="AF12" s="75"/>
      <c r="AG12" s="75"/>
      <c r="AH12" s="75"/>
    </row>
    <row r="13" spans="1:34" ht="35.1" hidden="1" customHeight="1" x14ac:dyDescent="0.3">
      <c r="A13" s="75"/>
      <c r="B13" s="83" t="s">
        <v>868</v>
      </c>
      <c r="C13" s="75">
        <f t="shared" ref="C13" si="48">O12</f>
        <v>0</v>
      </c>
      <c r="D13" s="75">
        <f t="shared" ref="D13" si="49">P12</f>
        <v>0</v>
      </c>
      <c r="E13" s="75">
        <f t="shared" ref="E13" si="50">Q12</f>
        <v>0</v>
      </c>
      <c r="F13" s="75">
        <f t="shared" ref="F13" si="51">R12</f>
        <v>0</v>
      </c>
      <c r="G13" s="75"/>
      <c r="H13" s="75"/>
      <c r="I13" s="75">
        <v>22</v>
      </c>
      <c r="J13" s="75"/>
      <c r="K13" s="75"/>
      <c r="L13" s="75"/>
      <c r="M13" s="75"/>
      <c r="N13" s="75"/>
      <c r="O13" s="75">
        <f t="shared" ref="O13" si="52">C13+G13-K13</f>
        <v>0</v>
      </c>
      <c r="P13" s="75">
        <f t="shared" ref="P13" si="53">D13+H13-L13</f>
        <v>0</v>
      </c>
      <c r="Q13" s="75">
        <f t="shared" ref="Q13" si="54">E13+I13-M13</f>
        <v>22</v>
      </c>
      <c r="R13" s="75">
        <f t="shared" ref="R13" si="55">F13+J13-N13</f>
        <v>0</v>
      </c>
      <c r="S13" s="130"/>
      <c r="T13" s="75"/>
      <c r="U13" s="75"/>
      <c r="V13" s="75"/>
      <c r="W13" s="75"/>
      <c r="X13" s="75"/>
      <c r="Y13" s="75"/>
      <c r="Z13" s="75"/>
      <c r="AA13" s="75"/>
      <c r="AB13" s="75"/>
      <c r="AC13" s="75"/>
      <c r="AD13" s="75"/>
      <c r="AE13" s="75"/>
      <c r="AF13" s="75"/>
      <c r="AG13" s="75"/>
      <c r="AH13" s="75"/>
    </row>
    <row r="14" spans="1:34" ht="35.1" customHeight="1" x14ac:dyDescent="0.3">
      <c r="A14" s="75"/>
      <c r="B14" s="83" t="s">
        <v>892</v>
      </c>
      <c r="C14" s="75">
        <f t="shared" ref="C14" si="56">O13</f>
        <v>0</v>
      </c>
      <c r="D14" s="75">
        <f t="shared" ref="D14" si="57">P13</f>
        <v>0</v>
      </c>
      <c r="E14" s="75">
        <f t="shared" ref="E14" si="58">Q13</f>
        <v>22</v>
      </c>
      <c r="F14" s="75">
        <f t="shared" ref="F14" si="59">R13</f>
        <v>0</v>
      </c>
      <c r="G14" s="75"/>
      <c r="H14" s="75"/>
      <c r="I14" s="75"/>
      <c r="J14" s="75"/>
      <c r="K14" s="75"/>
      <c r="L14" s="75"/>
      <c r="M14" s="75">
        <f>12+10</f>
        <v>22</v>
      </c>
      <c r="N14" s="75"/>
      <c r="O14" s="75">
        <f t="shared" ref="O14" si="60">C14+G14-K14</f>
        <v>0</v>
      </c>
      <c r="P14" s="75">
        <f t="shared" ref="P14" si="61">D14+H14-L14</f>
        <v>0</v>
      </c>
      <c r="Q14" s="75">
        <f t="shared" ref="Q14" si="62">E14+I14-M14</f>
        <v>0</v>
      </c>
      <c r="R14" s="75">
        <f t="shared" ref="R14" si="63">F14+J14-N14</f>
        <v>0</v>
      </c>
      <c r="S14" s="130"/>
      <c r="T14" s="75"/>
      <c r="U14" s="75"/>
      <c r="V14" s="75"/>
      <c r="W14" s="75"/>
      <c r="X14" s="75"/>
      <c r="Y14" s="75"/>
      <c r="Z14" s="75"/>
      <c r="AA14" s="75"/>
      <c r="AB14" s="75"/>
      <c r="AC14" s="75"/>
      <c r="AD14" s="75"/>
      <c r="AE14" s="75"/>
      <c r="AF14" s="75"/>
      <c r="AG14" s="75"/>
      <c r="AH14" s="75"/>
    </row>
    <row r="15" spans="1:34" ht="35.1" customHeight="1" x14ac:dyDescent="0.3">
      <c r="A15" s="75"/>
      <c r="B15" s="83" t="s">
        <v>955</v>
      </c>
      <c r="C15" s="75">
        <f t="shared" ref="C15" si="64">O14</f>
        <v>0</v>
      </c>
      <c r="D15" s="75">
        <f t="shared" ref="D15" si="65">P14</f>
        <v>0</v>
      </c>
      <c r="E15" s="75">
        <f t="shared" ref="E15" si="66">Q14</f>
        <v>0</v>
      </c>
      <c r="F15" s="75">
        <f t="shared" ref="F15" si="67">R14</f>
        <v>0</v>
      </c>
      <c r="G15" s="75"/>
      <c r="H15" s="75"/>
      <c r="I15" s="75">
        <v>22</v>
      </c>
      <c r="J15" s="75"/>
      <c r="K15" s="75"/>
      <c r="L15" s="75"/>
      <c r="M15" s="75">
        <v>16</v>
      </c>
      <c r="N15" s="75"/>
      <c r="O15" s="75">
        <f t="shared" ref="O15" si="68">C15+G15-K15</f>
        <v>0</v>
      </c>
      <c r="P15" s="75">
        <f t="shared" ref="P15" si="69">D15+H15-L15</f>
        <v>0</v>
      </c>
      <c r="Q15" s="75">
        <f t="shared" ref="Q15" si="70">E15+I15-M15</f>
        <v>6</v>
      </c>
      <c r="R15" s="75">
        <f t="shared" ref="R15" si="71">F15+J15-N15</f>
        <v>0</v>
      </c>
      <c r="S15" s="130"/>
      <c r="T15" s="75"/>
      <c r="U15" s="75"/>
      <c r="V15" s="75"/>
      <c r="W15" s="75"/>
      <c r="X15" s="75"/>
      <c r="Y15" s="75"/>
      <c r="Z15" s="75"/>
      <c r="AA15" s="75"/>
      <c r="AB15" s="75"/>
      <c r="AC15" s="75"/>
      <c r="AD15" s="75"/>
      <c r="AE15" s="75"/>
      <c r="AF15" s="75"/>
      <c r="AG15" s="75"/>
      <c r="AH15" s="75"/>
    </row>
    <row r="16" spans="1:34" ht="35.1" customHeight="1" x14ac:dyDescent="0.3">
      <c r="A16" s="75"/>
      <c r="B16" s="83"/>
      <c r="C16" s="75"/>
      <c r="D16" s="75"/>
      <c r="E16" s="75"/>
      <c r="F16" s="75"/>
      <c r="G16" s="75"/>
      <c r="H16" s="75"/>
      <c r="I16" s="75"/>
      <c r="J16" s="75"/>
      <c r="K16" s="75"/>
      <c r="L16" s="75"/>
      <c r="M16" s="75"/>
      <c r="N16" s="75"/>
      <c r="O16" s="75"/>
      <c r="P16" s="75"/>
      <c r="Q16" s="75"/>
      <c r="R16" s="75"/>
      <c r="S16" s="130"/>
      <c r="T16" s="75"/>
      <c r="U16" s="75"/>
      <c r="V16" s="75"/>
      <c r="W16" s="75"/>
      <c r="X16" s="75"/>
      <c r="Y16" s="75"/>
      <c r="Z16" s="75"/>
      <c r="AA16" s="75"/>
      <c r="AB16" s="75"/>
      <c r="AC16" s="75"/>
      <c r="AD16" s="75"/>
      <c r="AE16" s="75"/>
      <c r="AF16" s="75"/>
      <c r="AG16" s="75"/>
      <c r="AH16" s="75"/>
    </row>
    <row r="17" spans="1:34" ht="35.1" customHeight="1" x14ac:dyDescent="0.3">
      <c r="A17" s="75"/>
      <c r="B17" s="83"/>
      <c r="C17" s="75"/>
      <c r="D17" s="75"/>
      <c r="E17" s="75"/>
      <c r="F17" s="75"/>
      <c r="G17" s="75"/>
      <c r="H17" s="75"/>
      <c r="I17" s="75"/>
      <c r="J17" s="75"/>
      <c r="K17" s="75"/>
      <c r="L17" s="75"/>
      <c r="M17" s="75"/>
      <c r="N17" s="75"/>
      <c r="O17" s="75"/>
      <c r="P17" s="75"/>
      <c r="Q17" s="75"/>
      <c r="R17" s="75"/>
      <c r="S17" s="130"/>
      <c r="T17" s="75"/>
      <c r="U17" s="75"/>
      <c r="V17" s="75"/>
      <c r="W17" s="75"/>
      <c r="X17" s="75"/>
      <c r="Y17" s="75"/>
      <c r="Z17" s="75"/>
      <c r="AA17" s="75"/>
      <c r="AB17" s="75"/>
      <c r="AC17" s="75"/>
      <c r="AD17" s="75"/>
      <c r="AE17" s="75"/>
      <c r="AF17" s="75"/>
      <c r="AG17" s="75"/>
      <c r="AH17" s="75"/>
    </row>
    <row r="18" spans="1:34" ht="35.1" customHeight="1" x14ac:dyDescent="0.3">
      <c r="A18" s="75"/>
      <c r="B18" s="83"/>
      <c r="C18" s="75"/>
      <c r="D18" s="75"/>
      <c r="E18" s="75"/>
      <c r="F18" s="75"/>
      <c r="G18" s="75"/>
      <c r="H18" s="75"/>
      <c r="I18" s="75"/>
      <c r="J18" s="75"/>
      <c r="K18" s="75"/>
      <c r="L18" s="75"/>
      <c r="M18" s="75"/>
      <c r="N18" s="75"/>
      <c r="O18" s="75"/>
      <c r="P18" s="75"/>
      <c r="Q18" s="75"/>
      <c r="R18" s="75"/>
      <c r="S18" s="130"/>
      <c r="T18" s="75"/>
      <c r="U18" s="75"/>
      <c r="V18" s="75"/>
      <c r="W18" s="75"/>
      <c r="X18" s="75"/>
      <c r="Y18" s="75"/>
      <c r="Z18" s="75"/>
      <c r="AA18" s="75"/>
      <c r="AB18" s="75"/>
      <c r="AC18" s="75"/>
      <c r="AD18" s="75"/>
      <c r="AE18" s="75"/>
      <c r="AF18" s="75"/>
      <c r="AG18" s="75"/>
      <c r="AH18" s="75"/>
    </row>
    <row r="19" spans="1:34" ht="35.1" customHeight="1" x14ac:dyDescent="0.3">
      <c r="A19" s="75"/>
      <c r="B19" s="83"/>
      <c r="C19" s="75"/>
      <c r="D19" s="75"/>
      <c r="E19" s="75"/>
      <c r="F19" s="75"/>
      <c r="G19" s="75"/>
      <c r="H19" s="75"/>
      <c r="I19" s="75"/>
      <c r="J19" s="75"/>
      <c r="K19" s="75"/>
      <c r="L19" s="75"/>
      <c r="M19" s="75"/>
      <c r="N19" s="75"/>
      <c r="O19" s="75"/>
      <c r="P19" s="75"/>
      <c r="Q19" s="75"/>
      <c r="R19" s="75"/>
      <c r="S19" s="130"/>
      <c r="T19" s="75"/>
      <c r="U19" s="75"/>
      <c r="V19" s="75"/>
      <c r="W19" s="75"/>
      <c r="X19" s="75"/>
      <c r="Y19" s="75"/>
      <c r="Z19" s="75"/>
      <c r="AA19" s="75"/>
      <c r="AB19" s="75"/>
      <c r="AC19" s="75"/>
      <c r="AD19" s="75"/>
      <c r="AE19" s="75"/>
      <c r="AF19" s="75"/>
      <c r="AG19" s="75"/>
      <c r="AH19" s="75"/>
    </row>
    <row r="20" spans="1:34" ht="35.1" customHeight="1" x14ac:dyDescent="0.3">
      <c r="A20" s="75"/>
      <c r="B20" s="83"/>
      <c r="C20" s="75"/>
      <c r="D20" s="75"/>
      <c r="E20" s="75"/>
      <c r="F20" s="75"/>
      <c r="G20" s="75"/>
      <c r="H20" s="75"/>
      <c r="I20" s="75"/>
      <c r="J20" s="75"/>
      <c r="K20" s="75"/>
      <c r="L20" s="75"/>
      <c r="M20" s="75"/>
      <c r="N20" s="75"/>
      <c r="O20" s="75"/>
      <c r="P20" s="75"/>
      <c r="Q20" s="75"/>
      <c r="R20" s="75"/>
      <c r="S20" s="130"/>
      <c r="T20" s="75"/>
      <c r="U20" s="75"/>
      <c r="V20" s="75"/>
      <c r="W20" s="75"/>
      <c r="X20" s="75"/>
      <c r="Y20" s="75"/>
      <c r="Z20" s="75"/>
      <c r="AA20" s="75"/>
      <c r="AB20" s="75"/>
      <c r="AC20" s="75"/>
      <c r="AD20" s="75"/>
      <c r="AE20" s="75"/>
      <c r="AF20" s="75"/>
      <c r="AG20" s="75"/>
      <c r="AH20" s="75"/>
    </row>
    <row r="21" spans="1:34" ht="35.1" customHeight="1" x14ac:dyDescent="0.3">
      <c r="A21" s="75"/>
      <c r="B21" s="83"/>
      <c r="C21" s="75"/>
      <c r="D21" s="75"/>
      <c r="E21" s="75"/>
      <c r="F21" s="75"/>
      <c r="G21" s="75"/>
      <c r="H21" s="75"/>
      <c r="I21" s="75"/>
      <c r="J21" s="75"/>
      <c r="K21" s="75"/>
      <c r="L21" s="75"/>
      <c r="M21" s="75"/>
      <c r="N21" s="75"/>
      <c r="O21" s="75"/>
      <c r="P21" s="75"/>
      <c r="Q21" s="75"/>
      <c r="R21" s="75"/>
      <c r="S21" s="130"/>
      <c r="T21" s="75"/>
      <c r="U21" s="75"/>
      <c r="V21" s="75"/>
      <c r="W21" s="75"/>
      <c r="X21" s="75"/>
      <c r="Y21" s="75"/>
      <c r="Z21" s="75"/>
      <c r="AA21" s="75"/>
      <c r="AB21" s="75"/>
      <c r="AC21" s="75"/>
      <c r="AD21" s="75"/>
      <c r="AE21" s="75"/>
      <c r="AF21" s="75"/>
      <c r="AG21" s="75"/>
      <c r="AH21" s="75"/>
    </row>
    <row r="22" spans="1:34" ht="35.1" customHeight="1" x14ac:dyDescent="0.3">
      <c r="A22" s="75"/>
      <c r="B22" s="83"/>
      <c r="C22" s="75"/>
      <c r="D22" s="75"/>
      <c r="E22" s="75"/>
      <c r="F22" s="75"/>
      <c r="G22" s="75"/>
      <c r="H22" s="75"/>
      <c r="I22" s="75"/>
      <c r="J22" s="75"/>
      <c r="K22" s="75"/>
      <c r="L22" s="75"/>
      <c r="M22" s="75"/>
      <c r="N22" s="75"/>
      <c r="O22" s="75"/>
      <c r="P22" s="75"/>
      <c r="Q22" s="75"/>
      <c r="R22" s="75"/>
      <c r="S22" s="130"/>
      <c r="T22" s="75"/>
      <c r="U22" s="75"/>
      <c r="V22" s="75"/>
      <c r="W22" s="75"/>
      <c r="X22" s="75"/>
      <c r="Y22" s="75"/>
      <c r="Z22" s="75"/>
      <c r="AA22" s="75"/>
      <c r="AB22" s="75"/>
      <c r="AC22" s="75"/>
      <c r="AD22" s="75"/>
      <c r="AE22" s="75"/>
      <c r="AF22" s="75"/>
      <c r="AG22" s="75"/>
      <c r="AH22" s="75"/>
    </row>
    <row r="23" spans="1:34" ht="35.1" customHeight="1" x14ac:dyDescent="0.3">
      <c r="A23" s="75"/>
      <c r="B23" s="83"/>
      <c r="C23" s="75"/>
      <c r="D23" s="75"/>
      <c r="E23" s="75"/>
      <c r="F23" s="75"/>
      <c r="G23" s="75"/>
      <c r="H23" s="75"/>
      <c r="I23" s="75"/>
      <c r="J23" s="75"/>
      <c r="K23" s="75"/>
      <c r="L23" s="75"/>
      <c r="M23" s="75"/>
      <c r="N23" s="75"/>
      <c r="O23" s="75"/>
      <c r="P23" s="75"/>
      <c r="Q23" s="75"/>
      <c r="R23" s="75"/>
      <c r="S23" s="130"/>
      <c r="T23" s="75"/>
      <c r="U23" s="75"/>
      <c r="V23" s="75"/>
      <c r="W23" s="75"/>
      <c r="X23" s="75"/>
      <c r="Y23" s="75"/>
      <c r="Z23" s="75"/>
      <c r="AA23" s="75"/>
      <c r="AB23" s="75"/>
      <c r="AC23" s="75"/>
      <c r="AD23" s="75"/>
      <c r="AE23" s="75"/>
      <c r="AF23" s="75"/>
      <c r="AG23" s="75"/>
      <c r="AH23" s="75"/>
    </row>
    <row r="24" spans="1:34" ht="35.1" customHeight="1" x14ac:dyDescent="0.3">
      <c r="A24" s="75"/>
      <c r="B24" s="83"/>
      <c r="C24" s="75"/>
      <c r="D24" s="75"/>
      <c r="E24" s="75"/>
      <c r="F24" s="75"/>
      <c r="G24" s="75"/>
      <c r="H24" s="75"/>
      <c r="I24" s="75"/>
      <c r="J24" s="75"/>
      <c r="K24" s="75"/>
      <c r="L24" s="75"/>
      <c r="M24" s="75"/>
      <c r="N24" s="75"/>
      <c r="O24" s="75"/>
      <c r="P24" s="75"/>
      <c r="Q24" s="75"/>
      <c r="R24" s="75"/>
      <c r="S24" s="130"/>
      <c r="T24" s="75"/>
      <c r="U24" s="75"/>
      <c r="V24" s="75"/>
      <c r="W24" s="75"/>
      <c r="X24" s="75"/>
      <c r="Y24" s="75"/>
      <c r="Z24" s="75"/>
      <c r="AA24" s="75"/>
      <c r="AB24" s="75"/>
      <c r="AC24" s="75"/>
      <c r="AD24" s="75"/>
      <c r="AE24" s="75"/>
      <c r="AF24" s="75"/>
      <c r="AG24" s="75"/>
      <c r="AH24" s="75"/>
    </row>
    <row r="25" spans="1:34" ht="35.1" customHeight="1" x14ac:dyDescent="0.3">
      <c r="O25" s="75"/>
      <c r="P25" s="75"/>
      <c r="Q25" s="75"/>
      <c r="R25" s="75"/>
      <c r="S25" s="130"/>
      <c r="T25" s="75"/>
      <c r="U25" s="75"/>
      <c r="V25" s="75"/>
      <c r="W25" s="75"/>
      <c r="X25" s="75"/>
      <c r="Y25" s="75"/>
      <c r="Z25" s="75"/>
      <c r="AA25" s="75"/>
      <c r="AB25" s="75"/>
      <c r="AC25" s="75"/>
      <c r="AD25" s="75"/>
      <c r="AE25" s="75"/>
      <c r="AF25" s="75"/>
      <c r="AG25" s="75"/>
      <c r="AH25" s="75"/>
    </row>
    <row r="26" spans="1:34" ht="35.1" customHeight="1" x14ac:dyDescent="0.3">
      <c r="O26" s="75"/>
      <c r="P26" s="75"/>
      <c r="Q26" s="75"/>
      <c r="R26" s="75"/>
      <c r="S26" s="130"/>
      <c r="T26" s="75"/>
      <c r="U26" s="75"/>
      <c r="V26" s="75"/>
      <c r="W26" s="75"/>
      <c r="X26" s="75"/>
      <c r="Y26" s="75"/>
      <c r="Z26" s="75"/>
      <c r="AA26" s="75"/>
      <c r="AB26" s="75"/>
      <c r="AC26" s="75"/>
      <c r="AD26" s="75"/>
      <c r="AE26" s="75"/>
      <c r="AF26" s="75"/>
      <c r="AG26" s="75"/>
      <c r="AH26" s="75"/>
    </row>
    <row r="27" spans="1:34" ht="35.1" customHeight="1" x14ac:dyDescent="0.3">
      <c r="O27" s="75"/>
      <c r="P27" s="75"/>
      <c r="Q27" s="75"/>
      <c r="R27" s="75"/>
      <c r="S27" s="130"/>
      <c r="T27" s="75"/>
      <c r="U27" s="75"/>
      <c r="V27" s="75"/>
      <c r="W27" s="75"/>
      <c r="X27" s="75"/>
      <c r="Y27" s="75"/>
      <c r="Z27" s="75"/>
      <c r="AA27" s="75"/>
      <c r="AB27" s="75"/>
      <c r="AC27" s="75"/>
      <c r="AD27" s="75"/>
      <c r="AE27" s="75"/>
      <c r="AF27" s="75"/>
      <c r="AG27" s="75"/>
      <c r="AH27" s="75"/>
    </row>
    <row r="28" spans="1:34" ht="35.1" customHeight="1" x14ac:dyDescent="0.3">
      <c r="O28" s="75"/>
      <c r="P28" s="75"/>
      <c r="Q28" s="75"/>
      <c r="R28" s="75"/>
      <c r="S28" s="130"/>
      <c r="T28" s="75"/>
      <c r="U28" s="75"/>
      <c r="V28" s="75"/>
      <c r="W28" s="75"/>
      <c r="X28" s="75"/>
      <c r="Y28" s="75"/>
      <c r="Z28" s="75"/>
      <c r="AA28" s="75"/>
      <c r="AB28" s="75"/>
      <c r="AC28" s="75"/>
      <c r="AD28" s="75"/>
      <c r="AE28" s="75"/>
      <c r="AF28" s="75"/>
      <c r="AG28" s="75"/>
      <c r="AH28" s="75"/>
    </row>
    <row r="29" spans="1:34" ht="35.1" customHeight="1" x14ac:dyDescent="0.3">
      <c r="O29" s="75"/>
      <c r="P29" s="75"/>
      <c r="Q29" s="75"/>
      <c r="R29" s="75"/>
      <c r="S29" s="130"/>
      <c r="T29" s="75"/>
      <c r="U29" s="75"/>
      <c r="V29" s="75"/>
      <c r="W29" s="75"/>
      <c r="X29" s="75"/>
      <c r="Y29" s="75"/>
      <c r="Z29" s="75"/>
      <c r="AA29" s="75"/>
      <c r="AB29" s="75"/>
      <c r="AC29" s="75"/>
      <c r="AD29" s="75"/>
      <c r="AE29" s="75"/>
      <c r="AF29" s="75"/>
      <c r="AG29" s="75"/>
      <c r="AH29" s="75"/>
    </row>
    <row r="30" spans="1:34" ht="35.1" customHeight="1" x14ac:dyDescent="0.3">
      <c r="O30" s="75"/>
      <c r="P30" s="75"/>
      <c r="Q30" s="75"/>
      <c r="R30" s="75"/>
      <c r="S30" s="130"/>
      <c r="T30" s="75"/>
      <c r="U30" s="75"/>
      <c r="V30" s="75"/>
      <c r="W30" s="75"/>
      <c r="X30" s="75"/>
      <c r="Y30" s="75"/>
      <c r="Z30" s="75"/>
      <c r="AA30" s="75"/>
      <c r="AB30" s="75"/>
      <c r="AC30" s="75"/>
      <c r="AD30" s="75"/>
      <c r="AE30" s="75"/>
      <c r="AF30" s="75"/>
      <c r="AG30" s="75"/>
      <c r="AH30" s="75"/>
    </row>
    <row r="31" spans="1:34" ht="35.1" customHeight="1" x14ac:dyDescent="0.3">
      <c r="T31" s="75"/>
      <c r="U31" s="75"/>
      <c r="V31" s="75"/>
      <c r="W31" s="75"/>
      <c r="X31" s="75"/>
      <c r="Y31" s="75"/>
      <c r="Z31" s="75"/>
      <c r="AA31" s="75"/>
      <c r="AB31" s="75"/>
      <c r="AC31" s="75"/>
      <c r="AD31" s="75"/>
      <c r="AE31" s="75"/>
      <c r="AF31" s="75"/>
      <c r="AG31" s="75"/>
      <c r="AH31" s="75"/>
    </row>
    <row r="32" spans="1:34" ht="35.1" customHeight="1" x14ac:dyDescent="0.3">
      <c r="T32" s="75"/>
      <c r="U32" s="75"/>
      <c r="V32" s="75"/>
      <c r="W32" s="75"/>
      <c r="X32" s="75"/>
      <c r="Y32" s="75"/>
      <c r="Z32" s="75"/>
      <c r="AA32" s="75"/>
      <c r="AB32" s="75"/>
      <c r="AC32" s="75"/>
      <c r="AD32" s="75"/>
      <c r="AE32" s="75"/>
      <c r="AF32" s="75"/>
      <c r="AG32" s="75"/>
      <c r="AH32" s="75"/>
    </row>
    <row r="33" spans="20:34" ht="35.1" customHeight="1" x14ac:dyDescent="0.3">
      <c r="T33" s="75"/>
      <c r="U33" s="75"/>
      <c r="V33" s="75"/>
      <c r="W33" s="75"/>
      <c r="X33" s="75"/>
      <c r="Y33" s="75"/>
      <c r="Z33" s="75"/>
      <c r="AA33" s="75"/>
      <c r="AB33" s="75"/>
      <c r="AC33" s="75"/>
      <c r="AD33" s="75"/>
      <c r="AE33" s="75"/>
      <c r="AF33" s="75"/>
      <c r="AG33" s="75"/>
      <c r="AH33" s="75"/>
    </row>
    <row r="34" spans="20:34" ht="35.1" customHeight="1" x14ac:dyDescent="0.3">
      <c r="T34" s="75"/>
      <c r="U34" s="75"/>
      <c r="V34" s="75"/>
      <c r="W34" s="75"/>
      <c r="X34" s="75"/>
      <c r="Y34" s="75"/>
      <c r="Z34" s="75"/>
      <c r="AA34" s="75"/>
      <c r="AB34" s="75"/>
      <c r="AC34" s="75"/>
      <c r="AD34" s="75"/>
      <c r="AE34" s="75"/>
      <c r="AF34" s="75"/>
      <c r="AG34" s="75"/>
      <c r="AH34" s="75"/>
    </row>
    <row r="35" spans="20:34" x14ac:dyDescent="0.3">
      <c r="T35" s="75"/>
      <c r="U35" s="75"/>
      <c r="V35" s="75"/>
      <c r="W35" s="75"/>
      <c r="X35" s="75"/>
      <c r="Y35" s="75"/>
      <c r="Z35" s="75"/>
      <c r="AA35" s="75"/>
      <c r="AB35" s="75"/>
      <c r="AC35" s="75"/>
      <c r="AD35" s="75"/>
      <c r="AE35" s="75"/>
      <c r="AF35" s="75"/>
      <c r="AG35" s="75"/>
      <c r="AH35" s="75"/>
    </row>
    <row r="36" spans="20:34" x14ac:dyDescent="0.3">
      <c r="T36" s="75"/>
      <c r="U36" s="75"/>
      <c r="V36" s="75"/>
      <c r="W36" s="75"/>
      <c r="X36" s="75"/>
      <c r="Y36" s="75"/>
      <c r="Z36" s="75"/>
      <c r="AA36" s="75"/>
      <c r="AB36" s="75"/>
      <c r="AC36" s="75"/>
      <c r="AD36" s="75"/>
      <c r="AE36" s="75"/>
      <c r="AF36" s="75"/>
      <c r="AG36" s="75"/>
      <c r="AH36" s="75"/>
    </row>
    <row r="37" spans="20:34" x14ac:dyDescent="0.3">
      <c r="T37" s="75"/>
      <c r="U37" s="75"/>
      <c r="V37" s="75"/>
      <c r="W37" s="75"/>
      <c r="X37" s="75"/>
      <c r="Y37" s="75"/>
      <c r="Z37" s="75"/>
      <c r="AA37" s="75"/>
      <c r="AB37" s="75"/>
      <c r="AC37" s="75"/>
      <c r="AD37" s="75"/>
      <c r="AE37" s="75"/>
      <c r="AF37" s="75"/>
      <c r="AG37" s="75"/>
      <c r="AH37" s="75"/>
    </row>
    <row r="38" spans="20:34" x14ac:dyDescent="0.3">
      <c r="T38" s="75"/>
      <c r="U38" s="75" t="s">
        <v>457</v>
      </c>
      <c r="V38" s="75"/>
      <c r="W38" s="75">
        <v>2</v>
      </c>
      <c r="X38" s="75"/>
      <c r="Y38" s="75"/>
      <c r="Z38" s="75"/>
      <c r="AA38" s="75"/>
      <c r="AB38" s="75"/>
      <c r="AC38" s="75"/>
      <c r="AD38" s="75"/>
      <c r="AE38" s="75"/>
      <c r="AF38" s="75"/>
      <c r="AG38" s="75"/>
      <c r="AH38" s="75"/>
    </row>
    <row r="39" spans="20:34" x14ac:dyDescent="0.3">
      <c r="T39" s="75"/>
      <c r="U39" s="75" t="s">
        <v>424</v>
      </c>
      <c r="V39" s="75"/>
      <c r="W39" s="75">
        <v>36</v>
      </c>
      <c r="X39" s="75"/>
      <c r="Y39" s="75"/>
      <c r="Z39" s="75"/>
      <c r="AA39" s="75"/>
      <c r="AB39" s="75"/>
      <c r="AC39" s="75"/>
      <c r="AD39" s="75"/>
      <c r="AE39" s="75"/>
      <c r="AF39" s="75"/>
      <c r="AG39" s="75"/>
      <c r="AH39" s="75"/>
    </row>
    <row r="40" spans="20:34" x14ac:dyDescent="0.3">
      <c r="T40" s="75"/>
      <c r="U40" s="75" t="s">
        <v>475</v>
      </c>
      <c r="V40" s="75"/>
      <c r="W40" s="75">
        <v>6</v>
      </c>
      <c r="X40" s="75"/>
      <c r="Y40" s="75"/>
      <c r="Z40" s="75"/>
      <c r="AA40" s="75"/>
      <c r="AB40" s="75"/>
      <c r="AC40" s="75"/>
      <c r="AD40" s="75"/>
      <c r="AE40" s="75"/>
      <c r="AF40" s="75"/>
      <c r="AG40" s="75"/>
      <c r="AH40" s="75"/>
    </row>
    <row r="41" spans="20:34" x14ac:dyDescent="0.3">
      <c r="T41" s="75"/>
      <c r="U41" s="75" t="s">
        <v>476</v>
      </c>
      <c r="V41" s="75"/>
      <c r="W41" s="75"/>
      <c r="X41" s="75"/>
      <c r="Y41" s="75"/>
      <c r="Z41" s="75"/>
      <c r="AA41" s="75"/>
      <c r="AB41" s="75"/>
      <c r="AC41" s="75"/>
      <c r="AD41" s="75"/>
      <c r="AE41" s="75"/>
      <c r="AF41" s="75"/>
      <c r="AG41" s="75">
        <v>10</v>
      </c>
      <c r="AH41" s="75">
        <v>1</v>
      </c>
    </row>
    <row r="42" spans="20:34" x14ac:dyDescent="0.3">
      <c r="T42" s="75"/>
      <c r="U42" s="75" t="s">
        <v>477</v>
      </c>
      <c r="V42" s="75"/>
      <c r="W42" s="75">
        <v>2</v>
      </c>
      <c r="X42" s="75"/>
      <c r="Y42" s="75"/>
      <c r="Z42" s="75"/>
      <c r="AA42" s="75"/>
      <c r="AB42" s="75"/>
      <c r="AC42" s="75"/>
      <c r="AD42" s="75"/>
      <c r="AE42" s="75"/>
      <c r="AF42" s="75"/>
      <c r="AG42" s="75"/>
      <c r="AH42" s="75"/>
    </row>
    <row r="43" spans="20:34" x14ac:dyDescent="0.3">
      <c r="T43" s="75"/>
      <c r="U43" s="75" t="s">
        <v>478</v>
      </c>
      <c r="V43" s="75"/>
      <c r="W43" s="75">
        <v>6</v>
      </c>
      <c r="X43" s="75"/>
      <c r="Y43" s="75"/>
      <c r="Z43" s="75"/>
      <c r="AA43" s="75"/>
      <c r="AB43" s="75"/>
      <c r="AC43" s="75"/>
      <c r="AD43" s="75"/>
      <c r="AE43" s="75"/>
      <c r="AF43" s="75"/>
      <c r="AG43" s="75"/>
      <c r="AH43" s="75"/>
    </row>
    <row r="44" spans="20:34" x14ac:dyDescent="0.3">
      <c r="T44" s="75"/>
      <c r="U44" s="75" t="s">
        <v>479</v>
      </c>
      <c r="V44" s="75"/>
      <c r="W44" s="75">
        <v>2</v>
      </c>
      <c r="X44" s="75"/>
      <c r="Y44" s="75"/>
      <c r="Z44" s="75"/>
      <c r="AA44" s="75"/>
      <c r="AB44" s="75"/>
      <c r="AC44" s="75"/>
      <c r="AD44" s="75"/>
      <c r="AE44" s="75"/>
      <c r="AF44" s="75"/>
      <c r="AG44" s="75"/>
      <c r="AH44" s="75"/>
    </row>
    <row r="45" spans="20:34" x14ac:dyDescent="0.3">
      <c r="T45" s="75"/>
      <c r="U45" s="75" t="s">
        <v>480</v>
      </c>
      <c r="V45" s="75"/>
      <c r="W45" s="75"/>
      <c r="X45" s="75"/>
      <c r="Y45" s="75"/>
      <c r="Z45" s="75"/>
      <c r="AA45" s="75"/>
      <c r="AB45" s="75"/>
      <c r="AC45" s="75"/>
      <c r="AD45" s="75"/>
      <c r="AE45" s="75">
        <v>4</v>
      </c>
      <c r="AF45" s="75"/>
      <c r="AG45" s="75"/>
      <c r="AH45" s="75"/>
    </row>
    <row r="46" spans="20:34" x14ac:dyDescent="0.3">
      <c r="T46" s="75"/>
      <c r="U46" s="75" t="s">
        <v>424</v>
      </c>
      <c r="V46" s="75"/>
      <c r="W46" s="75">
        <v>11</v>
      </c>
      <c r="X46" s="75"/>
      <c r="Y46" s="75"/>
      <c r="Z46" s="75"/>
      <c r="AA46" s="75">
        <v>33</v>
      </c>
      <c r="AB46" s="75"/>
      <c r="AC46" s="75"/>
      <c r="AD46" s="75"/>
      <c r="AE46" s="75">
        <v>2</v>
      </c>
      <c r="AF46" s="75"/>
      <c r="AG46" s="75"/>
      <c r="AH46" s="75"/>
    </row>
    <row r="47" spans="20:34" x14ac:dyDescent="0.3">
      <c r="T47" s="75"/>
      <c r="U47" s="75" t="s">
        <v>481</v>
      </c>
      <c r="V47" s="75"/>
      <c r="W47" s="75"/>
      <c r="X47" s="75"/>
      <c r="Y47" s="75"/>
      <c r="Z47" s="75"/>
      <c r="AA47" s="75"/>
      <c r="AB47" s="75"/>
      <c r="AC47" s="75"/>
      <c r="AD47" s="75"/>
      <c r="AE47" s="75"/>
      <c r="AF47" s="75"/>
      <c r="AG47" s="75">
        <v>8</v>
      </c>
      <c r="AH47" s="75"/>
    </row>
    <row r="48" spans="20:34" x14ac:dyDescent="0.3">
      <c r="T48" s="75"/>
      <c r="U48" s="75" t="s">
        <v>470</v>
      </c>
      <c r="V48" s="75"/>
      <c r="W48" s="75"/>
      <c r="X48" s="75"/>
      <c r="Y48" s="75"/>
      <c r="Z48" s="75"/>
      <c r="AA48" s="75"/>
      <c r="AB48" s="75"/>
      <c r="AC48" s="75"/>
      <c r="AD48" s="75"/>
      <c r="AE48" s="75"/>
      <c r="AF48" s="75"/>
      <c r="AG48" s="75">
        <v>4</v>
      </c>
      <c r="AH48" s="75"/>
    </row>
    <row r="49" spans="20:34" x14ac:dyDescent="0.3">
      <c r="T49" s="128">
        <v>46243</v>
      </c>
      <c r="U49" s="75" t="s">
        <v>482</v>
      </c>
      <c r="V49" s="75"/>
      <c r="W49" s="75">
        <v>22</v>
      </c>
      <c r="X49" s="75"/>
      <c r="Y49" s="75"/>
      <c r="Z49" s="75"/>
      <c r="AA49" s="75"/>
      <c r="AB49" s="75"/>
      <c r="AC49" s="75"/>
      <c r="AD49" s="75"/>
      <c r="AE49" s="75"/>
      <c r="AF49" s="75"/>
      <c r="AG49" s="75"/>
      <c r="AH49" s="75"/>
    </row>
    <row r="50" spans="20:34" x14ac:dyDescent="0.3">
      <c r="T50" s="75"/>
      <c r="U50" s="75" t="s">
        <v>482</v>
      </c>
      <c r="V50" s="75"/>
      <c r="W50" s="75">
        <v>22</v>
      </c>
      <c r="X50" s="75"/>
      <c r="Y50" s="75"/>
      <c r="Z50" s="75"/>
      <c r="AA50" s="75"/>
      <c r="AB50" s="75"/>
      <c r="AC50" s="75"/>
      <c r="AD50" s="75"/>
      <c r="AE50" s="75"/>
      <c r="AF50" s="75"/>
      <c r="AG50" s="75"/>
      <c r="AH50" s="75"/>
    </row>
    <row r="51" spans="20:34" x14ac:dyDescent="0.3">
      <c r="T51" s="75"/>
      <c r="U51" s="75" t="s">
        <v>482</v>
      </c>
      <c r="V51" s="75"/>
      <c r="W51" s="75"/>
      <c r="X51" s="75"/>
      <c r="Y51" s="75"/>
      <c r="Z51" s="75"/>
      <c r="AA51" s="75">
        <v>11</v>
      </c>
      <c r="AB51" s="75"/>
      <c r="AC51" s="75"/>
      <c r="AD51" s="75"/>
      <c r="AE51" s="75">
        <v>4</v>
      </c>
      <c r="AF51" s="75"/>
      <c r="AG51" s="75"/>
      <c r="AH51" s="75"/>
    </row>
    <row r="52" spans="20:34" x14ac:dyDescent="0.3">
      <c r="T52" s="75"/>
      <c r="U52" s="75" t="s">
        <v>73</v>
      </c>
      <c r="V52" s="75"/>
      <c r="W52" s="75">
        <v>3</v>
      </c>
      <c r="X52" s="75"/>
      <c r="Y52" s="75"/>
      <c r="Z52" s="75"/>
      <c r="AA52" s="75">
        <v>3</v>
      </c>
      <c r="AB52" s="75"/>
      <c r="AC52" s="75"/>
      <c r="AD52" s="75"/>
      <c r="AE52" s="75"/>
      <c r="AF52" s="75"/>
      <c r="AG52" s="75"/>
      <c r="AH52" s="75"/>
    </row>
    <row r="53" spans="20:34" x14ac:dyDescent="0.3">
      <c r="T53" s="75"/>
      <c r="U53" s="75" t="s">
        <v>483</v>
      </c>
      <c r="V53" s="75"/>
      <c r="W53" s="75">
        <v>2</v>
      </c>
      <c r="X53" s="75"/>
      <c r="Y53" s="75"/>
      <c r="Z53" s="75"/>
      <c r="AA53" s="75"/>
      <c r="AB53" s="75"/>
      <c r="AC53" s="75"/>
      <c r="AD53" s="75"/>
      <c r="AE53" s="75"/>
      <c r="AF53" s="75"/>
      <c r="AG53" s="75"/>
      <c r="AH53" s="75"/>
    </row>
    <row r="54" spans="20:34" x14ac:dyDescent="0.3">
      <c r="T54" s="75"/>
      <c r="U54" s="75" t="s">
        <v>475</v>
      </c>
      <c r="V54" s="75"/>
      <c r="W54" s="75">
        <v>4</v>
      </c>
      <c r="X54" s="75"/>
      <c r="Y54" s="75"/>
      <c r="Z54" s="75"/>
      <c r="AA54" s="75"/>
      <c r="AB54" s="75"/>
      <c r="AC54" s="75"/>
      <c r="AD54" s="75"/>
      <c r="AE54" s="75"/>
      <c r="AF54" s="75"/>
      <c r="AG54" s="75"/>
      <c r="AH54" s="75"/>
    </row>
    <row r="55" spans="20:34" x14ac:dyDescent="0.3">
      <c r="T55" s="75"/>
      <c r="U55" s="75" t="s">
        <v>482</v>
      </c>
      <c r="V55" s="75"/>
      <c r="W55" s="75"/>
      <c r="X55" s="75"/>
      <c r="Y55" s="75"/>
      <c r="Z55" s="75"/>
      <c r="AA55" s="75">
        <v>22</v>
      </c>
      <c r="AB55" s="75"/>
      <c r="AC55" s="75"/>
      <c r="AD55" s="75"/>
      <c r="AE55" s="75"/>
      <c r="AF55" s="75"/>
      <c r="AG55" s="75"/>
      <c r="AH55" s="75"/>
    </row>
    <row r="56" spans="20:34" x14ac:dyDescent="0.3">
      <c r="T56" s="75"/>
      <c r="U56" s="75" t="s">
        <v>484</v>
      </c>
      <c r="V56" s="75"/>
      <c r="W56" s="75"/>
      <c r="X56" s="75"/>
      <c r="Y56" s="75"/>
      <c r="Z56" s="75"/>
      <c r="AA56" s="75"/>
      <c r="AB56" s="75"/>
      <c r="AC56" s="75"/>
      <c r="AD56" s="75"/>
      <c r="AE56" s="75">
        <v>3</v>
      </c>
      <c r="AF56" s="75"/>
      <c r="AG56" s="75"/>
      <c r="AH56" s="75"/>
    </row>
    <row r="57" spans="20:34" x14ac:dyDescent="0.3">
      <c r="T57" s="75"/>
      <c r="U57" s="75"/>
      <c r="V57" s="75"/>
      <c r="W57" s="75"/>
      <c r="X57" s="75"/>
      <c r="Y57" s="75"/>
      <c r="Z57" s="75"/>
      <c r="AA57" s="75"/>
      <c r="AB57" s="75"/>
      <c r="AC57" s="75"/>
      <c r="AD57" s="75"/>
      <c r="AE57" s="75"/>
      <c r="AF57" s="75"/>
      <c r="AG57" s="75"/>
      <c r="AH57" s="75"/>
    </row>
    <row r="58" spans="20:34" x14ac:dyDescent="0.3">
      <c r="T58" s="75"/>
      <c r="U58" s="75"/>
      <c r="V58" s="75"/>
      <c r="W58" s="75"/>
      <c r="X58" s="75"/>
      <c r="Y58" s="75"/>
      <c r="Z58" s="75"/>
      <c r="AA58" s="75"/>
      <c r="AB58" s="75"/>
      <c r="AC58" s="75"/>
      <c r="AD58" s="75"/>
      <c r="AE58" s="75"/>
      <c r="AF58" s="75"/>
      <c r="AG58" s="75"/>
      <c r="AH58" s="75"/>
    </row>
    <row r="59" spans="20:34" x14ac:dyDescent="0.3">
      <c r="T59" s="75"/>
      <c r="U59" s="75"/>
      <c r="V59" s="75"/>
      <c r="W59" s="75"/>
      <c r="X59" s="75"/>
      <c r="Y59" s="75"/>
      <c r="Z59" s="75"/>
      <c r="AA59" s="75"/>
      <c r="AB59" s="75"/>
      <c r="AC59" s="75"/>
      <c r="AD59" s="75"/>
      <c r="AE59" s="75"/>
      <c r="AF59" s="75"/>
      <c r="AG59" s="75"/>
      <c r="AH59" s="75"/>
    </row>
    <row r="60" spans="20:34" x14ac:dyDescent="0.3">
      <c r="T60" s="75"/>
      <c r="U60" s="75"/>
      <c r="V60" s="75"/>
      <c r="W60" s="75"/>
      <c r="X60" s="75"/>
      <c r="Y60" s="75"/>
      <c r="Z60" s="75"/>
      <c r="AA60" s="75"/>
      <c r="AB60" s="75"/>
      <c r="AC60" s="75"/>
      <c r="AD60" s="75"/>
      <c r="AE60" s="75"/>
      <c r="AF60" s="75"/>
      <c r="AG60" s="75"/>
      <c r="AH60" s="75"/>
    </row>
    <row r="61" spans="20:34" x14ac:dyDescent="0.3">
      <c r="T61" s="75"/>
      <c r="U61" s="75"/>
      <c r="V61" s="75"/>
      <c r="W61" s="75"/>
      <c r="X61" s="75"/>
      <c r="Y61" s="75"/>
      <c r="Z61" s="75"/>
      <c r="AA61" s="75"/>
      <c r="AB61" s="75"/>
      <c r="AC61" s="75"/>
      <c r="AD61" s="75"/>
      <c r="AE61" s="75"/>
      <c r="AF61" s="75"/>
      <c r="AG61" s="75"/>
      <c r="AH61" s="75"/>
    </row>
    <row r="62" spans="20:34" x14ac:dyDescent="0.3">
      <c r="T62" s="75"/>
      <c r="U62" s="75"/>
      <c r="V62" s="75"/>
      <c r="W62" s="75"/>
      <c r="X62" s="75"/>
      <c r="Y62" s="75"/>
      <c r="Z62" s="75"/>
      <c r="AA62" s="75"/>
      <c r="AB62" s="75"/>
      <c r="AC62" s="75"/>
      <c r="AD62" s="75"/>
      <c r="AE62" s="75"/>
      <c r="AF62" s="75"/>
      <c r="AG62" s="75"/>
      <c r="AH62" s="75"/>
    </row>
    <row r="63" spans="20:34" x14ac:dyDescent="0.3">
      <c r="T63" s="75"/>
      <c r="U63" s="75"/>
      <c r="V63" s="75"/>
      <c r="W63" s="75"/>
      <c r="X63" s="75"/>
      <c r="Y63" s="75"/>
      <c r="Z63" s="75"/>
      <c r="AA63" s="75"/>
      <c r="AB63" s="75"/>
      <c r="AC63" s="75"/>
      <c r="AD63" s="75"/>
      <c r="AE63" s="75"/>
      <c r="AF63" s="75"/>
      <c r="AG63" s="75"/>
      <c r="AH63" s="75"/>
    </row>
    <row r="64" spans="20:34" x14ac:dyDescent="0.3">
      <c r="T64" s="75"/>
      <c r="U64" s="75"/>
      <c r="V64" s="75"/>
      <c r="W64" s="75"/>
      <c r="X64" s="75"/>
      <c r="Y64" s="75"/>
      <c r="Z64" s="75"/>
      <c r="AA64" s="75"/>
      <c r="AB64" s="75"/>
      <c r="AC64" s="75"/>
      <c r="AD64" s="75"/>
      <c r="AE64" s="75"/>
      <c r="AF64" s="75"/>
      <c r="AG64" s="75"/>
      <c r="AH64" s="75"/>
    </row>
    <row r="65" spans="20:34" x14ac:dyDescent="0.3">
      <c r="T65" s="75"/>
      <c r="U65" s="75"/>
      <c r="V65" s="75"/>
      <c r="W65" s="75"/>
      <c r="X65" s="75"/>
      <c r="Y65" s="75"/>
      <c r="Z65" s="75"/>
      <c r="AA65" s="75"/>
      <c r="AB65" s="75"/>
      <c r="AC65" s="75"/>
      <c r="AD65" s="75"/>
      <c r="AE65" s="75"/>
      <c r="AF65" s="75"/>
      <c r="AG65" s="75"/>
      <c r="AH65" s="75"/>
    </row>
    <row r="66" spans="20:34" x14ac:dyDescent="0.3">
      <c r="T66" s="75"/>
      <c r="V66" s="75"/>
      <c r="W66" s="75"/>
      <c r="X66" s="75"/>
      <c r="Y66" s="75"/>
      <c r="Z66" s="75"/>
      <c r="AA66" s="75"/>
      <c r="AB66" s="75"/>
      <c r="AC66" s="75"/>
      <c r="AD66" s="75"/>
      <c r="AE66" s="75"/>
      <c r="AF66" s="75"/>
      <c r="AG66" s="75"/>
      <c r="AH66" s="75"/>
    </row>
    <row r="67" spans="20:34" x14ac:dyDescent="0.3">
      <c r="T67" s="75"/>
      <c r="U67" s="75"/>
      <c r="V67" s="75"/>
      <c r="W67" s="75"/>
      <c r="X67" s="75"/>
      <c r="Y67" s="75"/>
      <c r="Z67" s="75"/>
      <c r="AA67" s="75"/>
      <c r="AB67" s="75"/>
      <c r="AC67" s="75"/>
      <c r="AD67" s="75"/>
      <c r="AE67" s="75"/>
      <c r="AF67" s="75"/>
      <c r="AG67" s="75"/>
      <c r="AH67" s="75"/>
    </row>
    <row r="68" spans="20:34" x14ac:dyDescent="0.3">
      <c r="T68" s="75"/>
      <c r="U68" s="75"/>
      <c r="V68" s="75"/>
      <c r="W68" s="75"/>
      <c r="X68" s="75"/>
      <c r="Y68" s="75"/>
      <c r="Z68" s="75"/>
      <c r="AA68" s="75"/>
      <c r="AB68" s="75"/>
      <c r="AC68" s="75"/>
      <c r="AD68" s="75"/>
      <c r="AE68" s="75"/>
      <c r="AF68" s="75"/>
      <c r="AG68" s="75"/>
      <c r="AH68" s="75"/>
    </row>
    <row r="69" spans="20:34" x14ac:dyDescent="0.3">
      <c r="T69" s="75"/>
      <c r="U69" s="75"/>
      <c r="V69" s="113" t="s">
        <v>448</v>
      </c>
      <c r="W69" s="75">
        <f t="shared" ref="W69:AH69" si="72">SUM(W38:W65)</f>
        <v>118</v>
      </c>
      <c r="X69" s="75">
        <f t="shared" si="72"/>
        <v>0</v>
      </c>
      <c r="Y69" s="75">
        <f t="shared" si="72"/>
        <v>0</v>
      </c>
      <c r="Z69" s="75">
        <f t="shared" si="72"/>
        <v>0</v>
      </c>
      <c r="AA69" s="75">
        <f t="shared" si="72"/>
        <v>69</v>
      </c>
      <c r="AB69" s="75">
        <f t="shared" si="72"/>
        <v>0</v>
      </c>
      <c r="AC69" s="75">
        <f t="shared" si="72"/>
        <v>0</v>
      </c>
      <c r="AD69" s="75">
        <f t="shared" si="72"/>
        <v>0</v>
      </c>
      <c r="AE69" s="75">
        <f t="shared" si="72"/>
        <v>13</v>
      </c>
      <c r="AF69" s="75">
        <f t="shared" si="72"/>
        <v>0</v>
      </c>
      <c r="AG69" s="75">
        <f t="shared" si="72"/>
        <v>22</v>
      </c>
      <c r="AH69" s="75">
        <f t="shared" si="72"/>
        <v>1</v>
      </c>
    </row>
    <row r="70" spans="20:34" x14ac:dyDescent="0.3">
      <c r="T70" s="75"/>
      <c r="U70" s="75"/>
      <c r="V70" s="113" t="s">
        <v>449</v>
      </c>
      <c r="W70" s="114">
        <f t="shared" ref="W70:AH70" si="73">H4+H124-W69</f>
        <v>-118</v>
      </c>
      <c r="X70" s="114">
        <f t="shared" si="73"/>
        <v>0</v>
      </c>
      <c r="Y70" s="114">
        <f t="shared" si="73"/>
        <v>0</v>
      </c>
      <c r="Z70" s="114">
        <f t="shared" si="73"/>
        <v>0</v>
      </c>
      <c r="AA70" s="114">
        <f t="shared" si="73"/>
        <v>-69</v>
      </c>
      <c r="AB70" s="114">
        <f t="shared" si="73"/>
        <v>0</v>
      </c>
      <c r="AC70" s="114">
        <f t="shared" si="73"/>
        <v>0</v>
      </c>
      <c r="AD70" s="114">
        <f t="shared" si="73"/>
        <v>0</v>
      </c>
      <c r="AE70" s="114">
        <f t="shared" si="73"/>
        <v>-13</v>
      </c>
      <c r="AF70" s="114">
        <f t="shared" si="73"/>
        <v>0</v>
      </c>
      <c r="AG70" s="114">
        <f t="shared" si="73"/>
        <v>-22</v>
      </c>
      <c r="AH70" s="114">
        <f t="shared" si="73"/>
        <v>-1</v>
      </c>
    </row>
    <row r="71" spans="20:34" x14ac:dyDescent="0.3">
      <c r="T71" s="75"/>
    </row>
    <row r="72" spans="20:34" x14ac:dyDescent="0.3">
      <c r="T72" s="75"/>
    </row>
    <row r="73" spans="20:34" x14ac:dyDescent="0.3">
      <c r="T73" s="75"/>
    </row>
    <row r="74" spans="20:34" x14ac:dyDescent="0.3">
      <c r="T74" s="75"/>
    </row>
    <row r="75" spans="20:34" x14ac:dyDescent="0.3">
      <c r="T75" s="75"/>
    </row>
    <row r="76" spans="20:34" x14ac:dyDescent="0.3">
      <c r="T76" s="75"/>
    </row>
    <row r="77" spans="20:34" x14ac:dyDescent="0.3">
      <c r="T77" s="75"/>
    </row>
    <row r="78" spans="20:34" x14ac:dyDescent="0.3">
      <c r="T78" s="75"/>
    </row>
    <row r="79" spans="20:34" x14ac:dyDescent="0.3">
      <c r="T79" s="75"/>
    </row>
    <row r="80" spans="20:34" x14ac:dyDescent="0.3">
      <c r="T80" s="75"/>
    </row>
    <row r="81" spans="20:20" x14ac:dyDescent="0.3">
      <c r="T81" s="75"/>
    </row>
    <row r="82" spans="20:20" x14ac:dyDescent="0.3">
      <c r="T82" s="75"/>
    </row>
    <row r="83" spans="20:20" x14ac:dyDescent="0.3">
      <c r="T83" s="75"/>
    </row>
    <row r="84" spans="20:20" x14ac:dyDescent="0.3">
      <c r="T84" s="75"/>
    </row>
    <row r="85" spans="20:20" x14ac:dyDescent="0.3">
      <c r="T85" s="75"/>
    </row>
    <row r="86" spans="20:20" x14ac:dyDescent="0.3">
      <c r="T86" s="75"/>
    </row>
    <row r="87" spans="20:20" x14ac:dyDescent="0.3">
      <c r="T87" s="75"/>
    </row>
    <row r="88" spans="20:20" x14ac:dyDescent="0.3">
      <c r="T88" s="75"/>
    </row>
    <row r="89" spans="20:20" x14ac:dyDescent="0.3">
      <c r="T89" s="75"/>
    </row>
    <row r="90" spans="20:20" x14ac:dyDescent="0.3">
      <c r="T90" s="75"/>
    </row>
    <row r="91" spans="20:20" x14ac:dyDescent="0.3">
      <c r="T91" s="75"/>
    </row>
    <row r="92" spans="20:20" x14ac:dyDescent="0.3">
      <c r="T92" s="75"/>
    </row>
    <row r="93" spans="20:20" x14ac:dyDescent="0.3">
      <c r="T93" s="75"/>
    </row>
    <row r="94" spans="20:20" x14ac:dyDescent="0.3">
      <c r="T94" s="75"/>
    </row>
    <row r="95" spans="20:20" x14ac:dyDescent="0.3">
      <c r="T95" s="75"/>
    </row>
    <row r="96" spans="20:20" x14ac:dyDescent="0.3">
      <c r="T96" s="75"/>
    </row>
    <row r="97" spans="20:20" x14ac:dyDescent="0.3">
      <c r="T97" s="75"/>
    </row>
    <row r="98" spans="20:20" x14ac:dyDescent="0.3">
      <c r="T98" s="75"/>
    </row>
    <row r="99" spans="20:20" x14ac:dyDescent="0.3">
      <c r="T99" s="75"/>
    </row>
    <row r="100" spans="20:20" x14ac:dyDescent="0.3">
      <c r="T100" s="75"/>
    </row>
    <row r="101" spans="20:20" x14ac:dyDescent="0.3">
      <c r="T101" s="75"/>
    </row>
    <row r="102" spans="20:20" x14ac:dyDescent="0.3">
      <c r="T102" s="75"/>
    </row>
    <row r="103" spans="20:20" x14ac:dyDescent="0.3">
      <c r="T103" s="75"/>
    </row>
    <row r="104" spans="20:20" x14ac:dyDescent="0.3">
      <c r="T104" s="75"/>
    </row>
    <row r="105" spans="20:20" x14ac:dyDescent="0.3">
      <c r="T105" s="75"/>
    </row>
    <row r="106" spans="20:20" x14ac:dyDescent="0.3">
      <c r="T106" s="75"/>
    </row>
    <row r="107" spans="20:20" x14ac:dyDescent="0.3">
      <c r="T107" s="75"/>
    </row>
    <row r="108" spans="20:20" x14ac:dyDescent="0.3">
      <c r="T108" s="75"/>
    </row>
    <row r="109" spans="20:20" x14ac:dyDescent="0.3">
      <c r="T109" s="75"/>
    </row>
    <row r="110" spans="20:20" x14ac:dyDescent="0.3">
      <c r="T110" s="75"/>
    </row>
    <row r="111" spans="20:20" x14ac:dyDescent="0.3">
      <c r="T111" s="75"/>
    </row>
    <row r="112" spans="20:20" x14ac:dyDescent="0.3">
      <c r="T112" s="75"/>
    </row>
    <row r="113" spans="20:20" x14ac:dyDescent="0.3">
      <c r="T113" s="75"/>
    </row>
    <row r="114" spans="20:20" x14ac:dyDescent="0.3">
      <c r="T114" s="75"/>
    </row>
    <row r="115" spans="20:20" x14ac:dyDescent="0.3">
      <c r="T115" s="75"/>
    </row>
    <row r="116" spans="20:20" x14ac:dyDescent="0.3">
      <c r="T116" s="75"/>
    </row>
    <row r="117" spans="20:20" x14ac:dyDescent="0.3">
      <c r="T117" s="75"/>
    </row>
    <row r="118" spans="20:20" x14ac:dyDescent="0.3">
      <c r="T118" s="75"/>
    </row>
    <row r="119" spans="20:20" x14ac:dyDescent="0.3">
      <c r="T119" s="75"/>
    </row>
    <row r="120" spans="20:20" x14ac:dyDescent="0.3">
      <c r="T120" s="75"/>
    </row>
    <row r="121" spans="20:20" x14ac:dyDescent="0.3">
      <c r="T121" s="75"/>
    </row>
    <row r="122" spans="20:20" x14ac:dyDescent="0.3">
      <c r="T122" s="75"/>
    </row>
    <row r="123" spans="20:20" x14ac:dyDescent="0.3">
      <c r="T123" s="75"/>
    </row>
    <row r="124" spans="20:20" x14ac:dyDescent="0.3">
      <c r="T124" s="75"/>
    </row>
    <row r="125" spans="20:20" x14ac:dyDescent="0.3">
      <c r="T125" s="75"/>
    </row>
  </sheetData>
  <mergeCells count="4">
    <mergeCell ref="C1:F1"/>
    <mergeCell ref="G1:J1"/>
    <mergeCell ref="K1:N1"/>
    <mergeCell ref="O1:R1"/>
  </mergeCells>
  <dataValidations count="1">
    <dataValidation type="list" allowBlank="1" showInputMessage="1" showErrorMessage="1" sqref="U69:U1070 U1:U3" xr:uid="{9CB99B33-2F28-47AA-ADCC-D423528D1254}">
      <formula1>$A$3:$A$475</formula1>
      <formula2>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2D82-A132-4EA9-B13F-7E4050A3300F}">
  <dimension ref="A1:AL125"/>
  <sheetViews>
    <sheetView topLeftCell="M1" workbookViewId="0">
      <selection activeCell="R21" sqref="R21:V22"/>
    </sheetView>
  </sheetViews>
  <sheetFormatPr defaultColWidth="10.109375" defaultRowHeight="14.4" x14ac:dyDescent="0.3"/>
  <cols>
    <col min="1" max="1" width="5.5546875" customWidth="1"/>
    <col min="2" max="2" width="13.109375" style="77" customWidth="1"/>
    <col min="3" max="3" width="13.109375" customWidth="1"/>
    <col min="4" max="5" width="11.109375" customWidth="1"/>
    <col min="19" max="20" width="11.6640625" customWidth="1"/>
    <col min="24" max="25" width="26.6640625" customWidth="1"/>
    <col min="26" max="26" width="23.6640625" customWidth="1"/>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76" t="s">
        <v>3</v>
      </c>
      <c r="B1" s="76" t="s">
        <v>377</v>
      </c>
      <c r="C1" s="468" t="s">
        <v>378</v>
      </c>
      <c r="D1" s="468"/>
      <c r="E1" s="468"/>
      <c r="F1" s="468"/>
      <c r="G1" s="468"/>
      <c r="H1" s="469" t="s">
        <v>379</v>
      </c>
      <c r="I1" s="469"/>
      <c r="J1" s="469"/>
      <c r="K1" s="469"/>
      <c r="L1" s="469"/>
      <c r="M1" s="470" t="s">
        <v>380</v>
      </c>
      <c r="N1" s="470"/>
      <c r="O1" s="470"/>
      <c r="P1" s="470"/>
      <c r="Q1" s="470"/>
      <c r="R1" s="471" t="s">
        <v>381</v>
      </c>
      <c r="S1" s="471"/>
      <c r="T1" s="471"/>
      <c r="U1" s="471"/>
      <c r="V1" s="471"/>
      <c r="W1" s="75"/>
      <c r="X1" s="116"/>
      <c r="Y1" s="115" t="s">
        <v>380</v>
      </c>
      <c r="Z1" s="115"/>
      <c r="AA1" s="115"/>
      <c r="AB1" s="115"/>
      <c r="AC1" s="115"/>
      <c r="AD1" s="115"/>
      <c r="AE1" s="115"/>
      <c r="AF1" s="115"/>
      <c r="AG1" s="115"/>
      <c r="AH1" s="115"/>
      <c r="AI1" s="115"/>
      <c r="AJ1" s="115"/>
      <c r="AK1" s="115"/>
      <c r="AL1" s="115"/>
    </row>
    <row r="2" spans="1:38" ht="32.85" customHeight="1" x14ac:dyDescent="0.3">
      <c r="A2" s="75"/>
      <c r="B2" s="78"/>
      <c r="C2" s="79" t="s">
        <v>382</v>
      </c>
      <c r="D2" s="79" t="s">
        <v>383</v>
      </c>
      <c r="E2" s="79" t="s">
        <v>516</v>
      </c>
      <c r="F2" s="79" t="s">
        <v>384</v>
      </c>
      <c r="G2" s="79" t="s">
        <v>385</v>
      </c>
      <c r="H2" s="80" t="s">
        <v>382</v>
      </c>
      <c r="I2" s="80" t="s">
        <v>383</v>
      </c>
      <c r="J2" s="217" t="s">
        <v>516</v>
      </c>
      <c r="K2" s="80" t="s">
        <v>384</v>
      </c>
      <c r="L2" s="80" t="s">
        <v>385</v>
      </c>
      <c r="M2" s="81" t="s">
        <v>382</v>
      </c>
      <c r="N2" s="81" t="s">
        <v>383</v>
      </c>
      <c r="O2" s="81" t="s">
        <v>495</v>
      </c>
      <c r="P2" s="81" t="s">
        <v>384</v>
      </c>
      <c r="Q2" s="81" t="s">
        <v>385</v>
      </c>
      <c r="R2" s="82" t="s">
        <v>382</v>
      </c>
      <c r="S2" s="82" t="s">
        <v>383</v>
      </c>
      <c r="T2" s="82" t="s">
        <v>495</v>
      </c>
      <c r="U2" s="82" t="s">
        <v>384</v>
      </c>
      <c r="V2" s="82" t="s">
        <v>385</v>
      </c>
      <c r="W2" s="75"/>
      <c r="X2" s="117"/>
      <c r="Y2" s="107" t="s">
        <v>328</v>
      </c>
      <c r="Z2" s="107" t="s">
        <v>412</v>
      </c>
      <c r="AA2" s="108" t="s">
        <v>26</v>
      </c>
      <c r="AB2" s="106" t="s">
        <v>413</v>
      </c>
      <c r="AC2" s="106" t="s">
        <v>414</v>
      </c>
      <c r="AD2" s="106" t="s">
        <v>415</v>
      </c>
      <c r="AE2" s="106" t="s">
        <v>29</v>
      </c>
      <c r="AF2" s="106" t="s">
        <v>416</v>
      </c>
      <c r="AG2" s="106" t="s">
        <v>417</v>
      </c>
      <c r="AH2" s="106" t="s">
        <v>418</v>
      </c>
      <c r="AI2" s="106" t="s">
        <v>419</v>
      </c>
      <c r="AJ2" s="106" t="s">
        <v>420</v>
      </c>
      <c r="AK2" s="106" t="s">
        <v>42</v>
      </c>
      <c r="AL2" s="106" t="s">
        <v>421</v>
      </c>
    </row>
    <row r="3" spans="1:38" ht="32.85" hidden="1" customHeight="1" x14ac:dyDescent="0.35">
      <c r="A3" s="75"/>
      <c r="B3" s="78">
        <v>46273</v>
      </c>
      <c r="C3" s="75"/>
      <c r="D3" s="75"/>
      <c r="E3" s="75"/>
      <c r="F3" s="75"/>
      <c r="G3" s="75"/>
      <c r="H3" s="75"/>
      <c r="I3" s="75"/>
      <c r="J3" s="75"/>
      <c r="K3" s="75"/>
      <c r="L3" s="75"/>
      <c r="M3" s="75"/>
      <c r="N3" s="75"/>
      <c r="O3" s="75"/>
      <c r="P3" s="75"/>
      <c r="Q3" s="75"/>
      <c r="R3" s="75">
        <f>C3+H3-M3</f>
        <v>0</v>
      </c>
      <c r="S3" s="75">
        <f>D3+I3-N3</f>
        <v>0</v>
      </c>
      <c r="T3" s="75"/>
      <c r="U3" s="75">
        <f>F3+K3-P3</f>
        <v>0</v>
      </c>
      <c r="V3" s="75">
        <f>G3+L3-Q3</f>
        <v>0</v>
      </c>
      <c r="W3" s="75"/>
      <c r="X3" s="118"/>
      <c r="Y3" s="109"/>
      <c r="Z3" s="109"/>
      <c r="AA3" s="109"/>
      <c r="AB3" s="109"/>
      <c r="AC3" s="109"/>
      <c r="AD3" s="109"/>
      <c r="AE3" s="109"/>
      <c r="AF3" s="109"/>
      <c r="AG3" s="109"/>
      <c r="AH3" s="109"/>
      <c r="AI3" s="109"/>
      <c r="AJ3" s="109"/>
      <c r="AK3" s="109"/>
      <c r="AL3" s="109"/>
    </row>
    <row r="4" spans="1:38" ht="32.85" hidden="1" customHeight="1" x14ac:dyDescent="0.3">
      <c r="A4" s="75"/>
      <c r="B4" s="78">
        <v>46274</v>
      </c>
      <c r="C4" s="75"/>
      <c r="D4" s="75"/>
      <c r="E4" s="75"/>
      <c r="F4" s="75"/>
      <c r="G4" s="75"/>
      <c r="H4" s="75"/>
      <c r="I4" s="75"/>
      <c r="J4" s="75"/>
      <c r="K4" s="75">
        <v>50</v>
      </c>
      <c r="L4" s="75"/>
      <c r="M4" s="75"/>
      <c r="N4" s="75"/>
      <c r="O4" s="75"/>
      <c r="P4" s="75">
        <v>2</v>
      </c>
      <c r="Q4" s="75"/>
      <c r="R4" s="75">
        <f t="shared" ref="R4:R9" si="0">C4+H4-M4</f>
        <v>0</v>
      </c>
      <c r="S4" s="75">
        <f t="shared" ref="S4:S9" si="1">D4+I4-N4</f>
        <v>0</v>
      </c>
      <c r="T4" s="75"/>
      <c r="U4" s="75">
        <f t="shared" ref="U4:U9" si="2">F4+K4-P4</f>
        <v>48</v>
      </c>
      <c r="V4" s="75">
        <f t="shared" ref="V4:V9" si="3">G4+L4-Q4</f>
        <v>0</v>
      </c>
      <c r="W4" s="130"/>
      <c r="X4" s="128"/>
      <c r="Y4" s="84"/>
      <c r="Z4" s="75"/>
      <c r="AA4" s="75"/>
      <c r="AB4" s="75"/>
      <c r="AC4" s="75"/>
      <c r="AD4" s="75"/>
      <c r="AE4" s="75"/>
      <c r="AF4" s="75"/>
      <c r="AG4" s="75"/>
      <c r="AH4" s="75"/>
      <c r="AI4" s="75"/>
      <c r="AJ4" s="75"/>
      <c r="AK4" s="75"/>
      <c r="AL4" s="75"/>
    </row>
    <row r="5" spans="1:38" ht="32.85" hidden="1" customHeight="1" x14ac:dyDescent="0.3">
      <c r="A5" s="75"/>
      <c r="B5" s="215">
        <v>46304</v>
      </c>
      <c r="C5" s="75">
        <f t="shared" ref="C5:D7" si="4">R4</f>
        <v>0</v>
      </c>
      <c r="D5" s="75">
        <f t="shared" si="4"/>
        <v>0</v>
      </c>
      <c r="E5" s="75"/>
      <c r="F5" s="75">
        <f t="shared" ref="F5:G5" si="5">U4</f>
        <v>48</v>
      </c>
      <c r="G5" s="75">
        <f t="shared" si="5"/>
        <v>0</v>
      </c>
      <c r="H5" s="75"/>
      <c r="I5" s="75"/>
      <c r="J5" s="75"/>
      <c r="K5" s="75">
        <v>40</v>
      </c>
      <c r="L5" s="75"/>
      <c r="M5" s="75"/>
      <c r="N5" s="75"/>
      <c r="O5" s="75"/>
      <c r="P5" s="75">
        <f>20+40+13</f>
        <v>73</v>
      </c>
      <c r="Q5" s="75"/>
      <c r="R5" s="75">
        <f t="shared" si="0"/>
        <v>0</v>
      </c>
      <c r="S5" s="75">
        <f t="shared" si="1"/>
        <v>0</v>
      </c>
      <c r="T5" s="75"/>
      <c r="U5" s="75">
        <f t="shared" si="2"/>
        <v>15</v>
      </c>
      <c r="V5" s="75">
        <f t="shared" si="3"/>
        <v>0</v>
      </c>
      <c r="W5" s="130"/>
      <c r="X5" s="75"/>
      <c r="Y5" s="201" t="s">
        <v>511</v>
      </c>
      <c r="Z5" s="75" t="s">
        <v>512</v>
      </c>
      <c r="AA5" s="75">
        <v>2</v>
      </c>
      <c r="AB5" s="75"/>
      <c r="AC5" s="75"/>
      <c r="AD5" s="75"/>
      <c r="AE5" s="75"/>
      <c r="AF5" s="75"/>
      <c r="AG5" s="75"/>
      <c r="AH5" s="75"/>
      <c r="AI5" s="75"/>
      <c r="AJ5" s="75"/>
      <c r="AK5" s="75"/>
      <c r="AL5" s="75"/>
    </row>
    <row r="6" spans="1:38" ht="32.85" hidden="1" customHeight="1" x14ac:dyDescent="0.3">
      <c r="A6" s="75"/>
      <c r="B6" s="97" t="s">
        <v>534</v>
      </c>
      <c r="C6" s="75">
        <f t="shared" si="4"/>
        <v>0</v>
      </c>
      <c r="D6" s="75">
        <f t="shared" si="4"/>
        <v>0</v>
      </c>
      <c r="E6" s="75"/>
      <c r="F6" s="75">
        <f t="shared" ref="F6" si="6">U5</f>
        <v>15</v>
      </c>
      <c r="G6" s="75">
        <f t="shared" ref="G6" si="7">V5</f>
        <v>0</v>
      </c>
      <c r="H6" s="75"/>
      <c r="I6" s="75"/>
      <c r="J6" s="75"/>
      <c r="K6" s="75">
        <v>40</v>
      </c>
      <c r="L6" s="75"/>
      <c r="M6" s="75"/>
      <c r="N6" s="75"/>
      <c r="O6" s="75"/>
      <c r="P6" s="75">
        <v>4</v>
      </c>
      <c r="Q6" s="75"/>
      <c r="R6" s="75">
        <f t="shared" si="0"/>
        <v>0</v>
      </c>
      <c r="S6" s="75">
        <f t="shared" si="1"/>
        <v>0</v>
      </c>
      <c r="T6" s="75"/>
      <c r="U6" s="75">
        <f t="shared" si="2"/>
        <v>51</v>
      </c>
      <c r="V6" s="75">
        <f t="shared" si="3"/>
        <v>0</v>
      </c>
      <c r="W6" s="130"/>
      <c r="X6" s="75"/>
      <c r="Y6" s="216" t="s">
        <v>513</v>
      </c>
      <c r="Z6" s="75" t="s">
        <v>514</v>
      </c>
      <c r="AA6" s="75">
        <v>60</v>
      </c>
      <c r="AB6" s="75"/>
      <c r="AC6" s="75"/>
      <c r="AD6" s="75"/>
      <c r="AE6" s="75"/>
      <c r="AF6" s="75"/>
      <c r="AG6" s="75"/>
      <c r="AH6" s="75"/>
      <c r="AI6" s="75"/>
      <c r="AJ6" s="75"/>
      <c r="AK6" s="75"/>
      <c r="AL6" s="75"/>
    </row>
    <row r="7" spans="1:38" ht="32.85" hidden="1" customHeight="1" x14ac:dyDescent="0.3">
      <c r="A7" s="75"/>
      <c r="B7" s="97" t="s">
        <v>574</v>
      </c>
      <c r="C7" s="75">
        <f t="shared" si="4"/>
        <v>0</v>
      </c>
      <c r="D7" s="75">
        <f t="shared" si="4"/>
        <v>0</v>
      </c>
      <c r="E7" s="75"/>
      <c r="F7" s="75">
        <f t="shared" ref="F7" si="8">U6</f>
        <v>51</v>
      </c>
      <c r="G7" s="75">
        <f t="shared" ref="G7" si="9">V6</f>
        <v>0</v>
      </c>
      <c r="H7" s="75"/>
      <c r="I7" s="75"/>
      <c r="J7" s="75"/>
      <c r="K7" s="75"/>
      <c r="L7" s="75"/>
      <c r="M7" s="75"/>
      <c r="N7" s="75"/>
      <c r="O7" s="75"/>
      <c r="P7" s="75">
        <v>4</v>
      </c>
      <c r="Q7" s="75"/>
      <c r="R7" s="75">
        <f t="shared" si="0"/>
        <v>0</v>
      </c>
      <c r="S7" s="75">
        <f t="shared" si="1"/>
        <v>0</v>
      </c>
      <c r="T7" s="75"/>
      <c r="U7" s="75">
        <f t="shared" si="2"/>
        <v>47</v>
      </c>
      <c r="V7" s="75">
        <f t="shared" si="3"/>
        <v>0</v>
      </c>
      <c r="W7" s="130"/>
      <c r="X7" s="75"/>
      <c r="Y7" s="216" t="s">
        <v>513</v>
      </c>
      <c r="Z7" s="75" t="s">
        <v>526</v>
      </c>
      <c r="AA7" s="75">
        <v>2</v>
      </c>
      <c r="AB7" s="75"/>
      <c r="AC7" s="75"/>
      <c r="AD7" s="75"/>
      <c r="AE7" s="75"/>
      <c r="AF7" s="75"/>
      <c r="AG7" s="75"/>
      <c r="AH7" s="75"/>
      <c r="AI7" s="75"/>
      <c r="AJ7" s="75"/>
      <c r="AK7" s="75"/>
      <c r="AL7" s="75"/>
    </row>
    <row r="8" spans="1:38" ht="35.1" hidden="1" customHeight="1" x14ac:dyDescent="0.3">
      <c r="A8" s="75"/>
      <c r="B8" s="83" t="s">
        <v>582</v>
      </c>
      <c r="C8" s="75">
        <f t="shared" ref="C8" si="10">R7</f>
        <v>0</v>
      </c>
      <c r="D8" s="75">
        <f t="shared" ref="D8" si="11">S7</f>
        <v>0</v>
      </c>
      <c r="E8" s="75"/>
      <c r="F8" s="75">
        <f t="shared" ref="F8" si="12">U7</f>
        <v>47</v>
      </c>
      <c r="G8" s="75">
        <f t="shared" ref="G8" si="13">V7</f>
        <v>0</v>
      </c>
      <c r="H8" s="75"/>
      <c r="I8" s="75"/>
      <c r="J8" s="75"/>
      <c r="K8" s="75"/>
      <c r="L8" s="75"/>
      <c r="M8" s="75"/>
      <c r="N8" s="75"/>
      <c r="O8" s="75"/>
      <c r="P8" s="75">
        <f>11+7</f>
        <v>18</v>
      </c>
      <c r="Q8" s="75"/>
      <c r="R8" s="75">
        <f t="shared" si="0"/>
        <v>0</v>
      </c>
      <c r="S8" s="75">
        <f t="shared" si="1"/>
        <v>0</v>
      </c>
      <c r="T8" s="75"/>
      <c r="U8" s="75">
        <f t="shared" si="2"/>
        <v>29</v>
      </c>
      <c r="V8" s="75">
        <f t="shared" si="3"/>
        <v>0</v>
      </c>
      <c r="W8" s="130"/>
      <c r="X8" s="75"/>
      <c r="Y8" s="216" t="s">
        <v>513</v>
      </c>
      <c r="Z8" s="75" t="s">
        <v>527</v>
      </c>
      <c r="AA8" s="75">
        <v>11</v>
      </c>
      <c r="AB8" s="75"/>
      <c r="AC8" s="75"/>
      <c r="AD8" s="75"/>
      <c r="AE8" s="75"/>
      <c r="AF8" s="75"/>
      <c r="AG8" s="75"/>
      <c r="AH8" s="75"/>
      <c r="AI8" s="75"/>
      <c r="AJ8" s="75"/>
      <c r="AK8" s="75"/>
      <c r="AL8" s="75"/>
    </row>
    <row r="9" spans="1:38" ht="35.1" hidden="1" customHeight="1" x14ac:dyDescent="0.3">
      <c r="A9" s="75"/>
      <c r="B9" s="83" t="s">
        <v>593</v>
      </c>
      <c r="C9" s="75">
        <f t="shared" ref="C9" si="14">R8</f>
        <v>0</v>
      </c>
      <c r="D9" s="75">
        <f t="shared" ref="D9" si="15">S8</f>
        <v>0</v>
      </c>
      <c r="E9" s="75"/>
      <c r="F9" s="75">
        <f t="shared" ref="F9" si="16">U8</f>
        <v>29</v>
      </c>
      <c r="G9" s="75">
        <f t="shared" ref="G9" si="17">V8</f>
        <v>0</v>
      </c>
      <c r="H9" s="75"/>
      <c r="I9" s="75"/>
      <c r="J9" s="75"/>
      <c r="K9" s="75">
        <v>40</v>
      </c>
      <c r="L9" s="75"/>
      <c r="M9" s="75"/>
      <c r="N9" s="75"/>
      <c r="O9" s="75"/>
      <c r="P9" s="75">
        <v>40</v>
      </c>
      <c r="Q9" s="75"/>
      <c r="R9" s="75">
        <f t="shared" si="0"/>
        <v>0</v>
      </c>
      <c r="S9" s="75">
        <f t="shared" si="1"/>
        <v>0</v>
      </c>
      <c r="T9" s="75"/>
      <c r="U9" s="75">
        <f t="shared" si="2"/>
        <v>29</v>
      </c>
      <c r="V9" s="75">
        <f t="shared" si="3"/>
        <v>0</v>
      </c>
      <c r="W9" s="130"/>
      <c r="X9" s="75" t="s">
        <v>613</v>
      </c>
      <c r="Y9" s="75"/>
      <c r="Z9" s="75"/>
      <c r="AA9" s="75"/>
      <c r="AB9" s="75"/>
      <c r="AC9" s="75"/>
      <c r="AD9" s="75"/>
      <c r="AE9" s="75"/>
      <c r="AF9" s="75"/>
      <c r="AG9" s="75"/>
      <c r="AH9" s="75"/>
      <c r="AI9" s="75"/>
      <c r="AJ9" s="75"/>
      <c r="AK9" s="75"/>
      <c r="AL9" s="75"/>
    </row>
    <row r="10" spans="1:38" ht="35.1" hidden="1" customHeight="1" x14ac:dyDescent="0.3">
      <c r="A10" s="75"/>
      <c r="B10" s="83" t="s">
        <v>617</v>
      </c>
      <c r="C10" s="75">
        <f t="shared" ref="C10" si="18">R9</f>
        <v>0</v>
      </c>
      <c r="D10" s="75">
        <f t="shared" ref="D10" si="19">S9</f>
        <v>0</v>
      </c>
      <c r="E10" s="75"/>
      <c r="F10" s="75">
        <f t="shared" ref="F10" si="20">U9</f>
        <v>29</v>
      </c>
      <c r="G10" s="75">
        <f t="shared" ref="G10" si="21">V9</f>
        <v>0</v>
      </c>
      <c r="H10" s="75"/>
      <c r="I10" s="75">
        <v>11</v>
      </c>
      <c r="J10" s="75"/>
      <c r="K10" s="75"/>
      <c r="L10" s="75"/>
      <c r="M10" s="75"/>
      <c r="N10" s="75">
        <v>11</v>
      </c>
      <c r="O10" s="75"/>
      <c r="P10" s="75">
        <v>1</v>
      </c>
      <c r="Q10" s="75"/>
      <c r="R10" s="75">
        <f t="shared" ref="R10" si="22">C10+H10-M10</f>
        <v>0</v>
      </c>
      <c r="S10" s="75">
        <f t="shared" ref="S10" si="23">D10+I10-N10</f>
        <v>0</v>
      </c>
      <c r="T10" s="75"/>
      <c r="U10" s="75">
        <f t="shared" ref="U10" si="24">F10+K10-P10</f>
        <v>28</v>
      </c>
      <c r="V10" s="75">
        <f t="shared" ref="V10" si="25">G10+L10-Q10</f>
        <v>0</v>
      </c>
      <c r="W10" s="130"/>
      <c r="X10" s="75"/>
      <c r="Y10" s="75"/>
      <c r="Z10" s="75"/>
      <c r="AA10" s="75"/>
      <c r="AB10" s="75"/>
      <c r="AC10" s="75"/>
      <c r="AD10" s="75"/>
      <c r="AE10" s="75"/>
      <c r="AF10" s="75"/>
      <c r="AG10" s="75"/>
      <c r="AH10" s="75"/>
      <c r="AI10" s="75"/>
      <c r="AJ10" s="75"/>
      <c r="AK10" s="75"/>
      <c r="AL10" s="75"/>
    </row>
    <row r="11" spans="1:38" ht="35.1" hidden="1" customHeight="1" x14ac:dyDescent="0.3">
      <c r="A11" s="75"/>
      <c r="B11" s="83" t="s">
        <v>634</v>
      </c>
      <c r="C11" s="75">
        <f t="shared" ref="C11" si="26">R10</f>
        <v>0</v>
      </c>
      <c r="D11" s="75">
        <f t="shared" ref="D11" si="27">S10</f>
        <v>0</v>
      </c>
      <c r="E11" s="75"/>
      <c r="F11" s="75">
        <f t="shared" ref="F11" si="28">U10</f>
        <v>28</v>
      </c>
      <c r="G11" s="75">
        <f t="shared" ref="G11" si="29">V10</f>
        <v>0</v>
      </c>
      <c r="H11" s="75"/>
      <c r="I11" s="75"/>
      <c r="J11" s="75"/>
      <c r="K11" s="75"/>
      <c r="L11" s="75"/>
      <c r="M11" s="75"/>
      <c r="N11" s="75"/>
      <c r="O11" s="75"/>
      <c r="P11" s="75">
        <v>4</v>
      </c>
      <c r="Q11" s="75"/>
      <c r="R11" s="75">
        <f t="shared" ref="R11" si="30">C11+H11-M11</f>
        <v>0</v>
      </c>
      <c r="S11" s="75">
        <f t="shared" ref="S11" si="31">D11+I11-N11</f>
        <v>0</v>
      </c>
      <c r="T11" s="75"/>
      <c r="U11" s="75">
        <f t="shared" ref="U11" si="32">F11+K11-P11</f>
        <v>24</v>
      </c>
      <c r="V11" s="75">
        <f t="shared" ref="V11" si="33">G11+L11-Q11</f>
        <v>0</v>
      </c>
      <c r="W11" s="130"/>
      <c r="X11" s="75"/>
      <c r="Y11" s="75"/>
      <c r="Z11" s="75"/>
      <c r="AA11" s="75"/>
      <c r="AB11" s="75"/>
      <c r="AC11" s="75"/>
      <c r="AD11" s="75"/>
      <c r="AE11" s="75"/>
      <c r="AF11" s="75"/>
      <c r="AG11" s="75"/>
      <c r="AH11" s="75"/>
      <c r="AI11" s="75"/>
      <c r="AJ11" s="75"/>
      <c r="AK11" s="75"/>
      <c r="AL11" s="75"/>
    </row>
    <row r="12" spans="1:38" ht="35.1" hidden="1" customHeight="1" x14ac:dyDescent="0.3">
      <c r="A12" s="75"/>
      <c r="B12" s="83" t="s">
        <v>646</v>
      </c>
      <c r="C12" s="75">
        <f t="shared" ref="C12" si="34">R11</f>
        <v>0</v>
      </c>
      <c r="D12" s="75">
        <f t="shared" ref="D12" si="35">S11</f>
        <v>0</v>
      </c>
      <c r="E12" s="75"/>
      <c r="F12" s="75">
        <f t="shared" ref="F12" si="36">U11</f>
        <v>24</v>
      </c>
      <c r="G12" s="75">
        <f t="shared" ref="G12" si="37">V11</f>
        <v>0</v>
      </c>
      <c r="H12" s="75"/>
      <c r="I12" s="75"/>
      <c r="J12" s="75"/>
      <c r="K12" s="75"/>
      <c r="L12" s="75"/>
      <c r="M12" s="75"/>
      <c r="N12" s="75"/>
      <c r="O12" s="75"/>
      <c r="P12" s="75">
        <v>2</v>
      </c>
      <c r="Q12" s="75"/>
      <c r="R12" s="75">
        <f t="shared" ref="R12" si="38">C12+H12-M12</f>
        <v>0</v>
      </c>
      <c r="S12" s="75">
        <f t="shared" ref="S12" si="39">D12+I12-N12</f>
        <v>0</v>
      </c>
      <c r="T12" s="75"/>
      <c r="U12" s="75">
        <f t="shared" ref="U12" si="40">F12+K12-P12</f>
        <v>22</v>
      </c>
      <c r="V12" s="75">
        <f t="shared" ref="V12" si="41">G12+L12-Q12</f>
        <v>0</v>
      </c>
      <c r="W12" s="130"/>
      <c r="X12" s="75"/>
      <c r="Y12" s="75"/>
      <c r="Z12" s="75"/>
      <c r="AA12" s="75"/>
      <c r="AB12" s="75"/>
      <c r="AC12" s="75"/>
      <c r="AD12" s="75"/>
      <c r="AE12" s="75"/>
      <c r="AF12" s="75"/>
      <c r="AG12" s="75"/>
      <c r="AH12" s="75"/>
      <c r="AI12" s="75"/>
      <c r="AJ12" s="75"/>
      <c r="AK12" s="75"/>
      <c r="AL12" s="75"/>
    </row>
    <row r="13" spans="1:38" ht="35.1" hidden="1" customHeight="1" x14ac:dyDescent="0.3">
      <c r="A13" s="75"/>
      <c r="B13" s="83" t="s">
        <v>678</v>
      </c>
      <c r="C13" s="75">
        <f t="shared" ref="C13" si="42">R12</f>
        <v>0</v>
      </c>
      <c r="D13" s="75">
        <f t="shared" ref="D13" si="43">S12</f>
        <v>0</v>
      </c>
      <c r="E13" s="75"/>
      <c r="F13" s="75">
        <f t="shared" ref="F13" si="44">U12</f>
        <v>22</v>
      </c>
      <c r="G13" s="75">
        <f t="shared" ref="G13" si="45">V12</f>
        <v>0</v>
      </c>
      <c r="H13" s="75"/>
      <c r="I13" s="75"/>
      <c r="J13" s="75"/>
      <c r="K13" s="75"/>
      <c r="L13" s="75"/>
      <c r="M13" s="75"/>
      <c r="N13" s="75"/>
      <c r="O13" s="75"/>
      <c r="P13" s="75">
        <v>4</v>
      </c>
      <c r="Q13" s="75"/>
      <c r="R13" s="75">
        <f t="shared" ref="R13" si="46">C13+H13-M13</f>
        <v>0</v>
      </c>
      <c r="S13" s="75">
        <f t="shared" ref="S13" si="47">D13+I13-N13</f>
        <v>0</v>
      </c>
      <c r="T13" s="75"/>
      <c r="U13" s="75">
        <f t="shared" ref="U13" si="48">F13+K13-P13</f>
        <v>18</v>
      </c>
      <c r="V13" s="75">
        <f t="shared" ref="V13" si="49">G13+L13-Q13</f>
        <v>0</v>
      </c>
      <c r="W13" s="130"/>
      <c r="X13" s="75"/>
      <c r="Y13" s="75"/>
      <c r="Z13" s="75"/>
      <c r="AA13" s="75"/>
      <c r="AB13" s="75"/>
      <c r="AC13" s="75"/>
      <c r="AD13" s="75"/>
      <c r="AE13" s="75"/>
      <c r="AF13" s="75"/>
      <c r="AG13" s="75"/>
      <c r="AH13" s="75"/>
      <c r="AI13" s="75"/>
      <c r="AJ13" s="75"/>
      <c r="AK13" s="75"/>
      <c r="AL13" s="75"/>
    </row>
    <row r="14" spans="1:38" ht="35.1" hidden="1" customHeight="1" x14ac:dyDescent="0.3">
      <c r="A14" s="75"/>
      <c r="B14" s="83" t="s">
        <v>720</v>
      </c>
      <c r="C14" s="75">
        <f t="shared" ref="C14" si="50">R13</f>
        <v>0</v>
      </c>
      <c r="D14" s="75">
        <f t="shared" ref="D14" si="51">S13</f>
        <v>0</v>
      </c>
      <c r="E14" s="75"/>
      <c r="F14" s="75">
        <f t="shared" ref="F14" si="52">U13</f>
        <v>18</v>
      </c>
      <c r="G14" s="75">
        <f t="shared" ref="G14" si="53">V13</f>
        <v>0</v>
      </c>
      <c r="H14" s="75"/>
      <c r="I14" s="75"/>
      <c r="J14" s="75"/>
      <c r="K14" s="75"/>
      <c r="L14" s="75"/>
      <c r="M14" s="75"/>
      <c r="N14" s="75"/>
      <c r="O14" s="75"/>
      <c r="P14" s="75">
        <v>1</v>
      </c>
      <c r="Q14" s="75"/>
      <c r="R14" s="75">
        <f t="shared" ref="R14" si="54">C14+H14-M14</f>
        <v>0</v>
      </c>
      <c r="S14" s="75">
        <f t="shared" ref="S14" si="55">D14+I14-N14</f>
        <v>0</v>
      </c>
      <c r="T14" s="75"/>
      <c r="U14" s="75">
        <f t="shared" ref="U14" si="56">F14+K14-P14</f>
        <v>17</v>
      </c>
      <c r="V14" s="75">
        <f t="shared" ref="V14" si="57">G14+L14-Q14</f>
        <v>0</v>
      </c>
      <c r="W14" s="130"/>
      <c r="X14" s="75"/>
      <c r="Y14" s="75"/>
      <c r="Z14" s="75"/>
      <c r="AA14" s="75"/>
      <c r="AB14" s="75"/>
      <c r="AC14" s="75"/>
      <c r="AD14" s="75"/>
      <c r="AE14" s="75"/>
      <c r="AF14" s="75"/>
      <c r="AG14" s="75"/>
      <c r="AH14" s="75"/>
      <c r="AI14" s="75"/>
      <c r="AJ14" s="75"/>
      <c r="AK14" s="75"/>
      <c r="AL14" s="75"/>
    </row>
    <row r="15" spans="1:38" ht="35.1" hidden="1" customHeight="1" x14ac:dyDescent="0.3">
      <c r="A15" s="75"/>
      <c r="B15" s="83" t="s">
        <v>758</v>
      </c>
      <c r="C15" s="75">
        <f t="shared" ref="C15" si="58">R14</f>
        <v>0</v>
      </c>
      <c r="D15" s="75">
        <f t="shared" ref="D15" si="59">S14</f>
        <v>0</v>
      </c>
      <c r="E15" s="75"/>
      <c r="F15" s="75">
        <f t="shared" ref="F15" si="60">U14</f>
        <v>17</v>
      </c>
      <c r="G15" s="75">
        <f t="shared" ref="G15" si="61">V14</f>
        <v>0</v>
      </c>
      <c r="H15" s="75"/>
      <c r="I15" s="75"/>
      <c r="J15" s="75"/>
      <c r="K15" s="75"/>
      <c r="L15" s="75"/>
      <c r="M15" s="75"/>
      <c r="N15" s="75"/>
      <c r="O15" s="75"/>
      <c r="P15" s="75">
        <v>1</v>
      </c>
      <c r="Q15" s="75"/>
      <c r="R15" s="75">
        <f t="shared" ref="R15" si="62">C15+H15-M15</f>
        <v>0</v>
      </c>
      <c r="S15" s="75">
        <f t="shared" ref="S15" si="63">D15+I15-N15</f>
        <v>0</v>
      </c>
      <c r="T15" s="75"/>
      <c r="U15" s="75">
        <f t="shared" ref="U15" si="64">F15+K15-P15</f>
        <v>16</v>
      </c>
      <c r="V15" s="75">
        <f t="shared" ref="V15" si="65">G15+L15-Q15</f>
        <v>0</v>
      </c>
      <c r="W15" s="130"/>
      <c r="X15" s="75"/>
      <c r="Y15" s="75"/>
      <c r="Z15" s="75"/>
      <c r="AA15" s="75"/>
      <c r="AB15" s="75"/>
      <c r="AC15" s="75"/>
      <c r="AD15" s="75"/>
      <c r="AE15" s="75"/>
      <c r="AF15" s="75"/>
      <c r="AG15" s="75"/>
      <c r="AH15" s="75"/>
      <c r="AI15" s="75"/>
      <c r="AJ15" s="75"/>
      <c r="AK15" s="75"/>
      <c r="AL15" s="75"/>
    </row>
    <row r="16" spans="1:38" ht="35.1" hidden="1" customHeight="1" x14ac:dyDescent="0.3">
      <c r="A16" s="75"/>
      <c r="B16" s="83" t="s">
        <v>737</v>
      </c>
      <c r="C16" s="75">
        <f t="shared" ref="C16" si="66">R15</f>
        <v>0</v>
      </c>
      <c r="D16" s="75">
        <f t="shared" ref="D16" si="67">S15</f>
        <v>0</v>
      </c>
      <c r="E16" s="75"/>
      <c r="F16" s="75">
        <f t="shared" ref="F16" si="68">U15</f>
        <v>16</v>
      </c>
      <c r="G16" s="75">
        <f t="shared" ref="G16" si="69">V15</f>
        <v>0</v>
      </c>
      <c r="H16" s="75"/>
      <c r="I16" s="75">
        <v>11</v>
      </c>
      <c r="J16" s="75"/>
      <c r="K16" s="75">
        <f>4+40</f>
        <v>44</v>
      </c>
      <c r="L16" s="75"/>
      <c r="M16" s="75"/>
      <c r="N16" s="75">
        <v>10</v>
      </c>
      <c r="O16" s="75"/>
      <c r="P16" s="75">
        <v>11</v>
      </c>
      <c r="Q16" s="75"/>
      <c r="R16" s="75">
        <f t="shared" ref="R16" si="70">C16+H16-M16</f>
        <v>0</v>
      </c>
      <c r="S16" s="75">
        <f t="shared" ref="S16" si="71">D16+I16-N16</f>
        <v>1</v>
      </c>
      <c r="T16" s="75"/>
      <c r="U16" s="75">
        <f t="shared" ref="U16" si="72">F16+K16-P16</f>
        <v>49</v>
      </c>
      <c r="V16" s="75">
        <f t="shared" ref="V16" si="73">G16+L16-Q16</f>
        <v>0</v>
      </c>
      <c r="W16" s="130"/>
      <c r="X16" s="75" t="s">
        <v>772</v>
      </c>
      <c r="Y16" s="75"/>
      <c r="Z16" s="75"/>
      <c r="AA16" s="75"/>
      <c r="AB16" s="75"/>
      <c r="AC16" s="75"/>
      <c r="AD16" s="75"/>
      <c r="AE16" s="75"/>
      <c r="AF16" s="75"/>
      <c r="AG16" s="75"/>
      <c r="AH16" s="75"/>
      <c r="AI16" s="75"/>
      <c r="AJ16" s="75"/>
      <c r="AK16" s="75"/>
      <c r="AL16" s="75"/>
    </row>
    <row r="17" spans="1:38" ht="35.1" hidden="1" customHeight="1" x14ac:dyDescent="0.3">
      <c r="A17" s="75"/>
      <c r="B17" s="83" t="s">
        <v>787</v>
      </c>
      <c r="C17" s="75">
        <f t="shared" ref="C17" si="74">R16</f>
        <v>0</v>
      </c>
      <c r="D17" s="75">
        <f t="shared" ref="D17" si="75">S16</f>
        <v>1</v>
      </c>
      <c r="E17" s="75"/>
      <c r="F17" s="75">
        <f t="shared" ref="F17" si="76">U16</f>
        <v>49</v>
      </c>
      <c r="G17" s="75">
        <f t="shared" ref="G17" si="77">V16</f>
        <v>0</v>
      </c>
      <c r="H17" s="75">
        <f>44+20</f>
        <v>64</v>
      </c>
      <c r="I17" s="75"/>
      <c r="J17" s="75"/>
      <c r="K17" s="75"/>
      <c r="L17" s="75"/>
      <c r="M17" s="75">
        <f>44+20</f>
        <v>64</v>
      </c>
      <c r="N17" s="75"/>
      <c r="O17" s="75"/>
      <c r="P17" s="75">
        <f>5+2+5</f>
        <v>12</v>
      </c>
      <c r="Q17" s="75"/>
      <c r="R17" s="75">
        <f t="shared" ref="R17" si="78">C17+H17-M17</f>
        <v>0</v>
      </c>
      <c r="S17" s="75">
        <f t="shared" ref="S17" si="79">D17+I17-N17</f>
        <v>1</v>
      </c>
      <c r="T17" s="75"/>
      <c r="U17" s="75">
        <f t="shared" ref="U17" si="80">F17+K17-P17</f>
        <v>37</v>
      </c>
      <c r="V17" s="75">
        <f t="shared" ref="V17" si="81">G17+L17-Q17</f>
        <v>0</v>
      </c>
      <c r="W17" s="130"/>
      <c r="X17" s="75"/>
      <c r="Y17" s="75"/>
      <c r="Z17" s="75"/>
      <c r="AA17" s="75"/>
      <c r="AB17" s="75"/>
      <c r="AC17" s="75"/>
      <c r="AD17" s="75"/>
      <c r="AE17" s="75"/>
      <c r="AF17" s="75"/>
      <c r="AG17" s="75"/>
      <c r="AH17" s="75"/>
      <c r="AI17" s="75"/>
      <c r="AJ17" s="75"/>
      <c r="AK17" s="75"/>
      <c r="AL17" s="75"/>
    </row>
    <row r="18" spans="1:38" ht="35.1" hidden="1" customHeight="1" x14ac:dyDescent="0.3">
      <c r="A18" s="75"/>
      <c r="B18" s="83" t="s">
        <v>837</v>
      </c>
      <c r="C18" s="75">
        <f t="shared" ref="C18" si="82">R17</f>
        <v>0</v>
      </c>
      <c r="D18" s="75">
        <f t="shared" ref="D18" si="83">S17</f>
        <v>1</v>
      </c>
      <c r="E18" s="75"/>
      <c r="F18" s="75">
        <f t="shared" ref="F18" si="84">U17</f>
        <v>37</v>
      </c>
      <c r="G18" s="75">
        <f t="shared" ref="G18" si="85">V17</f>
        <v>0</v>
      </c>
      <c r="H18" s="75"/>
      <c r="I18" s="75"/>
      <c r="J18" s="75"/>
      <c r="K18" s="75"/>
      <c r="L18" s="75"/>
      <c r="M18" s="75"/>
      <c r="N18" s="75"/>
      <c r="O18" s="75"/>
      <c r="P18" s="75">
        <v>10</v>
      </c>
      <c r="Q18" s="75"/>
      <c r="R18" s="75">
        <f t="shared" ref="R18" si="86">C18+H18-M18</f>
        <v>0</v>
      </c>
      <c r="S18" s="75">
        <f t="shared" ref="S18" si="87">D18+I18-N18</f>
        <v>1</v>
      </c>
      <c r="T18" s="75"/>
      <c r="U18" s="75">
        <f t="shared" ref="U18" si="88">F18+K18-P18</f>
        <v>27</v>
      </c>
      <c r="V18" s="75">
        <f t="shared" ref="V18" si="89">G18+L18-Q18</f>
        <v>0</v>
      </c>
      <c r="W18" s="130"/>
      <c r="X18" s="75"/>
      <c r="Y18" s="75"/>
      <c r="Z18" s="75"/>
      <c r="AA18" s="75"/>
      <c r="AB18" s="75"/>
      <c r="AC18" s="75"/>
      <c r="AD18" s="75"/>
      <c r="AE18" s="75"/>
      <c r="AF18" s="75"/>
      <c r="AG18" s="75"/>
      <c r="AH18" s="75"/>
      <c r="AI18" s="75"/>
      <c r="AJ18" s="75"/>
      <c r="AK18" s="75"/>
      <c r="AL18" s="75"/>
    </row>
    <row r="19" spans="1:38" ht="35.1" hidden="1" customHeight="1" x14ac:dyDescent="0.3">
      <c r="A19" s="75"/>
      <c r="B19" s="83" t="s">
        <v>836</v>
      </c>
      <c r="C19" s="75">
        <f t="shared" ref="C19" si="90">R18</f>
        <v>0</v>
      </c>
      <c r="D19" s="75">
        <f t="shared" ref="D19" si="91">S18</f>
        <v>1</v>
      </c>
      <c r="E19" s="75"/>
      <c r="F19" s="75">
        <f t="shared" ref="F19" si="92">U18</f>
        <v>27</v>
      </c>
      <c r="G19" s="75">
        <f t="shared" ref="G19" si="93">V18</f>
        <v>0</v>
      </c>
      <c r="H19" s="75"/>
      <c r="I19" s="75"/>
      <c r="J19" s="75"/>
      <c r="K19" s="75"/>
      <c r="L19" s="75"/>
      <c r="M19" s="75"/>
      <c r="N19" s="75"/>
      <c r="O19" s="75"/>
      <c r="P19" s="75"/>
      <c r="Q19" s="75"/>
      <c r="R19" s="75">
        <f t="shared" ref="R19" si="94">C19+H19-M19</f>
        <v>0</v>
      </c>
      <c r="S19" s="75">
        <f t="shared" ref="S19" si="95">D19+I19-N19</f>
        <v>1</v>
      </c>
      <c r="T19" s="75"/>
      <c r="U19" s="75">
        <f t="shared" ref="U19" si="96">F19+K19-P19</f>
        <v>27</v>
      </c>
      <c r="V19" s="75">
        <f t="shared" ref="V19" si="97">G19+L19-Q19</f>
        <v>0</v>
      </c>
      <c r="W19" s="130"/>
      <c r="X19" s="75"/>
      <c r="Y19" s="75"/>
      <c r="Z19" s="75"/>
      <c r="AA19" s="75"/>
      <c r="AB19" s="75"/>
      <c r="AC19" s="75"/>
      <c r="AD19" s="75"/>
      <c r="AE19" s="75"/>
      <c r="AF19" s="75"/>
      <c r="AG19" s="75"/>
      <c r="AH19" s="75"/>
      <c r="AI19" s="75"/>
      <c r="AJ19" s="75"/>
      <c r="AK19" s="75"/>
      <c r="AL19" s="75"/>
    </row>
    <row r="20" spans="1:38" ht="35.1" hidden="1" customHeight="1" x14ac:dyDescent="0.3">
      <c r="A20" s="75"/>
      <c r="B20" s="83" t="s">
        <v>868</v>
      </c>
      <c r="C20" s="75">
        <f t="shared" ref="C20" si="98">R19</f>
        <v>0</v>
      </c>
      <c r="D20" s="75">
        <f t="shared" ref="D20" si="99">S19</f>
        <v>1</v>
      </c>
      <c r="E20" s="75"/>
      <c r="F20" s="75">
        <f t="shared" ref="F20" si="100">U19</f>
        <v>27</v>
      </c>
      <c r="G20" s="75">
        <f t="shared" ref="G20" si="101">V19</f>
        <v>0</v>
      </c>
      <c r="H20" s="75"/>
      <c r="I20" s="75"/>
      <c r="J20" s="75"/>
      <c r="K20" s="75"/>
      <c r="L20" s="75"/>
      <c r="M20" s="75"/>
      <c r="N20" s="75"/>
      <c r="O20" s="75"/>
      <c r="P20" s="75">
        <v>2</v>
      </c>
      <c r="Q20" s="75"/>
      <c r="R20" s="75">
        <f t="shared" ref="R20" si="102">C20+H20-M20</f>
        <v>0</v>
      </c>
      <c r="S20" s="75">
        <f t="shared" ref="S20" si="103">D20+I20-N20</f>
        <v>1</v>
      </c>
      <c r="T20" s="75"/>
      <c r="U20" s="75">
        <f t="shared" ref="U20" si="104">F20+K20-P20</f>
        <v>25</v>
      </c>
      <c r="V20" s="75">
        <f t="shared" ref="V20" si="105">G20+L20-Q20</f>
        <v>0</v>
      </c>
      <c r="W20" s="130"/>
      <c r="X20" s="75"/>
      <c r="Y20" s="75"/>
      <c r="Z20" s="75"/>
      <c r="AA20" s="75"/>
      <c r="AB20" s="75"/>
      <c r="AC20" s="75"/>
      <c r="AD20" s="75"/>
      <c r="AE20" s="75"/>
      <c r="AF20" s="75"/>
      <c r="AG20" s="75"/>
      <c r="AH20" s="75"/>
      <c r="AI20" s="75"/>
      <c r="AJ20" s="75"/>
      <c r="AK20" s="75"/>
      <c r="AL20" s="75"/>
    </row>
    <row r="21" spans="1:38" ht="35.1" customHeight="1" x14ac:dyDescent="0.3">
      <c r="A21" s="75"/>
      <c r="B21" s="83" t="s">
        <v>892</v>
      </c>
      <c r="C21" s="75">
        <f t="shared" ref="C21" si="106">R20</f>
        <v>0</v>
      </c>
      <c r="D21" s="75">
        <f t="shared" ref="D21" si="107">S20</f>
        <v>1</v>
      </c>
      <c r="E21" s="75"/>
      <c r="F21" s="75">
        <f t="shared" ref="F21" si="108">U20</f>
        <v>25</v>
      </c>
      <c r="G21" s="75">
        <f t="shared" ref="G21" si="109">V20</f>
        <v>0</v>
      </c>
      <c r="H21" s="75"/>
      <c r="I21" s="75"/>
      <c r="J21" s="75"/>
      <c r="K21" s="75"/>
      <c r="L21" s="75"/>
      <c r="M21" s="75"/>
      <c r="N21" s="75"/>
      <c r="O21" s="75"/>
      <c r="P21" s="75"/>
      <c r="Q21" s="75"/>
      <c r="R21" s="75">
        <f t="shared" ref="R21" si="110">C21+H21-M21</f>
        <v>0</v>
      </c>
      <c r="S21" s="75">
        <f t="shared" ref="S21" si="111">D21+I21-N21</f>
        <v>1</v>
      </c>
      <c r="T21" s="75"/>
      <c r="U21" s="75">
        <f t="shared" ref="U21" si="112">F21+K21-P21</f>
        <v>25</v>
      </c>
      <c r="V21" s="75">
        <f t="shared" ref="V21" si="113">G21+L21-Q21</f>
        <v>0</v>
      </c>
      <c r="W21" s="130"/>
      <c r="X21" s="75"/>
      <c r="Y21" s="75"/>
      <c r="Z21" s="75"/>
      <c r="AA21" s="75"/>
      <c r="AB21" s="75"/>
      <c r="AC21" s="75"/>
      <c r="AD21" s="75"/>
      <c r="AE21" s="75"/>
      <c r="AF21" s="75"/>
      <c r="AG21" s="75"/>
      <c r="AH21" s="75"/>
      <c r="AI21" s="75"/>
      <c r="AJ21" s="75"/>
      <c r="AK21" s="75"/>
      <c r="AL21" s="75"/>
    </row>
    <row r="22" spans="1:38" ht="35.1" customHeight="1" x14ac:dyDescent="0.3">
      <c r="A22" s="75"/>
      <c r="B22" s="83" t="s">
        <v>894</v>
      </c>
      <c r="C22" s="75">
        <f t="shared" ref="C22" si="114">R21</f>
        <v>0</v>
      </c>
      <c r="D22" s="75">
        <f t="shared" ref="D22" si="115">S21</f>
        <v>1</v>
      </c>
      <c r="E22" s="75"/>
      <c r="F22" s="75">
        <f t="shared" ref="F22" si="116">U21</f>
        <v>25</v>
      </c>
      <c r="G22" s="75">
        <f t="shared" ref="G22" si="117">V21</f>
        <v>0</v>
      </c>
      <c r="H22" s="75"/>
      <c r="I22" s="75"/>
      <c r="J22" s="75"/>
      <c r="K22" s="75"/>
      <c r="L22" s="75"/>
      <c r="M22" s="75"/>
      <c r="N22" s="75"/>
      <c r="O22" s="75"/>
      <c r="P22" s="75">
        <v>1</v>
      </c>
      <c r="Q22" s="75"/>
      <c r="R22" s="75">
        <f t="shared" ref="R22" si="118">C22+H22-M22</f>
        <v>0</v>
      </c>
      <c r="S22" s="75">
        <f t="shared" ref="S22" si="119">D22+I22-N22</f>
        <v>1</v>
      </c>
      <c r="T22" s="75"/>
      <c r="U22" s="75">
        <f t="shared" ref="U22" si="120">F22+K22-P22</f>
        <v>24</v>
      </c>
      <c r="V22" s="75">
        <f t="shared" ref="V22" si="121">G22+L22-Q22</f>
        <v>0</v>
      </c>
      <c r="W22" s="130"/>
      <c r="X22" s="75"/>
      <c r="Y22" s="75"/>
      <c r="Z22" s="75"/>
      <c r="AA22" s="75"/>
      <c r="AB22" s="75"/>
      <c r="AC22" s="75"/>
      <c r="AD22" s="75"/>
      <c r="AE22" s="75"/>
      <c r="AF22" s="75"/>
      <c r="AG22" s="75"/>
      <c r="AH22" s="75"/>
      <c r="AI22" s="75"/>
      <c r="AJ22" s="75"/>
      <c r="AK22" s="75"/>
      <c r="AL22" s="75"/>
    </row>
    <row r="23" spans="1:38" ht="35.1" customHeight="1" x14ac:dyDescent="0.3">
      <c r="A23" s="75"/>
      <c r="B23" s="83"/>
      <c r="C23" s="75"/>
      <c r="D23" s="75"/>
      <c r="E23" s="75"/>
      <c r="F23" s="75"/>
      <c r="G23" s="75"/>
      <c r="H23" s="75"/>
      <c r="I23" s="75"/>
      <c r="J23" s="75"/>
      <c r="K23" s="75"/>
      <c r="L23" s="75"/>
      <c r="M23" s="75"/>
      <c r="N23" s="75"/>
      <c r="O23" s="75"/>
      <c r="P23" s="75"/>
      <c r="Q23" s="75"/>
      <c r="R23" s="75"/>
      <c r="S23" s="75"/>
      <c r="T23" s="75"/>
      <c r="U23" s="75"/>
      <c r="V23" s="75"/>
      <c r="W23" s="130"/>
      <c r="X23" s="75"/>
      <c r="Y23" s="75"/>
      <c r="Z23" s="75"/>
      <c r="AA23" s="75"/>
      <c r="AB23" s="75"/>
      <c r="AC23" s="75"/>
      <c r="AD23" s="75"/>
      <c r="AE23" s="75"/>
      <c r="AF23" s="75"/>
      <c r="AG23" s="75"/>
      <c r="AH23" s="75"/>
      <c r="AI23" s="75"/>
      <c r="AJ23" s="75"/>
      <c r="AK23" s="75"/>
      <c r="AL23" s="75"/>
    </row>
    <row r="24" spans="1:38" ht="35.1" customHeight="1" x14ac:dyDescent="0.3">
      <c r="A24" s="75"/>
      <c r="B24" s="83"/>
      <c r="C24" s="75"/>
      <c r="D24" s="75"/>
      <c r="E24" s="75"/>
      <c r="F24" s="75"/>
      <c r="G24" s="75"/>
      <c r="H24" s="75"/>
      <c r="I24" s="75"/>
      <c r="J24" s="75"/>
      <c r="K24" s="75"/>
      <c r="L24" s="75"/>
      <c r="M24" s="75"/>
      <c r="N24" s="75"/>
      <c r="O24" s="75"/>
      <c r="P24" s="75"/>
      <c r="Q24" s="75"/>
      <c r="R24" s="75"/>
      <c r="S24" s="75"/>
      <c r="T24" s="75"/>
      <c r="U24" s="75"/>
      <c r="V24" s="75"/>
      <c r="W24" s="130"/>
      <c r="X24" s="75"/>
      <c r="Y24" s="75"/>
      <c r="Z24" s="75"/>
      <c r="AA24" s="75"/>
      <c r="AB24" s="75"/>
      <c r="AC24" s="75"/>
      <c r="AD24" s="75"/>
      <c r="AE24" s="75"/>
      <c r="AF24" s="75"/>
      <c r="AG24" s="75"/>
      <c r="AH24" s="75"/>
      <c r="AI24" s="75"/>
      <c r="AJ24" s="75"/>
      <c r="AK24" s="75"/>
      <c r="AL24" s="75"/>
    </row>
    <row r="25" spans="1:38" ht="35.1" customHeight="1" x14ac:dyDescent="0.3">
      <c r="R25" s="75"/>
      <c r="S25" s="75"/>
      <c r="T25" s="75"/>
      <c r="U25" s="75"/>
      <c r="V25" s="75"/>
      <c r="W25" s="130"/>
      <c r="X25" s="75"/>
      <c r="Y25" s="75"/>
      <c r="Z25" s="75"/>
      <c r="AA25" s="75"/>
      <c r="AB25" s="75"/>
      <c r="AC25" s="75"/>
      <c r="AD25" s="75"/>
      <c r="AE25" s="75"/>
      <c r="AF25" s="75"/>
      <c r="AG25" s="75"/>
      <c r="AH25" s="75"/>
      <c r="AI25" s="75"/>
      <c r="AJ25" s="75"/>
      <c r="AK25" s="75"/>
      <c r="AL25" s="75"/>
    </row>
    <row r="26" spans="1:38" ht="35.1" customHeight="1" x14ac:dyDescent="0.3">
      <c r="R26" s="75"/>
      <c r="S26" s="75"/>
      <c r="T26" s="75"/>
      <c r="U26" s="75"/>
      <c r="V26" s="75"/>
      <c r="W26" s="130"/>
      <c r="X26" s="75"/>
      <c r="Y26" s="75"/>
      <c r="Z26" s="75"/>
      <c r="AA26" s="75"/>
      <c r="AB26" s="75"/>
      <c r="AC26" s="75"/>
      <c r="AD26" s="75"/>
      <c r="AE26" s="75"/>
      <c r="AF26" s="75"/>
      <c r="AG26" s="75"/>
      <c r="AH26" s="75"/>
      <c r="AI26" s="75"/>
      <c r="AJ26" s="75"/>
      <c r="AK26" s="75"/>
      <c r="AL26" s="75"/>
    </row>
    <row r="27" spans="1:38" ht="35.1" customHeight="1" x14ac:dyDescent="0.3">
      <c r="R27" s="75"/>
      <c r="S27" s="75"/>
      <c r="T27" s="75"/>
      <c r="U27" s="75"/>
      <c r="V27" s="75"/>
      <c r="W27" s="130"/>
      <c r="X27" s="75"/>
      <c r="Y27" s="75"/>
      <c r="Z27" s="75"/>
      <c r="AA27" s="75"/>
      <c r="AB27" s="75"/>
      <c r="AC27" s="75"/>
      <c r="AD27" s="75"/>
      <c r="AE27" s="75"/>
      <c r="AF27" s="75"/>
      <c r="AG27" s="75"/>
      <c r="AH27" s="75"/>
      <c r="AI27" s="75"/>
      <c r="AJ27" s="75"/>
      <c r="AK27" s="75"/>
      <c r="AL27" s="75"/>
    </row>
    <row r="28" spans="1:38" ht="35.1" customHeight="1" x14ac:dyDescent="0.3">
      <c r="R28" s="75"/>
      <c r="S28" s="75"/>
      <c r="T28" s="75"/>
      <c r="U28" s="75"/>
      <c r="V28" s="75"/>
      <c r="W28" s="130"/>
      <c r="X28" s="75"/>
      <c r="Y28" s="75"/>
      <c r="Z28" s="75"/>
      <c r="AA28" s="75"/>
      <c r="AB28" s="75"/>
      <c r="AC28" s="75"/>
      <c r="AD28" s="75"/>
      <c r="AE28" s="75"/>
      <c r="AF28" s="75"/>
      <c r="AG28" s="75"/>
      <c r="AH28" s="75"/>
      <c r="AI28" s="75"/>
      <c r="AJ28" s="75"/>
      <c r="AK28" s="75"/>
      <c r="AL28" s="75"/>
    </row>
    <row r="29" spans="1:38" ht="35.1" customHeight="1" x14ac:dyDescent="0.3">
      <c r="R29" s="75"/>
      <c r="S29" s="75"/>
      <c r="T29" s="75"/>
      <c r="U29" s="75"/>
      <c r="V29" s="75"/>
      <c r="W29" s="130"/>
      <c r="X29" s="75"/>
      <c r="Y29" s="75"/>
      <c r="Z29" s="75"/>
      <c r="AA29" s="75"/>
      <c r="AB29" s="75"/>
      <c r="AC29" s="75"/>
      <c r="AD29" s="75"/>
      <c r="AE29" s="75"/>
      <c r="AF29" s="75"/>
      <c r="AG29" s="75"/>
      <c r="AH29" s="75"/>
      <c r="AI29" s="75"/>
      <c r="AJ29" s="75"/>
      <c r="AK29" s="75"/>
      <c r="AL29" s="75"/>
    </row>
    <row r="30" spans="1:38" ht="35.1" customHeight="1" x14ac:dyDescent="0.3">
      <c r="R30" s="75"/>
      <c r="S30" s="75"/>
      <c r="T30" s="75"/>
      <c r="U30" s="75"/>
      <c r="V30" s="75"/>
      <c r="W30" s="130"/>
      <c r="X30" s="75"/>
      <c r="Y30" s="75"/>
      <c r="Z30" s="75"/>
      <c r="AA30" s="75"/>
      <c r="AB30" s="75"/>
      <c r="AC30" s="75"/>
      <c r="AD30" s="75"/>
      <c r="AE30" s="75"/>
      <c r="AF30" s="75"/>
      <c r="AG30" s="75"/>
      <c r="AH30" s="75"/>
      <c r="AI30" s="75"/>
      <c r="AJ30" s="75"/>
      <c r="AK30" s="75"/>
      <c r="AL30" s="75"/>
    </row>
    <row r="31" spans="1:38" ht="35.1" customHeight="1" x14ac:dyDescent="0.3">
      <c r="X31" s="75"/>
      <c r="Y31" s="75"/>
      <c r="Z31" s="75"/>
      <c r="AA31" s="75"/>
      <c r="AB31" s="75"/>
      <c r="AC31" s="75"/>
      <c r="AD31" s="75"/>
      <c r="AE31" s="75"/>
      <c r="AF31" s="75"/>
      <c r="AG31" s="75"/>
      <c r="AH31" s="75"/>
      <c r="AI31" s="75"/>
      <c r="AJ31" s="75"/>
      <c r="AK31" s="75"/>
      <c r="AL31" s="75"/>
    </row>
    <row r="32" spans="1:38" ht="35.1" customHeight="1" x14ac:dyDescent="0.3">
      <c r="X32" s="75"/>
      <c r="Y32" s="75"/>
      <c r="Z32" s="75"/>
      <c r="AA32" s="75"/>
      <c r="AB32" s="75"/>
      <c r="AC32" s="75"/>
      <c r="AD32" s="75"/>
      <c r="AE32" s="75"/>
      <c r="AF32" s="75"/>
      <c r="AG32" s="75"/>
      <c r="AH32" s="75"/>
      <c r="AI32" s="75"/>
      <c r="AJ32" s="75"/>
      <c r="AK32" s="75"/>
      <c r="AL32" s="75"/>
    </row>
    <row r="33" spans="24:38" ht="35.1" customHeight="1" x14ac:dyDescent="0.3">
      <c r="X33" s="75"/>
      <c r="Y33" s="75"/>
      <c r="Z33" s="75"/>
      <c r="AA33" s="75"/>
      <c r="AB33" s="75"/>
      <c r="AC33" s="75"/>
      <c r="AD33" s="75"/>
      <c r="AE33" s="75"/>
      <c r="AF33" s="75"/>
      <c r="AG33" s="75"/>
      <c r="AH33" s="75"/>
      <c r="AI33" s="75"/>
      <c r="AJ33" s="75"/>
      <c r="AK33" s="75"/>
      <c r="AL33" s="75"/>
    </row>
    <row r="34" spans="24:38" ht="35.1" customHeight="1" x14ac:dyDescent="0.3">
      <c r="X34" s="75"/>
      <c r="Y34" s="75"/>
      <c r="Z34" s="75"/>
      <c r="AA34" s="75"/>
      <c r="AB34" s="75"/>
      <c r="AC34" s="75"/>
      <c r="AD34" s="75"/>
      <c r="AE34" s="75"/>
      <c r="AF34" s="75"/>
      <c r="AG34" s="75"/>
      <c r="AH34" s="75"/>
      <c r="AI34" s="75"/>
      <c r="AJ34" s="75"/>
      <c r="AK34" s="75"/>
      <c r="AL34" s="75"/>
    </row>
    <row r="35" spans="24:38" x14ac:dyDescent="0.3">
      <c r="X35" s="75"/>
      <c r="Y35" s="75"/>
      <c r="Z35" s="75"/>
      <c r="AA35" s="75"/>
      <c r="AB35" s="75"/>
      <c r="AC35" s="75"/>
      <c r="AD35" s="75"/>
      <c r="AE35" s="75"/>
      <c r="AF35" s="75"/>
      <c r="AG35" s="75"/>
      <c r="AH35" s="75"/>
      <c r="AI35" s="75"/>
      <c r="AJ35" s="75"/>
      <c r="AK35" s="75"/>
      <c r="AL35" s="75"/>
    </row>
    <row r="36" spans="24:38" x14ac:dyDescent="0.3">
      <c r="X36" s="75"/>
      <c r="Y36" s="75"/>
      <c r="Z36" s="75"/>
      <c r="AA36" s="75"/>
      <c r="AB36" s="75"/>
      <c r="AC36" s="75"/>
      <c r="AD36" s="75"/>
      <c r="AE36" s="75"/>
      <c r="AF36" s="75"/>
      <c r="AG36" s="75"/>
      <c r="AH36" s="75"/>
      <c r="AI36" s="75"/>
      <c r="AJ36" s="75"/>
      <c r="AK36" s="75"/>
      <c r="AL36" s="75"/>
    </row>
    <row r="37" spans="24:38" x14ac:dyDescent="0.3">
      <c r="X37" s="75"/>
      <c r="Y37" s="75"/>
      <c r="Z37" s="75"/>
      <c r="AA37" s="75"/>
      <c r="AB37" s="75"/>
      <c r="AC37" s="75"/>
      <c r="AD37" s="75"/>
      <c r="AE37" s="75"/>
      <c r="AF37" s="75"/>
      <c r="AG37" s="75"/>
      <c r="AH37" s="75"/>
      <c r="AI37" s="75"/>
      <c r="AJ37" s="75"/>
      <c r="AK37" s="75"/>
      <c r="AL37" s="75"/>
    </row>
    <row r="38" spans="24:38" x14ac:dyDescent="0.3">
      <c r="X38" s="75"/>
      <c r="Y38" s="75" t="s">
        <v>457</v>
      </c>
      <c r="Z38" s="75"/>
      <c r="AA38" s="75">
        <v>2</v>
      </c>
      <c r="AB38" s="75"/>
      <c r="AC38" s="75"/>
      <c r="AD38" s="75"/>
      <c r="AE38" s="75"/>
      <c r="AF38" s="75"/>
      <c r="AG38" s="75"/>
      <c r="AH38" s="75"/>
      <c r="AI38" s="75"/>
      <c r="AJ38" s="75"/>
      <c r="AK38" s="75"/>
      <c r="AL38" s="75"/>
    </row>
    <row r="39" spans="24:38" x14ac:dyDescent="0.3">
      <c r="X39" s="75"/>
      <c r="Y39" s="75" t="s">
        <v>424</v>
      </c>
      <c r="Z39" s="75"/>
      <c r="AA39" s="75">
        <v>36</v>
      </c>
      <c r="AB39" s="75"/>
      <c r="AC39" s="75"/>
      <c r="AD39" s="75"/>
      <c r="AE39" s="75"/>
      <c r="AF39" s="75"/>
      <c r="AG39" s="75"/>
      <c r="AH39" s="75"/>
      <c r="AI39" s="75"/>
      <c r="AJ39" s="75"/>
      <c r="AK39" s="75"/>
      <c r="AL39" s="75"/>
    </row>
    <row r="40" spans="24:38" x14ac:dyDescent="0.3">
      <c r="X40" s="75"/>
      <c r="Y40" s="75" t="s">
        <v>475</v>
      </c>
      <c r="Z40" s="75"/>
      <c r="AA40" s="75">
        <v>6</v>
      </c>
      <c r="AB40" s="75"/>
      <c r="AC40" s="75"/>
      <c r="AD40" s="75"/>
      <c r="AE40" s="75"/>
      <c r="AF40" s="75"/>
      <c r="AG40" s="75"/>
      <c r="AH40" s="75"/>
      <c r="AI40" s="75"/>
      <c r="AJ40" s="75"/>
      <c r="AK40" s="75"/>
      <c r="AL40" s="75"/>
    </row>
    <row r="41" spans="24:38" x14ac:dyDescent="0.3">
      <c r="X41" s="75"/>
      <c r="Y41" s="75" t="s">
        <v>476</v>
      </c>
      <c r="Z41" s="75"/>
      <c r="AA41" s="75"/>
      <c r="AB41" s="75"/>
      <c r="AC41" s="75"/>
      <c r="AD41" s="75"/>
      <c r="AE41" s="75"/>
      <c r="AF41" s="75"/>
      <c r="AG41" s="75"/>
      <c r="AH41" s="75"/>
      <c r="AI41" s="75"/>
      <c r="AJ41" s="75"/>
      <c r="AK41" s="75">
        <v>10</v>
      </c>
      <c r="AL41" s="75">
        <v>1</v>
      </c>
    </row>
    <row r="42" spans="24:38" x14ac:dyDescent="0.3">
      <c r="X42" s="75"/>
      <c r="Y42" s="75" t="s">
        <v>477</v>
      </c>
      <c r="Z42" s="75"/>
      <c r="AA42" s="75">
        <v>2</v>
      </c>
      <c r="AB42" s="75"/>
      <c r="AC42" s="75"/>
      <c r="AD42" s="75"/>
      <c r="AE42" s="75"/>
      <c r="AF42" s="75"/>
      <c r="AG42" s="75"/>
      <c r="AH42" s="75"/>
      <c r="AI42" s="75"/>
      <c r="AJ42" s="75"/>
      <c r="AK42" s="75"/>
      <c r="AL42" s="75"/>
    </row>
    <row r="43" spans="24:38" x14ac:dyDescent="0.3">
      <c r="X43" s="75"/>
      <c r="Y43" s="75" t="s">
        <v>478</v>
      </c>
      <c r="Z43" s="75"/>
      <c r="AA43" s="75">
        <v>6</v>
      </c>
      <c r="AB43" s="75"/>
      <c r="AC43" s="75"/>
      <c r="AD43" s="75"/>
      <c r="AE43" s="75"/>
      <c r="AF43" s="75"/>
      <c r="AG43" s="75"/>
      <c r="AH43" s="75"/>
      <c r="AI43" s="75"/>
      <c r="AJ43" s="75"/>
      <c r="AK43" s="75"/>
      <c r="AL43" s="75"/>
    </row>
    <row r="44" spans="24:38" x14ac:dyDescent="0.3">
      <c r="X44" s="75"/>
      <c r="Y44" s="75" t="s">
        <v>479</v>
      </c>
      <c r="Z44" s="75"/>
      <c r="AA44" s="75">
        <v>2</v>
      </c>
      <c r="AB44" s="75"/>
      <c r="AC44" s="75"/>
      <c r="AD44" s="75"/>
      <c r="AE44" s="75"/>
      <c r="AF44" s="75"/>
      <c r="AG44" s="75"/>
      <c r="AH44" s="75"/>
      <c r="AI44" s="75"/>
      <c r="AJ44" s="75"/>
      <c r="AK44" s="75"/>
      <c r="AL44" s="75"/>
    </row>
    <row r="45" spans="24:38" x14ac:dyDescent="0.3">
      <c r="X45" s="75"/>
      <c r="Y45" s="75" t="s">
        <v>480</v>
      </c>
      <c r="Z45" s="75"/>
      <c r="AA45" s="75"/>
      <c r="AB45" s="75"/>
      <c r="AC45" s="75"/>
      <c r="AD45" s="75"/>
      <c r="AE45" s="75"/>
      <c r="AF45" s="75"/>
      <c r="AG45" s="75"/>
      <c r="AH45" s="75"/>
      <c r="AI45" s="75">
        <v>4</v>
      </c>
      <c r="AJ45" s="75"/>
      <c r="AK45" s="75"/>
      <c r="AL45" s="75"/>
    </row>
    <row r="46" spans="24:38" x14ac:dyDescent="0.3">
      <c r="X46" s="75"/>
      <c r="Y46" s="75" t="s">
        <v>424</v>
      </c>
      <c r="Z46" s="75"/>
      <c r="AA46" s="75">
        <v>11</v>
      </c>
      <c r="AB46" s="75"/>
      <c r="AC46" s="75"/>
      <c r="AD46" s="75"/>
      <c r="AE46" s="75">
        <v>33</v>
      </c>
      <c r="AF46" s="75"/>
      <c r="AG46" s="75"/>
      <c r="AH46" s="75"/>
      <c r="AI46" s="75">
        <v>2</v>
      </c>
      <c r="AJ46" s="75"/>
      <c r="AK46" s="75"/>
      <c r="AL46" s="75"/>
    </row>
    <row r="47" spans="24:38" x14ac:dyDescent="0.3">
      <c r="X47" s="75"/>
      <c r="Y47" s="75" t="s">
        <v>481</v>
      </c>
      <c r="Z47" s="75"/>
      <c r="AA47" s="75"/>
      <c r="AB47" s="75"/>
      <c r="AC47" s="75"/>
      <c r="AD47" s="75"/>
      <c r="AE47" s="75"/>
      <c r="AF47" s="75"/>
      <c r="AG47" s="75"/>
      <c r="AH47" s="75"/>
      <c r="AI47" s="75"/>
      <c r="AJ47" s="75"/>
      <c r="AK47" s="75">
        <v>8</v>
      </c>
      <c r="AL47" s="75"/>
    </row>
    <row r="48" spans="24:38" x14ac:dyDescent="0.3">
      <c r="X48" s="75"/>
      <c r="Y48" s="75" t="s">
        <v>470</v>
      </c>
      <c r="Z48" s="75"/>
      <c r="AA48" s="75"/>
      <c r="AB48" s="75"/>
      <c r="AC48" s="75"/>
      <c r="AD48" s="75"/>
      <c r="AE48" s="75"/>
      <c r="AF48" s="75"/>
      <c r="AG48" s="75"/>
      <c r="AH48" s="75"/>
      <c r="AI48" s="75"/>
      <c r="AJ48" s="75"/>
      <c r="AK48" s="75">
        <v>4</v>
      </c>
      <c r="AL48" s="75"/>
    </row>
    <row r="49" spans="24:38" x14ac:dyDescent="0.3">
      <c r="X49" s="128">
        <v>46243</v>
      </c>
      <c r="Y49" s="75" t="s">
        <v>482</v>
      </c>
      <c r="Z49" s="75"/>
      <c r="AA49" s="75">
        <v>22</v>
      </c>
      <c r="AB49" s="75"/>
      <c r="AC49" s="75"/>
      <c r="AD49" s="75"/>
      <c r="AE49" s="75"/>
      <c r="AF49" s="75"/>
      <c r="AG49" s="75"/>
      <c r="AH49" s="75"/>
      <c r="AI49" s="75"/>
      <c r="AJ49" s="75"/>
      <c r="AK49" s="75"/>
      <c r="AL49" s="75"/>
    </row>
    <row r="50" spans="24:38" x14ac:dyDescent="0.3">
      <c r="X50" s="75"/>
      <c r="Y50" s="75" t="s">
        <v>482</v>
      </c>
      <c r="Z50" s="75"/>
      <c r="AA50" s="75">
        <v>22</v>
      </c>
      <c r="AB50" s="75"/>
      <c r="AC50" s="75"/>
      <c r="AD50" s="75"/>
      <c r="AE50" s="75"/>
      <c r="AF50" s="75"/>
      <c r="AG50" s="75"/>
      <c r="AH50" s="75"/>
      <c r="AI50" s="75"/>
      <c r="AJ50" s="75"/>
      <c r="AK50" s="75"/>
      <c r="AL50" s="75"/>
    </row>
    <row r="51" spans="24:38" x14ac:dyDescent="0.3">
      <c r="X51" s="75"/>
      <c r="Y51" s="75" t="s">
        <v>482</v>
      </c>
      <c r="Z51" s="75"/>
      <c r="AA51" s="75"/>
      <c r="AB51" s="75"/>
      <c r="AC51" s="75"/>
      <c r="AD51" s="75"/>
      <c r="AE51" s="75">
        <v>11</v>
      </c>
      <c r="AF51" s="75"/>
      <c r="AG51" s="75"/>
      <c r="AH51" s="75"/>
      <c r="AI51" s="75">
        <v>4</v>
      </c>
      <c r="AJ51" s="75"/>
      <c r="AK51" s="75"/>
      <c r="AL51" s="75"/>
    </row>
    <row r="52" spans="24:38" x14ac:dyDescent="0.3">
      <c r="X52" s="75"/>
      <c r="Y52" s="75" t="s">
        <v>73</v>
      </c>
      <c r="Z52" s="75"/>
      <c r="AA52" s="75">
        <v>3</v>
      </c>
      <c r="AB52" s="75"/>
      <c r="AC52" s="75"/>
      <c r="AD52" s="75"/>
      <c r="AE52" s="75">
        <v>3</v>
      </c>
      <c r="AF52" s="75"/>
      <c r="AG52" s="75"/>
      <c r="AH52" s="75"/>
      <c r="AI52" s="75"/>
      <c r="AJ52" s="75"/>
      <c r="AK52" s="75"/>
      <c r="AL52" s="75"/>
    </row>
    <row r="53" spans="24:38" x14ac:dyDescent="0.3">
      <c r="X53" s="75"/>
      <c r="Y53" s="75" t="s">
        <v>483</v>
      </c>
      <c r="Z53" s="75"/>
      <c r="AA53" s="75">
        <v>2</v>
      </c>
      <c r="AB53" s="75"/>
      <c r="AC53" s="75"/>
      <c r="AD53" s="75"/>
      <c r="AE53" s="75"/>
      <c r="AF53" s="75"/>
      <c r="AG53" s="75"/>
      <c r="AH53" s="75"/>
      <c r="AI53" s="75"/>
      <c r="AJ53" s="75"/>
      <c r="AK53" s="75"/>
      <c r="AL53" s="75"/>
    </row>
    <row r="54" spans="24:38" x14ac:dyDescent="0.3">
      <c r="X54" s="75"/>
      <c r="Y54" s="75" t="s">
        <v>475</v>
      </c>
      <c r="Z54" s="75"/>
      <c r="AA54" s="75">
        <v>4</v>
      </c>
      <c r="AB54" s="75"/>
      <c r="AC54" s="75"/>
      <c r="AD54" s="75"/>
      <c r="AE54" s="75"/>
      <c r="AF54" s="75"/>
      <c r="AG54" s="75"/>
      <c r="AH54" s="75"/>
      <c r="AI54" s="75"/>
      <c r="AJ54" s="75"/>
      <c r="AK54" s="75"/>
      <c r="AL54" s="75"/>
    </row>
    <row r="55" spans="24:38" x14ac:dyDescent="0.3">
      <c r="X55" s="75"/>
      <c r="Y55" s="75" t="s">
        <v>482</v>
      </c>
      <c r="Z55" s="75"/>
      <c r="AA55" s="75"/>
      <c r="AB55" s="75"/>
      <c r="AC55" s="75"/>
      <c r="AD55" s="75"/>
      <c r="AE55" s="75">
        <v>22</v>
      </c>
      <c r="AF55" s="75"/>
      <c r="AG55" s="75"/>
      <c r="AH55" s="75"/>
      <c r="AI55" s="75"/>
      <c r="AJ55" s="75"/>
      <c r="AK55" s="75"/>
      <c r="AL55" s="75"/>
    </row>
    <row r="56" spans="24:38" x14ac:dyDescent="0.3">
      <c r="X56" s="75"/>
      <c r="Y56" s="75" t="s">
        <v>484</v>
      </c>
      <c r="Z56" s="75"/>
      <c r="AA56" s="75"/>
      <c r="AB56" s="75"/>
      <c r="AC56" s="75"/>
      <c r="AD56" s="75"/>
      <c r="AE56" s="75"/>
      <c r="AF56" s="75"/>
      <c r="AG56" s="75"/>
      <c r="AH56" s="75"/>
      <c r="AI56" s="75">
        <v>3</v>
      </c>
      <c r="AJ56" s="75"/>
      <c r="AK56" s="75"/>
      <c r="AL56" s="75"/>
    </row>
    <row r="57" spans="24:38" x14ac:dyDescent="0.3">
      <c r="X57" s="75"/>
      <c r="Y57" s="75"/>
      <c r="Z57" s="75"/>
      <c r="AA57" s="75"/>
      <c r="AB57" s="75"/>
      <c r="AC57" s="75"/>
      <c r="AD57" s="75"/>
      <c r="AE57" s="75"/>
      <c r="AF57" s="75"/>
      <c r="AG57" s="75"/>
      <c r="AH57" s="75"/>
      <c r="AI57" s="75"/>
      <c r="AJ57" s="75"/>
      <c r="AK57" s="75"/>
      <c r="AL57" s="75"/>
    </row>
    <row r="58" spans="24:38" x14ac:dyDescent="0.3">
      <c r="X58" s="75"/>
      <c r="Y58" s="75"/>
      <c r="Z58" s="75"/>
      <c r="AA58" s="75"/>
      <c r="AB58" s="75"/>
      <c r="AC58" s="75"/>
      <c r="AD58" s="75"/>
      <c r="AE58" s="75"/>
      <c r="AF58" s="75"/>
      <c r="AG58" s="75"/>
      <c r="AH58" s="75"/>
      <c r="AI58" s="75"/>
      <c r="AJ58" s="75"/>
      <c r="AK58" s="75"/>
      <c r="AL58" s="75"/>
    </row>
    <row r="59" spans="24:38" x14ac:dyDescent="0.3">
      <c r="X59" s="75"/>
      <c r="Y59" s="75"/>
      <c r="Z59" s="75"/>
      <c r="AA59" s="75"/>
      <c r="AB59" s="75"/>
      <c r="AC59" s="75"/>
      <c r="AD59" s="75"/>
      <c r="AE59" s="75"/>
      <c r="AF59" s="75"/>
      <c r="AG59" s="75"/>
      <c r="AH59" s="75"/>
      <c r="AI59" s="75"/>
      <c r="AJ59" s="75"/>
      <c r="AK59" s="75"/>
      <c r="AL59" s="75"/>
    </row>
    <row r="60" spans="24:38" x14ac:dyDescent="0.3">
      <c r="X60" s="75"/>
      <c r="Y60" s="75"/>
      <c r="Z60" s="75"/>
      <c r="AA60" s="75"/>
      <c r="AB60" s="75"/>
      <c r="AC60" s="75"/>
      <c r="AD60" s="75"/>
      <c r="AE60" s="75"/>
      <c r="AF60" s="75"/>
      <c r="AG60" s="75"/>
      <c r="AH60" s="75"/>
      <c r="AI60" s="75"/>
      <c r="AJ60" s="75"/>
      <c r="AK60" s="75"/>
      <c r="AL60" s="75"/>
    </row>
    <row r="61" spans="24:38" x14ac:dyDescent="0.3">
      <c r="X61" s="75"/>
      <c r="Y61" s="75"/>
      <c r="Z61" s="75"/>
      <c r="AA61" s="75"/>
      <c r="AB61" s="75"/>
      <c r="AC61" s="75"/>
      <c r="AD61" s="75"/>
      <c r="AE61" s="75"/>
      <c r="AF61" s="75"/>
      <c r="AG61" s="75"/>
      <c r="AH61" s="75"/>
      <c r="AI61" s="75"/>
      <c r="AJ61" s="75"/>
      <c r="AK61" s="75"/>
      <c r="AL61" s="75"/>
    </row>
    <row r="62" spans="24:38" x14ac:dyDescent="0.3">
      <c r="X62" s="75"/>
      <c r="Y62" s="75"/>
      <c r="Z62" s="75"/>
      <c r="AA62" s="75"/>
      <c r="AB62" s="75"/>
      <c r="AC62" s="75"/>
      <c r="AD62" s="75"/>
      <c r="AE62" s="75"/>
      <c r="AF62" s="75"/>
      <c r="AG62" s="75"/>
      <c r="AH62" s="75"/>
      <c r="AI62" s="75"/>
      <c r="AJ62" s="75"/>
      <c r="AK62" s="75"/>
      <c r="AL62" s="75"/>
    </row>
    <row r="63" spans="24:38" x14ac:dyDescent="0.3">
      <c r="X63" s="75"/>
      <c r="Y63" s="75"/>
      <c r="Z63" s="75"/>
      <c r="AA63" s="75"/>
      <c r="AB63" s="75"/>
      <c r="AC63" s="75"/>
      <c r="AD63" s="75"/>
      <c r="AE63" s="75"/>
      <c r="AF63" s="75"/>
      <c r="AG63" s="75"/>
      <c r="AH63" s="75"/>
      <c r="AI63" s="75"/>
      <c r="AJ63" s="75"/>
      <c r="AK63" s="75"/>
      <c r="AL63" s="75"/>
    </row>
    <row r="64" spans="24:38" x14ac:dyDescent="0.3">
      <c r="X64" s="75"/>
      <c r="Y64" s="75"/>
      <c r="Z64" s="75"/>
      <c r="AA64" s="75"/>
      <c r="AB64" s="75"/>
      <c r="AC64" s="75"/>
      <c r="AD64" s="75"/>
      <c r="AE64" s="75"/>
      <c r="AF64" s="75"/>
      <c r="AG64" s="75"/>
      <c r="AH64" s="75"/>
      <c r="AI64" s="75"/>
      <c r="AJ64" s="75"/>
      <c r="AK64" s="75"/>
      <c r="AL64" s="75"/>
    </row>
    <row r="65" spans="24:38" x14ac:dyDescent="0.3">
      <c r="X65" s="75"/>
      <c r="Y65" s="75"/>
      <c r="Z65" s="75"/>
      <c r="AA65" s="75"/>
      <c r="AB65" s="75"/>
      <c r="AC65" s="75"/>
      <c r="AD65" s="75"/>
      <c r="AE65" s="75"/>
      <c r="AF65" s="75"/>
      <c r="AG65" s="75"/>
      <c r="AH65" s="75"/>
      <c r="AI65" s="75"/>
      <c r="AJ65" s="75"/>
      <c r="AK65" s="75"/>
      <c r="AL65" s="75"/>
    </row>
    <row r="66" spans="24:38" x14ac:dyDescent="0.3">
      <c r="X66" s="75"/>
      <c r="Z66" s="75"/>
      <c r="AA66" s="75"/>
      <c r="AB66" s="75"/>
      <c r="AC66" s="75"/>
      <c r="AD66" s="75"/>
      <c r="AE66" s="75"/>
      <c r="AF66" s="75"/>
      <c r="AG66" s="75"/>
      <c r="AH66" s="75"/>
      <c r="AI66" s="75"/>
      <c r="AJ66" s="75"/>
      <c r="AK66" s="75"/>
      <c r="AL66" s="75"/>
    </row>
    <row r="67" spans="24:38" x14ac:dyDescent="0.3">
      <c r="X67" s="75"/>
      <c r="Y67" s="75"/>
      <c r="Z67" s="75"/>
      <c r="AA67" s="75"/>
      <c r="AB67" s="75"/>
      <c r="AC67" s="75"/>
      <c r="AD67" s="75"/>
      <c r="AE67" s="75"/>
      <c r="AF67" s="75"/>
      <c r="AG67" s="75"/>
      <c r="AH67" s="75"/>
      <c r="AI67" s="75"/>
      <c r="AJ67" s="75"/>
      <c r="AK67" s="75"/>
      <c r="AL67" s="75"/>
    </row>
    <row r="68" spans="24:38" x14ac:dyDescent="0.3">
      <c r="X68" s="75"/>
      <c r="Y68" s="75"/>
      <c r="Z68" s="75"/>
      <c r="AA68" s="75"/>
      <c r="AB68" s="75"/>
      <c r="AC68" s="75"/>
      <c r="AD68" s="75"/>
      <c r="AE68" s="75"/>
      <c r="AF68" s="75"/>
      <c r="AG68" s="75"/>
      <c r="AH68" s="75"/>
      <c r="AI68" s="75"/>
      <c r="AJ68" s="75"/>
      <c r="AK68" s="75"/>
      <c r="AL68" s="75"/>
    </row>
    <row r="69" spans="24:38" x14ac:dyDescent="0.3">
      <c r="X69" s="75"/>
      <c r="Y69" s="75"/>
      <c r="Z69" s="113" t="s">
        <v>448</v>
      </c>
      <c r="AA69" s="75">
        <f t="shared" ref="AA69:AL69" si="122">SUM(AA38:AA65)</f>
        <v>118</v>
      </c>
      <c r="AB69" s="75">
        <f t="shared" si="122"/>
        <v>0</v>
      </c>
      <c r="AC69" s="75">
        <f t="shared" si="122"/>
        <v>0</v>
      </c>
      <c r="AD69" s="75">
        <f t="shared" si="122"/>
        <v>0</v>
      </c>
      <c r="AE69" s="75">
        <f t="shared" si="122"/>
        <v>69</v>
      </c>
      <c r="AF69" s="75">
        <f t="shared" si="122"/>
        <v>0</v>
      </c>
      <c r="AG69" s="75">
        <f t="shared" si="122"/>
        <v>0</v>
      </c>
      <c r="AH69" s="75">
        <f t="shared" si="122"/>
        <v>0</v>
      </c>
      <c r="AI69" s="75">
        <f t="shared" si="122"/>
        <v>13</v>
      </c>
      <c r="AJ69" s="75">
        <f t="shared" si="122"/>
        <v>0</v>
      </c>
      <c r="AK69" s="75">
        <f t="shared" si="122"/>
        <v>22</v>
      </c>
      <c r="AL69" s="75">
        <f t="shared" si="122"/>
        <v>1</v>
      </c>
    </row>
    <row r="70" spans="24:38" x14ac:dyDescent="0.3">
      <c r="X70" s="75"/>
      <c r="Y70" s="75"/>
      <c r="Z70" s="113" t="s">
        <v>449</v>
      </c>
      <c r="AA70" s="114">
        <f>I4+I124-AA69</f>
        <v>-118</v>
      </c>
      <c r="AB70" s="114">
        <f>K4+K124-AB69</f>
        <v>50</v>
      </c>
      <c r="AC70" s="114">
        <f>L4+L124-AC69</f>
        <v>0</v>
      </c>
      <c r="AD70" s="114">
        <f>M4+M124-AD69</f>
        <v>0</v>
      </c>
      <c r="AE70" s="114">
        <f>N4+N124-AE69</f>
        <v>-69</v>
      </c>
      <c r="AF70" s="114">
        <f>P4+P124-AF69</f>
        <v>2</v>
      </c>
      <c r="AG70" s="114">
        <f>Q4+Q124-AG69</f>
        <v>0</v>
      </c>
      <c r="AH70" s="114">
        <f>R4+R124-AH69</f>
        <v>0</v>
      </c>
      <c r="AI70" s="114">
        <f>S4+S124-AI69</f>
        <v>-13</v>
      </c>
      <c r="AJ70" s="114">
        <f t="shared" ref="AJ70:AL70" si="123">U4+U124-AJ69</f>
        <v>48</v>
      </c>
      <c r="AK70" s="114">
        <f t="shared" si="123"/>
        <v>-22</v>
      </c>
      <c r="AL70" s="114">
        <f t="shared" si="123"/>
        <v>-1</v>
      </c>
    </row>
    <row r="71" spans="24:38" x14ac:dyDescent="0.3">
      <c r="X71" s="75"/>
    </row>
    <row r="72" spans="24:38" x14ac:dyDescent="0.3">
      <c r="X72" s="75"/>
    </row>
    <row r="73" spans="24:38" x14ac:dyDescent="0.3">
      <c r="X73" s="75"/>
    </row>
    <row r="74" spans="24:38" x14ac:dyDescent="0.3">
      <c r="X74" s="75"/>
    </row>
    <row r="75" spans="24:38" x14ac:dyDescent="0.3">
      <c r="X75" s="75"/>
    </row>
    <row r="76" spans="24:38" x14ac:dyDescent="0.3">
      <c r="X76" s="75"/>
    </row>
    <row r="77" spans="24:38" x14ac:dyDescent="0.3">
      <c r="X77" s="75"/>
    </row>
    <row r="78" spans="24:38" x14ac:dyDescent="0.3">
      <c r="X78" s="75"/>
    </row>
    <row r="79" spans="24:38" x14ac:dyDescent="0.3">
      <c r="X79" s="75"/>
    </row>
    <row r="80" spans="24:38" x14ac:dyDescent="0.3">
      <c r="X80" s="75"/>
    </row>
    <row r="81" spans="24:24" x14ac:dyDescent="0.3">
      <c r="X81" s="75"/>
    </row>
    <row r="82" spans="24:24" x14ac:dyDescent="0.3">
      <c r="X82" s="75"/>
    </row>
    <row r="83" spans="24:24" x14ac:dyDescent="0.3">
      <c r="X83" s="75"/>
    </row>
    <row r="84" spans="24:24" x14ac:dyDescent="0.3">
      <c r="X84" s="75"/>
    </row>
    <row r="85" spans="24:24" x14ac:dyDescent="0.3">
      <c r="X85" s="75"/>
    </row>
    <row r="86" spans="24:24" x14ac:dyDescent="0.3">
      <c r="X86" s="75"/>
    </row>
    <row r="87" spans="24:24" x14ac:dyDescent="0.3">
      <c r="X87" s="75"/>
    </row>
    <row r="88" spans="24:24" x14ac:dyDescent="0.3">
      <c r="X88" s="75"/>
    </row>
    <row r="89" spans="24:24" x14ac:dyDescent="0.3">
      <c r="X89" s="75"/>
    </row>
    <row r="90" spans="24:24" x14ac:dyDescent="0.3">
      <c r="X90" s="75"/>
    </row>
    <row r="91" spans="24:24" x14ac:dyDescent="0.3">
      <c r="X91" s="75"/>
    </row>
    <row r="92" spans="24:24" x14ac:dyDescent="0.3">
      <c r="X92" s="75"/>
    </row>
    <row r="93" spans="24:24" x14ac:dyDescent="0.3">
      <c r="X93" s="75"/>
    </row>
    <row r="94" spans="24:24" x14ac:dyDescent="0.3">
      <c r="X94" s="75"/>
    </row>
    <row r="95" spans="24:24" x14ac:dyDescent="0.3">
      <c r="X95" s="75"/>
    </row>
    <row r="96" spans="24:24" x14ac:dyDescent="0.3">
      <c r="X96" s="75"/>
    </row>
    <row r="97" spans="24:24" x14ac:dyDescent="0.3">
      <c r="X97" s="75"/>
    </row>
    <row r="98" spans="24:24" x14ac:dyDescent="0.3">
      <c r="X98" s="75"/>
    </row>
    <row r="99" spans="24:24" x14ac:dyDescent="0.3">
      <c r="X99" s="75"/>
    </row>
    <row r="100" spans="24:24" x14ac:dyDescent="0.3">
      <c r="X100" s="75"/>
    </row>
    <row r="101" spans="24:24" x14ac:dyDescent="0.3">
      <c r="X101" s="75"/>
    </row>
    <row r="102" spans="24:24" x14ac:dyDescent="0.3">
      <c r="X102" s="75"/>
    </row>
    <row r="103" spans="24:24" x14ac:dyDescent="0.3">
      <c r="X103" s="75"/>
    </row>
    <row r="104" spans="24:24" x14ac:dyDescent="0.3">
      <c r="X104" s="75"/>
    </row>
    <row r="105" spans="24:24" x14ac:dyDescent="0.3">
      <c r="X105" s="75"/>
    </row>
    <row r="106" spans="24:24" x14ac:dyDescent="0.3">
      <c r="X106" s="75"/>
    </row>
    <row r="107" spans="24:24" x14ac:dyDescent="0.3">
      <c r="X107" s="75"/>
    </row>
    <row r="108" spans="24:24" x14ac:dyDescent="0.3">
      <c r="X108" s="75"/>
    </row>
    <row r="109" spans="24:24" x14ac:dyDescent="0.3">
      <c r="X109" s="75"/>
    </row>
    <row r="110" spans="24:24" x14ac:dyDescent="0.3">
      <c r="X110" s="75"/>
    </row>
    <row r="111" spans="24:24" x14ac:dyDescent="0.3">
      <c r="X111" s="75"/>
    </row>
    <row r="112" spans="24:24" x14ac:dyDescent="0.3">
      <c r="X112" s="75"/>
    </row>
    <row r="113" spans="24:24" x14ac:dyDescent="0.3">
      <c r="X113" s="75"/>
    </row>
    <row r="114" spans="24:24" x14ac:dyDescent="0.3">
      <c r="X114" s="75"/>
    </row>
    <row r="115" spans="24:24" x14ac:dyDescent="0.3">
      <c r="X115" s="75"/>
    </row>
    <row r="116" spans="24:24" x14ac:dyDescent="0.3">
      <c r="X116" s="75"/>
    </row>
    <row r="117" spans="24:24" x14ac:dyDescent="0.3">
      <c r="X117" s="75"/>
    </row>
    <row r="118" spans="24:24" x14ac:dyDescent="0.3">
      <c r="X118" s="75"/>
    </row>
    <row r="119" spans="24:24" x14ac:dyDescent="0.3">
      <c r="X119" s="75"/>
    </row>
    <row r="120" spans="24:24" x14ac:dyDescent="0.3">
      <c r="X120" s="75"/>
    </row>
    <row r="121" spans="24:24" x14ac:dyDescent="0.3">
      <c r="X121" s="75"/>
    </row>
    <row r="122" spans="24:24" x14ac:dyDescent="0.3">
      <c r="X122" s="75"/>
    </row>
    <row r="123" spans="24:24" x14ac:dyDescent="0.3">
      <c r="X123" s="75"/>
    </row>
    <row r="124" spans="24:24" x14ac:dyDescent="0.3">
      <c r="X124" s="75"/>
    </row>
    <row r="125" spans="24:24" x14ac:dyDescent="0.3">
      <c r="X125" s="75"/>
    </row>
  </sheetData>
  <mergeCells count="4">
    <mergeCell ref="C1:G1"/>
    <mergeCell ref="H1:L1"/>
    <mergeCell ref="M1:Q1"/>
    <mergeCell ref="R1:V1"/>
  </mergeCells>
  <dataValidations count="1">
    <dataValidation type="list" allowBlank="1" showInputMessage="1" showErrorMessage="1" sqref="Y69:Y1070 Y1:Y3" xr:uid="{4D1969D8-6AC5-4AE6-B529-BF5D06478DAE}">
      <formula1>$A$3:$A$475</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BB20-E06D-4FDA-8AA1-20C06565DD5E}">
  <dimension ref="A1:AL123"/>
  <sheetViews>
    <sheetView topLeftCell="D1" workbookViewId="0">
      <selection activeCell="R20" sqref="R20:V21"/>
    </sheetView>
  </sheetViews>
  <sheetFormatPr defaultColWidth="10.109375" defaultRowHeight="14.4" x14ac:dyDescent="0.3"/>
  <cols>
    <col min="1" max="1" width="5.5546875" customWidth="1"/>
    <col min="2" max="2" width="13.109375" style="77" customWidth="1"/>
    <col min="3" max="3" width="13.109375" customWidth="1"/>
    <col min="4" max="5" width="11.109375" customWidth="1"/>
    <col min="19" max="20" width="11.6640625" customWidth="1"/>
    <col min="24" max="25" width="26.6640625" customWidth="1"/>
    <col min="26" max="26" width="23.6640625" customWidth="1"/>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76" t="s">
        <v>3</v>
      </c>
      <c r="B1" s="76" t="s">
        <v>377</v>
      </c>
      <c r="C1" s="468" t="s">
        <v>378</v>
      </c>
      <c r="D1" s="468"/>
      <c r="E1" s="468"/>
      <c r="F1" s="468"/>
      <c r="G1" s="468"/>
      <c r="H1" s="469" t="s">
        <v>379</v>
      </c>
      <c r="I1" s="469"/>
      <c r="J1" s="469"/>
      <c r="K1" s="469"/>
      <c r="L1" s="469"/>
      <c r="M1" s="470" t="s">
        <v>380</v>
      </c>
      <c r="N1" s="470"/>
      <c r="O1" s="470"/>
      <c r="P1" s="470"/>
      <c r="Q1" s="470"/>
      <c r="R1" s="471" t="s">
        <v>381</v>
      </c>
      <c r="S1" s="471"/>
      <c r="T1" s="471"/>
      <c r="U1" s="471"/>
      <c r="V1" s="471"/>
      <c r="W1" s="75"/>
      <c r="X1" s="116"/>
      <c r="Y1" s="115" t="s">
        <v>380</v>
      </c>
      <c r="Z1" s="115"/>
      <c r="AA1" s="115"/>
      <c r="AB1" s="115"/>
      <c r="AC1" s="115"/>
      <c r="AD1" s="115"/>
      <c r="AE1" s="115"/>
      <c r="AF1" s="115"/>
      <c r="AG1" s="115"/>
      <c r="AH1" s="115"/>
      <c r="AI1" s="115"/>
      <c r="AJ1" s="115"/>
      <c r="AK1" s="115"/>
      <c r="AL1" s="115"/>
    </row>
    <row r="2" spans="1:38" ht="32.85" customHeight="1" x14ac:dyDescent="0.3">
      <c r="A2" s="75"/>
      <c r="B2" s="78"/>
      <c r="C2" s="79" t="s">
        <v>382</v>
      </c>
      <c r="D2" s="79" t="s">
        <v>383</v>
      </c>
      <c r="E2" s="79" t="s">
        <v>516</v>
      </c>
      <c r="F2" s="79" t="s">
        <v>384</v>
      </c>
      <c r="G2" s="79" t="s">
        <v>385</v>
      </c>
      <c r="H2" s="80" t="s">
        <v>382</v>
      </c>
      <c r="I2" s="80" t="s">
        <v>383</v>
      </c>
      <c r="J2" s="217" t="s">
        <v>516</v>
      </c>
      <c r="K2" s="80" t="s">
        <v>384</v>
      </c>
      <c r="L2" s="80" t="s">
        <v>385</v>
      </c>
      <c r="M2" s="81" t="s">
        <v>382</v>
      </c>
      <c r="N2" s="81" t="s">
        <v>383</v>
      </c>
      <c r="O2" s="81" t="s">
        <v>495</v>
      </c>
      <c r="P2" s="81" t="s">
        <v>384</v>
      </c>
      <c r="Q2" s="81" t="s">
        <v>385</v>
      </c>
      <c r="R2" s="82" t="s">
        <v>382</v>
      </c>
      <c r="S2" s="82" t="s">
        <v>383</v>
      </c>
      <c r="T2" s="82" t="s">
        <v>495</v>
      </c>
      <c r="U2" s="82" t="s">
        <v>384</v>
      </c>
      <c r="V2" s="82" t="s">
        <v>385</v>
      </c>
      <c r="W2" s="75"/>
      <c r="X2" s="117"/>
      <c r="Y2" s="107" t="s">
        <v>328</v>
      </c>
      <c r="Z2" s="107" t="s">
        <v>412</v>
      </c>
      <c r="AA2" s="108" t="s">
        <v>26</v>
      </c>
      <c r="AB2" s="106" t="s">
        <v>413</v>
      </c>
      <c r="AC2" s="106" t="s">
        <v>414</v>
      </c>
      <c r="AD2" s="106" t="s">
        <v>415</v>
      </c>
      <c r="AE2" s="106" t="s">
        <v>29</v>
      </c>
      <c r="AF2" s="106" t="s">
        <v>416</v>
      </c>
      <c r="AG2" s="106" t="s">
        <v>417</v>
      </c>
      <c r="AH2" s="106" t="s">
        <v>418</v>
      </c>
      <c r="AI2" s="106" t="s">
        <v>419</v>
      </c>
      <c r="AJ2" s="106" t="s">
        <v>420</v>
      </c>
      <c r="AK2" s="106" t="s">
        <v>42</v>
      </c>
      <c r="AL2" s="106" t="s">
        <v>421</v>
      </c>
    </row>
    <row r="3" spans="1:38" ht="32.85" hidden="1" customHeight="1" x14ac:dyDescent="0.35">
      <c r="A3" s="75"/>
      <c r="B3" s="78">
        <v>46273</v>
      </c>
      <c r="C3" s="75"/>
      <c r="D3" s="75"/>
      <c r="E3" s="75"/>
      <c r="F3" s="75"/>
      <c r="G3" s="75"/>
      <c r="H3" s="75"/>
      <c r="I3" s="75"/>
      <c r="J3" s="75"/>
      <c r="K3" s="75"/>
      <c r="L3" s="75"/>
      <c r="M3" s="75"/>
      <c r="N3" s="75"/>
      <c r="O3" s="75"/>
      <c r="P3" s="75"/>
      <c r="Q3" s="75"/>
      <c r="R3" s="75">
        <f>C3+H3-M3</f>
        <v>0</v>
      </c>
      <c r="S3" s="75">
        <f>D3+I3-N3</f>
        <v>0</v>
      </c>
      <c r="T3" s="75"/>
      <c r="U3" s="75">
        <f>F3+K3-P3</f>
        <v>0</v>
      </c>
      <c r="V3" s="75">
        <f>G3+L3-Q3</f>
        <v>0</v>
      </c>
      <c r="W3" s="75"/>
      <c r="X3" s="118"/>
      <c r="Y3" s="109"/>
      <c r="Z3" s="109"/>
      <c r="AA3" s="109"/>
      <c r="AB3" s="109"/>
      <c r="AC3" s="109"/>
      <c r="AD3" s="109"/>
      <c r="AE3" s="109"/>
      <c r="AF3" s="109"/>
      <c r="AG3" s="109"/>
      <c r="AH3" s="109"/>
      <c r="AI3" s="109"/>
      <c r="AJ3" s="109"/>
      <c r="AK3" s="109"/>
      <c r="AL3" s="109"/>
    </row>
    <row r="4" spans="1:38" ht="32.85" hidden="1" customHeight="1" x14ac:dyDescent="0.3">
      <c r="A4" s="75"/>
      <c r="B4" s="78">
        <v>46274</v>
      </c>
      <c r="C4" s="75"/>
      <c r="D4" s="75"/>
      <c r="E4" s="75"/>
      <c r="F4" s="75"/>
      <c r="G4" s="75"/>
      <c r="H4" s="75"/>
      <c r="I4" s="75"/>
      <c r="J4" s="75"/>
      <c r="K4" s="75">
        <v>50</v>
      </c>
      <c r="L4" s="75"/>
      <c r="M4" s="75"/>
      <c r="N4" s="75"/>
      <c r="O4" s="75"/>
      <c r="P4" s="75">
        <v>2</v>
      </c>
      <c r="Q4" s="75"/>
      <c r="R4" s="75">
        <f t="shared" ref="R4:S7" si="0">C4+H4-M4</f>
        <v>0</v>
      </c>
      <c r="S4" s="75">
        <f t="shared" si="0"/>
        <v>0</v>
      </c>
      <c r="T4" s="75"/>
      <c r="U4" s="75">
        <f t="shared" ref="U4:V7" si="1">F4+K4-P4</f>
        <v>48</v>
      </c>
      <c r="V4" s="75">
        <f t="shared" si="1"/>
        <v>0</v>
      </c>
      <c r="W4" s="130"/>
      <c r="X4" s="128"/>
      <c r="Y4" s="84"/>
      <c r="Z4" s="75"/>
      <c r="AA4" s="75"/>
      <c r="AB4" s="75"/>
      <c r="AC4" s="75"/>
      <c r="AD4" s="75"/>
      <c r="AE4" s="75"/>
      <c r="AF4" s="75"/>
      <c r="AG4" s="75"/>
      <c r="AH4" s="75"/>
      <c r="AI4" s="75"/>
      <c r="AJ4" s="75"/>
      <c r="AK4" s="75"/>
      <c r="AL4" s="75"/>
    </row>
    <row r="5" spans="1:38" ht="32.85" hidden="1" customHeight="1" x14ac:dyDescent="0.3">
      <c r="A5" s="75"/>
      <c r="B5" s="215">
        <v>46304</v>
      </c>
      <c r="C5" s="75">
        <f t="shared" ref="C5:D6" si="2">R4</f>
        <v>0</v>
      </c>
      <c r="D5" s="75">
        <f t="shared" si="2"/>
        <v>0</v>
      </c>
      <c r="E5" s="75"/>
      <c r="F5" s="75">
        <f t="shared" ref="F5:G6" si="3">U4</f>
        <v>48</v>
      </c>
      <c r="G5" s="75">
        <f t="shared" si="3"/>
        <v>0</v>
      </c>
      <c r="H5" s="75"/>
      <c r="I5" s="75"/>
      <c r="J5" s="75"/>
      <c r="K5" s="75">
        <v>40</v>
      </c>
      <c r="L5" s="75"/>
      <c r="M5" s="75"/>
      <c r="N5" s="75"/>
      <c r="O5" s="75"/>
      <c r="P5" s="75">
        <f>20+40+13</f>
        <v>73</v>
      </c>
      <c r="Q5" s="75"/>
      <c r="R5" s="75">
        <f t="shared" si="0"/>
        <v>0</v>
      </c>
      <c r="S5" s="75">
        <f t="shared" si="0"/>
        <v>0</v>
      </c>
      <c r="T5" s="75"/>
      <c r="U5" s="75">
        <f t="shared" si="1"/>
        <v>15</v>
      </c>
      <c r="V5" s="75">
        <f t="shared" si="1"/>
        <v>0</v>
      </c>
      <c r="W5" s="130"/>
      <c r="X5" s="75"/>
      <c r="Y5" s="201" t="s">
        <v>511</v>
      </c>
      <c r="Z5" s="75" t="s">
        <v>512</v>
      </c>
      <c r="AA5" s="75">
        <v>2</v>
      </c>
      <c r="AB5" s="75"/>
      <c r="AC5" s="75"/>
      <c r="AD5" s="75"/>
      <c r="AE5" s="75"/>
      <c r="AF5" s="75"/>
      <c r="AG5" s="75"/>
      <c r="AH5" s="75"/>
      <c r="AI5" s="75"/>
      <c r="AJ5" s="75"/>
      <c r="AK5" s="75"/>
      <c r="AL5" s="75"/>
    </row>
    <row r="6" spans="1:38" ht="32.85" hidden="1" customHeight="1" x14ac:dyDescent="0.3">
      <c r="A6" s="75"/>
      <c r="B6" s="97" t="s">
        <v>534</v>
      </c>
      <c r="C6" s="75">
        <f t="shared" si="2"/>
        <v>0</v>
      </c>
      <c r="D6" s="75">
        <f t="shared" si="2"/>
        <v>0</v>
      </c>
      <c r="E6" s="75"/>
      <c r="F6" s="75">
        <f t="shared" si="3"/>
        <v>15</v>
      </c>
      <c r="G6" s="75">
        <f t="shared" si="3"/>
        <v>0</v>
      </c>
      <c r="H6" s="75"/>
      <c r="I6" s="75"/>
      <c r="J6" s="75"/>
      <c r="K6" s="75">
        <v>40</v>
      </c>
      <c r="L6" s="75"/>
      <c r="M6" s="75"/>
      <c r="N6" s="75"/>
      <c r="O6" s="75"/>
      <c r="P6" s="75">
        <v>4</v>
      </c>
      <c r="Q6" s="75"/>
      <c r="R6" s="75">
        <f t="shared" si="0"/>
        <v>0</v>
      </c>
      <c r="S6" s="75">
        <f t="shared" si="0"/>
        <v>0</v>
      </c>
      <c r="T6" s="75"/>
      <c r="U6" s="75">
        <f t="shared" si="1"/>
        <v>51</v>
      </c>
      <c r="V6" s="75">
        <f t="shared" si="1"/>
        <v>0</v>
      </c>
      <c r="W6" s="130"/>
      <c r="X6" s="75"/>
      <c r="Y6" s="216" t="s">
        <v>513</v>
      </c>
      <c r="Z6" s="75" t="s">
        <v>514</v>
      </c>
      <c r="AA6" s="75">
        <v>60</v>
      </c>
      <c r="AB6" s="75"/>
      <c r="AC6" s="75"/>
      <c r="AD6" s="75"/>
      <c r="AE6" s="75"/>
      <c r="AF6" s="75"/>
      <c r="AG6" s="75"/>
      <c r="AH6" s="75"/>
      <c r="AI6" s="75"/>
      <c r="AJ6" s="75"/>
      <c r="AK6" s="75"/>
      <c r="AL6" s="75"/>
    </row>
    <row r="7" spans="1:38" ht="35.1" hidden="1" customHeight="1" x14ac:dyDescent="0.3">
      <c r="A7" s="75"/>
      <c r="B7" s="83" t="s">
        <v>593</v>
      </c>
      <c r="C7" s="75"/>
      <c r="D7" s="75"/>
      <c r="E7" s="75"/>
      <c r="F7" s="75"/>
      <c r="G7" s="75"/>
      <c r="H7" s="75"/>
      <c r="I7" s="75"/>
      <c r="J7" s="75"/>
      <c r="K7" s="75">
        <v>17</v>
      </c>
      <c r="L7" s="75">
        <v>30</v>
      </c>
      <c r="M7" s="75"/>
      <c r="N7" s="75"/>
      <c r="O7" s="75"/>
      <c r="P7" s="75"/>
      <c r="Q7" s="75"/>
      <c r="R7" s="75">
        <f>C7+H7-M7</f>
        <v>0</v>
      </c>
      <c r="S7" s="75">
        <f t="shared" si="0"/>
        <v>0</v>
      </c>
      <c r="T7" s="75">
        <f t="shared" ref="T7" si="4">E7+J7-O7</f>
        <v>0</v>
      </c>
      <c r="U7" s="75">
        <f t="shared" si="1"/>
        <v>17</v>
      </c>
      <c r="V7" s="75">
        <f t="shared" si="1"/>
        <v>30</v>
      </c>
      <c r="W7" s="130"/>
      <c r="X7" s="75"/>
      <c r="Y7" s="75"/>
      <c r="Z7" s="75"/>
      <c r="AA7" s="75"/>
      <c r="AB7" s="75"/>
      <c r="AC7" s="75"/>
      <c r="AD7" s="75"/>
      <c r="AE7" s="75"/>
      <c r="AF7" s="75"/>
      <c r="AG7" s="75"/>
      <c r="AH7" s="75"/>
      <c r="AI7" s="75"/>
      <c r="AJ7" s="75"/>
      <c r="AK7" s="75"/>
      <c r="AL7" s="75"/>
    </row>
    <row r="8" spans="1:38" ht="35.1" hidden="1" customHeight="1" x14ac:dyDescent="0.3">
      <c r="A8" s="75"/>
      <c r="B8" s="83" t="s">
        <v>617</v>
      </c>
      <c r="C8" s="75">
        <f>R7</f>
        <v>0</v>
      </c>
      <c r="D8" s="75">
        <f t="shared" ref="D8:G8" si="5">S7</f>
        <v>0</v>
      </c>
      <c r="E8" s="75">
        <f t="shared" si="5"/>
        <v>0</v>
      </c>
      <c r="F8" s="75">
        <f t="shared" si="5"/>
        <v>17</v>
      </c>
      <c r="G8" s="75">
        <f t="shared" si="5"/>
        <v>30</v>
      </c>
      <c r="H8" s="75"/>
      <c r="I8" s="75"/>
      <c r="J8" s="75"/>
      <c r="K8" s="75"/>
      <c r="L8" s="75"/>
      <c r="M8" s="75"/>
      <c r="N8" s="75"/>
      <c r="O8" s="75"/>
      <c r="P8" s="75"/>
      <c r="Q8" s="75"/>
      <c r="R8" s="75">
        <f>C8+H8-M8</f>
        <v>0</v>
      </c>
      <c r="S8" s="75">
        <f t="shared" ref="S8" si="6">D8+I8-N8</f>
        <v>0</v>
      </c>
      <c r="T8" s="75">
        <f t="shared" ref="T8" si="7">E8+J8-O8</f>
        <v>0</v>
      </c>
      <c r="U8" s="75">
        <f t="shared" ref="U8" si="8">F8+K8-P8</f>
        <v>17</v>
      </c>
      <c r="V8" s="75">
        <f t="shared" ref="V8" si="9">G8+L8-Q8</f>
        <v>30</v>
      </c>
      <c r="W8" s="130"/>
      <c r="X8" s="75"/>
      <c r="Y8" s="75"/>
      <c r="Z8" s="75"/>
      <c r="AA8" s="75"/>
      <c r="AB8" s="75"/>
      <c r="AC8" s="75"/>
      <c r="AD8" s="75"/>
      <c r="AE8" s="75"/>
      <c r="AF8" s="75"/>
      <c r="AG8" s="75"/>
      <c r="AH8" s="75"/>
      <c r="AI8" s="75"/>
      <c r="AJ8" s="75"/>
      <c r="AK8" s="75"/>
      <c r="AL8" s="75"/>
    </row>
    <row r="9" spans="1:38" ht="35.1" hidden="1" customHeight="1" x14ac:dyDescent="0.3">
      <c r="A9" s="75"/>
      <c r="B9" s="83" t="s">
        <v>634</v>
      </c>
      <c r="C9" s="75">
        <f t="shared" ref="C9:C10" si="10">R8</f>
        <v>0</v>
      </c>
      <c r="D9" s="75">
        <f t="shared" ref="D9:D10" si="11">S8</f>
        <v>0</v>
      </c>
      <c r="E9" s="75">
        <f t="shared" ref="E9:E10" si="12">T8</f>
        <v>0</v>
      </c>
      <c r="F9" s="75">
        <f t="shared" ref="F9:F10" si="13">U8</f>
        <v>17</v>
      </c>
      <c r="G9" s="75">
        <f t="shared" ref="G9:G10" si="14">V8</f>
        <v>30</v>
      </c>
      <c r="H9" s="75"/>
      <c r="I9" s="75"/>
      <c r="J9" s="75"/>
      <c r="K9" s="75"/>
      <c r="L9" s="75"/>
      <c r="M9" s="75"/>
      <c r="N9" s="75"/>
      <c r="O9" s="75"/>
      <c r="P9" s="75"/>
      <c r="Q9" s="75"/>
      <c r="R9" s="75">
        <f t="shared" ref="R9:R10" si="15">C9+H9-M9</f>
        <v>0</v>
      </c>
      <c r="S9" s="75">
        <f t="shared" ref="S9:S10" si="16">D9+I9-N9</f>
        <v>0</v>
      </c>
      <c r="T9" s="75">
        <f t="shared" ref="T9:T10" si="17">E9+J9-O9</f>
        <v>0</v>
      </c>
      <c r="U9" s="75">
        <f t="shared" ref="U9:U10" si="18">F9+K9-P9</f>
        <v>17</v>
      </c>
      <c r="V9" s="75">
        <f t="shared" ref="V9:V10" si="19">G9+L9-Q9</f>
        <v>30</v>
      </c>
      <c r="W9" s="130"/>
      <c r="X9" s="75"/>
      <c r="Y9" s="75"/>
      <c r="Z9" s="75"/>
      <c r="AA9" s="75"/>
      <c r="AB9" s="75"/>
      <c r="AC9" s="75"/>
      <c r="AD9" s="75"/>
      <c r="AE9" s="75"/>
      <c r="AF9" s="75"/>
      <c r="AG9" s="75"/>
      <c r="AH9" s="75"/>
      <c r="AI9" s="75"/>
      <c r="AJ9" s="75"/>
      <c r="AK9" s="75"/>
      <c r="AL9" s="75"/>
    </row>
    <row r="10" spans="1:38" ht="35.1" hidden="1" customHeight="1" x14ac:dyDescent="0.3">
      <c r="A10" s="75"/>
      <c r="B10" s="83" t="s">
        <v>646</v>
      </c>
      <c r="C10" s="75">
        <f t="shared" si="10"/>
        <v>0</v>
      </c>
      <c r="D10" s="75">
        <f t="shared" si="11"/>
        <v>0</v>
      </c>
      <c r="E10" s="75">
        <f t="shared" si="12"/>
        <v>0</v>
      </c>
      <c r="F10" s="75">
        <f t="shared" si="13"/>
        <v>17</v>
      </c>
      <c r="G10" s="75">
        <f t="shared" si="14"/>
        <v>30</v>
      </c>
      <c r="H10" s="75"/>
      <c r="I10" s="75"/>
      <c r="J10" s="75"/>
      <c r="K10" s="75"/>
      <c r="L10" s="75"/>
      <c r="M10" s="75"/>
      <c r="N10" s="75"/>
      <c r="O10" s="75"/>
      <c r="P10" s="75"/>
      <c r="Q10" s="75"/>
      <c r="R10" s="75">
        <f t="shared" si="15"/>
        <v>0</v>
      </c>
      <c r="S10" s="75">
        <f t="shared" si="16"/>
        <v>0</v>
      </c>
      <c r="T10" s="75">
        <f t="shared" si="17"/>
        <v>0</v>
      </c>
      <c r="U10" s="75">
        <f t="shared" si="18"/>
        <v>17</v>
      </c>
      <c r="V10" s="75">
        <f t="shared" si="19"/>
        <v>30</v>
      </c>
      <c r="W10" s="130"/>
      <c r="X10" s="75"/>
      <c r="Y10" s="75"/>
      <c r="Z10" s="75"/>
      <c r="AA10" s="75"/>
      <c r="AB10" s="75"/>
      <c r="AC10" s="75"/>
      <c r="AD10" s="75"/>
      <c r="AE10" s="75"/>
      <c r="AF10" s="75"/>
      <c r="AG10" s="75"/>
      <c r="AH10" s="75"/>
      <c r="AI10" s="75"/>
      <c r="AJ10" s="75"/>
      <c r="AK10" s="75"/>
      <c r="AL10" s="75"/>
    </row>
    <row r="11" spans="1:38" ht="35.1" hidden="1" customHeight="1" x14ac:dyDescent="0.3">
      <c r="A11" s="75"/>
      <c r="B11" s="83" t="s">
        <v>678</v>
      </c>
      <c r="C11" s="75">
        <f t="shared" ref="C11" si="20">R10</f>
        <v>0</v>
      </c>
      <c r="D11" s="75">
        <f t="shared" ref="D11" si="21">S10</f>
        <v>0</v>
      </c>
      <c r="E11" s="75">
        <f t="shared" ref="E11" si="22">T10</f>
        <v>0</v>
      </c>
      <c r="F11" s="75">
        <f t="shared" ref="F11" si="23">U10</f>
        <v>17</v>
      </c>
      <c r="G11" s="75">
        <f t="shared" ref="G11" si="24">V10</f>
        <v>30</v>
      </c>
      <c r="H11" s="75"/>
      <c r="I11" s="75"/>
      <c r="J11" s="75"/>
      <c r="K11" s="75"/>
      <c r="L11" s="75"/>
      <c r="M11" s="75"/>
      <c r="N11" s="75"/>
      <c r="O11" s="75"/>
      <c r="P11" s="75"/>
      <c r="Q11" s="75"/>
      <c r="R11" s="75">
        <f t="shared" ref="R11" si="25">C11+H11-M11</f>
        <v>0</v>
      </c>
      <c r="S11" s="75">
        <f t="shared" ref="S11" si="26">D11+I11-N11</f>
        <v>0</v>
      </c>
      <c r="T11" s="75">
        <f t="shared" ref="T11" si="27">E11+J11-O11</f>
        <v>0</v>
      </c>
      <c r="U11" s="75">
        <f t="shared" ref="U11" si="28">F11+K11-P11</f>
        <v>17</v>
      </c>
      <c r="V11" s="75">
        <f t="shared" ref="V11" si="29">G11+L11-Q11</f>
        <v>30</v>
      </c>
      <c r="W11" s="130"/>
      <c r="X11" s="75"/>
      <c r="Y11" s="75"/>
      <c r="Z11" s="75"/>
      <c r="AA11" s="75"/>
      <c r="AB11" s="75"/>
      <c r="AC11" s="75"/>
      <c r="AD11" s="75"/>
      <c r="AE11" s="75"/>
      <c r="AF11" s="75"/>
      <c r="AG11" s="75"/>
      <c r="AH11" s="75"/>
      <c r="AI11" s="75"/>
      <c r="AJ11" s="75"/>
      <c r="AK11" s="75"/>
      <c r="AL11" s="75"/>
    </row>
    <row r="12" spans="1:38" ht="35.1" hidden="1" customHeight="1" x14ac:dyDescent="0.3">
      <c r="A12" s="75"/>
      <c r="B12" s="83" t="s">
        <v>720</v>
      </c>
      <c r="C12" s="75">
        <f t="shared" ref="C12" si="30">R11</f>
        <v>0</v>
      </c>
      <c r="D12" s="75">
        <f t="shared" ref="D12" si="31">S11</f>
        <v>0</v>
      </c>
      <c r="E12" s="75">
        <f t="shared" ref="E12" si="32">T11</f>
        <v>0</v>
      </c>
      <c r="F12" s="75">
        <f t="shared" ref="F12" si="33">U11</f>
        <v>17</v>
      </c>
      <c r="G12" s="75">
        <f t="shared" ref="G12" si="34">V11</f>
        <v>30</v>
      </c>
      <c r="H12" s="75"/>
      <c r="I12" s="75"/>
      <c r="J12" s="75"/>
      <c r="K12" s="75"/>
      <c r="L12" s="75"/>
      <c r="M12" s="75"/>
      <c r="N12" s="75"/>
      <c r="O12" s="75"/>
      <c r="P12" s="75"/>
      <c r="Q12" s="75"/>
      <c r="R12" s="75">
        <f t="shared" ref="R12" si="35">C12+H12-M12</f>
        <v>0</v>
      </c>
      <c r="S12" s="75">
        <f t="shared" ref="S12" si="36">D12+I12-N12</f>
        <v>0</v>
      </c>
      <c r="T12" s="75">
        <f t="shared" ref="T12" si="37">E12+J12-O12</f>
        <v>0</v>
      </c>
      <c r="U12" s="75">
        <f t="shared" ref="U12" si="38">F12+K12-P12</f>
        <v>17</v>
      </c>
      <c r="V12" s="75">
        <f t="shared" ref="V12" si="39">G12+L12-Q12</f>
        <v>30</v>
      </c>
      <c r="W12" s="130"/>
      <c r="X12" s="75"/>
      <c r="Y12" s="75"/>
      <c r="Z12" s="75"/>
      <c r="AA12" s="75"/>
      <c r="AB12" s="75"/>
      <c r="AC12" s="75"/>
      <c r="AD12" s="75"/>
      <c r="AE12" s="75"/>
      <c r="AF12" s="75"/>
      <c r="AG12" s="75"/>
      <c r="AH12" s="75"/>
      <c r="AI12" s="75"/>
      <c r="AJ12" s="75"/>
      <c r="AK12" s="75"/>
      <c r="AL12" s="75"/>
    </row>
    <row r="13" spans="1:38" ht="35.1" hidden="1" customHeight="1" x14ac:dyDescent="0.3">
      <c r="A13" s="75"/>
      <c r="B13" s="83" t="s">
        <v>758</v>
      </c>
      <c r="C13" s="75">
        <f t="shared" ref="C13" si="40">R12</f>
        <v>0</v>
      </c>
      <c r="D13" s="75">
        <f t="shared" ref="D13" si="41">S12</f>
        <v>0</v>
      </c>
      <c r="E13" s="75">
        <f t="shared" ref="E13" si="42">T12</f>
        <v>0</v>
      </c>
      <c r="F13" s="75">
        <f t="shared" ref="F13" si="43">U12</f>
        <v>17</v>
      </c>
      <c r="G13" s="75">
        <f t="shared" ref="G13" si="44">V12</f>
        <v>30</v>
      </c>
      <c r="H13" s="75"/>
      <c r="I13" s="75"/>
      <c r="J13" s="75"/>
      <c r="K13" s="75"/>
      <c r="L13" s="75"/>
      <c r="M13" s="75"/>
      <c r="N13" s="75"/>
      <c r="O13" s="75"/>
      <c r="P13" s="75"/>
      <c r="Q13" s="75"/>
      <c r="R13" s="75">
        <f t="shared" ref="R13" si="45">C13+H13-M13</f>
        <v>0</v>
      </c>
      <c r="S13" s="75">
        <f t="shared" ref="S13" si="46">D13+I13-N13</f>
        <v>0</v>
      </c>
      <c r="T13" s="75">
        <f t="shared" ref="T13" si="47">E13+J13-O13</f>
        <v>0</v>
      </c>
      <c r="U13" s="75">
        <f t="shared" ref="U13" si="48">F13+K13-P13</f>
        <v>17</v>
      </c>
      <c r="V13" s="75">
        <f t="shared" ref="V13" si="49">G13+L13-Q13</f>
        <v>30</v>
      </c>
      <c r="W13" s="130"/>
      <c r="X13" s="75"/>
      <c r="Y13" s="75"/>
      <c r="Z13" s="75"/>
      <c r="AA13" s="75"/>
      <c r="AB13" s="75"/>
      <c r="AC13" s="75"/>
      <c r="AD13" s="75"/>
      <c r="AE13" s="75"/>
      <c r="AF13" s="75"/>
      <c r="AG13" s="75"/>
      <c r="AH13" s="75"/>
      <c r="AI13" s="75"/>
      <c r="AJ13" s="75"/>
      <c r="AK13" s="75"/>
      <c r="AL13" s="75"/>
    </row>
    <row r="14" spans="1:38" ht="35.1" hidden="1" customHeight="1" x14ac:dyDescent="0.3">
      <c r="A14" s="75"/>
      <c r="B14" s="83" t="s">
        <v>737</v>
      </c>
      <c r="C14" s="75">
        <f t="shared" ref="C14" si="50">R13</f>
        <v>0</v>
      </c>
      <c r="D14" s="75">
        <f t="shared" ref="D14" si="51">S13</f>
        <v>0</v>
      </c>
      <c r="E14" s="75">
        <f t="shared" ref="E14" si="52">T13</f>
        <v>0</v>
      </c>
      <c r="F14" s="75">
        <f t="shared" ref="F14" si="53">U13</f>
        <v>17</v>
      </c>
      <c r="G14" s="75">
        <f t="shared" ref="G14" si="54">V13</f>
        <v>30</v>
      </c>
      <c r="H14" s="75"/>
      <c r="I14" s="75"/>
      <c r="J14" s="75"/>
      <c r="K14" s="75"/>
      <c r="L14" s="75"/>
      <c r="M14" s="75"/>
      <c r="N14" s="75"/>
      <c r="O14" s="75"/>
      <c r="P14" s="75"/>
      <c r="Q14" s="75"/>
      <c r="R14" s="75">
        <f t="shared" ref="R14" si="55">C14+H14-M14</f>
        <v>0</v>
      </c>
      <c r="S14" s="75">
        <f t="shared" ref="S14" si="56">D14+I14-N14</f>
        <v>0</v>
      </c>
      <c r="T14" s="75">
        <f t="shared" ref="T14" si="57">E14+J14-O14</f>
        <v>0</v>
      </c>
      <c r="U14" s="75">
        <f t="shared" ref="U14" si="58">F14+K14-P14</f>
        <v>17</v>
      </c>
      <c r="V14" s="75">
        <f t="shared" ref="V14" si="59">G14+L14-Q14</f>
        <v>30</v>
      </c>
      <c r="W14" s="130"/>
      <c r="X14" s="75"/>
      <c r="Y14" s="75"/>
      <c r="Z14" s="75"/>
      <c r="AA14" s="75"/>
      <c r="AB14" s="75"/>
      <c r="AC14" s="75"/>
      <c r="AD14" s="75"/>
      <c r="AE14" s="75"/>
      <c r="AF14" s="75"/>
      <c r="AG14" s="75"/>
      <c r="AH14" s="75"/>
      <c r="AI14" s="75"/>
      <c r="AJ14" s="75"/>
      <c r="AK14" s="75"/>
      <c r="AL14" s="75"/>
    </row>
    <row r="15" spans="1:38" ht="35.1" hidden="1" customHeight="1" x14ac:dyDescent="0.3">
      <c r="A15" s="75"/>
      <c r="B15" s="83" t="s">
        <v>787</v>
      </c>
      <c r="C15" s="75">
        <f t="shared" ref="C15:C16" si="60">R14</f>
        <v>0</v>
      </c>
      <c r="D15" s="75">
        <f t="shared" ref="D15:D16" si="61">S14</f>
        <v>0</v>
      </c>
      <c r="E15" s="75">
        <f t="shared" ref="E15:E16" si="62">T14</f>
        <v>0</v>
      </c>
      <c r="F15" s="75">
        <f t="shared" ref="F15:F16" si="63">U14</f>
        <v>17</v>
      </c>
      <c r="G15" s="75">
        <f t="shared" ref="G15:G16" si="64">V14</f>
        <v>30</v>
      </c>
      <c r="H15" s="75"/>
      <c r="I15" s="75"/>
      <c r="J15" s="75"/>
      <c r="K15" s="75"/>
      <c r="L15" s="75"/>
      <c r="M15" s="75"/>
      <c r="N15" s="75"/>
      <c r="O15" s="75"/>
      <c r="P15" s="75"/>
      <c r="Q15" s="75"/>
      <c r="R15" s="75">
        <f t="shared" ref="R15:R16" si="65">C15+H15-M15</f>
        <v>0</v>
      </c>
      <c r="S15" s="75">
        <f t="shared" ref="S15:S16" si="66">D15+I15-N15</f>
        <v>0</v>
      </c>
      <c r="T15" s="75">
        <f t="shared" ref="T15:T16" si="67">E15+J15-O15</f>
        <v>0</v>
      </c>
      <c r="U15" s="75">
        <f t="shared" ref="U15:U16" si="68">F15+K15-P15</f>
        <v>17</v>
      </c>
      <c r="V15" s="75">
        <f t="shared" ref="V15:V16" si="69">G15+L15-Q15</f>
        <v>30</v>
      </c>
      <c r="W15" s="130"/>
      <c r="X15" s="75"/>
      <c r="Y15" s="75"/>
      <c r="Z15" s="75"/>
      <c r="AA15" s="75"/>
      <c r="AB15" s="75"/>
      <c r="AC15" s="75"/>
      <c r="AD15" s="75"/>
      <c r="AE15" s="75"/>
      <c r="AF15" s="75"/>
      <c r="AG15" s="75"/>
      <c r="AH15" s="75"/>
      <c r="AI15" s="75"/>
      <c r="AJ15" s="75"/>
      <c r="AK15" s="75"/>
      <c r="AL15" s="75"/>
    </row>
    <row r="16" spans="1:38" ht="35.1" hidden="1" customHeight="1" x14ac:dyDescent="0.3">
      <c r="A16" s="75"/>
      <c r="B16" s="83" t="s">
        <v>827</v>
      </c>
      <c r="C16" s="75">
        <f t="shared" si="60"/>
        <v>0</v>
      </c>
      <c r="D16" s="75">
        <f t="shared" si="61"/>
        <v>0</v>
      </c>
      <c r="E16" s="75">
        <f t="shared" si="62"/>
        <v>0</v>
      </c>
      <c r="F16" s="75">
        <f t="shared" si="63"/>
        <v>17</v>
      </c>
      <c r="G16" s="75">
        <f t="shared" si="64"/>
        <v>30</v>
      </c>
      <c r="H16" s="75"/>
      <c r="I16" s="75"/>
      <c r="J16" s="75"/>
      <c r="K16" s="75"/>
      <c r="L16" s="75"/>
      <c r="M16" s="75"/>
      <c r="N16" s="75"/>
      <c r="O16" s="75"/>
      <c r="P16" s="75"/>
      <c r="Q16" s="75"/>
      <c r="R16" s="75">
        <f t="shared" si="65"/>
        <v>0</v>
      </c>
      <c r="S16" s="75">
        <f t="shared" si="66"/>
        <v>0</v>
      </c>
      <c r="T16" s="75">
        <f t="shared" si="67"/>
        <v>0</v>
      </c>
      <c r="U16" s="75">
        <f t="shared" si="68"/>
        <v>17</v>
      </c>
      <c r="V16" s="75">
        <f t="shared" si="69"/>
        <v>30</v>
      </c>
      <c r="W16" s="130"/>
      <c r="X16" s="75"/>
      <c r="Y16" s="75"/>
      <c r="Z16" s="75"/>
      <c r="AA16" s="75"/>
      <c r="AB16" s="75"/>
      <c r="AC16" s="75"/>
      <c r="AD16" s="75"/>
      <c r="AE16" s="75"/>
      <c r="AF16" s="75"/>
      <c r="AG16" s="75"/>
      <c r="AH16" s="75"/>
      <c r="AI16" s="75"/>
      <c r="AJ16" s="75"/>
      <c r="AK16" s="75"/>
      <c r="AL16" s="75"/>
    </row>
    <row r="17" spans="1:38" ht="35.1" hidden="1" customHeight="1" x14ac:dyDescent="0.3">
      <c r="A17" s="75"/>
      <c r="B17" s="83" t="s">
        <v>836</v>
      </c>
      <c r="C17" s="75">
        <f t="shared" ref="C17" si="70">R16</f>
        <v>0</v>
      </c>
      <c r="D17" s="75">
        <f t="shared" ref="D17" si="71">S16</f>
        <v>0</v>
      </c>
      <c r="E17" s="75">
        <f t="shared" ref="E17" si="72">T16</f>
        <v>0</v>
      </c>
      <c r="F17" s="75">
        <f t="shared" ref="F17" si="73">U16</f>
        <v>17</v>
      </c>
      <c r="G17" s="75">
        <f t="shared" ref="G17" si="74">V16</f>
        <v>30</v>
      </c>
      <c r="H17" s="75"/>
      <c r="I17" s="75"/>
      <c r="J17" s="75"/>
      <c r="K17" s="75"/>
      <c r="L17" s="75"/>
      <c r="M17" s="75"/>
      <c r="N17" s="75"/>
      <c r="O17" s="75"/>
      <c r="P17" s="75"/>
      <c r="Q17" s="75"/>
      <c r="R17" s="75">
        <f t="shared" ref="R17" si="75">C17+H17-M17</f>
        <v>0</v>
      </c>
      <c r="S17" s="75">
        <f t="shared" ref="S17" si="76">D17+I17-N17</f>
        <v>0</v>
      </c>
      <c r="T17" s="75">
        <f t="shared" ref="T17" si="77">E17+J17-O17</f>
        <v>0</v>
      </c>
      <c r="U17" s="75">
        <f t="shared" ref="U17" si="78">F17+K17-P17</f>
        <v>17</v>
      </c>
      <c r="V17" s="75">
        <f t="shared" ref="V17" si="79">G17+L17-Q17</f>
        <v>30</v>
      </c>
      <c r="W17" s="130"/>
      <c r="X17" s="75"/>
      <c r="Y17" s="75"/>
      <c r="Z17" s="75"/>
      <c r="AA17" s="75"/>
      <c r="AB17" s="75"/>
      <c r="AC17" s="75"/>
      <c r="AD17" s="75"/>
      <c r="AE17" s="75"/>
      <c r="AF17" s="75"/>
      <c r="AG17" s="75"/>
      <c r="AH17" s="75"/>
      <c r="AI17" s="75"/>
      <c r="AJ17" s="75"/>
      <c r="AK17" s="75"/>
      <c r="AL17" s="75"/>
    </row>
    <row r="18" spans="1:38" ht="35.1" hidden="1" customHeight="1" x14ac:dyDescent="0.3">
      <c r="A18" s="75"/>
      <c r="B18" s="83" t="s">
        <v>868</v>
      </c>
      <c r="C18" s="75">
        <f t="shared" ref="C18" si="80">R17</f>
        <v>0</v>
      </c>
      <c r="D18" s="75">
        <f t="shared" ref="D18" si="81">S17</f>
        <v>0</v>
      </c>
      <c r="E18" s="75">
        <f t="shared" ref="E18" si="82">T17</f>
        <v>0</v>
      </c>
      <c r="F18" s="75">
        <f t="shared" ref="F18" si="83">U17</f>
        <v>17</v>
      </c>
      <c r="G18" s="75">
        <f t="shared" ref="G18" si="84">V17</f>
        <v>30</v>
      </c>
      <c r="H18" s="75"/>
      <c r="I18" s="75"/>
      <c r="J18" s="75"/>
      <c r="K18" s="75"/>
      <c r="L18" s="75"/>
      <c r="M18" s="75"/>
      <c r="N18" s="75"/>
      <c r="O18" s="75"/>
      <c r="P18" s="75"/>
      <c r="Q18" s="75"/>
      <c r="R18" s="75">
        <f t="shared" ref="R18" si="85">C18+H18-M18</f>
        <v>0</v>
      </c>
      <c r="S18" s="75">
        <f t="shared" ref="S18" si="86">D18+I18-N18</f>
        <v>0</v>
      </c>
      <c r="T18" s="75">
        <f t="shared" ref="T18" si="87">E18+J18-O18</f>
        <v>0</v>
      </c>
      <c r="U18" s="75">
        <f t="shared" ref="U18" si="88">F18+K18-P18</f>
        <v>17</v>
      </c>
      <c r="V18" s="75">
        <f t="shared" ref="V18" si="89">G18+L18-Q18</f>
        <v>30</v>
      </c>
      <c r="W18" s="130"/>
      <c r="X18" s="75"/>
      <c r="Y18" s="75"/>
      <c r="Z18" s="75"/>
      <c r="AA18" s="75"/>
      <c r="AB18" s="75"/>
      <c r="AC18" s="75"/>
      <c r="AD18" s="75"/>
      <c r="AE18" s="75"/>
      <c r="AF18" s="75"/>
      <c r="AG18" s="75"/>
      <c r="AH18" s="75"/>
      <c r="AI18" s="75"/>
      <c r="AJ18" s="75"/>
      <c r="AK18" s="75"/>
      <c r="AL18" s="75"/>
    </row>
    <row r="19" spans="1:38" ht="35.1" customHeight="1" x14ac:dyDescent="0.3">
      <c r="A19" s="75"/>
      <c r="B19" s="83" t="s">
        <v>892</v>
      </c>
      <c r="C19" s="75">
        <f t="shared" ref="C19" si="90">R18</f>
        <v>0</v>
      </c>
      <c r="D19" s="75">
        <f t="shared" ref="D19" si="91">S18</f>
        <v>0</v>
      </c>
      <c r="E19" s="75">
        <f t="shared" ref="E19" si="92">T18</f>
        <v>0</v>
      </c>
      <c r="F19" s="75">
        <f t="shared" ref="F19" si="93">U18</f>
        <v>17</v>
      </c>
      <c r="G19" s="75">
        <f t="shared" ref="G19" si="94">V18</f>
        <v>30</v>
      </c>
      <c r="H19" s="75"/>
      <c r="I19" s="75"/>
      <c r="J19" s="75"/>
      <c r="K19" s="75"/>
      <c r="L19" s="75"/>
      <c r="M19" s="75"/>
      <c r="N19" s="75"/>
      <c r="O19" s="75"/>
      <c r="P19" s="75"/>
      <c r="Q19" s="75"/>
      <c r="R19" s="75">
        <f t="shared" ref="R19" si="95">C19+H19-M19</f>
        <v>0</v>
      </c>
      <c r="S19" s="75">
        <f t="shared" ref="S19" si="96">D19+I19-N19</f>
        <v>0</v>
      </c>
      <c r="T19" s="75">
        <f t="shared" ref="T19" si="97">E19+J19-O19</f>
        <v>0</v>
      </c>
      <c r="U19" s="75">
        <f t="shared" ref="U19" si="98">F19+K19-P19</f>
        <v>17</v>
      </c>
      <c r="V19" s="75">
        <f t="shared" ref="V19" si="99">G19+L19-Q19</f>
        <v>30</v>
      </c>
      <c r="W19" s="130"/>
      <c r="X19" s="75"/>
      <c r="Y19" s="75"/>
      <c r="Z19" s="75"/>
      <c r="AA19" s="75"/>
      <c r="AB19" s="75"/>
      <c r="AC19" s="75"/>
      <c r="AD19" s="75"/>
      <c r="AE19" s="75"/>
      <c r="AF19" s="75"/>
      <c r="AG19" s="75"/>
      <c r="AH19" s="75"/>
      <c r="AI19" s="75"/>
      <c r="AJ19" s="75"/>
      <c r="AK19" s="75"/>
      <c r="AL19" s="75"/>
    </row>
    <row r="20" spans="1:38" ht="35.1" customHeight="1" x14ac:dyDescent="0.3">
      <c r="A20" s="75"/>
      <c r="B20" s="83" t="s">
        <v>925</v>
      </c>
      <c r="C20" s="75">
        <f t="shared" ref="C20" si="100">R19</f>
        <v>0</v>
      </c>
      <c r="D20" s="75">
        <f t="shared" ref="D20" si="101">S19</f>
        <v>0</v>
      </c>
      <c r="E20" s="75">
        <f t="shared" ref="E20" si="102">T19</f>
        <v>0</v>
      </c>
      <c r="F20" s="75">
        <f t="shared" ref="F20" si="103">U19</f>
        <v>17</v>
      </c>
      <c r="G20" s="75">
        <f t="shared" ref="G20" si="104">V19</f>
        <v>30</v>
      </c>
      <c r="H20" s="75"/>
      <c r="I20" s="75"/>
      <c r="J20" s="75"/>
      <c r="K20" s="75"/>
      <c r="L20" s="75"/>
      <c r="M20" s="75"/>
      <c r="N20" s="75"/>
      <c r="O20" s="75"/>
      <c r="P20" s="75"/>
      <c r="Q20" s="75">
        <v>11</v>
      </c>
      <c r="R20" s="75">
        <f t="shared" ref="R20" si="105">C20+H20-M20</f>
        <v>0</v>
      </c>
      <c r="S20" s="75">
        <f t="shared" ref="S20" si="106">D20+I20-N20</f>
        <v>0</v>
      </c>
      <c r="T20" s="75">
        <f t="shared" ref="T20" si="107">E20+J20-O20</f>
        <v>0</v>
      </c>
      <c r="U20" s="75">
        <f t="shared" ref="U20" si="108">F20+K20-P20</f>
        <v>17</v>
      </c>
      <c r="V20" s="75">
        <f t="shared" ref="V20" si="109">G20+L20-Q20</f>
        <v>19</v>
      </c>
      <c r="W20" s="130"/>
      <c r="X20" s="75"/>
      <c r="Y20" s="75"/>
      <c r="Z20" s="75"/>
      <c r="AA20" s="75"/>
      <c r="AB20" s="75"/>
      <c r="AC20" s="75"/>
      <c r="AD20" s="75"/>
      <c r="AE20" s="75"/>
      <c r="AF20" s="75"/>
      <c r="AG20" s="75"/>
      <c r="AH20" s="75"/>
      <c r="AI20" s="75"/>
      <c r="AJ20" s="75"/>
      <c r="AK20" s="75"/>
      <c r="AL20" s="75"/>
    </row>
    <row r="21" spans="1:38" ht="35.1" customHeight="1" x14ac:dyDescent="0.3">
      <c r="A21" s="75"/>
      <c r="B21" s="83" t="s">
        <v>955</v>
      </c>
      <c r="C21" s="75">
        <f t="shared" ref="C21" si="110">R20</f>
        <v>0</v>
      </c>
      <c r="D21" s="75">
        <f t="shared" ref="D21" si="111">S20</f>
        <v>0</v>
      </c>
      <c r="E21" s="75">
        <f t="shared" ref="E21" si="112">T20</f>
        <v>0</v>
      </c>
      <c r="F21" s="75">
        <f t="shared" ref="F21" si="113">U20</f>
        <v>17</v>
      </c>
      <c r="G21" s="75">
        <f t="shared" ref="G21" si="114">V20</f>
        <v>19</v>
      </c>
      <c r="H21" s="75"/>
      <c r="I21" s="75"/>
      <c r="J21" s="75"/>
      <c r="K21" s="75"/>
      <c r="L21" s="75"/>
      <c r="M21" s="75"/>
      <c r="N21" s="75"/>
      <c r="O21" s="75"/>
      <c r="P21" s="75"/>
      <c r="Q21" s="75"/>
      <c r="R21" s="75">
        <f t="shared" ref="R21" si="115">C21+H21-M21</f>
        <v>0</v>
      </c>
      <c r="S21" s="75">
        <f t="shared" ref="S21" si="116">D21+I21-N21</f>
        <v>0</v>
      </c>
      <c r="T21" s="75">
        <f t="shared" ref="T21" si="117">E21+J21-O21</f>
        <v>0</v>
      </c>
      <c r="U21" s="75">
        <f t="shared" ref="U21" si="118">F21+K21-P21</f>
        <v>17</v>
      </c>
      <c r="V21" s="75">
        <f t="shared" ref="V21" si="119">G21+L21-Q21</f>
        <v>19</v>
      </c>
      <c r="W21" s="130"/>
      <c r="X21" s="75"/>
      <c r="Y21" s="75"/>
      <c r="Z21" s="75"/>
      <c r="AA21" s="75"/>
      <c r="AB21" s="75"/>
      <c r="AC21" s="75"/>
      <c r="AD21" s="75"/>
      <c r="AE21" s="75"/>
      <c r="AF21" s="75"/>
      <c r="AG21" s="75"/>
      <c r="AH21" s="75"/>
      <c r="AI21" s="75"/>
      <c r="AJ21" s="75"/>
      <c r="AK21" s="75"/>
      <c r="AL21" s="75"/>
    </row>
    <row r="22" spans="1:38" ht="35.1" customHeight="1" x14ac:dyDescent="0.3">
      <c r="A22" s="75"/>
      <c r="B22" s="83"/>
      <c r="C22" s="75"/>
      <c r="D22" s="75"/>
      <c r="E22" s="75"/>
      <c r="F22" s="75"/>
      <c r="G22" s="75"/>
      <c r="H22" s="75"/>
      <c r="I22" s="75"/>
      <c r="J22" s="75"/>
      <c r="K22" s="75"/>
      <c r="L22" s="75"/>
      <c r="M22" s="75"/>
      <c r="N22" s="75"/>
      <c r="O22" s="75"/>
      <c r="P22" s="75"/>
      <c r="Q22" s="75"/>
      <c r="R22" s="75"/>
      <c r="S22" s="75"/>
      <c r="T22" s="75"/>
      <c r="U22" s="75"/>
      <c r="V22" s="75"/>
      <c r="W22" s="130"/>
      <c r="X22" s="75"/>
      <c r="Y22" s="75"/>
      <c r="Z22" s="75"/>
      <c r="AA22" s="75"/>
      <c r="AB22" s="75"/>
      <c r="AC22" s="75"/>
      <c r="AD22" s="75"/>
      <c r="AE22" s="75"/>
      <c r="AF22" s="75"/>
      <c r="AG22" s="75"/>
      <c r="AH22" s="75"/>
      <c r="AI22" s="75"/>
      <c r="AJ22" s="75"/>
      <c r="AK22" s="75"/>
      <c r="AL22" s="75"/>
    </row>
    <row r="23" spans="1:38" ht="35.1" customHeight="1" x14ac:dyDescent="0.3">
      <c r="R23" s="75"/>
      <c r="S23" s="75"/>
      <c r="T23" s="75"/>
      <c r="U23" s="75"/>
      <c r="V23" s="75"/>
      <c r="W23" s="130"/>
      <c r="X23" s="75"/>
      <c r="Y23" s="75"/>
      <c r="Z23" s="75"/>
      <c r="AA23" s="75"/>
      <c r="AB23" s="75"/>
      <c r="AC23" s="75"/>
      <c r="AD23" s="75"/>
      <c r="AE23" s="75"/>
      <c r="AF23" s="75"/>
      <c r="AG23" s="75"/>
      <c r="AH23" s="75"/>
      <c r="AI23" s="75"/>
      <c r="AJ23" s="75"/>
      <c r="AK23" s="75"/>
      <c r="AL23" s="75"/>
    </row>
    <row r="24" spans="1:38" ht="35.1" customHeight="1" x14ac:dyDescent="0.3">
      <c r="R24" s="75"/>
      <c r="S24" s="75"/>
      <c r="T24" s="75"/>
      <c r="U24" s="75"/>
      <c r="V24" s="75"/>
      <c r="W24" s="130"/>
      <c r="X24" s="75"/>
      <c r="Y24" s="75"/>
      <c r="Z24" s="75"/>
      <c r="AA24" s="75"/>
      <c r="AB24" s="75"/>
      <c r="AC24" s="75"/>
      <c r="AD24" s="75"/>
      <c r="AE24" s="75"/>
      <c r="AF24" s="75"/>
      <c r="AG24" s="75"/>
      <c r="AH24" s="75"/>
      <c r="AI24" s="75"/>
      <c r="AJ24" s="75"/>
      <c r="AK24" s="75"/>
      <c r="AL24" s="75"/>
    </row>
    <row r="25" spans="1:38" ht="35.1" customHeight="1" x14ac:dyDescent="0.3">
      <c r="R25" s="75"/>
      <c r="S25" s="75"/>
      <c r="T25" s="75"/>
      <c r="U25" s="75"/>
      <c r="V25" s="75"/>
      <c r="W25" s="130"/>
      <c r="X25" s="75"/>
      <c r="Y25" s="75"/>
      <c r="Z25" s="75"/>
      <c r="AA25" s="75"/>
      <c r="AB25" s="75"/>
      <c r="AC25" s="75"/>
      <c r="AD25" s="75"/>
      <c r="AE25" s="75"/>
      <c r="AF25" s="75"/>
      <c r="AG25" s="75"/>
      <c r="AH25" s="75"/>
      <c r="AI25" s="75"/>
      <c r="AJ25" s="75"/>
      <c r="AK25" s="75"/>
      <c r="AL25" s="75"/>
    </row>
    <row r="26" spans="1:38" ht="35.1" customHeight="1" x14ac:dyDescent="0.3">
      <c r="R26" s="75"/>
      <c r="S26" s="75"/>
      <c r="T26" s="75"/>
      <c r="U26" s="75"/>
      <c r="V26" s="75"/>
      <c r="W26" s="130"/>
      <c r="X26" s="75"/>
      <c r="Y26" s="75"/>
      <c r="Z26" s="75"/>
      <c r="AA26" s="75"/>
      <c r="AB26" s="75"/>
      <c r="AC26" s="75"/>
      <c r="AD26" s="75"/>
      <c r="AE26" s="75"/>
      <c r="AF26" s="75"/>
      <c r="AG26" s="75"/>
      <c r="AH26" s="75"/>
      <c r="AI26" s="75"/>
      <c r="AJ26" s="75"/>
      <c r="AK26" s="75"/>
      <c r="AL26" s="75"/>
    </row>
    <row r="27" spans="1:38" ht="35.1" customHeight="1" x14ac:dyDescent="0.3">
      <c r="R27" s="75"/>
      <c r="S27" s="75"/>
      <c r="T27" s="75"/>
      <c r="U27" s="75"/>
      <c r="V27" s="75"/>
      <c r="W27" s="130"/>
      <c r="X27" s="75"/>
      <c r="Y27" s="75"/>
      <c r="Z27" s="75"/>
      <c r="AA27" s="75"/>
      <c r="AB27" s="75"/>
      <c r="AC27" s="75"/>
      <c r="AD27" s="75"/>
      <c r="AE27" s="75"/>
      <c r="AF27" s="75"/>
      <c r="AG27" s="75"/>
      <c r="AH27" s="75"/>
      <c r="AI27" s="75"/>
      <c r="AJ27" s="75"/>
      <c r="AK27" s="75"/>
      <c r="AL27" s="75"/>
    </row>
    <row r="28" spans="1:38" ht="35.1" customHeight="1" x14ac:dyDescent="0.3">
      <c r="R28" s="75"/>
      <c r="S28" s="75"/>
      <c r="T28" s="75"/>
      <c r="U28" s="75"/>
      <c r="V28" s="75"/>
      <c r="W28" s="130"/>
      <c r="X28" s="75"/>
      <c r="Y28" s="75"/>
      <c r="Z28" s="75"/>
      <c r="AA28" s="75"/>
      <c r="AB28" s="75"/>
      <c r="AC28" s="75"/>
      <c r="AD28" s="75"/>
      <c r="AE28" s="75"/>
      <c r="AF28" s="75"/>
      <c r="AG28" s="75"/>
      <c r="AH28" s="75"/>
      <c r="AI28" s="75"/>
      <c r="AJ28" s="75"/>
      <c r="AK28" s="75"/>
      <c r="AL28" s="75"/>
    </row>
    <row r="29" spans="1:38" ht="35.1" customHeight="1" x14ac:dyDescent="0.3">
      <c r="X29" s="75"/>
      <c r="Y29" s="75"/>
      <c r="Z29" s="75"/>
      <c r="AA29" s="75"/>
      <c r="AB29" s="75"/>
      <c r="AC29" s="75"/>
      <c r="AD29" s="75"/>
      <c r="AE29" s="75"/>
      <c r="AF29" s="75"/>
      <c r="AG29" s="75"/>
      <c r="AH29" s="75"/>
      <c r="AI29" s="75"/>
      <c r="AJ29" s="75"/>
      <c r="AK29" s="75"/>
      <c r="AL29" s="75"/>
    </row>
    <row r="30" spans="1:38" ht="35.1" customHeight="1" x14ac:dyDescent="0.3">
      <c r="X30" s="75"/>
      <c r="Y30" s="75"/>
      <c r="Z30" s="75"/>
      <c r="AA30" s="75"/>
      <c r="AB30" s="75"/>
      <c r="AC30" s="75"/>
      <c r="AD30" s="75"/>
      <c r="AE30" s="75"/>
      <c r="AF30" s="75"/>
      <c r="AG30" s="75"/>
      <c r="AH30" s="75"/>
      <c r="AI30" s="75"/>
      <c r="AJ30" s="75"/>
      <c r="AK30" s="75"/>
      <c r="AL30" s="75"/>
    </row>
    <row r="31" spans="1:38" ht="35.1" customHeight="1" x14ac:dyDescent="0.3">
      <c r="X31" s="75"/>
      <c r="Y31" s="75"/>
      <c r="Z31" s="75"/>
      <c r="AA31" s="75"/>
      <c r="AB31" s="75"/>
      <c r="AC31" s="75"/>
      <c r="AD31" s="75"/>
      <c r="AE31" s="75"/>
      <c r="AF31" s="75"/>
      <c r="AG31" s="75"/>
      <c r="AH31" s="75"/>
      <c r="AI31" s="75"/>
      <c r="AJ31" s="75"/>
      <c r="AK31" s="75"/>
      <c r="AL31" s="75"/>
    </row>
    <row r="32" spans="1:38" ht="35.1" customHeight="1" x14ac:dyDescent="0.3">
      <c r="X32" s="75"/>
      <c r="Y32" s="75"/>
      <c r="Z32" s="75"/>
      <c r="AA32" s="75"/>
      <c r="AB32" s="75"/>
      <c r="AC32" s="75"/>
      <c r="AD32" s="75"/>
      <c r="AE32" s="75"/>
      <c r="AF32" s="75"/>
      <c r="AG32" s="75"/>
      <c r="AH32" s="75"/>
      <c r="AI32" s="75"/>
      <c r="AJ32" s="75"/>
      <c r="AK32" s="75"/>
      <c r="AL32" s="75"/>
    </row>
    <row r="33" spans="24:38" x14ac:dyDescent="0.3">
      <c r="X33" s="75"/>
      <c r="Y33" s="75"/>
      <c r="Z33" s="75"/>
      <c r="AA33" s="75"/>
      <c r="AB33" s="75"/>
      <c r="AC33" s="75"/>
      <c r="AD33" s="75"/>
      <c r="AE33" s="75"/>
      <c r="AF33" s="75"/>
      <c r="AG33" s="75"/>
      <c r="AH33" s="75"/>
      <c r="AI33" s="75"/>
      <c r="AJ33" s="75"/>
      <c r="AK33" s="75"/>
      <c r="AL33" s="75"/>
    </row>
    <row r="34" spans="24:38" x14ac:dyDescent="0.3">
      <c r="X34" s="75"/>
      <c r="Y34" s="75"/>
      <c r="Z34" s="75"/>
      <c r="AA34" s="75"/>
      <c r="AB34" s="75"/>
      <c r="AC34" s="75"/>
      <c r="AD34" s="75"/>
      <c r="AE34" s="75"/>
      <c r="AF34" s="75"/>
      <c r="AG34" s="75"/>
      <c r="AH34" s="75"/>
      <c r="AI34" s="75"/>
      <c r="AJ34" s="75"/>
      <c r="AK34" s="75"/>
      <c r="AL34" s="75"/>
    </row>
    <row r="35" spans="24:38" x14ac:dyDescent="0.3">
      <c r="X35" s="75"/>
      <c r="Y35" s="75"/>
      <c r="Z35" s="75"/>
      <c r="AA35" s="75"/>
      <c r="AB35" s="75"/>
      <c r="AC35" s="75"/>
      <c r="AD35" s="75"/>
      <c r="AE35" s="75"/>
      <c r="AF35" s="75"/>
      <c r="AG35" s="75"/>
      <c r="AH35" s="75"/>
      <c r="AI35" s="75"/>
      <c r="AJ35" s="75"/>
      <c r="AK35" s="75"/>
      <c r="AL35" s="75"/>
    </row>
    <row r="36" spans="24:38" x14ac:dyDescent="0.3">
      <c r="X36" s="75"/>
      <c r="Y36" s="75" t="s">
        <v>457</v>
      </c>
      <c r="Z36" s="75"/>
      <c r="AA36" s="75">
        <v>2</v>
      </c>
      <c r="AB36" s="75"/>
      <c r="AC36" s="75"/>
      <c r="AD36" s="75"/>
      <c r="AE36" s="75"/>
      <c r="AF36" s="75"/>
      <c r="AG36" s="75"/>
      <c r="AH36" s="75"/>
      <c r="AI36" s="75"/>
      <c r="AJ36" s="75"/>
      <c r="AK36" s="75"/>
      <c r="AL36" s="75"/>
    </row>
    <row r="37" spans="24:38" x14ac:dyDescent="0.3">
      <c r="X37" s="75"/>
      <c r="Y37" s="75" t="s">
        <v>424</v>
      </c>
      <c r="Z37" s="75"/>
      <c r="AA37" s="75">
        <v>36</v>
      </c>
      <c r="AB37" s="75"/>
      <c r="AC37" s="75"/>
      <c r="AD37" s="75"/>
      <c r="AE37" s="75"/>
      <c r="AF37" s="75"/>
      <c r="AG37" s="75"/>
      <c r="AH37" s="75"/>
      <c r="AI37" s="75"/>
      <c r="AJ37" s="75"/>
      <c r="AK37" s="75"/>
      <c r="AL37" s="75"/>
    </row>
    <row r="38" spans="24:38" x14ac:dyDescent="0.3">
      <c r="X38" s="75"/>
      <c r="Y38" s="75" t="s">
        <v>475</v>
      </c>
      <c r="Z38" s="75"/>
      <c r="AA38" s="75">
        <v>6</v>
      </c>
      <c r="AB38" s="75"/>
      <c r="AC38" s="75"/>
      <c r="AD38" s="75"/>
      <c r="AE38" s="75"/>
      <c r="AF38" s="75"/>
      <c r="AG38" s="75"/>
      <c r="AH38" s="75"/>
      <c r="AI38" s="75"/>
      <c r="AJ38" s="75"/>
      <c r="AK38" s="75"/>
      <c r="AL38" s="75"/>
    </row>
    <row r="39" spans="24:38" x14ac:dyDescent="0.3">
      <c r="X39" s="75"/>
      <c r="Y39" s="75" t="s">
        <v>476</v>
      </c>
      <c r="Z39" s="75"/>
      <c r="AA39" s="75"/>
      <c r="AB39" s="75"/>
      <c r="AC39" s="75"/>
      <c r="AD39" s="75"/>
      <c r="AE39" s="75"/>
      <c r="AF39" s="75"/>
      <c r="AG39" s="75"/>
      <c r="AH39" s="75"/>
      <c r="AI39" s="75"/>
      <c r="AJ39" s="75"/>
      <c r="AK39" s="75">
        <v>10</v>
      </c>
      <c r="AL39" s="75">
        <v>1</v>
      </c>
    </row>
    <row r="40" spans="24:38" x14ac:dyDescent="0.3">
      <c r="X40" s="75"/>
      <c r="Y40" s="75" t="s">
        <v>477</v>
      </c>
      <c r="Z40" s="75"/>
      <c r="AA40" s="75">
        <v>2</v>
      </c>
      <c r="AB40" s="75"/>
      <c r="AC40" s="75"/>
      <c r="AD40" s="75"/>
      <c r="AE40" s="75"/>
      <c r="AF40" s="75"/>
      <c r="AG40" s="75"/>
      <c r="AH40" s="75"/>
      <c r="AI40" s="75"/>
      <c r="AJ40" s="75"/>
      <c r="AK40" s="75"/>
      <c r="AL40" s="75"/>
    </row>
    <row r="41" spans="24:38" x14ac:dyDescent="0.3">
      <c r="X41" s="75"/>
      <c r="Y41" s="75" t="s">
        <v>478</v>
      </c>
      <c r="Z41" s="75"/>
      <c r="AA41" s="75">
        <v>6</v>
      </c>
      <c r="AB41" s="75"/>
      <c r="AC41" s="75"/>
      <c r="AD41" s="75"/>
      <c r="AE41" s="75"/>
      <c r="AF41" s="75"/>
      <c r="AG41" s="75"/>
      <c r="AH41" s="75"/>
      <c r="AI41" s="75"/>
      <c r="AJ41" s="75"/>
      <c r="AK41" s="75"/>
      <c r="AL41" s="75"/>
    </row>
    <row r="42" spans="24:38" x14ac:dyDescent="0.3">
      <c r="X42" s="75"/>
      <c r="Y42" s="75" t="s">
        <v>479</v>
      </c>
      <c r="Z42" s="75"/>
      <c r="AA42" s="75">
        <v>2</v>
      </c>
      <c r="AB42" s="75"/>
      <c r="AC42" s="75"/>
      <c r="AD42" s="75"/>
      <c r="AE42" s="75"/>
      <c r="AF42" s="75"/>
      <c r="AG42" s="75"/>
      <c r="AH42" s="75"/>
      <c r="AI42" s="75"/>
      <c r="AJ42" s="75"/>
      <c r="AK42" s="75"/>
      <c r="AL42" s="75"/>
    </row>
    <row r="43" spans="24:38" x14ac:dyDescent="0.3">
      <c r="X43" s="75"/>
      <c r="Y43" s="75" t="s">
        <v>480</v>
      </c>
      <c r="Z43" s="75"/>
      <c r="AA43" s="75"/>
      <c r="AB43" s="75"/>
      <c r="AC43" s="75"/>
      <c r="AD43" s="75"/>
      <c r="AE43" s="75"/>
      <c r="AF43" s="75"/>
      <c r="AG43" s="75"/>
      <c r="AH43" s="75"/>
      <c r="AI43" s="75">
        <v>4</v>
      </c>
      <c r="AJ43" s="75"/>
      <c r="AK43" s="75"/>
      <c r="AL43" s="75"/>
    </row>
    <row r="44" spans="24:38" x14ac:dyDescent="0.3">
      <c r="X44" s="75"/>
      <c r="Y44" s="75" t="s">
        <v>424</v>
      </c>
      <c r="Z44" s="75"/>
      <c r="AA44" s="75">
        <v>11</v>
      </c>
      <c r="AB44" s="75"/>
      <c r="AC44" s="75"/>
      <c r="AD44" s="75"/>
      <c r="AE44" s="75">
        <v>33</v>
      </c>
      <c r="AF44" s="75"/>
      <c r="AG44" s="75"/>
      <c r="AH44" s="75"/>
      <c r="AI44" s="75">
        <v>2</v>
      </c>
      <c r="AJ44" s="75"/>
      <c r="AK44" s="75"/>
      <c r="AL44" s="75"/>
    </row>
    <row r="45" spans="24:38" x14ac:dyDescent="0.3">
      <c r="X45" s="75"/>
      <c r="Y45" s="75" t="s">
        <v>481</v>
      </c>
      <c r="Z45" s="75"/>
      <c r="AA45" s="75"/>
      <c r="AB45" s="75"/>
      <c r="AC45" s="75"/>
      <c r="AD45" s="75"/>
      <c r="AE45" s="75"/>
      <c r="AF45" s="75"/>
      <c r="AG45" s="75"/>
      <c r="AH45" s="75"/>
      <c r="AI45" s="75"/>
      <c r="AJ45" s="75"/>
      <c r="AK45" s="75">
        <v>8</v>
      </c>
      <c r="AL45" s="75"/>
    </row>
    <row r="46" spans="24:38" x14ac:dyDescent="0.3">
      <c r="X46" s="75"/>
      <c r="Y46" s="75" t="s">
        <v>470</v>
      </c>
      <c r="Z46" s="75"/>
      <c r="AA46" s="75"/>
      <c r="AB46" s="75"/>
      <c r="AC46" s="75"/>
      <c r="AD46" s="75"/>
      <c r="AE46" s="75"/>
      <c r="AF46" s="75"/>
      <c r="AG46" s="75"/>
      <c r="AH46" s="75"/>
      <c r="AI46" s="75"/>
      <c r="AJ46" s="75"/>
      <c r="AK46" s="75">
        <v>4</v>
      </c>
      <c r="AL46" s="75"/>
    </row>
    <row r="47" spans="24:38" x14ac:dyDescent="0.3">
      <c r="X47" s="128">
        <v>46243</v>
      </c>
      <c r="Y47" s="75" t="s">
        <v>482</v>
      </c>
      <c r="Z47" s="75"/>
      <c r="AA47" s="75">
        <v>22</v>
      </c>
      <c r="AB47" s="75"/>
      <c r="AC47" s="75"/>
      <c r="AD47" s="75"/>
      <c r="AE47" s="75"/>
      <c r="AF47" s="75"/>
      <c r="AG47" s="75"/>
      <c r="AH47" s="75"/>
      <c r="AI47" s="75"/>
      <c r="AJ47" s="75"/>
      <c r="AK47" s="75"/>
      <c r="AL47" s="75"/>
    </row>
    <row r="48" spans="24:38" x14ac:dyDescent="0.3">
      <c r="X48" s="75"/>
      <c r="Y48" s="75" t="s">
        <v>482</v>
      </c>
      <c r="Z48" s="75"/>
      <c r="AA48" s="75">
        <v>22</v>
      </c>
      <c r="AB48" s="75"/>
      <c r="AC48" s="75"/>
      <c r="AD48" s="75"/>
      <c r="AE48" s="75"/>
      <c r="AF48" s="75"/>
      <c r="AG48" s="75"/>
      <c r="AH48" s="75"/>
      <c r="AI48" s="75"/>
      <c r="AJ48" s="75"/>
      <c r="AK48" s="75"/>
      <c r="AL48" s="75"/>
    </row>
    <row r="49" spans="24:38" x14ac:dyDescent="0.3">
      <c r="X49" s="75"/>
      <c r="Y49" s="75" t="s">
        <v>482</v>
      </c>
      <c r="Z49" s="75"/>
      <c r="AA49" s="75"/>
      <c r="AB49" s="75"/>
      <c r="AC49" s="75"/>
      <c r="AD49" s="75"/>
      <c r="AE49" s="75">
        <v>11</v>
      </c>
      <c r="AF49" s="75"/>
      <c r="AG49" s="75"/>
      <c r="AH49" s="75"/>
      <c r="AI49" s="75">
        <v>4</v>
      </c>
      <c r="AJ49" s="75"/>
      <c r="AK49" s="75"/>
      <c r="AL49" s="75"/>
    </row>
    <row r="50" spans="24:38" x14ac:dyDescent="0.3">
      <c r="X50" s="75"/>
      <c r="Y50" s="75" t="s">
        <v>73</v>
      </c>
      <c r="Z50" s="75"/>
      <c r="AA50" s="75">
        <v>3</v>
      </c>
      <c r="AB50" s="75"/>
      <c r="AC50" s="75"/>
      <c r="AD50" s="75"/>
      <c r="AE50" s="75">
        <v>3</v>
      </c>
      <c r="AF50" s="75"/>
      <c r="AG50" s="75"/>
      <c r="AH50" s="75"/>
      <c r="AI50" s="75"/>
      <c r="AJ50" s="75"/>
      <c r="AK50" s="75"/>
      <c r="AL50" s="75"/>
    </row>
    <row r="51" spans="24:38" x14ac:dyDescent="0.3">
      <c r="X51" s="75"/>
      <c r="Y51" s="75" t="s">
        <v>483</v>
      </c>
      <c r="Z51" s="75"/>
      <c r="AA51" s="75">
        <v>2</v>
      </c>
      <c r="AB51" s="75"/>
      <c r="AC51" s="75"/>
      <c r="AD51" s="75"/>
      <c r="AE51" s="75"/>
      <c r="AF51" s="75"/>
      <c r="AG51" s="75"/>
      <c r="AH51" s="75"/>
      <c r="AI51" s="75"/>
      <c r="AJ51" s="75"/>
      <c r="AK51" s="75"/>
      <c r="AL51" s="75"/>
    </row>
    <row r="52" spans="24:38" x14ac:dyDescent="0.3">
      <c r="X52" s="75"/>
      <c r="Y52" s="75" t="s">
        <v>475</v>
      </c>
      <c r="Z52" s="75"/>
      <c r="AA52" s="75">
        <v>4</v>
      </c>
      <c r="AB52" s="75"/>
      <c r="AC52" s="75"/>
      <c r="AD52" s="75"/>
      <c r="AE52" s="75"/>
      <c r="AF52" s="75"/>
      <c r="AG52" s="75"/>
      <c r="AH52" s="75"/>
      <c r="AI52" s="75"/>
      <c r="AJ52" s="75"/>
      <c r="AK52" s="75"/>
      <c r="AL52" s="75"/>
    </row>
    <row r="53" spans="24:38" x14ac:dyDescent="0.3">
      <c r="X53" s="75"/>
      <c r="Y53" s="75" t="s">
        <v>482</v>
      </c>
      <c r="Z53" s="75"/>
      <c r="AA53" s="75"/>
      <c r="AB53" s="75"/>
      <c r="AC53" s="75"/>
      <c r="AD53" s="75"/>
      <c r="AE53" s="75">
        <v>22</v>
      </c>
      <c r="AF53" s="75"/>
      <c r="AG53" s="75"/>
      <c r="AH53" s="75"/>
      <c r="AI53" s="75"/>
      <c r="AJ53" s="75"/>
      <c r="AK53" s="75"/>
      <c r="AL53" s="75"/>
    </row>
    <row r="54" spans="24:38" x14ac:dyDescent="0.3">
      <c r="X54" s="75"/>
      <c r="Y54" s="75" t="s">
        <v>484</v>
      </c>
      <c r="Z54" s="75"/>
      <c r="AA54" s="75"/>
      <c r="AB54" s="75"/>
      <c r="AC54" s="75"/>
      <c r="AD54" s="75"/>
      <c r="AE54" s="75"/>
      <c r="AF54" s="75"/>
      <c r="AG54" s="75"/>
      <c r="AH54" s="75"/>
      <c r="AI54" s="75">
        <v>3</v>
      </c>
      <c r="AJ54" s="75"/>
      <c r="AK54" s="75"/>
      <c r="AL54" s="75"/>
    </row>
    <row r="55" spans="24:38" x14ac:dyDescent="0.3">
      <c r="X55" s="75"/>
      <c r="Y55" s="75"/>
      <c r="Z55" s="75"/>
      <c r="AA55" s="75"/>
      <c r="AB55" s="75"/>
      <c r="AC55" s="75"/>
      <c r="AD55" s="75"/>
      <c r="AE55" s="75"/>
      <c r="AF55" s="75"/>
      <c r="AG55" s="75"/>
      <c r="AH55" s="75"/>
      <c r="AI55" s="75"/>
      <c r="AJ55" s="75"/>
      <c r="AK55" s="75"/>
      <c r="AL55" s="75"/>
    </row>
    <row r="56" spans="24:38" x14ac:dyDescent="0.3">
      <c r="X56" s="75"/>
      <c r="Y56" s="75"/>
      <c r="Z56" s="75"/>
      <c r="AA56" s="75"/>
      <c r="AB56" s="75"/>
      <c r="AC56" s="75"/>
      <c r="AD56" s="75"/>
      <c r="AE56" s="75"/>
      <c r="AF56" s="75"/>
      <c r="AG56" s="75"/>
      <c r="AH56" s="75"/>
      <c r="AI56" s="75"/>
      <c r="AJ56" s="75"/>
      <c r="AK56" s="75"/>
      <c r="AL56" s="75"/>
    </row>
    <row r="57" spans="24:38" x14ac:dyDescent="0.3">
      <c r="X57" s="75"/>
      <c r="Y57" s="75"/>
      <c r="Z57" s="75"/>
      <c r="AA57" s="75"/>
      <c r="AB57" s="75"/>
      <c r="AC57" s="75"/>
      <c r="AD57" s="75"/>
      <c r="AE57" s="75"/>
      <c r="AF57" s="75"/>
      <c r="AG57" s="75"/>
      <c r="AH57" s="75"/>
      <c r="AI57" s="75"/>
      <c r="AJ57" s="75"/>
      <c r="AK57" s="75"/>
      <c r="AL57" s="75"/>
    </row>
    <row r="58" spans="24:38" x14ac:dyDescent="0.3">
      <c r="X58" s="75"/>
      <c r="Y58" s="75"/>
      <c r="Z58" s="75"/>
      <c r="AA58" s="75"/>
      <c r="AB58" s="75"/>
      <c r="AC58" s="75"/>
      <c r="AD58" s="75"/>
      <c r="AE58" s="75"/>
      <c r="AF58" s="75"/>
      <c r="AG58" s="75"/>
      <c r="AH58" s="75"/>
      <c r="AI58" s="75"/>
      <c r="AJ58" s="75"/>
      <c r="AK58" s="75"/>
      <c r="AL58" s="75"/>
    </row>
    <row r="59" spans="24:38" x14ac:dyDescent="0.3">
      <c r="X59" s="75"/>
      <c r="Y59" s="75"/>
      <c r="Z59" s="75"/>
      <c r="AA59" s="75"/>
      <c r="AB59" s="75"/>
      <c r="AC59" s="75"/>
      <c r="AD59" s="75"/>
      <c r="AE59" s="75"/>
      <c r="AF59" s="75"/>
      <c r="AG59" s="75"/>
      <c r="AH59" s="75"/>
      <c r="AI59" s="75"/>
      <c r="AJ59" s="75"/>
      <c r="AK59" s="75"/>
      <c r="AL59" s="75"/>
    </row>
    <row r="60" spans="24:38" x14ac:dyDescent="0.3">
      <c r="X60" s="75"/>
      <c r="Y60" s="75"/>
      <c r="Z60" s="75"/>
      <c r="AA60" s="75"/>
      <c r="AB60" s="75"/>
      <c r="AC60" s="75"/>
      <c r="AD60" s="75"/>
      <c r="AE60" s="75"/>
      <c r="AF60" s="75"/>
      <c r="AG60" s="75"/>
      <c r="AH60" s="75"/>
      <c r="AI60" s="75"/>
      <c r="AJ60" s="75"/>
      <c r="AK60" s="75"/>
      <c r="AL60" s="75"/>
    </row>
    <row r="61" spans="24:38" x14ac:dyDescent="0.3">
      <c r="X61" s="75"/>
      <c r="Y61" s="75"/>
      <c r="Z61" s="75"/>
      <c r="AA61" s="75"/>
      <c r="AB61" s="75"/>
      <c r="AC61" s="75"/>
      <c r="AD61" s="75"/>
      <c r="AE61" s="75"/>
      <c r="AF61" s="75"/>
      <c r="AG61" s="75"/>
      <c r="AH61" s="75"/>
      <c r="AI61" s="75"/>
      <c r="AJ61" s="75"/>
      <c r="AK61" s="75"/>
      <c r="AL61" s="75"/>
    </row>
    <row r="62" spans="24:38" x14ac:dyDescent="0.3">
      <c r="X62" s="75"/>
      <c r="Y62" s="75"/>
      <c r="Z62" s="75"/>
      <c r="AA62" s="75"/>
      <c r="AB62" s="75"/>
      <c r="AC62" s="75"/>
      <c r="AD62" s="75"/>
      <c r="AE62" s="75"/>
      <c r="AF62" s="75"/>
      <c r="AG62" s="75"/>
      <c r="AH62" s="75"/>
      <c r="AI62" s="75"/>
      <c r="AJ62" s="75"/>
      <c r="AK62" s="75"/>
      <c r="AL62" s="75"/>
    </row>
    <row r="63" spans="24:38" x14ac:dyDescent="0.3">
      <c r="X63" s="75"/>
      <c r="Y63" s="75"/>
      <c r="Z63" s="75"/>
      <c r="AA63" s="75"/>
      <c r="AB63" s="75"/>
      <c r="AC63" s="75"/>
      <c r="AD63" s="75"/>
      <c r="AE63" s="75"/>
      <c r="AF63" s="75"/>
      <c r="AG63" s="75"/>
      <c r="AH63" s="75"/>
      <c r="AI63" s="75"/>
      <c r="AJ63" s="75"/>
      <c r="AK63" s="75"/>
      <c r="AL63" s="75"/>
    </row>
    <row r="64" spans="24:38" x14ac:dyDescent="0.3">
      <c r="X64" s="75"/>
      <c r="Z64" s="75"/>
      <c r="AA64" s="75"/>
      <c r="AB64" s="75"/>
      <c r="AC64" s="75"/>
      <c r="AD64" s="75"/>
      <c r="AE64" s="75"/>
      <c r="AF64" s="75"/>
      <c r="AG64" s="75"/>
      <c r="AH64" s="75"/>
      <c r="AI64" s="75"/>
      <c r="AJ64" s="75"/>
      <c r="AK64" s="75"/>
      <c r="AL64" s="75"/>
    </row>
    <row r="65" spans="24:38" x14ac:dyDescent="0.3">
      <c r="X65" s="75"/>
      <c r="Y65" s="75"/>
      <c r="Z65" s="75"/>
      <c r="AA65" s="75"/>
      <c r="AB65" s="75"/>
      <c r="AC65" s="75"/>
      <c r="AD65" s="75"/>
      <c r="AE65" s="75"/>
      <c r="AF65" s="75"/>
      <c r="AG65" s="75"/>
      <c r="AH65" s="75"/>
      <c r="AI65" s="75"/>
      <c r="AJ65" s="75"/>
      <c r="AK65" s="75"/>
      <c r="AL65" s="75"/>
    </row>
    <row r="66" spans="24:38" x14ac:dyDescent="0.3">
      <c r="X66" s="75"/>
      <c r="Y66" s="75"/>
      <c r="Z66" s="75"/>
      <c r="AA66" s="75"/>
      <c r="AB66" s="75"/>
      <c r="AC66" s="75"/>
      <c r="AD66" s="75"/>
      <c r="AE66" s="75"/>
      <c r="AF66" s="75"/>
      <c r="AG66" s="75"/>
      <c r="AH66" s="75"/>
      <c r="AI66" s="75"/>
      <c r="AJ66" s="75"/>
      <c r="AK66" s="75"/>
      <c r="AL66" s="75"/>
    </row>
    <row r="67" spans="24:38" x14ac:dyDescent="0.3">
      <c r="X67" s="75"/>
      <c r="Y67" s="75"/>
      <c r="Z67" s="113" t="s">
        <v>448</v>
      </c>
      <c r="AA67" s="75">
        <f t="shared" ref="AA67:AL67" si="120">SUM(AA36:AA63)</f>
        <v>118</v>
      </c>
      <c r="AB67" s="75">
        <f t="shared" si="120"/>
        <v>0</v>
      </c>
      <c r="AC67" s="75">
        <f t="shared" si="120"/>
        <v>0</v>
      </c>
      <c r="AD67" s="75">
        <f t="shared" si="120"/>
        <v>0</v>
      </c>
      <c r="AE67" s="75">
        <f t="shared" si="120"/>
        <v>69</v>
      </c>
      <c r="AF67" s="75">
        <f t="shared" si="120"/>
        <v>0</v>
      </c>
      <c r="AG67" s="75">
        <f t="shared" si="120"/>
        <v>0</v>
      </c>
      <c r="AH67" s="75">
        <f t="shared" si="120"/>
        <v>0</v>
      </c>
      <c r="AI67" s="75">
        <f t="shared" si="120"/>
        <v>13</v>
      </c>
      <c r="AJ67" s="75">
        <f t="shared" si="120"/>
        <v>0</v>
      </c>
      <c r="AK67" s="75">
        <f t="shared" si="120"/>
        <v>22</v>
      </c>
      <c r="AL67" s="75">
        <f t="shared" si="120"/>
        <v>1</v>
      </c>
    </row>
    <row r="68" spans="24:38" x14ac:dyDescent="0.3">
      <c r="X68" s="75"/>
      <c r="Y68" s="75"/>
      <c r="Z68" s="113" t="s">
        <v>449</v>
      </c>
      <c r="AA68" s="114">
        <f>I4+I122-AA67</f>
        <v>-118</v>
      </c>
      <c r="AB68" s="114">
        <f>K4+K122-AB67</f>
        <v>50</v>
      </c>
      <c r="AC68" s="114">
        <f>L4+L122-AC67</f>
        <v>0</v>
      </c>
      <c r="AD68" s="114">
        <f>M4+M122-AD67</f>
        <v>0</v>
      </c>
      <c r="AE68" s="114">
        <f>N4+N122-AE67</f>
        <v>-69</v>
      </c>
      <c r="AF68" s="114">
        <f>P4+P122-AF67</f>
        <v>2</v>
      </c>
      <c r="AG68" s="114">
        <f>Q4+Q122-AG67</f>
        <v>0</v>
      </c>
      <c r="AH68" s="114">
        <f>R4+R122-AH67</f>
        <v>0</v>
      </c>
      <c r="AI68" s="114">
        <f>S4+S122-AI67</f>
        <v>-13</v>
      </c>
      <c r="AJ68" s="114">
        <f>U4+U122-AJ67</f>
        <v>48</v>
      </c>
      <c r="AK68" s="114">
        <f>V4+V122-AK67</f>
        <v>-22</v>
      </c>
      <c r="AL68" s="114">
        <f>W4+W122-AL67</f>
        <v>-1</v>
      </c>
    </row>
    <row r="69" spans="24:38" x14ac:dyDescent="0.3">
      <c r="X69" s="75"/>
    </row>
    <row r="70" spans="24:38" x14ac:dyDescent="0.3">
      <c r="X70" s="75"/>
    </row>
    <row r="71" spans="24:38" x14ac:dyDescent="0.3">
      <c r="X71" s="75"/>
    </row>
    <row r="72" spans="24:38" x14ac:dyDescent="0.3">
      <c r="X72" s="75"/>
    </row>
    <row r="73" spans="24:38" x14ac:dyDescent="0.3">
      <c r="X73" s="75"/>
    </row>
    <row r="74" spans="24:38" x14ac:dyDescent="0.3">
      <c r="X74" s="75"/>
    </row>
    <row r="75" spans="24:38" x14ac:dyDescent="0.3">
      <c r="X75" s="75"/>
    </row>
    <row r="76" spans="24:38" x14ac:dyDescent="0.3">
      <c r="X76" s="75"/>
    </row>
    <row r="77" spans="24:38" x14ac:dyDescent="0.3">
      <c r="X77" s="75"/>
    </row>
    <row r="78" spans="24:38" x14ac:dyDescent="0.3">
      <c r="X78" s="75"/>
    </row>
    <row r="79" spans="24:38" x14ac:dyDescent="0.3">
      <c r="X79" s="75"/>
    </row>
    <row r="80" spans="24:38" x14ac:dyDescent="0.3">
      <c r="X80" s="75"/>
    </row>
    <row r="81" spans="24:24" x14ac:dyDescent="0.3">
      <c r="X81" s="75"/>
    </row>
    <row r="82" spans="24:24" x14ac:dyDescent="0.3">
      <c r="X82" s="75"/>
    </row>
    <row r="83" spans="24:24" x14ac:dyDescent="0.3">
      <c r="X83" s="75"/>
    </row>
    <row r="84" spans="24:24" x14ac:dyDescent="0.3">
      <c r="X84" s="75"/>
    </row>
    <row r="85" spans="24:24" x14ac:dyDescent="0.3">
      <c r="X85" s="75"/>
    </row>
    <row r="86" spans="24:24" x14ac:dyDescent="0.3">
      <c r="X86" s="75"/>
    </row>
    <row r="87" spans="24:24" x14ac:dyDescent="0.3">
      <c r="X87" s="75"/>
    </row>
    <row r="88" spans="24:24" x14ac:dyDescent="0.3">
      <c r="X88" s="75"/>
    </row>
    <row r="89" spans="24:24" x14ac:dyDescent="0.3">
      <c r="X89" s="75"/>
    </row>
    <row r="90" spans="24:24" x14ac:dyDescent="0.3">
      <c r="X90" s="75"/>
    </row>
    <row r="91" spans="24:24" x14ac:dyDescent="0.3">
      <c r="X91" s="75"/>
    </row>
    <row r="92" spans="24:24" x14ac:dyDescent="0.3">
      <c r="X92" s="75"/>
    </row>
    <row r="93" spans="24:24" x14ac:dyDescent="0.3">
      <c r="X93" s="75"/>
    </row>
    <row r="94" spans="24:24" x14ac:dyDescent="0.3">
      <c r="X94" s="75"/>
    </row>
    <row r="95" spans="24:24" x14ac:dyDescent="0.3">
      <c r="X95" s="75"/>
    </row>
    <row r="96" spans="24:24" x14ac:dyDescent="0.3">
      <c r="X96" s="75"/>
    </row>
    <row r="97" spans="24:24" x14ac:dyDescent="0.3">
      <c r="X97" s="75"/>
    </row>
    <row r="98" spans="24:24" x14ac:dyDescent="0.3">
      <c r="X98" s="75"/>
    </row>
    <row r="99" spans="24:24" x14ac:dyDescent="0.3">
      <c r="X99" s="75"/>
    </row>
    <row r="100" spans="24:24" x14ac:dyDescent="0.3">
      <c r="X100" s="75"/>
    </row>
    <row r="101" spans="24:24" x14ac:dyDescent="0.3">
      <c r="X101" s="75"/>
    </row>
    <row r="102" spans="24:24" x14ac:dyDescent="0.3">
      <c r="X102" s="75"/>
    </row>
    <row r="103" spans="24:24" x14ac:dyDescent="0.3">
      <c r="X103" s="75"/>
    </row>
    <row r="104" spans="24:24" x14ac:dyDescent="0.3">
      <c r="X104" s="75"/>
    </row>
    <row r="105" spans="24:24" x14ac:dyDescent="0.3">
      <c r="X105" s="75"/>
    </row>
    <row r="106" spans="24:24" x14ac:dyDescent="0.3">
      <c r="X106" s="75"/>
    </row>
    <row r="107" spans="24:24" x14ac:dyDescent="0.3">
      <c r="X107" s="75"/>
    </row>
    <row r="108" spans="24:24" x14ac:dyDescent="0.3">
      <c r="X108" s="75"/>
    </row>
    <row r="109" spans="24:24" x14ac:dyDescent="0.3">
      <c r="X109" s="75"/>
    </row>
    <row r="110" spans="24:24" x14ac:dyDescent="0.3">
      <c r="X110" s="75"/>
    </row>
    <row r="111" spans="24:24" x14ac:dyDescent="0.3">
      <c r="X111" s="75"/>
    </row>
    <row r="112" spans="24:24" x14ac:dyDescent="0.3">
      <c r="X112" s="75"/>
    </row>
    <row r="113" spans="24:24" x14ac:dyDescent="0.3">
      <c r="X113" s="75"/>
    </row>
    <row r="114" spans="24:24" x14ac:dyDescent="0.3">
      <c r="X114" s="75"/>
    </row>
    <row r="115" spans="24:24" x14ac:dyDescent="0.3">
      <c r="X115" s="75"/>
    </row>
    <row r="116" spans="24:24" x14ac:dyDescent="0.3">
      <c r="X116" s="75"/>
    </row>
    <row r="117" spans="24:24" x14ac:dyDescent="0.3">
      <c r="X117" s="75"/>
    </row>
    <row r="118" spans="24:24" x14ac:dyDescent="0.3">
      <c r="X118" s="75"/>
    </row>
    <row r="119" spans="24:24" x14ac:dyDescent="0.3">
      <c r="X119" s="75"/>
    </row>
    <row r="120" spans="24:24" x14ac:dyDescent="0.3">
      <c r="X120" s="75"/>
    </row>
    <row r="121" spans="24:24" x14ac:dyDescent="0.3">
      <c r="X121" s="75"/>
    </row>
    <row r="122" spans="24:24" x14ac:dyDescent="0.3">
      <c r="X122" s="75"/>
    </row>
    <row r="123" spans="24:24" x14ac:dyDescent="0.3">
      <c r="X123" s="75"/>
    </row>
  </sheetData>
  <mergeCells count="4">
    <mergeCell ref="C1:G1"/>
    <mergeCell ref="H1:L1"/>
    <mergeCell ref="M1:Q1"/>
    <mergeCell ref="R1:V1"/>
  </mergeCells>
  <dataValidations count="1">
    <dataValidation type="list" allowBlank="1" showInputMessage="1" showErrorMessage="1" sqref="Y67:Y1068 Y1:Y3" xr:uid="{B96D943A-84BD-4808-A877-33DB660F9EA6}">
      <formula1>$A$3:$A$473</formula1>
      <formula2>0</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B3F9-E62E-480C-8EED-496EE4B761FD}">
  <dimension ref="A1:AK28"/>
  <sheetViews>
    <sheetView workbookViewId="0">
      <pane ySplit="3" topLeftCell="A11" activePane="bottomLeft" state="frozen"/>
      <selection pane="bottomLeft" activeCell="F21" sqref="F21"/>
    </sheetView>
  </sheetViews>
  <sheetFormatPr defaultColWidth="9.109375" defaultRowHeight="13.8" x14ac:dyDescent="0.25"/>
  <cols>
    <col min="1" max="1" width="4.21875" style="188" customWidth="1"/>
    <col min="2" max="2" width="9.44140625" style="183" customWidth="1"/>
    <col min="3" max="3" width="10.77734375" style="183" customWidth="1"/>
    <col min="4" max="17" width="13.33203125" style="183" customWidth="1"/>
    <col min="18" max="19" width="17.77734375" style="183" customWidth="1"/>
    <col min="20" max="31" width="13.33203125" style="183" customWidth="1"/>
    <col min="32" max="16384" width="9.109375" style="183"/>
  </cols>
  <sheetData>
    <row r="1" spans="1:37" s="190" customFormat="1" ht="18" customHeight="1" x14ac:dyDescent="0.25">
      <c r="A1" s="483" t="s">
        <v>3</v>
      </c>
      <c r="B1" s="483" t="s">
        <v>399</v>
      </c>
      <c r="C1" s="481" t="s">
        <v>405</v>
      </c>
      <c r="D1" s="485"/>
      <c r="E1" s="485"/>
      <c r="F1" s="485"/>
      <c r="G1" s="485"/>
      <c r="H1" s="482"/>
      <c r="I1" s="352"/>
      <c r="J1" s="486" t="s">
        <v>406</v>
      </c>
      <c r="K1" s="487"/>
      <c r="L1" s="487"/>
      <c r="M1" s="487"/>
      <c r="N1" s="487"/>
      <c r="O1" s="488"/>
      <c r="P1" s="342"/>
      <c r="Q1" s="489" t="s">
        <v>610</v>
      </c>
      <c r="R1" s="490"/>
      <c r="S1" s="490"/>
      <c r="T1" s="490"/>
      <c r="U1" s="490"/>
      <c r="V1" s="491"/>
      <c r="W1" s="340"/>
      <c r="X1" s="492" t="s">
        <v>611</v>
      </c>
      <c r="Y1" s="493"/>
      <c r="Z1" s="493"/>
      <c r="AA1" s="493"/>
      <c r="AB1" s="493"/>
      <c r="AC1" s="494"/>
      <c r="AD1" s="343"/>
      <c r="AE1" s="474" t="s">
        <v>929</v>
      </c>
      <c r="AF1" s="475"/>
      <c r="AG1" s="475"/>
      <c r="AH1" s="475"/>
      <c r="AI1" s="475"/>
      <c r="AJ1" s="475"/>
      <c r="AK1" s="476"/>
    </row>
    <row r="2" spans="1:37" s="190" customFormat="1" ht="21.6" customHeight="1" x14ac:dyDescent="0.25">
      <c r="A2" s="484"/>
      <c r="B2" s="484"/>
      <c r="C2" s="191" t="s">
        <v>401</v>
      </c>
      <c r="D2" s="481" t="s">
        <v>402</v>
      </c>
      <c r="E2" s="482"/>
      <c r="F2" s="481" t="s">
        <v>932</v>
      </c>
      <c r="G2" s="482"/>
      <c r="H2" s="481" t="s">
        <v>933</v>
      </c>
      <c r="I2" s="482"/>
      <c r="J2" s="192" t="s">
        <v>401</v>
      </c>
      <c r="K2" s="474" t="s">
        <v>402</v>
      </c>
      <c r="L2" s="476"/>
      <c r="M2" s="474" t="s">
        <v>932</v>
      </c>
      <c r="N2" s="476"/>
      <c r="O2" s="474" t="s">
        <v>933</v>
      </c>
      <c r="P2" s="476"/>
      <c r="Q2" s="258" t="s">
        <v>401</v>
      </c>
      <c r="R2" s="472" t="s">
        <v>402</v>
      </c>
      <c r="S2" s="473"/>
      <c r="T2" s="472" t="s">
        <v>935</v>
      </c>
      <c r="U2" s="473"/>
      <c r="V2" s="472" t="s">
        <v>404</v>
      </c>
      <c r="W2" s="473"/>
      <c r="X2" s="259" t="s">
        <v>401</v>
      </c>
      <c r="Y2" s="259" t="s">
        <v>402</v>
      </c>
      <c r="Z2" s="259"/>
      <c r="AA2" s="479" t="s">
        <v>932</v>
      </c>
      <c r="AB2" s="480"/>
      <c r="AC2" s="479" t="s">
        <v>404</v>
      </c>
      <c r="AD2" s="480"/>
      <c r="AE2" s="192" t="s">
        <v>401</v>
      </c>
      <c r="AF2" s="474" t="s">
        <v>402</v>
      </c>
      <c r="AG2" s="476"/>
      <c r="AH2" s="474" t="s">
        <v>932</v>
      </c>
      <c r="AI2" s="476"/>
      <c r="AJ2" s="474" t="s">
        <v>933</v>
      </c>
      <c r="AK2" s="476"/>
    </row>
    <row r="3" spans="1:37" s="190" customFormat="1" ht="21.6" customHeight="1" x14ac:dyDescent="0.25">
      <c r="A3" s="254"/>
      <c r="B3" s="254"/>
      <c r="C3" s="191"/>
      <c r="D3" s="258" t="s">
        <v>916</v>
      </c>
      <c r="E3" s="258" t="s">
        <v>936</v>
      </c>
      <c r="F3" s="191" t="s">
        <v>21</v>
      </c>
      <c r="G3" s="191" t="s">
        <v>934</v>
      </c>
      <c r="H3" s="191" t="s">
        <v>21</v>
      </c>
      <c r="I3" s="191" t="s">
        <v>934</v>
      </c>
      <c r="J3" s="192"/>
      <c r="K3" s="258" t="s">
        <v>916</v>
      </c>
      <c r="L3" s="258" t="s">
        <v>936</v>
      </c>
      <c r="M3" s="191" t="s">
        <v>21</v>
      </c>
      <c r="N3" s="191" t="s">
        <v>934</v>
      </c>
      <c r="O3" s="191" t="s">
        <v>21</v>
      </c>
      <c r="P3" s="191" t="s">
        <v>934</v>
      </c>
      <c r="Q3" s="258"/>
      <c r="R3" s="258" t="s">
        <v>916</v>
      </c>
      <c r="S3" s="258" t="s">
        <v>915</v>
      </c>
      <c r="T3" s="191" t="s">
        <v>21</v>
      </c>
      <c r="U3" s="191" t="s">
        <v>934</v>
      </c>
      <c r="V3" s="191" t="s">
        <v>21</v>
      </c>
      <c r="W3" s="191" t="s">
        <v>934</v>
      </c>
      <c r="X3" s="259"/>
      <c r="Y3" s="258" t="s">
        <v>916</v>
      </c>
      <c r="Z3" s="258" t="s">
        <v>915</v>
      </c>
      <c r="AA3" s="259" t="s">
        <v>937</v>
      </c>
      <c r="AB3" s="259" t="s">
        <v>934</v>
      </c>
      <c r="AC3" s="191" t="s">
        <v>21</v>
      </c>
      <c r="AD3" s="191" t="s">
        <v>934</v>
      </c>
      <c r="AE3" s="192"/>
      <c r="AF3" s="192" t="s">
        <v>916</v>
      </c>
      <c r="AG3" s="192" t="s">
        <v>915</v>
      </c>
      <c r="AH3" s="192" t="s">
        <v>21</v>
      </c>
      <c r="AI3" s="192" t="s">
        <v>934</v>
      </c>
      <c r="AJ3" s="192" t="s">
        <v>21</v>
      </c>
      <c r="AK3" s="192" t="s">
        <v>934</v>
      </c>
    </row>
    <row r="4" spans="1:37" s="190" customFormat="1" ht="21.6" customHeight="1" x14ac:dyDescent="0.25">
      <c r="A4" s="254"/>
      <c r="B4" s="254"/>
      <c r="C4" s="191"/>
      <c r="D4" s="191"/>
      <c r="E4" s="191"/>
      <c r="F4" s="191"/>
      <c r="G4" s="191"/>
      <c r="H4" s="191"/>
      <c r="I4" s="191"/>
      <c r="J4" s="192"/>
      <c r="K4" s="192"/>
      <c r="L4" s="192"/>
      <c r="M4" s="192"/>
      <c r="N4" s="192"/>
      <c r="O4" s="192"/>
      <c r="P4" s="192"/>
      <c r="Q4" s="258"/>
      <c r="R4" s="258"/>
      <c r="S4" s="258"/>
      <c r="T4" s="258"/>
      <c r="U4" s="258"/>
      <c r="V4" s="258"/>
      <c r="W4" s="258"/>
      <c r="X4" s="259"/>
      <c r="Y4" s="259"/>
      <c r="Z4" s="259"/>
      <c r="AA4" s="259"/>
      <c r="AB4" s="259"/>
      <c r="AC4" s="259"/>
      <c r="AD4" s="353"/>
      <c r="AE4" s="254"/>
      <c r="AF4" s="347"/>
      <c r="AG4" s="347"/>
      <c r="AH4" s="347"/>
      <c r="AI4" s="347"/>
      <c r="AJ4" s="347"/>
      <c r="AK4" s="347"/>
    </row>
    <row r="5" spans="1:37" ht="28.2" customHeight="1" x14ac:dyDescent="0.25">
      <c r="A5" s="187">
        <v>1</v>
      </c>
      <c r="B5" s="189">
        <v>46273</v>
      </c>
      <c r="C5" s="193"/>
      <c r="D5" s="193"/>
      <c r="E5" s="193"/>
      <c r="F5" s="193">
        <f>60</f>
        <v>60</v>
      </c>
      <c r="G5" s="193"/>
      <c r="H5" s="193"/>
      <c r="I5" s="193"/>
      <c r="J5" s="193"/>
      <c r="K5" s="193"/>
      <c r="L5" s="193"/>
      <c r="M5" s="193">
        <v>120</v>
      </c>
      <c r="N5" s="193"/>
      <c r="O5" s="193"/>
      <c r="P5" s="193"/>
      <c r="Q5" s="193"/>
      <c r="R5" s="193"/>
      <c r="S5" s="193"/>
      <c r="T5" s="193"/>
      <c r="U5" s="193"/>
      <c r="V5" s="193"/>
      <c r="W5" s="193"/>
      <c r="X5" s="193"/>
      <c r="Y5" s="193"/>
      <c r="Z5" s="193"/>
      <c r="AA5" s="193"/>
      <c r="AB5" s="193"/>
      <c r="AC5" s="193"/>
      <c r="AD5" s="354"/>
      <c r="AE5" s="254">
        <f>C5+J5+Q5+X5</f>
        <v>0</v>
      </c>
      <c r="AF5" s="254">
        <f>D5+K5+R5+Y5</f>
        <v>0</v>
      </c>
      <c r="AG5" s="254">
        <f>E5+L5+S5+Z5</f>
        <v>0</v>
      </c>
      <c r="AH5" s="254">
        <f>F5+M5+T5+AA5</f>
        <v>180</v>
      </c>
      <c r="AI5" s="254">
        <f>G5+N5+U5</f>
        <v>0</v>
      </c>
      <c r="AJ5" s="254">
        <f>H5+O5+V5+AD5</f>
        <v>0</v>
      </c>
      <c r="AK5" s="254">
        <f>I5+P5+W5+AD5</f>
        <v>0</v>
      </c>
    </row>
    <row r="6" spans="1:37" ht="28.2" customHeight="1" x14ac:dyDescent="0.25">
      <c r="A6" s="187">
        <v>2</v>
      </c>
      <c r="B6" s="189">
        <v>46274</v>
      </c>
      <c r="C6" s="193"/>
      <c r="D6" s="193">
        <v>20</v>
      </c>
      <c r="E6" s="193"/>
      <c r="F6" s="193"/>
      <c r="G6" s="193">
        <v>11</v>
      </c>
      <c r="H6" s="193">
        <v>40</v>
      </c>
      <c r="I6" s="193"/>
      <c r="J6" s="193"/>
      <c r="K6" s="193"/>
      <c r="L6" s="193"/>
      <c r="M6" s="193"/>
      <c r="N6" s="193"/>
      <c r="O6" s="193"/>
      <c r="P6" s="193"/>
      <c r="Q6" s="193"/>
      <c r="R6" s="193"/>
      <c r="S6" s="193"/>
      <c r="T6" s="193">
        <v>50</v>
      </c>
      <c r="U6" s="193"/>
      <c r="V6" s="193"/>
      <c r="W6" s="193"/>
      <c r="X6" s="193"/>
      <c r="Y6" s="193"/>
      <c r="Z6" s="193"/>
      <c r="AA6" s="193"/>
      <c r="AB6" s="193"/>
      <c r="AC6" s="193"/>
      <c r="AD6" s="354"/>
      <c r="AE6" s="254">
        <f t="shared" ref="AE6:AE21" si="0">C6+J6+Q6+X6</f>
        <v>0</v>
      </c>
      <c r="AF6" s="254">
        <f t="shared" ref="AF6:AF21" si="1">D6+K6+R6+Y6</f>
        <v>20</v>
      </c>
      <c r="AG6" s="254">
        <f t="shared" ref="AG6:AG21" si="2">E6+L6+S6+Z6</f>
        <v>0</v>
      </c>
      <c r="AH6" s="254">
        <f t="shared" ref="AH6:AH21" si="3">F6+M6+T6+AA6</f>
        <v>50</v>
      </c>
      <c r="AI6" s="254">
        <f>G6+N6+U6+AB6</f>
        <v>11</v>
      </c>
      <c r="AJ6" s="254">
        <f t="shared" ref="AJ6:AJ21" si="4">H6+O6+V6+AD6</f>
        <v>40</v>
      </c>
      <c r="AK6" s="254">
        <f t="shared" ref="AK6:AK21" si="5">I6+P6+W6+AD6</f>
        <v>0</v>
      </c>
    </row>
    <row r="7" spans="1:37" ht="28.2" customHeight="1" x14ac:dyDescent="0.25">
      <c r="A7" s="187">
        <v>3</v>
      </c>
      <c r="B7" s="189">
        <v>46275</v>
      </c>
      <c r="C7" s="193"/>
      <c r="D7" s="193">
        <v>22</v>
      </c>
      <c r="E7" s="193"/>
      <c r="F7" s="193">
        <v>66</v>
      </c>
      <c r="G7" s="193"/>
      <c r="H7" s="193"/>
      <c r="I7" s="193"/>
      <c r="J7" s="193"/>
      <c r="K7" s="193"/>
      <c r="L7" s="193"/>
      <c r="M7" s="193"/>
      <c r="N7" s="193"/>
      <c r="O7" s="193"/>
      <c r="P7" s="193"/>
      <c r="Q7" s="193"/>
      <c r="R7" s="193"/>
      <c r="S7" s="193"/>
      <c r="T7" s="193">
        <v>40</v>
      </c>
      <c r="U7" s="193"/>
      <c r="V7" s="193"/>
      <c r="W7" s="193"/>
      <c r="X7" s="193"/>
      <c r="Y7" s="193"/>
      <c r="Z7" s="193"/>
      <c r="AA7" s="193"/>
      <c r="AB7" s="193"/>
      <c r="AC7" s="193"/>
      <c r="AD7" s="354"/>
      <c r="AE7" s="254">
        <f t="shared" si="0"/>
        <v>0</v>
      </c>
      <c r="AF7" s="254">
        <f t="shared" si="1"/>
        <v>22</v>
      </c>
      <c r="AG7" s="254">
        <f t="shared" si="2"/>
        <v>0</v>
      </c>
      <c r="AH7" s="254">
        <f t="shared" si="3"/>
        <v>106</v>
      </c>
      <c r="AI7" s="254">
        <f t="shared" ref="AI7:AI21" si="6">G7+N7+U7+AB7</f>
        <v>0</v>
      </c>
      <c r="AJ7" s="254">
        <f t="shared" si="4"/>
        <v>0</v>
      </c>
      <c r="AK7" s="254">
        <f t="shared" si="5"/>
        <v>0</v>
      </c>
    </row>
    <row r="8" spans="1:37" ht="28.2" customHeight="1" x14ac:dyDescent="0.25">
      <c r="A8" s="187">
        <v>4</v>
      </c>
      <c r="B8" s="189">
        <v>46276</v>
      </c>
      <c r="C8" s="193"/>
      <c r="D8" s="193"/>
      <c r="E8" s="193"/>
      <c r="F8" s="193"/>
      <c r="G8" s="193"/>
      <c r="H8" s="193"/>
      <c r="I8" s="193"/>
      <c r="J8" s="193"/>
      <c r="K8" s="193"/>
      <c r="L8" s="193"/>
      <c r="M8" s="193"/>
      <c r="N8" s="193"/>
      <c r="O8" s="193"/>
      <c r="P8" s="193"/>
      <c r="Q8" s="193"/>
      <c r="R8" s="193"/>
      <c r="S8" s="193"/>
      <c r="T8" s="193">
        <v>40</v>
      </c>
      <c r="U8" s="193"/>
      <c r="V8" s="193"/>
      <c r="W8" s="193"/>
      <c r="X8" s="193"/>
      <c r="Y8" s="193"/>
      <c r="Z8" s="193"/>
      <c r="AA8" s="193"/>
      <c r="AB8" s="193"/>
      <c r="AC8" s="193"/>
      <c r="AD8" s="354"/>
      <c r="AE8" s="254">
        <f t="shared" si="0"/>
        <v>0</v>
      </c>
      <c r="AF8" s="254">
        <f t="shared" si="1"/>
        <v>0</v>
      </c>
      <c r="AG8" s="254">
        <f t="shared" si="2"/>
        <v>0</v>
      </c>
      <c r="AH8" s="254">
        <f t="shared" si="3"/>
        <v>40</v>
      </c>
      <c r="AI8" s="254">
        <f t="shared" si="6"/>
        <v>0</v>
      </c>
      <c r="AJ8" s="254">
        <f t="shared" si="4"/>
        <v>0</v>
      </c>
      <c r="AK8" s="254">
        <f t="shared" si="5"/>
        <v>0</v>
      </c>
    </row>
    <row r="9" spans="1:37" ht="28.2" customHeight="1" x14ac:dyDescent="0.25">
      <c r="A9" s="187">
        <v>5</v>
      </c>
      <c r="B9" s="189">
        <v>46277</v>
      </c>
      <c r="C9" s="193"/>
      <c r="D9" s="193"/>
      <c r="E9" s="193"/>
      <c r="F9" s="193"/>
      <c r="G9" s="193"/>
      <c r="H9" s="193"/>
      <c r="I9" s="193"/>
      <c r="J9" s="193"/>
      <c r="K9" s="193"/>
      <c r="L9" s="193"/>
      <c r="M9" s="193"/>
      <c r="N9" s="193"/>
      <c r="O9" s="193"/>
      <c r="P9" s="193"/>
      <c r="Q9" s="193"/>
      <c r="R9" s="193"/>
      <c r="S9" s="193"/>
      <c r="T9" s="193"/>
      <c r="U9" s="193"/>
      <c r="V9" s="193"/>
      <c r="W9" s="193"/>
      <c r="X9" s="193"/>
      <c r="Y9" s="193"/>
      <c r="Z9" s="193"/>
      <c r="AA9" s="193"/>
      <c r="AB9" s="193"/>
      <c r="AC9" s="193"/>
      <c r="AD9" s="354"/>
      <c r="AE9" s="254">
        <f t="shared" si="0"/>
        <v>0</v>
      </c>
      <c r="AF9" s="254">
        <f t="shared" si="1"/>
        <v>0</v>
      </c>
      <c r="AG9" s="254">
        <f t="shared" si="2"/>
        <v>0</v>
      </c>
      <c r="AH9" s="254">
        <f t="shared" si="3"/>
        <v>0</v>
      </c>
      <c r="AI9" s="254">
        <f t="shared" si="6"/>
        <v>0</v>
      </c>
      <c r="AJ9" s="254">
        <f t="shared" si="4"/>
        <v>0</v>
      </c>
      <c r="AK9" s="254">
        <f t="shared" si="5"/>
        <v>0</v>
      </c>
    </row>
    <row r="10" spans="1:37" ht="28.2" customHeight="1" x14ac:dyDescent="0.25">
      <c r="A10" s="187">
        <v>6</v>
      </c>
      <c r="B10" s="189">
        <v>46278</v>
      </c>
      <c r="C10" s="193"/>
      <c r="D10" s="193"/>
      <c r="E10" s="193"/>
      <c r="F10" s="193"/>
      <c r="G10" s="193"/>
      <c r="H10" s="193"/>
      <c r="I10" s="193"/>
      <c r="J10" s="193"/>
      <c r="K10" s="193"/>
      <c r="L10" s="193"/>
      <c r="M10" s="193"/>
      <c r="N10" s="193"/>
      <c r="O10" s="193"/>
      <c r="P10" s="193"/>
      <c r="Q10" s="193"/>
      <c r="R10" s="193"/>
      <c r="S10" s="193"/>
      <c r="T10" s="193"/>
      <c r="U10" s="193"/>
      <c r="V10" s="193"/>
      <c r="W10" s="193"/>
      <c r="X10" s="193"/>
      <c r="Y10" s="193"/>
      <c r="Z10" s="193"/>
      <c r="AA10" s="193"/>
      <c r="AB10" s="193"/>
      <c r="AC10" s="193"/>
      <c r="AD10" s="354"/>
      <c r="AE10" s="254">
        <f t="shared" si="0"/>
        <v>0</v>
      </c>
      <c r="AF10" s="254">
        <f t="shared" si="1"/>
        <v>0</v>
      </c>
      <c r="AG10" s="254">
        <f t="shared" si="2"/>
        <v>0</v>
      </c>
      <c r="AH10" s="254">
        <f t="shared" si="3"/>
        <v>0</v>
      </c>
      <c r="AI10" s="254">
        <f t="shared" si="6"/>
        <v>0</v>
      </c>
      <c r="AJ10" s="254">
        <f t="shared" si="4"/>
        <v>0</v>
      </c>
      <c r="AK10" s="254">
        <f t="shared" si="5"/>
        <v>0</v>
      </c>
    </row>
    <row r="11" spans="1:37" s="263" customFormat="1" ht="28.2" customHeight="1" x14ac:dyDescent="0.25">
      <c r="A11" s="260">
        <v>7</v>
      </c>
      <c r="B11" s="261">
        <v>46279</v>
      </c>
      <c r="C11" s="262"/>
      <c r="D11" s="262"/>
      <c r="E11" s="262"/>
      <c r="F11" s="262">
        <v>90</v>
      </c>
      <c r="G11" s="262"/>
      <c r="H11" s="262"/>
      <c r="I11" s="262"/>
      <c r="J11" s="262"/>
      <c r="K11" s="262"/>
      <c r="L11" s="262"/>
      <c r="M11" s="262">
        <v>38</v>
      </c>
      <c r="N11" s="262"/>
      <c r="O11" s="262">
        <v>50</v>
      </c>
      <c r="P11" s="262"/>
      <c r="Q11" s="262"/>
      <c r="R11" s="262">
        <v>15</v>
      </c>
      <c r="S11" s="262"/>
      <c r="T11" s="262"/>
      <c r="U11" s="262"/>
      <c r="V11" s="262"/>
      <c r="W11" s="262">
        <v>2</v>
      </c>
      <c r="X11" s="262"/>
      <c r="Y11" s="262"/>
      <c r="Z11" s="262"/>
      <c r="AA11" s="262">
        <v>17</v>
      </c>
      <c r="AB11" s="262"/>
      <c r="AC11" s="262">
        <v>30</v>
      </c>
      <c r="AD11" s="355"/>
      <c r="AE11" s="254">
        <f t="shared" si="0"/>
        <v>0</v>
      </c>
      <c r="AF11" s="254">
        <f t="shared" si="1"/>
        <v>15</v>
      </c>
      <c r="AG11" s="254">
        <f t="shared" si="2"/>
        <v>0</v>
      </c>
      <c r="AH11" s="254">
        <f t="shared" si="3"/>
        <v>145</v>
      </c>
      <c r="AI11" s="254">
        <f t="shared" si="6"/>
        <v>0</v>
      </c>
      <c r="AJ11" s="254">
        <f t="shared" si="4"/>
        <v>50</v>
      </c>
      <c r="AK11" s="254">
        <f t="shared" si="5"/>
        <v>2</v>
      </c>
    </row>
    <row r="12" spans="1:37" ht="28.2" customHeight="1" x14ac:dyDescent="0.25">
      <c r="A12" s="187">
        <v>8</v>
      </c>
      <c r="B12" s="189">
        <v>46280</v>
      </c>
      <c r="C12" s="193">
        <v>4</v>
      </c>
      <c r="D12" s="193">
        <v>10</v>
      </c>
      <c r="E12" s="193"/>
      <c r="F12" s="193">
        <v>54</v>
      </c>
      <c r="G12" s="193"/>
      <c r="H12" s="193"/>
      <c r="I12" s="193"/>
      <c r="J12" s="193"/>
      <c r="K12" s="193"/>
      <c r="L12" s="193"/>
      <c r="M12" s="193">
        <v>50</v>
      </c>
      <c r="N12" s="193"/>
      <c r="O12" s="193"/>
      <c r="P12" s="193"/>
      <c r="Q12" s="193"/>
      <c r="R12" s="193"/>
      <c r="S12" s="193">
        <v>11</v>
      </c>
      <c r="T12" s="193"/>
      <c r="U12" s="193"/>
      <c r="V12" s="193"/>
      <c r="W12" s="193"/>
      <c r="X12" s="193"/>
      <c r="Y12" s="193"/>
      <c r="Z12" s="193"/>
      <c r="AA12" s="193"/>
      <c r="AB12" s="193"/>
      <c r="AC12" s="193"/>
      <c r="AD12" s="354"/>
      <c r="AE12" s="254">
        <f t="shared" si="0"/>
        <v>4</v>
      </c>
      <c r="AF12" s="254">
        <v>21</v>
      </c>
      <c r="AG12" s="254"/>
      <c r="AH12" s="254">
        <f t="shared" si="3"/>
        <v>104</v>
      </c>
      <c r="AI12" s="254">
        <f t="shared" si="6"/>
        <v>0</v>
      </c>
      <c r="AJ12" s="254">
        <f t="shared" si="4"/>
        <v>0</v>
      </c>
      <c r="AK12" s="254">
        <f t="shared" si="5"/>
        <v>0</v>
      </c>
    </row>
    <row r="13" spans="1:37" ht="28.2" customHeight="1" x14ac:dyDescent="0.25">
      <c r="A13" s="187">
        <v>9</v>
      </c>
      <c r="B13" s="189">
        <v>46281</v>
      </c>
      <c r="C13" s="193"/>
      <c r="D13" s="193"/>
      <c r="E13" s="193"/>
      <c r="F13" s="193">
        <v>58</v>
      </c>
      <c r="G13" s="193"/>
      <c r="H13" s="193"/>
      <c r="I13" s="193"/>
      <c r="J13" s="193">
        <f>17+13</f>
        <v>30</v>
      </c>
      <c r="K13" s="193">
        <v>22</v>
      </c>
      <c r="L13" s="193"/>
      <c r="M13" s="193">
        <v>8</v>
      </c>
      <c r="N13" s="193"/>
      <c r="O13" s="193"/>
      <c r="P13" s="193"/>
      <c r="Q13" s="193"/>
      <c r="R13" s="193"/>
      <c r="S13" s="193"/>
      <c r="T13" s="193"/>
      <c r="U13" s="193"/>
      <c r="V13" s="193"/>
      <c r="W13" s="193"/>
      <c r="X13" s="193"/>
      <c r="Y13" s="193"/>
      <c r="Z13" s="193"/>
      <c r="AA13" s="193"/>
      <c r="AB13" s="193"/>
      <c r="AC13" s="193"/>
      <c r="AD13" s="354"/>
      <c r="AE13" s="254">
        <f t="shared" si="0"/>
        <v>30</v>
      </c>
      <c r="AF13" s="254">
        <f t="shared" si="1"/>
        <v>22</v>
      </c>
      <c r="AG13" s="254">
        <f t="shared" si="2"/>
        <v>0</v>
      </c>
      <c r="AH13" s="254">
        <f t="shared" si="3"/>
        <v>66</v>
      </c>
      <c r="AI13" s="254">
        <f t="shared" si="6"/>
        <v>0</v>
      </c>
      <c r="AJ13" s="254">
        <f t="shared" si="4"/>
        <v>0</v>
      </c>
      <c r="AK13" s="254">
        <f t="shared" si="5"/>
        <v>0</v>
      </c>
    </row>
    <row r="14" spans="1:37" ht="28.2" customHeight="1" x14ac:dyDescent="0.25">
      <c r="A14" s="187">
        <v>10</v>
      </c>
      <c r="B14" s="189">
        <v>46282</v>
      </c>
      <c r="C14" s="193"/>
      <c r="D14" s="193"/>
      <c r="E14" s="193"/>
      <c r="F14" s="193">
        <v>85</v>
      </c>
      <c r="G14" s="193"/>
      <c r="H14" s="193"/>
      <c r="I14" s="193"/>
      <c r="J14" s="193">
        <v>29</v>
      </c>
      <c r="K14" s="193">
        <v>26</v>
      </c>
      <c r="L14" s="193"/>
      <c r="M14" s="193">
        <v>55</v>
      </c>
      <c r="N14" s="193"/>
      <c r="O14" s="193"/>
      <c r="P14" s="193"/>
      <c r="Q14" s="193"/>
      <c r="R14" s="193"/>
      <c r="S14" s="193"/>
      <c r="T14" s="193"/>
      <c r="U14" s="193"/>
      <c r="V14" s="193">
        <v>3</v>
      </c>
      <c r="W14" s="193">
        <v>3</v>
      </c>
      <c r="X14" s="193"/>
      <c r="Y14" s="193"/>
      <c r="Z14" s="193"/>
      <c r="AA14" s="193"/>
      <c r="AB14" s="193"/>
      <c r="AC14" s="193"/>
      <c r="AD14" s="354"/>
      <c r="AE14" s="254">
        <f t="shared" si="0"/>
        <v>29</v>
      </c>
      <c r="AF14" s="254">
        <f t="shared" si="1"/>
        <v>26</v>
      </c>
      <c r="AG14" s="254">
        <f t="shared" si="2"/>
        <v>0</v>
      </c>
      <c r="AH14" s="254">
        <f t="shared" si="3"/>
        <v>140</v>
      </c>
      <c r="AI14" s="254">
        <f t="shared" si="6"/>
        <v>0</v>
      </c>
      <c r="AJ14" s="254">
        <f t="shared" si="4"/>
        <v>3</v>
      </c>
      <c r="AK14" s="254">
        <f t="shared" si="5"/>
        <v>3</v>
      </c>
    </row>
    <row r="15" spans="1:37" ht="28.2" customHeight="1" x14ac:dyDescent="0.25">
      <c r="A15" s="187">
        <v>11</v>
      </c>
      <c r="B15" s="189">
        <v>46283</v>
      </c>
      <c r="C15" s="193"/>
      <c r="D15" s="193"/>
      <c r="E15" s="193"/>
      <c r="F15" s="193">
        <v>70</v>
      </c>
      <c r="G15" s="193"/>
      <c r="H15" s="193"/>
      <c r="I15" s="193"/>
      <c r="J15" s="193"/>
      <c r="K15" s="193"/>
      <c r="L15" s="193"/>
      <c r="M15" s="193">
        <v>50</v>
      </c>
      <c r="N15" s="193"/>
      <c r="O15" s="193"/>
      <c r="P15" s="193"/>
      <c r="Q15" s="193">
        <v>2</v>
      </c>
      <c r="R15" s="193"/>
      <c r="S15" s="193"/>
      <c r="T15" s="193">
        <v>11</v>
      </c>
      <c r="U15" s="193"/>
      <c r="V15" s="193">
        <v>2</v>
      </c>
      <c r="W15" s="193">
        <v>2</v>
      </c>
      <c r="X15" s="193"/>
      <c r="Y15" s="193"/>
      <c r="Z15" s="193"/>
      <c r="AA15" s="193"/>
      <c r="AB15" s="193"/>
      <c r="AC15" s="193"/>
      <c r="AD15" s="354"/>
      <c r="AE15" s="254">
        <f t="shared" si="0"/>
        <v>2</v>
      </c>
      <c r="AF15" s="254">
        <v>0</v>
      </c>
      <c r="AG15" s="254">
        <f t="shared" si="2"/>
        <v>0</v>
      </c>
      <c r="AH15" s="254">
        <f t="shared" si="3"/>
        <v>131</v>
      </c>
      <c r="AI15" s="254">
        <f t="shared" si="6"/>
        <v>0</v>
      </c>
      <c r="AJ15" s="254">
        <f t="shared" si="4"/>
        <v>2</v>
      </c>
      <c r="AK15" s="254">
        <f t="shared" si="5"/>
        <v>2</v>
      </c>
    </row>
    <row r="16" spans="1:37" ht="28.2" customHeight="1" x14ac:dyDescent="0.25">
      <c r="A16" s="187">
        <v>12</v>
      </c>
      <c r="B16" s="189">
        <v>46284</v>
      </c>
      <c r="C16" s="193"/>
      <c r="D16" s="193">
        <v>30</v>
      </c>
      <c r="E16" s="193"/>
      <c r="F16" s="193">
        <v>72</v>
      </c>
      <c r="G16" s="193"/>
      <c r="H16" s="193"/>
      <c r="I16" s="193"/>
      <c r="J16" s="193"/>
      <c r="K16" s="193"/>
      <c r="L16" s="193"/>
      <c r="M16" s="193"/>
      <c r="N16" s="193"/>
      <c r="O16" s="193"/>
      <c r="P16" s="193"/>
      <c r="Q16" s="193"/>
      <c r="R16" s="193"/>
      <c r="S16" s="193"/>
      <c r="T16" s="193"/>
      <c r="U16" s="193"/>
      <c r="V16" s="193"/>
      <c r="W16" s="193"/>
      <c r="X16" s="193"/>
      <c r="Y16" s="193"/>
      <c r="Z16" s="193"/>
      <c r="AA16" s="193"/>
      <c r="AB16" s="193"/>
      <c r="AC16" s="193"/>
      <c r="AD16" s="354"/>
      <c r="AE16" s="254">
        <f t="shared" si="0"/>
        <v>0</v>
      </c>
      <c r="AF16" s="254">
        <f t="shared" si="1"/>
        <v>30</v>
      </c>
      <c r="AG16" s="254">
        <f t="shared" si="2"/>
        <v>0</v>
      </c>
      <c r="AH16" s="254">
        <f t="shared" si="3"/>
        <v>72</v>
      </c>
      <c r="AI16" s="254">
        <f t="shared" si="6"/>
        <v>0</v>
      </c>
      <c r="AJ16" s="254">
        <f t="shared" si="4"/>
        <v>0</v>
      </c>
      <c r="AK16" s="254">
        <f t="shared" si="5"/>
        <v>0</v>
      </c>
    </row>
    <row r="17" spans="1:37" ht="22.8" customHeight="1" x14ac:dyDescent="0.25">
      <c r="A17" s="187">
        <v>13</v>
      </c>
      <c r="B17" s="189">
        <v>46285</v>
      </c>
      <c r="C17" s="184"/>
      <c r="D17" s="184"/>
      <c r="E17" s="184"/>
      <c r="F17" s="184"/>
      <c r="G17" s="184"/>
      <c r="H17" s="184"/>
      <c r="I17" s="184"/>
      <c r="J17" s="184"/>
      <c r="K17" s="184"/>
      <c r="L17" s="184"/>
      <c r="M17" s="184"/>
      <c r="N17" s="184"/>
      <c r="O17" s="184"/>
      <c r="P17" s="184"/>
      <c r="Q17" s="184"/>
      <c r="R17" s="184"/>
      <c r="S17" s="184"/>
      <c r="T17" s="184"/>
      <c r="U17" s="184"/>
      <c r="V17" s="184"/>
      <c r="W17" s="184"/>
      <c r="X17" s="184"/>
      <c r="Y17" s="184"/>
      <c r="Z17" s="184"/>
      <c r="AA17" s="184"/>
      <c r="AB17" s="184"/>
      <c r="AC17" s="184"/>
      <c r="AD17" s="356"/>
      <c r="AE17" s="254">
        <f t="shared" si="0"/>
        <v>0</v>
      </c>
      <c r="AF17" s="254">
        <f t="shared" si="1"/>
        <v>0</v>
      </c>
      <c r="AG17" s="254">
        <f t="shared" si="2"/>
        <v>0</v>
      </c>
      <c r="AH17" s="254">
        <f t="shared" si="3"/>
        <v>0</v>
      </c>
      <c r="AI17" s="254">
        <f t="shared" si="6"/>
        <v>0</v>
      </c>
      <c r="AJ17" s="254">
        <f t="shared" si="4"/>
        <v>0</v>
      </c>
      <c r="AK17" s="254">
        <f t="shared" si="5"/>
        <v>0</v>
      </c>
    </row>
    <row r="18" spans="1:37" s="329" customFormat="1" ht="22.8" customHeight="1" x14ac:dyDescent="0.25">
      <c r="A18" s="242">
        <v>14</v>
      </c>
      <c r="B18" s="327">
        <v>46286</v>
      </c>
      <c r="C18" s="328"/>
      <c r="D18" s="328"/>
      <c r="E18" s="328"/>
      <c r="F18" s="328"/>
      <c r="G18" s="328"/>
      <c r="H18" s="328"/>
      <c r="I18" s="328"/>
      <c r="J18" s="328">
        <v>10</v>
      </c>
      <c r="K18" s="328">
        <v>30</v>
      </c>
      <c r="L18" s="328"/>
      <c r="M18" s="328">
        <v>28</v>
      </c>
      <c r="N18" s="328"/>
      <c r="O18" s="328">
        <v>10</v>
      </c>
      <c r="P18" s="328"/>
      <c r="Q18" s="328"/>
      <c r="R18" s="328">
        <v>4</v>
      </c>
      <c r="S18" s="328">
        <v>7</v>
      </c>
      <c r="T18" s="328">
        <v>40</v>
      </c>
      <c r="U18" s="328"/>
      <c r="V18" s="328"/>
      <c r="W18" s="328"/>
      <c r="X18" s="328"/>
      <c r="Y18" s="328"/>
      <c r="Z18" s="328"/>
      <c r="AA18" s="328"/>
      <c r="AB18" s="328"/>
      <c r="AC18" s="328"/>
      <c r="AD18" s="357"/>
      <c r="AE18" s="254">
        <f t="shared" si="0"/>
        <v>10</v>
      </c>
      <c r="AF18" s="254">
        <f t="shared" si="1"/>
        <v>34</v>
      </c>
      <c r="AG18" s="254">
        <f t="shared" si="2"/>
        <v>7</v>
      </c>
      <c r="AH18" s="254">
        <f t="shared" si="3"/>
        <v>68</v>
      </c>
      <c r="AI18" s="254">
        <f t="shared" si="6"/>
        <v>0</v>
      </c>
      <c r="AJ18" s="254">
        <f t="shared" si="4"/>
        <v>10</v>
      </c>
      <c r="AK18" s="254">
        <f t="shared" si="5"/>
        <v>0</v>
      </c>
    </row>
    <row r="19" spans="1:37" s="329" customFormat="1" ht="22.8" customHeight="1" x14ac:dyDescent="0.25">
      <c r="A19" s="242">
        <v>15</v>
      </c>
      <c r="B19" s="327">
        <v>46287</v>
      </c>
      <c r="C19" s="328"/>
      <c r="D19" s="328"/>
      <c r="E19" s="328"/>
      <c r="F19" s="328"/>
      <c r="G19" s="328"/>
      <c r="H19" s="328"/>
      <c r="I19" s="328"/>
      <c r="J19" s="328"/>
      <c r="K19" s="328"/>
      <c r="L19" s="328"/>
      <c r="M19" s="328">
        <f>50+85</f>
        <v>135</v>
      </c>
      <c r="N19" s="328"/>
      <c r="O19" s="328"/>
      <c r="P19" s="328"/>
      <c r="Q19" s="328">
        <f>44+20</f>
        <v>64</v>
      </c>
      <c r="R19" s="328"/>
      <c r="S19" s="328"/>
      <c r="T19" s="328"/>
      <c r="U19" s="328"/>
      <c r="V19" s="328"/>
      <c r="W19" s="328"/>
      <c r="X19" s="328"/>
      <c r="Y19" s="328"/>
      <c r="Z19" s="328"/>
      <c r="AA19" s="328"/>
      <c r="AB19" s="328"/>
      <c r="AC19" s="328"/>
      <c r="AD19" s="357"/>
      <c r="AE19" s="254">
        <f t="shared" si="0"/>
        <v>64</v>
      </c>
      <c r="AF19" s="254">
        <f t="shared" si="1"/>
        <v>0</v>
      </c>
      <c r="AG19" s="254">
        <f t="shared" si="2"/>
        <v>0</v>
      </c>
      <c r="AH19" s="254">
        <f t="shared" si="3"/>
        <v>135</v>
      </c>
      <c r="AI19" s="254">
        <f t="shared" si="6"/>
        <v>0</v>
      </c>
      <c r="AJ19" s="254">
        <f t="shared" si="4"/>
        <v>0</v>
      </c>
      <c r="AK19" s="254">
        <f t="shared" si="5"/>
        <v>0</v>
      </c>
    </row>
    <row r="20" spans="1:37" s="329" customFormat="1" ht="22.8" customHeight="1" x14ac:dyDescent="0.25">
      <c r="A20" s="242">
        <v>16</v>
      </c>
      <c r="B20" s="327">
        <v>46288</v>
      </c>
      <c r="C20" s="328">
        <v>10</v>
      </c>
      <c r="D20" s="328">
        <v>31</v>
      </c>
      <c r="E20" s="328">
        <v>5</v>
      </c>
      <c r="F20" s="328">
        <v>67</v>
      </c>
      <c r="G20" s="328"/>
      <c r="H20" s="328">
        <v>30</v>
      </c>
      <c r="I20" s="328"/>
      <c r="J20" s="328">
        <v>20</v>
      </c>
      <c r="K20" s="328"/>
      <c r="L20" s="328"/>
      <c r="M20" s="328">
        <v>88</v>
      </c>
      <c r="N20" s="328"/>
      <c r="O20" s="328"/>
      <c r="P20" s="328"/>
      <c r="Q20" s="328"/>
      <c r="R20" s="328"/>
      <c r="S20" s="328"/>
      <c r="T20" s="328"/>
      <c r="U20" s="328"/>
      <c r="V20" s="328"/>
      <c r="W20" s="328"/>
      <c r="X20" s="328"/>
      <c r="Y20" s="328"/>
      <c r="Z20" s="328"/>
      <c r="AA20" s="328"/>
      <c r="AB20" s="328"/>
      <c r="AC20" s="328"/>
      <c r="AD20" s="357"/>
      <c r="AE20" s="254">
        <f t="shared" si="0"/>
        <v>30</v>
      </c>
      <c r="AF20" s="254">
        <v>24</v>
      </c>
      <c r="AG20" s="254">
        <f t="shared" si="2"/>
        <v>5</v>
      </c>
      <c r="AH20" s="254">
        <v>145</v>
      </c>
      <c r="AI20" s="254">
        <f t="shared" si="6"/>
        <v>0</v>
      </c>
      <c r="AJ20" s="254">
        <f t="shared" si="4"/>
        <v>30</v>
      </c>
      <c r="AK20" s="254">
        <f t="shared" si="5"/>
        <v>0</v>
      </c>
    </row>
    <row r="21" spans="1:37" ht="22.8" customHeight="1" x14ac:dyDescent="0.25">
      <c r="A21" s="187">
        <v>17</v>
      </c>
      <c r="B21" s="189">
        <v>46289</v>
      </c>
      <c r="C21" s="184"/>
      <c r="D21" s="184"/>
      <c r="E21" s="184"/>
      <c r="F21" s="184">
        <v>104</v>
      </c>
      <c r="G21" s="184"/>
      <c r="H21" s="184"/>
      <c r="I21" s="184"/>
      <c r="J21" s="184"/>
      <c r="K21" s="184"/>
      <c r="L21" s="184"/>
      <c r="M21" s="184"/>
      <c r="N21" s="184"/>
      <c r="O21" s="184"/>
      <c r="P21" s="184"/>
      <c r="Q21" s="184"/>
      <c r="R21" s="184"/>
      <c r="S21" s="184"/>
      <c r="T21" s="184"/>
      <c r="U21" s="184"/>
      <c r="V21" s="184"/>
      <c r="W21" s="184"/>
      <c r="X21" s="184"/>
      <c r="Y21" s="184"/>
      <c r="Z21" s="184"/>
      <c r="AA21" s="184"/>
      <c r="AB21" s="184"/>
      <c r="AC21" s="184"/>
      <c r="AD21" s="356"/>
      <c r="AE21" s="254">
        <f t="shared" si="0"/>
        <v>0</v>
      </c>
      <c r="AF21" s="254">
        <f t="shared" si="1"/>
        <v>0</v>
      </c>
      <c r="AG21" s="254">
        <f t="shared" si="2"/>
        <v>0</v>
      </c>
      <c r="AH21" s="254">
        <f t="shared" si="3"/>
        <v>104</v>
      </c>
      <c r="AI21" s="254">
        <f t="shared" si="6"/>
        <v>0</v>
      </c>
      <c r="AJ21" s="254">
        <f t="shared" si="4"/>
        <v>0</v>
      </c>
      <c r="AK21" s="254">
        <f t="shared" si="5"/>
        <v>0</v>
      </c>
    </row>
    <row r="22" spans="1:37" s="341" customFormat="1" ht="22.8" customHeight="1" x14ac:dyDescent="0.25">
      <c r="A22" s="477" t="s">
        <v>742</v>
      </c>
      <c r="B22" s="478"/>
      <c r="C22" s="346">
        <f>SUM(C5:C21)</f>
        <v>14</v>
      </c>
      <c r="D22" s="346">
        <f t="shared" ref="D22:AC22" si="7">SUM(D5:D21)</f>
        <v>113</v>
      </c>
      <c r="E22" s="346">
        <f t="shared" si="7"/>
        <v>5</v>
      </c>
      <c r="F22" s="346">
        <f t="shared" si="7"/>
        <v>726</v>
      </c>
      <c r="G22" s="346">
        <f t="shared" si="7"/>
        <v>11</v>
      </c>
      <c r="H22" s="346">
        <f t="shared" si="7"/>
        <v>70</v>
      </c>
      <c r="I22" s="346"/>
      <c r="J22" s="346">
        <f t="shared" si="7"/>
        <v>89</v>
      </c>
      <c r="K22" s="346">
        <f t="shared" si="7"/>
        <v>78</v>
      </c>
      <c r="L22" s="346"/>
      <c r="M22" s="346">
        <f t="shared" si="7"/>
        <v>572</v>
      </c>
      <c r="N22" s="346"/>
      <c r="O22" s="346">
        <f t="shared" si="7"/>
        <v>60</v>
      </c>
      <c r="P22" s="346"/>
      <c r="Q22" s="346">
        <f t="shared" si="7"/>
        <v>66</v>
      </c>
      <c r="R22" s="346">
        <f t="shared" si="7"/>
        <v>19</v>
      </c>
      <c r="S22" s="346">
        <f t="shared" ref="S22" si="8">SUM(S5:S21)</f>
        <v>18</v>
      </c>
      <c r="T22" s="346">
        <f t="shared" si="7"/>
        <v>181</v>
      </c>
      <c r="U22" s="346"/>
      <c r="V22" s="346">
        <f t="shared" si="7"/>
        <v>5</v>
      </c>
      <c r="W22" s="346">
        <f t="shared" ref="W22" si="9">SUM(W5:W21)</f>
        <v>7</v>
      </c>
      <c r="X22" s="346">
        <f t="shared" si="7"/>
        <v>0</v>
      </c>
      <c r="Y22" s="346">
        <f t="shared" si="7"/>
        <v>0</v>
      </c>
      <c r="Z22" s="346"/>
      <c r="AA22" s="346">
        <f t="shared" si="7"/>
        <v>17</v>
      </c>
      <c r="AB22" s="346"/>
      <c r="AC22" s="346">
        <f t="shared" si="7"/>
        <v>30</v>
      </c>
      <c r="AD22" s="358"/>
      <c r="AE22" s="359">
        <f>SUM(AE5:AE21)</f>
        <v>169</v>
      </c>
      <c r="AF22" s="359">
        <f t="shared" ref="AF22:AJ22" si="10">SUM(AF5:AF21)</f>
        <v>214</v>
      </c>
      <c r="AG22" s="359">
        <f t="shared" si="10"/>
        <v>12</v>
      </c>
      <c r="AH22" s="359">
        <f t="shared" si="10"/>
        <v>1486</v>
      </c>
      <c r="AI22" s="359">
        <f t="shared" si="10"/>
        <v>11</v>
      </c>
      <c r="AJ22" s="359">
        <f t="shared" si="10"/>
        <v>135</v>
      </c>
      <c r="AK22" s="359">
        <f>SUM(AK5:AK21)</f>
        <v>7</v>
      </c>
    </row>
    <row r="23" spans="1:37" s="329" customFormat="1" ht="22.8" customHeight="1" x14ac:dyDescent="0.25">
      <c r="A23" s="242">
        <v>18</v>
      </c>
      <c r="B23" s="327">
        <v>46290</v>
      </c>
      <c r="C23" s="328"/>
      <c r="D23" s="328"/>
      <c r="E23" s="328"/>
      <c r="F23" s="328"/>
      <c r="G23" s="328"/>
      <c r="H23" s="328"/>
      <c r="I23" s="328"/>
      <c r="J23" s="328">
        <v>10</v>
      </c>
      <c r="K23" s="328"/>
      <c r="L23" s="328"/>
      <c r="M23" s="328"/>
      <c r="N23" s="328"/>
      <c r="O23" s="328"/>
      <c r="P23" s="328"/>
      <c r="Q23" s="328"/>
      <c r="R23" s="328"/>
      <c r="S23" s="328"/>
      <c r="T23" s="328"/>
      <c r="U23" s="328"/>
      <c r="V23" s="328"/>
      <c r="W23" s="328"/>
      <c r="X23" s="328"/>
      <c r="Y23" s="328"/>
      <c r="Z23" s="328"/>
      <c r="AA23" s="328"/>
      <c r="AB23" s="328"/>
      <c r="AC23" s="328"/>
      <c r="AD23" s="328"/>
      <c r="AE23" s="328"/>
    </row>
    <row r="24" spans="1:37" s="329" customFormat="1" ht="22.8" customHeight="1" x14ac:dyDescent="0.25">
      <c r="A24" s="242">
        <v>19</v>
      </c>
      <c r="B24" s="327">
        <v>46291</v>
      </c>
      <c r="C24" s="328">
        <v>10</v>
      </c>
      <c r="D24" s="328">
        <v>12</v>
      </c>
      <c r="E24" s="328"/>
      <c r="F24" s="328">
        <v>110</v>
      </c>
      <c r="G24" s="328"/>
      <c r="H24" s="328"/>
      <c r="I24" s="328"/>
      <c r="J24" s="328"/>
      <c r="K24" s="328"/>
      <c r="L24" s="328"/>
      <c r="M24" s="328"/>
      <c r="N24" s="328"/>
      <c r="O24" s="328"/>
      <c r="P24" s="328"/>
      <c r="Q24" s="328"/>
      <c r="R24" s="328"/>
      <c r="S24" s="328"/>
      <c r="T24" s="328"/>
      <c r="U24" s="328"/>
      <c r="V24" s="328"/>
      <c r="W24" s="328"/>
      <c r="X24" s="328"/>
      <c r="Y24" s="328"/>
      <c r="Z24" s="328"/>
      <c r="AA24" s="328"/>
      <c r="AB24" s="328"/>
      <c r="AC24" s="328"/>
      <c r="AD24" s="328"/>
      <c r="AE24" s="328"/>
    </row>
    <row r="25" spans="1:37" ht="22.8" customHeight="1" x14ac:dyDescent="0.25">
      <c r="A25" s="187">
        <v>20</v>
      </c>
      <c r="B25" s="189">
        <v>46292</v>
      </c>
      <c r="C25" s="184"/>
      <c r="D25" s="184"/>
      <c r="E25" s="184"/>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row>
    <row r="26" spans="1:37" s="329" customFormat="1" ht="22.8" customHeight="1" x14ac:dyDescent="0.25">
      <c r="A26" s="242">
        <v>21</v>
      </c>
      <c r="B26" s="327">
        <v>46293</v>
      </c>
      <c r="C26" s="328"/>
      <c r="D26" s="328"/>
      <c r="E26" s="328"/>
      <c r="F26" s="328"/>
      <c r="G26" s="328"/>
      <c r="H26" s="328"/>
      <c r="I26" s="328"/>
      <c r="J26" s="328"/>
      <c r="K26" s="328"/>
      <c r="L26" s="328"/>
      <c r="M26" s="328">
        <v>108</v>
      </c>
      <c r="N26" s="328"/>
      <c r="O26" s="328"/>
      <c r="P26" s="328"/>
      <c r="Q26" s="328"/>
      <c r="R26" s="328"/>
      <c r="S26" s="328"/>
      <c r="T26" s="328"/>
      <c r="U26" s="328"/>
      <c r="V26" s="328"/>
      <c r="W26" s="328"/>
      <c r="X26" s="328"/>
      <c r="Y26" s="328">
        <v>33</v>
      </c>
      <c r="Z26" s="328"/>
      <c r="AA26" s="328"/>
      <c r="AB26" s="328"/>
      <c r="AC26" s="328"/>
      <c r="AD26" s="328"/>
      <c r="AE26" s="328"/>
    </row>
    <row r="27" spans="1:37" s="329" customFormat="1" ht="22.8" customHeight="1" x14ac:dyDescent="0.25">
      <c r="A27" s="242">
        <v>22</v>
      </c>
      <c r="B27" s="327">
        <v>46294</v>
      </c>
      <c r="C27" s="328">
        <v>33</v>
      </c>
      <c r="D27" s="328">
        <v>40</v>
      </c>
      <c r="E27" s="328"/>
      <c r="F27" s="328">
        <f>34+11</f>
        <v>45</v>
      </c>
      <c r="G27" s="328"/>
      <c r="H27" s="328"/>
      <c r="I27" s="328"/>
      <c r="J27" s="328"/>
      <c r="K27" s="328">
        <v>20</v>
      </c>
      <c r="L27" s="328"/>
      <c r="M27" s="328">
        <v>32</v>
      </c>
      <c r="N27" s="328"/>
      <c r="O27" s="328">
        <v>30</v>
      </c>
      <c r="P27" s="328"/>
      <c r="Q27" s="328"/>
      <c r="R27" s="328"/>
      <c r="S27" s="328"/>
      <c r="T27" s="328"/>
      <c r="U27" s="328"/>
      <c r="V27" s="328"/>
      <c r="W27" s="328"/>
      <c r="X27" s="328"/>
      <c r="Y27" s="328"/>
      <c r="Z27" s="328"/>
      <c r="AA27" s="328"/>
      <c r="AB27" s="328"/>
      <c r="AC27" s="328"/>
      <c r="AD27" s="328"/>
      <c r="AE27" s="328"/>
    </row>
    <row r="28" spans="1:37" ht="22.8" customHeight="1" x14ac:dyDescent="0.25">
      <c r="A28" s="187">
        <v>23</v>
      </c>
      <c r="B28" s="189">
        <v>46295</v>
      </c>
      <c r="C28" s="184"/>
      <c r="D28" s="184"/>
      <c r="E28" s="184"/>
      <c r="F28" s="184"/>
      <c r="G28" s="184"/>
      <c r="H28" s="184"/>
      <c r="I28" s="184"/>
      <c r="J28" s="184"/>
      <c r="K28" s="184"/>
      <c r="L28" s="184"/>
      <c r="M28" s="184"/>
      <c r="N28" s="184"/>
      <c r="O28" s="184"/>
      <c r="P28" s="184"/>
      <c r="Q28" s="184"/>
      <c r="R28" s="184"/>
      <c r="S28" s="184"/>
      <c r="T28" s="184"/>
      <c r="U28" s="184"/>
      <c r="V28" s="184"/>
      <c r="W28" s="184"/>
      <c r="X28" s="184"/>
      <c r="Y28" s="184"/>
      <c r="Z28" s="184"/>
      <c r="AA28" s="184"/>
      <c r="AB28" s="184"/>
      <c r="AC28" s="184"/>
      <c r="AD28" s="184"/>
      <c r="AE28" s="184"/>
    </row>
  </sheetData>
  <mergeCells count="22">
    <mergeCell ref="A22:B22"/>
    <mergeCell ref="K2:L2"/>
    <mergeCell ref="AC2:AD2"/>
    <mergeCell ref="M2:N2"/>
    <mergeCell ref="O2:P2"/>
    <mergeCell ref="F2:G2"/>
    <mergeCell ref="H2:I2"/>
    <mergeCell ref="T2:U2"/>
    <mergeCell ref="AA2:AB2"/>
    <mergeCell ref="A1:A2"/>
    <mergeCell ref="B1:B2"/>
    <mergeCell ref="C1:H1"/>
    <mergeCell ref="J1:O1"/>
    <mergeCell ref="D2:E2"/>
    <mergeCell ref="Q1:V1"/>
    <mergeCell ref="X1:AC1"/>
    <mergeCell ref="R2:S2"/>
    <mergeCell ref="V2:W2"/>
    <mergeCell ref="AE1:AK1"/>
    <mergeCell ref="AF2:AG2"/>
    <mergeCell ref="AH2:AI2"/>
    <mergeCell ref="AJ2:AK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0D71-1B31-4755-85C3-D41AED9BEF15}">
  <dimension ref="A1:I5"/>
  <sheetViews>
    <sheetView workbookViewId="0">
      <selection activeCell="B3" sqref="B3"/>
    </sheetView>
  </sheetViews>
  <sheetFormatPr defaultRowHeight="14.4" x14ac:dyDescent="0.3"/>
  <cols>
    <col min="4" max="4" width="11.6640625" customWidth="1"/>
    <col min="6" max="6" width="11.5546875" customWidth="1"/>
    <col min="7" max="7" width="11.88671875" customWidth="1"/>
    <col min="9" max="9" width="36.88671875" customWidth="1"/>
  </cols>
  <sheetData>
    <row r="1" spans="1:9" ht="30" customHeight="1" x14ac:dyDescent="0.3">
      <c r="A1" s="191" t="s">
        <v>401</v>
      </c>
      <c r="B1" s="481" t="s">
        <v>402</v>
      </c>
      <c r="C1" s="482"/>
      <c r="D1" s="191" t="s">
        <v>403</v>
      </c>
      <c r="E1" s="191" t="s">
        <v>708</v>
      </c>
      <c r="F1" s="191" t="s">
        <v>404</v>
      </c>
      <c r="G1" s="351" t="s">
        <v>930</v>
      </c>
      <c r="H1" s="344" t="s">
        <v>927</v>
      </c>
      <c r="I1" s="344" t="s">
        <v>928</v>
      </c>
    </row>
    <row r="2" spans="1:9" ht="28.2" customHeight="1" x14ac:dyDescent="0.3">
      <c r="A2" s="191"/>
      <c r="B2" s="258" t="s">
        <v>915</v>
      </c>
      <c r="C2" s="258" t="s">
        <v>916</v>
      </c>
      <c r="D2" s="191"/>
      <c r="E2" s="191"/>
      <c r="F2" s="191"/>
    </row>
    <row r="3" spans="1:9" ht="30" customHeight="1" x14ac:dyDescent="0.3">
      <c r="A3" s="348">
        <f>'nhập từ CP'!C22+'nhập từ CP'!J22+'nhập từ CP'!Q22+'nhập từ CP'!X22</f>
        <v>169</v>
      </c>
      <c r="B3" s="348" t="e">
        <f>'nhập từ CP'!D22+'nhập từ CP'!#REF!</f>
        <v>#REF!</v>
      </c>
      <c r="C3" s="348">
        <f>'nhập từ CP'!E22+'nhập từ CP'!K22+'nhập từ CP'!R22+'nhập từ CP'!Y22</f>
        <v>102</v>
      </c>
      <c r="D3" s="348">
        <f>'nhập từ CP'!F22+'nhập từ CP'!M22+'nhập từ CP'!T22+'nhập từ CP'!AA22</f>
        <v>1496</v>
      </c>
      <c r="E3" s="348">
        <f>'nhập từ CP'!G22+0</f>
        <v>11</v>
      </c>
      <c r="F3" s="349">
        <f>'nhập từ CP'!H22+'nhập từ CP'!O22+'nhập từ CP'!W22+'nhập từ CP'!AC22</f>
        <v>167</v>
      </c>
      <c r="G3">
        <v>7</v>
      </c>
    </row>
    <row r="4" spans="1:9" ht="23.4" customHeight="1" x14ac:dyDescent="0.3">
      <c r="C4">
        <v>7</v>
      </c>
      <c r="D4">
        <v>10</v>
      </c>
      <c r="F4">
        <v>25</v>
      </c>
    </row>
    <row r="5" spans="1:9" x14ac:dyDescent="0.3">
      <c r="A5" s="350">
        <f>A3-A4</f>
        <v>169</v>
      </c>
      <c r="B5" s="345" t="e">
        <f t="shared" ref="B5:G5" si="0">B3-B4</f>
        <v>#REF!</v>
      </c>
      <c r="C5" s="345">
        <f t="shared" si="0"/>
        <v>95</v>
      </c>
      <c r="D5" s="345">
        <f t="shared" si="0"/>
        <v>1486</v>
      </c>
      <c r="E5" s="350">
        <f t="shared" si="0"/>
        <v>11</v>
      </c>
      <c r="F5" s="350">
        <f t="shared" si="0"/>
        <v>142</v>
      </c>
      <c r="G5" s="350">
        <f t="shared" si="0"/>
        <v>7</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388</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XUẤT</vt:lpstr>
      <vt:lpstr>XUẤT (2)</vt:lpstr>
      <vt:lpstr>CBCNV</vt:lpstr>
      <vt:lpstr>TỒN</vt:lpstr>
      <vt:lpstr>ĐIÈU PHỐI</vt:lpstr>
      <vt:lpstr>Vận chuyển</vt:lpstr>
      <vt:lpstr>Đơn giá</vt:lpstr>
      <vt:lpstr>TỒN TỔNG</vt:lpstr>
      <vt:lpstr>TỒN KHO HUẾ</vt:lpstr>
      <vt:lpstr>TỒN KHO TĂNG ÁP</vt:lpstr>
      <vt:lpstr>tồn xe</vt:lpstr>
      <vt:lpstr>Tồn kho VP</vt:lpstr>
      <vt:lpstr>TỒN KHO HÀ LẦM</vt:lpstr>
      <vt:lpstr>nhập từ CP</vt:lpstr>
      <vt:lpstr>Tổng nhập từ cẩm phả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Nhung Doan</cp:lastModifiedBy>
  <cp:revision>49</cp:revision>
  <cp:lastPrinted>2026-09-11T07:21:12Z</cp:lastPrinted>
  <dcterms:created xsi:type="dcterms:W3CDTF">2015-06-05T18:17:20Z</dcterms:created>
  <dcterms:modified xsi:type="dcterms:W3CDTF">2026-10-04T07:25:48Z</dcterms:modified>
  <dc:language>vi-VN</dc:language>
</cp:coreProperties>
</file>
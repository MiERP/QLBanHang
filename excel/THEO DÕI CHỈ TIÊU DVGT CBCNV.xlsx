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in Hương\DVGT\"/>
    </mc:Choice>
  </mc:AlternateContent>
  <bookViews>
    <workbookView xWindow="-120" yWindow="-120" windowWidth="29040" windowHeight="15720" tabRatio="828" firstSheet="4" activeTab="4"/>
  </bookViews>
  <sheets>
    <sheet name="foxz" sheetId="14" state="veryHidden" r:id="rId1"/>
    <sheet name="DS bình chỉnh" sheetId="47" state="hidden" r:id="rId2"/>
    <sheet name="ban cu Nhung" sheetId="73" state="hidden" r:id="rId3"/>
    <sheet name="Thư" sheetId="76" state="hidden" r:id="rId4"/>
    <sheet name="XN" sheetId="80" r:id="rId5"/>
    <sheet name="BPKD" sheetId="82" r:id="rId6"/>
  </sheets>
  <definedNames>
    <definedName name="_xlnm._FilterDatabase" localSheetId="2" hidden="1">'ban cu Nhung'!$A$104:$M$135</definedName>
    <definedName name="_xlnm._FilterDatabase" localSheetId="1" hidden="1">'DS bình chỉnh'!$A$10:$AK$25</definedName>
    <definedName name="_xlnm._FilterDatabase" localSheetId="4" hidden="1">XN!$A$13:$E$213</definedName>
    <definedName name="_xlnm.Print_Area" localSheetId="1">'DS bình chỉnh'!#REF!</definedName>
    <definedName name="_xlnm.Print_Area" localSheetId="3">Thư!$A$194:$I$270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29" i="80" l="1"/>
  <c r="Q213" i="80" l="1"/>
  <c r="Q214" i="80"/>
  <c r="Q208" i="80" l="1"/>
  <c r="Q209" i="80"/>
  <c r="I4" i="82" l="1"/>
  <c r="I5" i="82"/>
  <c r="I6" i="82"/>
  <c r="I7" i="82"/>
  <c r="I8" i="82"/>
  <c r="I9" i="82"/>
  <c r="I10" i="82"/>
  <c r="I11" i="82"/>
  <c r="I12" i="82"/>
  <c r="I13" i="82"/>
  <c r="I14" i="82"/>
  <c r="I15" i="82"/>
  <c r="I16" i="82"/>
  <c r="I17" i="82"/>
  <c r="I18" i="82"/>
  <c r="I3" i="82"/>
  <c r="Q6" i="80" l="1"/>
  <c r="Q7" i="80"/>
  <c r="Q8" i="80"/>
  <c r="Q9" i="80"/>
  <c r="Q10" i="80"/>
  <c r="Q11" i="80"/>
  <c r="Q15" i="80"/>
  <c r="Q21" i="80"/>
  <c r="Q23" i="80"/>
  <c r="Q24" i="80"/>
  <c r="Q27" i="80"/>
  <c r="Q28" i="80"/>
  <c r="Q31" i="80"/>
  <c r="Q32" i="80"/>
  <c r="Q33" i="80"/>
  <c r="Q34" i="80"/>
  <c r="Q35" i="80"/>
  <c r="Q36" i="80"/>
  <c r="Q38" i="80"/>
  <c r="Q39" i="80"/>
  <c r="Q40" i="80"/>
  <c r="Q41" i="80"/>
  <c r="Q42" i="80"/>
  <c r="Q44" i="80"/>
  <c r="Q45" i="80"/>
  <c r="Q46" i="80"/>
  <c r="Q47" i="80"/>
  <c r="Q48" i="80"/>
  <c r="Q49" i="80"/>
  <c r="Q51" i="80"/>
  <c r="Q52" i="80"/>
  <c r="Q53" i="80"/>
  <c r="Q54" i="80"/>
  <c r="Q55" i="80"/>
  <c r="Q56" i="80"/>
  <c r="Q57" i="80"/>
  <c r="Q58" i="80"/>
  <c r="Q59" i="80"/>
  <c r="Q60" i="80"/>
  <c r="Q63" i="80"/>
  <c r="Q64" i="80"/>
  <c r="Q67" i="80"/>
  <c r="Q70" i="80"/>
  <c r="Q71" i="80"/>
  <c r="Q73" i="80"/>
  <c r="Q74" i="80"/>
  <c r="Q76" i="80"/>
  <c r="Q89" i="80"/>
  <c r="Q91" i="80"/>
  <c r="Q92" i="80"/>
  <c r="Q93" i="80"/>
  <c r="Q94" i="80"/>
  <c r="Q100" i="80"/>
  <c r="Q101" i="80"/>
  <c r="Q104" i="80"/>
  <c r="Q105" i="80"/>
  <c r="Q106" i="80"/>
  <c r="Q107" i="80"/>
  <c r="Q108" i="80"/>
  <c r="Q110" i="80"/>
  <c r="Q111" i="80"/>
  <c r="Q112" i="80"/>
  <c r="Q114" i="80"/>
  <c r="Q115" i="80"/>
  <c r="Q116" i="80"/>
  <c r="Q117" i="80"/>
  <c r="Q118" i="80"/>
  <c r="Q119" i="80"/>
  <c r="Q148" i="80"/>
  <c r="Q149" i="80"/>
  <c r="Q150" i="80"/>
  <c r="Q151" i="80"/>
  <c r="Q152" i="80"/>
  <c r="Q153" i="80"/>
  <c r="Q154" i="80"/>
  <c r="Q155" i="80"/>
  <c r="Q156" i="80"/>
  <c r="Q157" i="80"/>
  <c r="Q161" i="80"/>
  <c r="Q162" i="80"/>
  <c r="Q163" i="80"/>
  <c r="Q164" i="80"/>
  <c r="Q165" i="80"/>
  <c r="Q166" i="80"/>
  <c r="Q167" i="80"/>
  <c r="Q168" i="80"/>
  <c r="Q169" i="80"/>
  <c r="Q170" i="80"/>
  <c r="Q171" i="80"/>
  <c r="Q172" i="80"/>
  <c r="Q173" i="80"/>
  <c r="Q174" i="80"/>
  <c r="Q175" i="80"/>
  <c r="Q177" i="80"/>
  <c r="Q178" i="80"/>
  <c r="Q179" i="80"/>
  <c r="Q180" i="80"/>
  <c r="Q181" i="80"/>
  <c r="Q182" i="80"/>
  <c r="Q183" i="80"/>
  <c r="Q184" i="80"/>
  <c r="Q185" i="80"/>
  <c r="Q186" i="80"/>
  <c r="Q187" i="80"/>
  <c r="Q188" i="80"/>
  <c r="Q189" i="80"/>
  <c r="Q190" i="80"/>
  <c r="Q191" i="80"/>
  <c r="Q193" i="80"/>
  <c r="Q194" i="80"/>
  <c r="Q195" i="80"/>
  <c r="Q196" i="80"/>
  <c r="Q198" i="80"/>
  <c r="Q201" i="80"/>
  <c r="Q202" i="80"/>
  <c r="Q203" i="80"/>
  <c r="Q207" i="80"/>
  <c r="Q4" i="80"/>
  <c r="T4" i="80"/>
  <c r="R213" i="80" l="1"/>
  <c r="R214" i="80"/>
  <c r="R208" i="80"/>
  <c r="R209" i="80"/>
  <c r="R207" i="80"/>
  <c r="R202" i="80"/>
  <c r="R198" i="80"/>
  <c r="R195" i="80"/>
  <c r="R193" i="80"/>
  <c r="R190" i="80"/>
  <c r="R188" i="80"/>
  <c r="R186" i="80"/>
  <c r="R184" i="80"/>
  <c r="R182" i="80"/>
  <c r="R180" i="80"/>
  <c r="R178" i="80"/>
  <c r="R175" i="80"/>
  <c r="R173" i="80"/>
  <c r="R171" i="80"/>
  <c r="R169" i="80"/>
  <c r="R167" i="80"/>
  <c r="R165" i="80"/>
  <c r="R163" i="80"/>
  <c r="R161" i="80"/>
  <c r="R156" i="80"/>
  <c r="R154" i="80"/>
  <c r="R152" i="80"/>
  <c r="R150" i="80"/>
  <c r="R148" i="80"/>
  <c r="R118" i="80"/>
  <c r="R116" i="80"/>
  <c r="R114" i="80"/>
  <c r="R111" i="80"/>
  <c r="R108" i="80"/>
  <c r="R106" i="80"/>
  <c r="R104" i="80"/>
  <c r="R100" i="80"/>
  <c r="R93" i="80"/>
  <c r="R91" i="80"/>
  <c r="R76" i="80"/>
  <c r="R73" i="80"/>
  <c r="R70" i="80"/>
  <c r="R64" i="80"/>
  <c r="R60" i="80"/>
  <c r="R58" i="80"/>
  <c r="R56" i="80"/>
  <c r="R54" i="80"/>
  <c r="R52" i="80"/>
  <c r="R49" i="80"/>
  <c r="R47" i="80"/>
  <c r="R45" i="80"/>
  <c r="R42" i="80"/>
  <c r="R40" i="80"/>
  <c r="R38" i="80"/>
  <c r="R35" i="80"/>
  <c r="R33" i="80"/>
  <c r="R31" i="80"/>
  <c r="R27" i="80"/>
  <c r="R23" i="80"/>
  <c r="R15" i="80"/>
  <c r="R203" i="80"/>
  <c r="R201" i="80"/>
  <c r="R196" i="80"/>
  <c r="R194" i="80"/>
  <c r="R191" i="80"/>
  <c r="R189" i="80"/>
  <c r="R187" i="80"/>
  <c r="R185" i="80"/>
  <c r="R183" i="80"/>
  <c r="R181" i="80"/>
  <c r="R179" i="80"/>
  <c r="R177" i="80"/>
  <c r="R174" i="80"/>
  <c r="R172" i="80"/>
  <c r="R170" i="80"/>
  <c r="R168" i="80"/>
  <c r="R166" i="80"/>
  <c r="R164" i="80"/>
  <c r="R162" i="80"/>
  <c r="R157" i="80"/>
  <c r="R155" i="80"/>
  <c r="R153" i="80"/>
  <c r="R151" i="80"/>
  <c r="R149" i="80"/>
  <c r="R119" i="80"/>
  <c r="R117" i="80"/>
  <c r="R115" i="80"/>
  <c r="R112" i="80"/>
  <c r="R110" i="80"/>
  <c r="R107" i="80"/>
  <c r="R105" i="80"/>
  <c r="R101" i="80"/>
  <c r="R94" i="80"/>
  <c r="R92" i="80"/>
  <c r="R89" i="80"/>
  <c r="R74" i="80"/>
  <c r="R71" i="80"/>
  <c r="R67" i="80"/>
  <c r="R63" i="80"/>
  <c r="R59" i="80"/>
  <c r="R57" i="80"/>
  <c r="R55" i="80"/>
  <c r="R53" i="80"/>
  <c r="R51" i="80"/>
  <c r="R48" i="80"/>
  <c r="R46" i="80"/>
  <c r="R44" i="80"/>
  <c r="R41" i="80"/>
  <c r="R39" i="80"/>
  <c r="R36" i="80"/>
  <c r="R34" i="80"/>
  <c r="R32" i="80"/>
  <c r="R28" i="80"/>
  <c r="R24" i="80"/>
  <c r="R21" i="80"/>
  <c r="Q12" i="80"/>
  <c r="Q62" i="80"/>
  <c r="R62" i="80" s="1"/>
  <c r="Q65" i="80"/>
  <c r="R65" i="80" s="1"/>
  <c r="Q66" i="80"/>
  <c r="R66" i="80" s="1"/>
  <c r="Q68" i="80"/>
  <c r="R68" i="80" s="1"/>
  <c r="Q69" i="80"/>
  <c r="R69" i="80" s="1"/>
  <c r="Q72" i="80"/>
  <c r="R72" i="80" s="1"/>
  <c r="Q75" i="80"/>
  <c r="R75" i="80" s="1"/>
  <c r="Q77" i="80"/>
  <c r="R77" i="80" s="1"/>
  <c r="Q78" i="80"/>
  <c r="R78" i="80" s="1"/>
  <c r="Q79" i="80"/>
  <c r="R79" i="80" s="1"/>
  <c r="Q80" i="80"/>
  <c r="R80" i="80" s="1"/>
  <c r="Q81" i="80"/>
  <c r="R81" i="80" s="1"/>
  <c r="Q82" i="80"/>
  <c r="R82" i="80" s="1"/>
  <c r="Q83" i="80"/>
  <c r="R83" i="80" s="1"/>
  <c r="Q84" i="80"/>
  <c r="R84" i="80" s="1"/>
  <c r="Q85" i="80"/>
  <c r="R85" i="80" s="1"/>
  <c r="Q86" i="80"/>
  <c r="R86" i="80" s="1"/>
  <c r="Q87" i="80"/>
  <c r="R87" i="80" s="1"/>
  <c r="Q88" i="80"/>
  <c r="R88" i="80" s="1"/>
  <c r="Q90" i="80"/>
  <c r="R90" i="80" s="1"/>
  <c r="Q96" i="80"/>
  <c r="R96" i="80" s="1"/>
  <c r="Q97" i="80"/>
  <c r="R97" i="80" s="1"/>
  <c r="Q98" i="80"/>
  <c r="R98" i="80" s="1"/>
  <c r="Q99" i="80"/>
  <c r="R99" i="80" s="1"/>
  <c r="Q102" i="80"/>
  <c r="R102" i="80" s="1"/>
  <c r="Q103" i="80"/>
  <c r="R103" i="80" s="1"/>
  <c r="Q109" i="80"/>
  <c r="R109" i="80" s="1"/>
  <c r="Q113" i="80"/>
  <c r="R113" i="80" s="1"/>
  <c r="Q120" i="80"/>
  <c r="R120" i="80" s="1"/>
  <c r="Q121" i="80"/>
  <c r="R121" i="80" s="1"/>
  <c r="Q122" i="80"/>
  <c r="R122" i="80" s="1"/>
  <c r="Q123" i="80"/>
  <c r="R123" i="80" s="1"/>
  <c r="Q124" i="80"/>
  <c r="R124" i="80" s="1"/>
  <c r="Q125" i="80"/>
  <c r="R125" i="80" s="1"/>
  <c r="Q126" i="80"/>
  <c r="R126" i="80" s="1"/>
  <c r="Q127" i="80"/>
  <c r="R127" i="80" s="1"/>
  <c r="Q128" i="80"/>
  <c r="R128" i="80" s="1"/>
  <c r="Q129" i="80"/>
  <c r="R129" i="80" s="1"/>
  <c r="Q130" i="80"/>
  <c r="R130" i="80" s="1"/>
  <c r="Q131" i="80"/>
  <c r="R131" i="80" s="1"/>
  <c r="Q132" i="80"/>
  <c r="R132" i="80" s="1"/>
  <c r="Q133" i="80"/>
  <c r="R133" i="80" s="1"/>
  <c r="Q134" i="80"/>
  <c r="R134" i="80" s="1"/>
  <c r="Q135" i="80"/>
  <c r="R135" i="80" s="1"/>
  <c r="Q136" i="80"/>
  <c r="R136" i="80" s="1"/>
  <c r="Q137" i="80"/>
  <c r="R137" i="80" s="1"/>
  <c r="Q138" i="80"/>
  <c r="R138" i="80" s="1"/>
  <c r="Q139" i="80"/>
  <c r="R139" i="80" s="1"/>
  <c r="Q140" i="80"/>
  <c r="R140" i="80" s="1"/>
  <c r="Q141" i="80"/>
  <c r="R141" i="80" s="1"/>
  <c r="Q142" i="80"/>
  <c r="R142" i="80" s="1"/>
  <c r="Q143" i="80"/>
  <c r="R143" i="80" s="1"/>
  <c r="Q144" i="80"/>
  <c r="R144" i="80" s="1"/>
  <c r="Q145" i="80"/>
  <c r="R145" i="80" s="1"/>
  <c r="Q146" i="80"/>
  <c r="R146" i="80" s="1"/>
  <c r="Q147" i="80"/>
  <c r="R147" i="80" s="1"/>
  <c r="Q158" i="80"/>
  <c r="R158" i="80" s="1"/>
  <c r="Q159" i="80"/>
  <c r="R159" i="80" s="1"/>
  <c r="Q160" i="80"/>
  <c r="R160" i="80" s="1"/>
  <c r="Q176" i="80"/>
  <c r="R176" i="80" s="1"/>
  <c r="Q192" i="80"/>
  <c r="R192" i="80" s="1"/>
  <c r="Q197" i="80"/>
  <c r="R197" i="80" s="1"/>
  <c r="Q199" i="80"/>
  <c r="R199" i="80" s="1"/>
  <c r="Q200" i="80"/>
  <c r="R200" i="80" s="1"/>
  <c r="Q204" i="80"/>
  <c r="R204" i="80" s="1"/>
  <c r="Q205" i="80"/>
  <c r="R205" i="80" s="1"/>
  <c r="Q206" i="80"/>
  <c r="R206" i="80" s="1"/>
  <c r="Q210" i="80"/>
  <c r="R210" i="80" s="1"/>
  <c r="Q211" i="80"/>
  <c r="R211" i="80" s="1"/>
  <c r="Q212" i="80"/>
  <c r="R212" i="80" s="1"/>
  <c r="Q16" i="80"/>
  <c r="R16" i="80" s="1"/>
  <c r="Q17" i="80"/>
  <c r="R17" i="80" s="1"/>
  <c r="Q18" i="80"/>
  <c r="R18" i="80" s="1"/>
  <c r="Q19" i="80"/>
  <c r="R19" i="80" s="1"/>
  <c r="Q20" i="80"/>
  <c r="R20" i="80" s="1"/>
  <c r="Q22" i="80"/>
  <c r="R22" i="80" s="1"/>
  <c r="Q25" i="80"/>
  <c r="R25" i="80" s="1"/>
  <c r="Q26" i="80"/>
  <c r="R26" i="80" s="1"/>
  <c r="Q29" i="80"/>
  <c r="R29" i="80" s="1"/>
  <c r="Q30" i="80"/>
  <c r="R30" i="80" s="1"/>
  <c r="Q37" i="80"/>
  <c r="R37" i="80" s="1"/>
  <c r="Q43" i="80"/>
  <c r="R43" i="80" s="1"/>
  <c r="Q50" i="80"/>
  <c r="R50" i="80" s="1"/>
  <c r="Q61" i="80"/>
  <c r="R61" i="80" s="1"/>
  <c r="Q95" i="80" l="1"/>
  <c r="R95" i="80" s="1"/>
  <c r="Q14" i="80"/>
  <c r="R14" i="80" s="1"/>
  <c r="Q13" i="80" l="1"/>
  <c r="M10" i="47"/>
  <c r="L10" i="47"/>
  <c r="K10" i="47"/>
  <c r="J10" i="47"/>
  <c r="I10" i="47"/>
  <c r="H10" i="47"/>
  <c r="G10" i="47"/>
  <c r="F10" i="47"/>
  <c r="E10" i="47"/>
  <c r="Q5" i="80" l="1"/>
  <c r="J1" i="80"/>
</calcChain>
</file>

<file path=xl/sharedStrings.xml><?xml version="1.0" encoding="utf-8"?>
<sst xmlns="http://schemas.openxmlformats.org/spreadsheetml/2006/main" count="3387" uniqueCount="1489">
  <si>
    <t>CÔNG TY CỔ PHẦN NƯỚC SẠCH QUẢNG NINH</t>
  </si>
  <si>
    <t>CỘNG HÒA XÃ HỘI CHỦ NGHĨA VIỆT NAM</t>
  </si>
  <si>
    <t>XÍ NGHIỆP NƯỚC HỒNG GAI</t>
  </si>
  <si>
    <t>Độc lập - Tự do - Hạnh phúc</t>
  </si>
  <si>
    <t>Doanh thu</t>
  </si>
  <si>
    <t>Ghi chú</t>
  </si>
  <si>
    <t>Hình thức đăng ký</t>
  </si>
  <si>
    <t>Đăng ký</t>
  </si>
  <si>
    <t>Thực hiện</t>
  </si>
  <si>
    <t>SCC</t>
  </si>
  <si>
    <t>XN</t>
  </si>
  <si>
    <t>I.Khách hàng đăng ký mới</t>
  </si>
  <si>
    <t>II. Khách hàng phục vụ trong ngày</t>
  </si>
  <si>
    <t>Trạm Hà Tu</t>
  </si>
  <si>
    <t>Trạm Hà Lầm</t>
  </si>
  <si>
    <t>Trạm Cao Xanh</t>
  </si>
  <si>
    <t>KD</t>
  </si>
  <si>
    <t>TT</t>
  </si>
  <si>
    <t>VS HTCN</t>
  </si>
  <si>
    <t>Bình NL</t>
  </si>
  <si>
    <t>CX</t>
  </si>
  <si>
    <t>CT</t>
  </si>
  <si>
    <t>YK</t>
  </si>
  <si>
    <t>Hồng Hải</t>
  </si>
  <si>
    <t>SĐT</t>
  </si>
  <si>
    <t>Dịch vụ</t>
  </si>
  <si>
    <t>Thơ</t>
  </si>
  <si>
    <t>H.Hải</t>
  </si>
  <si>
    <t>LĐ</t>
  </si>
  <si>
    <t>Địa chỉ</t>
  </si>
  <si>
    <t>Họ và tên KH</t>
  </si>
  <si>
    <t>HB</t>
  </si>
  <si>
    <t>Hiền</t>
  </si>
  <si>
    <t>Vũ Thị Mai Huệ</t>
  </si>
  <si>
    <t>Từ ngày 01/9/2023 đến    /9/2023</t>
  </si>
  <si>
    <t>DV</t>
  </si>
  <si>
    <t>Đỗ Thị Kim Chung</t>
  </si>
  <si>
    <t>T28K3 CT</t>
  </si>
  <si>
    <t>0366304382</t>
  </si>
  <si>
    <t>CTT</t>
  </si>
  <si>
    <t>DANH SÁCH KHÁCH HÀNG SỬ DỤNG DV BÌNH NL, VS HTCN</t>
  </si>
  <si>
    <t>Đặng Văn Thơ</t>
  </si>
  <si>
    <t>T21B, K3 Hà Khánh</t>
  </si>
  <si>
    <t>0915655786</t>
  </si>
  <si>
    <t>Hoàng Văn Mạnh</t>
  </si>
  <si>
    <t>T54K6 CT</t>
  </si>
  <si>
    <t>0356635222</t>
  </si>
  <si>
    <t>Trần Minh Dương</t>
  </si>
  <si>
    <t>KĐT CX Hà Khánh</t>
  </si>
  <si>
    <t>0902044535</t>
  </si>
  <si>
    <t>Bãi Muối CT</t>
  </si>
  <si>
    <t>0904333228</t>
  </si>
  <si>
    <t>Hoàng Tuấn Anh</t>
  </si>
  <si>
    <t>Đinh Thái Hoàng</t>
  </si>
  <si>
    <t>T6K5 Hồng Hải</t>
  </si>
  <si>
    <t>0366242896</t>
  </si>
  <si>
    <t>Từ 13-15</t>
  </si>
  <si>
    <t>Từ 11-13</t>
  </si>
  <si>
    <t>HC</t>
  </si>
  <si>
    <t>Lâm Quang Minh</t>
  </si>
  <si>
    <t>0966366969</t>
  </si>
  <si>
    <t>Vũ Hồng Sơn</t>
  </si>
  <si>
    <t>Khu 10 Hồng Hà</t>
  </si>
  <si>
    <t>0974663868</t>
  </si>
  <si>
    <t>1 bình + 2 thanh Mage</t>
  </si>
  <si>
    <t>1 bình + 1 thanh Mage</t>
  </si>
  <si>
    <t>Từ 16-20</t>
  </si>
  <si>
    <t>Nguyễn Thị Vân</t>
  </si>
  <si>
    <t>K4 Hồng Hà</t>
  </si>
  <si>
    <t>0937405686</t>
  </si>
  <si>
    <t>Nguyễn Thanh Hải</t>
  </si>
  <si>
    <t>Hà Trung</t>
  </si>
  <si>
    <t>0775332338</t>
  </si>
  <si>
    <t>Nguyễn Hồng Hạnh</t>
  </si>
  <si>
    <t>T2K5 Việt Hưng</t>
  </si>
  <si>
    <t>0886652222</t>
  </si>
  <si>
    <t>Lưu Thị Hiền</t>
  </si>
  <si>
    <t>Đoàn Thị Nhung</t>
  </si>
  <si>
    <t>Hà Tu</t>
  </si>
  <si>
    <t>Nguyễn Mai Anh</t>
  </si>
  <si>
    <t>hồng Hải</t>
  </si>
  <si>
    <t>Đoàn Nhung</t>
  </si>
  <si>
    <t>Mai Anh</t>
  </si>
  <si>
    <t>từ 22-26</t>
  </si>
  <si>
    <t>Ngõ 8 Bãi Muối CT</t>
  </si>
  <si>
    <t>0383810322</t>
  </si>
  <si>
    <t>Nguyễn Thị Dung</t>
  </si>
  <si>
    <t>từ 28</t>
  </si>
  <si>
    <t>Hoàng Tiến Hiệp</t>
  </si>
  <si>
    <t>0902060614</t>
  </si>
  <si>
    <t>S Hiệp</t>
  </si>
  <si>
    <t>H. Hải</t>
  </si>
  <si>
    <t>Trần Văn Điển</t>
  </si>
  <si>
    <t>T10K2 Hồng Hà</t>
  </si>
  <si>
    <t>0982241427</t>
  </si>
  <si>
    <t>Nguyễn Thanh Xuyền</t>
  </si>
  <si>
    <t>T71K8 Cao Thắng</t>
  </si>
  <si>
    <t>0389955560</t>
  </si>
  <si>
    <t>Nguyễn Đức  Thịnh</t>
  </si>
  <si>
    <t>T75K8 Cao Thắng</t>
  </si>
  <si>
    <t>0941937865</t>
  </si>
  <si>
    <t>Hoàng Hồng Nhung</t>
  </si>
  <si>
    <t>Xí nghiệp</t>
  </si>
  <si>
    <t>BNL</t>
  </si>
  <si>
    <t>Máy giặt</t>
  </si>
  <si>
    <t xml:space="preserve">Khách của c Hà Vật tư - chú Lợi, địa chỉ ở Cao Xanh, khách hàng rửa bể ạ. 0916925848 </t>
  </si>
  <si>
    <t>Anh Duy - phòng Kinh doanh, bảo dưỡng, vệ sinh bình nóng lạnh, địa chỉ: 42 trần hưng đạo - 0972991989</t>
  </si>
  <si>
    <t>Khách c Hạnh p Kinh doanh - vệ sinh máy giặt lồng ngang, khách hẹn 1h30 ạ +84982793903</t>
  </si>
  <si>
    <t>a Duy phòng Kinh doanh - Bảo dưỡng, vệ sinh bình nóng lạnh, gần chợ loogtong . Cô Nga, sđt: 091 5043951</t>
  </si>
  <si>
    <t xml:space="preserve">1. bùi văn trấn, tổ 3, khu 6B, hồng hải, SĐT 086 901 8268, vệ sinh máy giặt lồng ngang, Tổ gọi điện hẹn khách nhé ạ </t>
  </si>
  <si>
    <t xml:space="preserve">2. vũ thị hường, tổ 3, khu 6B hồng hải, SĐT 091 211 2168 vệ sinh máy giặt, Tổ gọi điện hẹn khách nhé ạ </t>
  </si>
  <si>
    <t>3. Vũ Thanh Đạm số nhà 65, ngõ 18, đường Nguyễn Văn Cừ, tổ 4 khu 7, Hồng Hải SĐT 0912308415 vệ sinh máy giặt, khách hẹn cuối tuần sau làm ạ</t>
  </si>
  <si>
    <t>Khách hàng của c Hạnh phòng Kiểm định, nhà khách hàng bị rò téc, địa chỉ nhà gần cổng chợ Loong toong ạ 098 3609390 - Hồng Hạnh Kđinh cty</t>
  </si>
  <si>
    <t xml:space="preserve"> 1. Đỗ Đức Việt SĐT : 0966866332 (HG095791) Đ/c : Tổ 29 khu 2 phường Cao Xanh thay hộp đồng hồ</t>
  </si>
  <si>
    <t>2. Trần Thị Thu Hiền SĐT : 0936665993 (HG094774) Đ/c : Tổ 28 khu 2 phường Cao Xanh thay hộp đồng hồ</t>
  </si>
  <si>
    <t xml:space="preserve">chuyển công tơ nước nhà a. Tổi 1khu 4 phường yết kiêu. Số nhà 58.  091-220-1679 </t>
  </si>
  <si>
    <t>Sếp Bình</t>
  </si>
  <si>
    <t>Done</t>
  </si>
  <si>
    <t>Đỗ Hoài Diệm - hg020912 K hg đăng ký rửa bể vào 27/12(13h30) k hg Thủy ghi số</t>
  </si>
  <si>
    <t>Khách hàng đăng ký rửa bể, téc ngày mai, @Lương Hiếu  liên hệ 077 8442872</t>
  </si>
  <si>
    <t>Mai Huệ</t>
  </si>
  <si>
    <t>Khách hàng: Hoàng Trọng Nghĩa 
Địa chỉ: sồ nhà 2, t7, k7. Hồng Hà
đt: 0912. 308. 472
Rửa bể sáng ngày 28/12 - Thủy Hồng Hải</t>
  </si>
  <si>
    <t>đăng ký rửa  bể nhé tổ 11 khu phố yết kiêu 3 ĐT:0329046061 Trần Hải</t>
  </si>
  <si>
    <t>Đặng Trung Biên Sau trường Lê Thánh Tông có nhu cầu rửa bể ạ . 092 9507666 - Thơ CX</t>
  </si>
  <si>
    <t>Cao Xanh</t>
  </si>
  <si>
    <t>Nguyễn Thị Tình</t>
  </si>
  <si>
    <t>Hà Lầm</t>
  </si>
  <si>
    <t xml:space="preserve">Anh ơi mai em có k.h đk rử bể ,téc và vs máy giặt vào đầu giờ chiều mai  0983858908 </t>
  </si>
  <si>
    <t>Huyền Hồng Hải</t>
  </si>
  <si>
    <t>3/1</t>
  </si>
  <si>
    <r>
      <t>Khách hàng của c</t>
    </r>
    <r>
      <rPr>
        <b/>
        <sz val="11"/>
        <color rgb="FF081B3A"/>
        <rFont val="Segoe UI"/>
        <family val="2"/>
      </rPr>
      <t xml:space="preserve"> Hằng phòng Đầu tư</t>
    </r>
    <r>
      <rPr>
        <sz val="11"/>
        <color rgb="FF081B3A"/>
        <rFont val="Segoe UI"/>
        <family val="2"/>
      </rPr>
      <t>, Số nhà 651 đường nguyễn văn cừ cột 5 - Vệ sinh máy giặt, bình nóng lạnh, téc nước ạ +84 98 3885568</t>
    </r>
  </si>
  <si>
    <r>
      <t xml:space="preserve">Khách hàng của c </t>
    </r>
    <r>
      <rPr>
        <b/>
        <sz val="11"/>
        <color theme="1"/>
        <rFont val="Calibri"/>
        <family val="2"/>
        <scheme val="minor"/>
      </rPr>
      <t>Hằng P QLĐT</t>
    </r>
    <r>
      <rPr>
        <sz val="11"/>
        <color theme="1"/>
        <rFont val="Calibri"/>
        <family val="2"/>
        <scheme val="minor"/>
      </rPr>
      <t>,  D1-3 monbay. 0981844888 khách vệ sinh máy giặt</t>
    </r>
  </si>
  <si>
    <t>Bể</t>
  </si>
  <si>
    <t>Khách hàng của a Trần Hùng Mạnh phòng Kỹ thuật - Số nhà 66, ngõ 17 cao thắng, vệ sinh máy giặt. Khách hàng sử dụng dịch vụ sáng ngày mai (4/1)</t>
  </si>
  <si>
    <t>Khách hàng đăng ký rửa bể+téc vào đầu tuần. @Lương Hiếu liên hệ xếp lịch nhé. Khách hàng của chị Hiền vận động - ĐỖ Mạnh Hùng</t>
  </si>
  <si>
    <t>Khách hàng đăng ký rửa bể vào thứ hai. Hoàng Thị Vân - Hiền ghi số Hồng Hải vđ</t>
  </si>
  <si>
    <t xml:space="preserve">Đký rửa bể ngày mai: 090 2128286 : hà mạnh hùng : đồi bv - </t>
  </si>
  <si>
    <t>Dũng Tuyết THĐ</t>
  </si>
  <si>
    <t>0982134152. A Chinh rửa bể</t>
  </si>
  <si>
    <t>Quý THĐ</t>
  </si>
  <si>
    <t>0983858908 cô Thêm dự án đồi ngân hàng rửa bể</t>
  </si>
  <si>
    <t>Diện KT</t>
  </si>
  <si>
    <t>Hằng QLĐT cty</t>
  </si>
  <si>
    <t>Trần Hùng Mạnh - KT cty</t>
  </si>
  <si>
    <t>Hiền Hồng Hải</t>
  </si>
  <si>
    <t>Thủy Hồng Hải</t>
  </si>
  <si>
    <t>Thơ CX</t>
  </si>
  <si>
    <t>Trần Hải</t>
  </si>
  <si>
    <t>Thùy béo HG</t>
  </si>
  <si>
    <t>Đoàn Dương - KDĐH</t>
  </si>
  <si>
    <t>Phạm Hạnh KĐ cty</t>
  </si>
  <si>
    <t>Bùi Hồng Nhung - KTTC</t>
  </si>
  <si>
    <t>Duy KD cty</t>
  </si>
  <si>
    <t>Mai Hạnh KD cty</t>
  </si>
  <si>
    <t xml:space="preserve">Chị Yên phòng Tổ chức - dịch vụ rửa bể 098 7948889, Sn 94, ngõ 2, đồi T5 </t>
  </si>
  <si>
    <t>Yên TC cty</t>
  </si>
  <si>
    <t>Hồng Gai</t>
  </si>
  <si>
    <t>6/1</t>
  </si>
  <si>
    <t>Trần Huyền Hồng Hải</t>
  </si>
  <si>
    <t>khách hàng đăng ký rửa bể vào sáng mai 7/1. Hiếu liên hệ xếp lịch nhé. 0986506296</t>
  </si>
  <si>
    <t>Lưu Bích khu lideco,0932061666,Cương vận đông,rửa bể vào sáng ngày mai,ngày7/1</t>
  </si>
  <si>
    <t>Cương CT</t>
  </si>
  <si>
    <t>Bùi Đức Hoàng</t>
  </si>
  <si>
    <t>Nguyễn Trung Kiên</t>
  </si>
  <si>
    <t>Nguyễn Thị Thủy</t>
  </si>
  <si>
    <t>hẹn 11</t>
  </si>
  <si>
    <t>đăng kí bảo dưỡng bình nóng lạnh tổ 5 khu 2 yết kiêu hạ long 0945005999</t>
  </si>
  <si>
    <t>My vận hành HG</t>
  </si>
  <si>
    <t>Khách hàng Nga ngõ 9 nguyễn văn cừ đăng ký rửa bể sáng mai</t>
  </si>
  <si>
    <t>7/1</t>
  </si>
  <si>
    <t>Đàm Quang Vỹ t103 k6 Cảng mới sau hạ long centro 0945688558 đăng kí rửa bể rửa téc vào cnhat 12/1 ,</t>
  </si>
  <si>
    <t>Cẩm HG</t>
  </si>
  <si>
    <t>khách hàng của c Trang - P.TCLĐ 036 6818262 - A Thắng. Hotel Hòn Gai (mon bay cạnh lê dơn) hẹn rửa téc sáng ngày 8/1 nhé</t>
  </si>
  <si>
    <t>Trang TCLĐ cty</t>
  </si>
  <si>
    <t>0981228183 - chị Dung - dốc Nghĩa địa đạo : 1 máy giặt lồng ngang. 1 bình nóng lạnh</t>
  </si>
  <si>
    <t>Dũng Tôn KD cty</t>
  </si>
  <si>
    <t xml:space="preserve">đc: Vũ Hưng 36 ngõ 1 Bạch Long, Kênh Liêm 0936341088.  rửa bể </t>
  </si>
  <si>
    <t>Thúy thơm VP cty</t>
  </si>
  <si>
    <t xml:space="preserve">Chi VP </t>
  </si>
  <si>
    <t>Chuyển liên hệ trạm CT</t>
  </si>
  <si>
    <t>hách hàng của CHi - VP -  kiểm tra hệ thống đường ống trong nhà, chủ nhật tuần này.Đc: 204 ngõ 3 bãi muối cao thắng  sdt: 0373222810</t>
  </si>
  <si>
    <t>Như Huệ - VP</t>
  </si>
  <si>
    <t>Anh Tuấn - chùa long tiên- 0904544445 Đăng ký vs bình nóng lạnh và vs máy giặt</t>
  </si>
  <si>
    <t xml:space="preserve"> Số 113, Nguyễn Lương Bằng, phố Hải Phúc, Hồng Hải, 0973991266, khách đky rửa bể</t>
  </si>
  <si>
    <t>Duy Khánh KT cty - k thu tiền khách</t>
  </si>
  <si>
    <t>Trần Nam Trung</t>
  </si>
  <si>
    <t xml:space="preserve">Giám đốc </t>
  </si>
  <si>
    <t>Văn phòng</t>
  </si>
  <si>
    <t> Phó giám đốc</t>
  </si>
  <si>
    <t>Trịnh Văn Quang</t>
  </si>
  <si>
    <t>Trưởng BP KD</t>
  </si>
  <si>
    <t>Lại Thị Lan</t>
  </si>
  <si>
    <t>Nguyễn Huyền Thư</t>
  </si>
  <si>
    <t> NV Kinh doanh</t>
  </si>
  <si>
    <t>Bùi Ngọc Nguyên</t>
  </si>
  <si>
    <t>Lê Như Hùng</t>
  </si>
  <si>
    <t>CN kẹp chì</t>
  </si>
  <si>
    <t>Nguyễn Thị Mai Anh</t>
  </si>
  <si>
    <t>Trương Thị Hải Yến</t>
  </si>
  <si>
    <t>Đỗ Thị Hiền</t>
  </si>
  <si>
    <t>Nguyễn Thị Thu Hiên</t>
  </si>
  <si>
    <t>Phạm Tuyết Dung</t>
  </si>
  <si>
    <t>Nguyễn Phương Thảo</t>
  </si>
  <si>
    <t>NV Kiểm tra</t>
  </si>
  <si>
    <t>Trần Thị Thắm</t>
  </si>
  <si>
    <t>Kế toán chính</t>
  </si>
  <si>
    <t>Đỗ Thị Thu Hoàn</t>
  </si>
  <si>
    <t>NV Kế toán</t>
  </si>
  <si>
    <t>Lê Hoàng Anh</t>
  </si>
  <si>
    <t> NV Kế toán</t>
  </si>
  <si>
    <t> NV Thủ quỹ</t>
  </si>
  <si>
    <t>Vũ Thị Thúy Phương</t>
  </si>
  <si>
    <t>NV thủ kho</t>
  </si>
  <si>
    <t>Nguyễn Thị Thu Quyên</t>
  </si>
  <si>
    <t>Ngô Thị Vân Anh</t>
  </si>
  <si>
    <t>Nguyễn Thị Lan</t>
  </si>
  <si>
    <t>Phụ trách Đảng</t>
  </si>
  <si>
    <t>Nguyễn Thị Ngọc Chung</t>
  </si>
  <si>
    <t> NV HC - Tạp vụ</t>
  </si>
  <si>
    <t>Bùi Thị Diệu Linh</t>
  </si>
  <si>
    <t> NV LĐTL</t>
  </si>
  <si>
    <t> CN Bảo vệ</t>
  </si>
  <si>
    <t>Nguyễn Thị Hằng</t>
  </si>
  <si>
    <t>Vũ Thị Tươi</t>
  </si>
  <si>
    <t>Mai Anh Dũng</t>
  </si>
  <si>
    <t>Phạm Lan Hương</t>
  </si>
  <si>
    <t> NV Kỹ thuật</t>
  </si>
  <si>
    <t>Phạm Vũ Quyền</t>
  </si>
  <si>
    <t>Khổng Thị Thu Trang</t>
  </si>
  <si>
    <t>Mạc Anh Tuấn</t>
  </si>
  <si>
    <t>NV kỹ thuật</t>
  </si>
  <si>
    <t>Trịnh Thị Nhung</t>
  </si>
  <si>
    <t>NV Kỹ thuật</t>
  </si>
  <si>
    <t>Bùi Văn Tình</t>
  </si>
  <si>
    <t>Phạm Mạnh Hải</t>
  </si>
  <si>
    <t>Chế Thùy Dung</t>
  </si>
  <si>
    <t>Vi Đức Độ</t>
  </si>
  <si>
    <t>Hỗ trợ kỹ thuật</t>
  </si>
  <si>
    <t>Vũ Hồng Hà</t>
  </si>
  <si>
    <t>Nguyễn Quốc Hưng</t>
  </si>
  <si>
    <t> Trạm trưởng </t>
  </si>
  <si>
    <t>Nguyễn Văn Sơn</t>
  </si>
  <si>
    <t> Trạm phó </t>
  </si>
  <si>
    <t>Chu Hoài Nam</t>
  </si>
  <si>
    <t>Nghiêm Xuân Hải</t>
  </si>
  <si>
    <t>Nguyễn Mạnh Linh</t>
  </si>
  <si>
    <t>Lê Hạnh Phúc</t>
  </si>
  <si>
    <t>CN Quản lý</t>
  </si>
  <si>
    <t> CN VHMB</t>
  </si>
  <si>
    <t>Trần Thị Gấm</t>
  </si>
  <si>
    <t>Lưu Khánh Chi</t>
  </si>
  <si>
    <t>Đặng Thị Hường</t>
  </si>
  <si>
    <t>Phạm Thị Thanh Hương</t>
  </si>
  <si>
    <t> CN Thu ngân</t>
  </si>
  <si>
    <t>Đỗ Thị Vượng</t>
  </si>
  <si>
    <t>Bùi Ngọc Đàm</t>
  </si>
  <si>
    <t>Nguyễn Văn Nhâm</t>
  </si>
  <si>
    <t>Bùi Minh Thái</t>
  </si>
  <si>
    <t>Mạc Văn Chung</t>
  </si>
  <si>
    <t>Trần Lệ Hoa</t>
  </si>
  <si>
    <t>Tăng Thị Thơm</t>
  </si>
  <si>
    <t>Lê Thị Thanh Xuân</t>
  </si>
  <si>
    <t>Nguyễn Văn Tuyên</t>
  </si>
  <si>
    <t>Phạm Tiến Dũng</t>
  </si>
  <si>
    <t>Phạm Duy Linh</t>
  </si>
  <si>
    <t>Đào Duy Tùng</t>
  </si>
  <si>
    <t>Nguyễn Thị Mai Dung</t>
  </si>
  <si>
    <t>Đỗ Thị Thanh Hà</t>
  </si>
  <si>
    <t>Nguyễn Thị Ngà</t>
  </si>
  <si>
    <t>Nguyễn Thị Chi</t>
  </si>
  <si>
    <t>Nguyễn Thị Sinh</t>
  </si>
  <si>
    <t>Nguyễn Tùng Cương</t>
  </si>
  <si>
    <t>Phạm Ngọc Thắng</t>
  </si>
  <si>
    <t>Vũ Mạnh Hùng</t>
  </si>
  <si>
    <t>Phạm Thanh Tuấn</t>
  </si>
  <si>
    <t>Nguyễn Văn Tùng</t>
  </si>
  <si>
    <t>Hoàng Thị Phương</t>
  </si>
  <si>
    <t>Nguyễn Văn Hưng</t>
  </si>
  <si>
    <t>Vương Xuân Hùng</t>
  </si>
  <si>
    <t>Phạm Thanh Phong</t>
  </si>
  <si>
    <t>Vũ Đức Duy</t>
  </si>
  <si>
    <t>Lê Quang Dũng</t>
  </si>
  <si>
    <t>Phạm Thái Sơn</t>
  </si>
  <si>
    <t>Nguyễn Thị Hiền</t>
  </si>
  <si>
    <t>Trần Thị Ánh Nguyệt</t>
  </si>
  <si>
    <t>Tô Thị Huệ</t>
  </si>
  <si>
    <t>Nguyễn Thị Thùy Liên</t>
  </si>
  <si>
    <t>Lê Thị Tâm</t>
  </si>
  <si>
    <t>Bùi Thị Tuyết Vân</t>
  </si>
  <si>
    <t>Nông Thị Hạnh</t>
  </si>
  <si>
    <t>Nguyễn Xuân Hùng</t>
  </si>
  <si>
    <t>Phạm Văn Dũng</t>
  </si>
  <si>
    <t> Trạm phó, Tổ trưởng ĐP</t>
  </si>
  <si>
    <t>Dương Tuấn Anh</t>
  </si>
  <si>
    <t>Nguyễn Huy Toàn</t>
  </si>
  <si>
    <t>Trần Thị Xuyến</t>
  </si>
  <si>
    <t>Bùi Thùy Dương</t>
  </si>
  <si>
    <t>Trần Thị Kim Dung</t>
  </si>
  <si>
    <t>Bùi Thị Thu Minh</t>
  </si>
  <si>
    <t>Lương Thị Vân Mai</t>
  </si>
  <si>
    <t>Hà Thị Hằng</t>
  </si>
  <si>
    <t>Đỗ Thị Liễu</t>
  </si>
  <si>
    <t>Nguyễn Quang Trung</t>
  </si>
  <si>
    <t>Trần Quốc Toản</t>
  </si>
  <si>
    <t>Lê Việt Anh</t>
  </si>
  <si>
    <t>Đinh Thu Huế</t>
  </si>
  <si>
    <t>Ngô Thị Phương Thảo</t>
  </si>
  <si>
    <t>Nguyễn Thị Huy</t>
  </si>
  <si>
    <t>Phạm Thị Liên</t>
  </si>
  <si>
    <t>Trần Trọng Khoa</t>
  </si>
  <si>
    <t>Bùi Minh Quang</t>
  </si>
  <si>
    <t>Nguyễn Thế Mạnh</t>
  </si>
  <si>
    <t>Phạm Thanh Trung</t>
  </si>
  <si>
    <t>Phạm Trung Thông</t>
  </si>
  <si>
    <t>Nguyễn Thị Hồng Phương</t>
  </si>
  <si>
    <t>Dương Thị Thu</t>
  </si>
  <si>
    <t>Tô Thị Lan</t>
  </si>
  <si>
    <t>Tô Thị Phương</t>
  </si>
  <si>
    <t>Đỗ Anh Ngọc</t>
  </si>
  <si>
    <t>Lý Ngọc Hồng</t>
  </si>
  <si>
    <t>Dư Văn Cẩm</t>
  </si>
  <si>
    <t>Hoàng Quang Huy</t>
  </si>
  <si>
    <t>Nguyễn Quang Hùng</t>
  </si>
  <si>
    <t>Đặng Thu Huyền</t>
  </si>
  <si>
    <t>Đào Thị Ngọc Anh</t>
  </si>
  <si>
    <t>Trần Bích Ly</t>
  </si>
  <si>
    <t>Trần Thị Đan My</t>
  </si>
  <si>
    <t>Phạm Thu Quỳnh</t>
  </si>
  <si>
    <t>Trần Thanh Hải</t>
  </si>
  <si>
    <t>Trương Quốc Khánh</t>
  </si>
  <si>
    <t>Đặng Thanh Tùng</t>
  </si>
  <si>
    <t>Đỗ Thị Lan</t>
  </si>
  <si>
    <t>CN hóa nghiệm</t>
  </si>
  <si>
    <t>Nguyễn Văn Thức</t>
  </si>
  <si>
    <t>Nguyễn Thị Hiền Nương</t>
  </si>
  <si>
    <t>Nguyễn Thị Ngọc Anh</t>
  </si>
  <si>
    <t>Nguyễn Quỳnh Nga</t>
  </si>
  <si>
    <t>Nguyễn Thị Hồng Hạnh</t>
  </si>
  <si>
    <t>CN VHKXL</t>
  </si>
  <si>
    <t>Nguyễn Thiện Hải</t>
  </si>
  <si>
    <t>Nguyễn Đại Quân</t>
  </si>
  <si>
    <t>Nguyễn Xuân Cường</t>
  </si>
  <si>
    <t>Lê Thùy Dung</t>
  </si>
  <si>
    <t>Phạm Đức Long</t>
  </si>
  <si>
    <t>Nguyễn Thị Lan Anh</t>
  </si>
  <si>
    <t>Nguyễn Thị Quỳnh</t>
  </si>
  <si>
    <t>Phạm Thị Thu (B)</t>
  </si>
  <si>
    <t>Hoàng Thị Dung</t>
  </si>
  <si>
    <t>Mạc Thị Huyền</t>
  </si>
  <si>
    <t>Vũ Thị Thu Vân</t>
  </si>
  <si>
    <t>Nguyễn Thị Phương Thanh</t>
  </si>
  <si>
    <t>Nguyễn Thị Hương</t>
  </si>
  <si>
    <t>Lưu Thị Phương</t>
  </si>
  <si>
    <t>Ghi số đồng hồ</t>
  </si>
  <si>
    <t>Nguyễn Viết Tạo</t>
  </si>
  <si>
    <t>Phạm Tiến Quỳnh</t>
  </si>
  <si>
    <t> CN CTT</t>
  </si>
  <si>
    <t>Vũ Quốc Hiếu</t>
  </si>
  <si>
    <t>Phạm Thanh Quang</t>
  </si>
  <si>
    <t>Vũ Quang Tạo</t>
  </si>
  <si>
    <t>Đỗ Thị Huyền</t>
  </si>
  <si>
    <t>Phạm Thùy Dương</t>
  </si>
  <si>
    <t>Nguyễn Huy Hoàng</t>
  </si>
  <si>
    <t>Nguyễn Ngọc Thắng</t>
  </si>
  <si>
    <t>Lê Anh Đức</t>
  </si>
  <si>
    <t>Dương Công Tưởng</t>
  </si>
  <si>
    <t>Nguyễn Thế Trọng</t>
  </si>
  <si>
    <t>Lê Xuân Thảo</t>
  </si>
  <si>
    <t>Lương Chí Hiếu</t>
  </si>
  <si>
    <t>Vũ Thị Đào</t>
  </si>
  <si>
    <t>Lê Thị Lan Anh</t>
  </si>
  <si>
    <t>Bùi Phương Nhung</t>
  </si>
  <si>
    <t>Nguyễn Thị Thùy Dương</t>
  </si>
  <si>
    <t>Lê Thị Thúy</t>
  </si>
  <si>
    <t>Bùi Ngọc Mai</t>
  </si>
  <si>
    <t>Nguyễn Thị Thùy</t>
  </si>
  <si>
    <t>Vũ Thị Thanh Thảo</t>
  </si>
  <si>
    <t>Nguyễn Thị Ngọc Hà</t>
  </si>
  <si>
    <t>Tăng Thị Cúc</t>
  </si>
  <si>
    <t>Nguyễn Thị Thu Hiền</t>
  </si>
  <si>
    <t>Nguyễn Thị Hiếu</t>
  </si>
  <si>
    <t>Trần Thị Thu Huyền</t>
  </si>
  <si>
    <t>Nguyễn Ánh Nguyệt</t>
  </si>
  <si>
    <t>Nguyễn Kim Dung</t>
  </si>
  <si>
    <t>Mạc Thị Thanh Tú</t>
  </si>
  <si>
    <t>Hoàng Thị Mười</t>
  </si>
  <si>
    <t>Phạm Thị Huyền</t>
  </si>
  <si>
    <t>Bùi Hà Thu</t>
  </si>
  <si>
    <t>Lưu Hải Yến</t>
  </si>
  <si>
    <t>Phan Thị Quý</t>
  </si>
  <si>
    <t>Nguyễn Thị Thúy Hằng</t>
  </si>
  <si>
    <t>Trần Thị Nga</t>
  </si>
  <si>
    <t>Nguyễn Thị Mi</t>
  </si>
  <si>
    <t>Bùi Thị Thu</t>
  </si>
  <si>
    <t>Hà Thị Luyến</t>
  </si>
  <si>
    <t>Mai Thị Lụa</t>
  </si>
  <si>
    <t>Trần Thị Tuyết Lan</t>
  </si>
  <si>
    <t>Trần Thị Trinh</t>
  </si>
  <si>
    <t>STT</t>
  </si>
  <si>
    <t>THÁNG 1</t>
  </si>
  <si>
    <t>THÁNG 3</t>
  </si>
  <si>
    <t>THÁNG 4</t>
  </si>
  <si>
    <t>THÁNG 5</t>
  </si>
  <si>
    <t>THÁNG 6</t>
  </si>
  <si>
    <r>
      <t xml:space="preserve">CĐCN </t>
    </r>
    <r>
      <rPr>
        <u/>
        <sz val="11"/>
        <color theme="1"/>
        <rFont val="Segoe UI"/>
        <family val="2"/>
      </rPr>
      <t>0913459977</t>
    </r>
    <r>
      <rPr>
        <sz val="11"/>
        <color rgb="FF081B3A"/>
        <rFont val="Segoe UI"/>
        <family val="2"/>
      </rPr>
      <t xml:space="preserve"> cô Mai đăng ký vệ sinh máy giặt - thứ 5 tuần này nhà tổ 4 khu 4A hồng hải</t>
    </r>
  </si>
  <si>
    <t>Đắc linh CĐCN</t>
  </si>
  <si>
    <t>Rửa bể</t>
  </si>
  <si>
    <t>Số 6 phố Hải An; sđt: 0366043754. vệ sinh 3 bình nóng lạnh</t>
  </si>
  <si>
    <t>Hẹn cuối tuần</t>
  </si>
  <si>
    <t>3 BNL</t>
  </si>
  <si>
    <t>Lê Ngọc Vân Sau cẫy xăng CX Rửa bể</t>
  </si>
  <si>
    <t>Khoa YK</t>
  </si>
  <si>
    <t>Máy giặt ngang</t>
  </si>
  <si>
    <t>khách của chị Hải - P.CLN đăng ký rửa bể và téc; 31 cao thắng; sđt: c Hằng 0919 987 888</t>
  </si>
  <si>
    <t>9/1</t>
  </si>
  <si>
    <t>Hải CLN cty</t>
  </si>
  <si>
    <t>Rửa bể + téc</t>
  </si>
  <si>
    <t>hủy</t>
  </si>
  <si>
    <t>0833839366 khách hàng đăng ký rửa bể ngày mai, đ/c: số 17 ngõ 19 nguyễn văn cừ @Lương Hiếu liên hệ nhé, kh của Tình kỹ thuật e nhé</t>
  </si>
  <si>
    <t>Tình KT</t>
  </si>
  <si>
    <t>10/1</t>
  </si>
  <si>
    <t>đăng kí rửa bể téc đầu chiều mai Trần Thanh Tùng - 0982506399</t>
  </si>
  <si>
    <t>Yến THĐ</t>
  </si>
  <si>
    <t>Nhà cô Na số nhà 79 đồi T5 gần nhà cj Ngọc Anh kẹp chì , có nhu cầu rửa bể ạ . E Thảo đăng kí . Nguyện vọng rửa bể vào chiều chủ Nhật 090 3498406</t>
  </si>
  <si>
    <t>Thảo - Cao Xanh</t>
  </si>
  <si>
    <t xml:space="preserve">0359148999. Khách hàng muốn rửa bể vào 8h sáng mai. </t>
  </si>
  <si>
    <t>Hiếu em liên hệ rửa bể cho khách hàng lại văn chiến vào chiều chủ Nhật tuần này : 0913266658 ( phường cao thắng</t>
  </si>
  <si>
    <t>Lại Lan KD</t>
  </si>
  <si>
    <t>Nguyễn Quang Khải - Ban QLDA</t>
  </si>
  <si>
    <t>Hà</t>
  </si>
  <si>
    <t>Đoàn Thị Huệ</t>
  </si>
  <si>
    <t>129 Tổ 58 K6B HP</t>
  </si>
  <si>
    <t>0346080704</t>
  </si>
  <si>
    <t>Rửa téc</t>
  </si>
  <si>
    <t>Khoa - PKĐ Cty</t>
  </si>
  <si>
    <t>Phương</t>
  </si>
  <si>
    <t>69 Hải Phúc</t>
  </si>
  <si>
    <t>0919210897</t>
  </si>
  <si>
    <t>Huyền Trang - TCLĐ Cty</t>
  </si>
  <si>
    <t>Lê Hà Gia Bảo T10K4 Hà Lầm - Rửa bể chiều T7 0838980558</t>
  </si>
  <si>
    <t>Hà Hằng THĐ</t>
  </si>
  <si>
    <t>KHÁCH HÀNG</t>
  </si>
  <si>
    <t>ĐỊA CHỈ</t>
  </si>
  <si>
    <t>DỊCH VỤ</t>
  </si>
  <si>
    <t>NGÀY THỰC HIỆN</t>
  </si>
  <si>
    <t>NỘP PHIẾU</t>
  </si>
  <si>
    <t>NGƯỜI VẬN ĐỘNG</t>
  </si>
  <si>
    <t>C Hà Vật tư CTY</t>
  </si>
  <si>
    <t>KHÁCH BOOK</t>
  </si>
  <si>
    <t xml:space="preserve">Hằng - SN7 KĐT Đồi Mắm Tôm 0919987888 - Rửa bể </t>
  </si>
  <si>
    <t>11/1</t>
  </si>
  <si>
    <t>13/1</t>
  </si>
  <si>
    <t>khách hàng của nhân Viên Bùi Hồng Nhung - Phòng Kế toán:
đăng ký rửa 3 bình nóng lạnh
số nhà 15 phố Hải Trường 0934371968</t>
  </si>
  <si>
    <t>15 Hải Trường</t>
  </si>
  <si>
    <t>0934371968</t>
  </si>
  <si>
    <t>14/1</t>
  </si>
  <si>
    <t>Vệ sinh máy giặt chiều 13/1/2025. Tổ 8 khu yết kiêu 5. Đt 0913268188 Bác Lực</t>
  </si>
  <si>
    <t>Bác Lực</t>
  </si>
  <si>
    <t>Tổ 8 khu yết kiêu 5</t>
  </si>
  <si>
    <t>0913268188</t>
  </si>
  <si>
    <t>12/1</t>
  </si>
  <si>
    <t>Lê Hà Gia Bảo</t>
  </si>
  <si>
    <t xml:space="preserve"> T10K4 Hà Lầm</t>
  </si>
  <si>
    <t>Hằng</t>
  </si>
  <si>
    <t>7 KĐT đồi Mắm Tôm</t>
  </si>
  <si>
    <t xml:space="preserve"> 0919987888</t>
  </si>
  <si>
    <t>C Hương khu lideco đăng kí rửa bể ngày mai 098 1258336</t>
  </si>
  <si>
    <t>Tú  Cao Thắng</t>
  </si>
  <si>
    <t>C Hương</t>
  </si>
  <si>
    <t xml:space="preserve"> khu lideco</t>
  </si>
  <si>
    <t>Vũ NGọc Thành</t>
  </si>
  <si>
    <t>0935359688</t>
  </si>
  <si>
    <t>82 Bế Văn Đàn Hồng Hà</t>
  </si>
  <si>
    <t>Nguyễn Đức Hanh</t>
  </si>
  <si>
    <t>Cù Đức Tiệp</t>
  </si>
  <si>
    <t>19/1</t>
  </si>
  <si>
    <t>T2K10 Hồng Hải</t>
  </si>
  <si>
    <t>0763382277</t>
  </si>
  <si>
    <t>0913370796</t>
  </si>
  <si>
    <t>Ô 13 Lo A6 TĐC Hhai</t>
  </si>
  <si>
    <t>Cù Đức Tiệp (S Huệ chuyển Diễn Vọng làm)</t>
  </si>
  <si>
    <t>khách hàng của Nguyễn Tuấn KĐ đky rửa bể 2m3 : dương thị bích - t44 k4 , cao thắng, 0363059330, kh hẹn chiều nay làm</t>
  </si>
  <si>
    <t>Nguyễn Tuấn - Kiểm định</t>
  </si>
  <si>
    <t>Dương Thị Bích</t>
  </si>
  <si>
    <t>T44K4 CT</t>
  </si>
  <si>
    <t>0363059330</t>
  </si>
  <si>
    <t>khách hàng của Thanh Huyền - VP đăng ký rửa bể , téc ngõ 20 phường hồng hải, sđt 0914988892, hẹn làm ngày mai 15/1</t>
  </si>
  <si>
    <t>Thanh Huyền - VP</t>
  </si>
  <si>
    <t>Cô Vượng</t>
  </si>
  <si>
    <t>ngõ 20 phường hồng hải</t>
  </si>
  <si>
    <t>0914988892</t>
  </si>
  <si>
    <t>15/1</t>
  </si>
  <si>
    <t>Thúy Hường - VP</t>
  </si>
  <si>
    <t>Hồng Linh</t>
  </si>
  <si>
    <t>Máy Giặt</t>
  </si>
  <si>
    <t>0983460098</t>
  </si>
  <si>
    <t>khách hàng của chị Nga phòng Kế hoạch rửa bình nóng lạnh SĐT;0386199169 bác Thọ, kh đky ngày mai 15/1</t>
  </si>
  <si>
    <t>Nga - Kế hoạch</t>
  </si>
  <si>
    <t>Thọ</t>
  </si>
  <si>
    <t>0386199169</t>
  </si>
  <si>
    <t>Vũ thuỳ trang.0904329996.cây xăng đi xuống .gần nhà vân anh .khách của duy hà lầm vận động</t>
  </si>
  <si>
    <t>Duy - Hà Lầm</t>
  </si>
  <si>
    <t>Vũ Thùy Trang</t>
  </si>
  <si>
    <t>Cây xăng CT</t>
  </si>
  <si>
    <t>0904329996</t>
  </si>
  <si>
    <t>Hiền đăng ký rửa bể. @Lương Hiếu liên hệ xếp lịch nhé. Khách hàng của Huyền vận động</t>
  </si>
  <si>
    <t>0911740019</t>
  </si>
  <si>
    <t>Trần Huyền - Hồng Hải</t>
  </si>
  <si>
    <t>Khách chị Bùi Linh - PP Kinh doanh 
Số nhà 9 ngõ 21 Lương Thế Vinh, Cienco 5 
Chị Phương 091 5005559
2 bình nóng lạnh, 2 máy giặt, làm ngày thứ 7 18/1 ạ</t>
  </si>
  <si>
    <t>Bùi Linh - PP KD</t>
  </si>
  <si>
    <t>18/1</t>
  </si>
  <si>
    <t>Chị Phương</t>
  </si>
  <si>
    <t>091 5005559</t>
  </si>
  <si>
    <t>2NL + 2MG</t>
  </si>
  <si>
    <t>Số nhà 9 ngõ 21 Lương Thế Vinh, Cienco 5</t>
  </si>
  <si>
    <t>0988750299</t>
  </si>
  <si>
    <t>Phòng 208 CC hồng CX</t>
  </si>
  <si>
    <t>khách của Tuyền P kế hoạch đăng ký VS 1 máy giặt cửa ngang SN 269 , Nguyễn văn Cừ  P H Hải  SĐT:0979817688</t>
  </si>
  <si>
    <t>Tuyền P kế hoạch</t>
  </si>
  <si>
    <t>0979817688</t>
  </si>
  <si>
    <t>SN 269 , Nguyễn văn Cừ  P H Hải</t>
  </si>
  <si>
    <t>Anh Tiến, tổ 8 yết kiêu 5, rửa bể sáng 15/1/2015. Đt 0912184555. Thu cao xanh vận động</t>
  </si>
  <si>
    <t>Thu Cao Xanh</t>
  </si>
  <si>
    <t>A Tiến</t>
  </si>
  <si>
    <t xml:space="preserve"> tổ 8 yết kiêu 5</t>
  </si>
  <si>
    <t xml:space="preserve"> 0912184555</t>
  </si>
  <si>
    <t>KH của Phạm Thị Thúy Hường đăng ký 1 trường hợp vs máy giặt nhà vũ thị huệ tổ 3 khu4 phường hồng hải sđt 0961294225</t>
  </si>
  <si>
    <t>Vũ Thị Huệ</t>
  </si>
  <si>
    <t>T3K4 Hồng hải</t>
  </si>
  <si>
    <t>0961294225</t>
  </si>
  <si>
    <t>KH của Sếp Khải - BQLDA đk rửa 03 téc chứa, khách hàng: khách sạn Minh Phong, số 61 Lê Thanh Nghị, tp Hạ long, QN. sđt 0966 696 788 a Phong</t>
  </si>
  <si>
    <t>Phong</t>
  </si>
  <si>
    <t xml:space="preserve"> 0966 696 788</t>
  </si>
  <si>
    <t>3 téc</t>
  </si>
  <si>
    <t>khách sạn Minh Phong, số 61 Lê Thanh Nghị</t>
  </si>
  <si>
    <t>Ms Nga, đky dịch vụ vào thứ 7 ngày 25/1/25, địa chỉ tổ 2k6 p Hồng Hải ( đầu ngõ 3 phố Hải Phượng- quay ra phía đường đôi Đông Bắc)</t>
  </si>
  <si>
    <t>Chế Dung KT</t>
  </si>
  <si>
    <t>Nga</t>
  </si>
  <si>
    <t>tổ 2k6 p Hồng Hải</t>
  </si>
  <si>
    <t>098 3325654</t>
  </si>
  <si>
    <t>bể, téc + 5BNL</t>
  </si>
  <si>
    <t>16/1</t>
  </si>
  <si>
    <t>17/1</t>
  </si>
  <si>
    <t>khách của a Toản - P.CTTN, chiều nay đến khảo sát bình nóng lạnh + vệ sinh téc ở trạm - số 11 Huỳnh Thúc Kháng, Hồng Hà, SĐT: 0889399229 - a Cường</t>
  </si>
  <si>
    <t>Cường</t>
  </si>
  <si>
    <t>11 Huỳnh Thúc Kháng, Hha</t>
  </si>
  <si>
    <t>0889399229</t>
  </si>
  <si>
    <t>téc + BNL</t>
  </si>
  <si>
    <t>Đăng ký rửa bể Vũ khắc Xuân tổ 70 khu 8 p cao thắng đt 0395857778</t>
  </si>
  <si>
    <t>Kim Dung - CT</t>
  </si>
  <si>
    <t>Vũ Khắc Xuân</t>
  </si>
  <si>
    <t>T70K8 Cao Thắng</t>
  </si>
  <si>
    <t>0395857778</t>
  </si>
  <si>
    <t xml:space="preserve">0904173256
chị Hà Chánh VP phòng chị rửa bể nhà chị ấy, ac gọi cho chị ấy để đặt lịch hẹn nhé </t>
  </si>
  <si>
    <t>0904173256</t>
  </si>
  <si>
    <t>Khách hàng: Đoàn Thị Dung
Địa chỉ: Số nhà A1. 12. Tổ8, khu 8. Phường Hồng Hải
Số đt: 0988.  560. 248</t>
  </si>
  <si>
    <t>Đoàn Thị Dung</t>
  </si>
  <si>
    <t>Tổ8, khu 8. Phường Hồng Hải</t>
  </si>
  <si>
    <t>0988560248</t>
  </si>
  <si>
    <t>094 7368588 . Chú căn muốn rửa téc anh nhé</t>
  </si>
  <si>
    <t>Chú Căn</t>
  </si>
  <si>
    <t>Cột 3</t>
  </si>
  <si>
    <t>0947368588</t>
  </si>
  <si>
    <t>Téc</t>
  </si>
  <si>
    <t>KH của Phạm Thị Thúy Hường :
Vũ Phương, tổ 39 khu phường cao thắng, vệ sinh máy giặt, đăng ký thứ 7 (18/1) làm, sđt 0979289234</t>
  </si>
  <si>
    <t>Vũ Phương</t>
  </si>
  <si>
    <t xml:space="preserve"> tổ 39 khu phường cao thắng</t>
  </si>
  <si>
    <t>0979289234</t>
  </si>
  <si>
    <t>096 2478748 ( khách đăng kí rửa bể vào cn ngày 19/1 ) ngõ 13 cao xanh</t>
  </si>
  <si>
    <t>Nga - Cao Xanh</t>
  </si>
  <si>
    <t>0962478748</t>
  </si>
  <si>
    <t>ngõ 13 Cao Xanh</t>
  </si>
  <si>
    <t>C Hiền ngõ 9 NVC 0912978261 Rửa téc 19/1</t>
  </si>
  <si>
    <t>Bùi Thu - Cao Xanh</t>
  </si>
  <si>
    <t>C Hiền</t>
  </si>
  <si>
    <t>Ngõ 9 Nguyễn Văn Cừ</t>
  </si>
  <si>
    <t>0912978261</t>
  </si>
  <si>
    <t>Cty Bạch Đằng</t>
  </si>
  <si>
    <t>3 bể + 4 téc</t>
  </si>
  <si>
    <t>20/1</t>
  </si>
  <si>
    <t>0913394918</t>
  </si>
  <si>
    <t>Nhà số 2 ngõ 15 cao xanh, số đt 0989703666</t>
  </si>
  <si>
    <t>Thơ Cao Xanh</t>
  </si>
  <si>
    <t>Số 2 ngõ 15 Cao Xanh</t>
  </si>
  <si>
    <t>0989703666</t>
  </si>
  <si>
    <t>0964838122</t>
  </si>
  <si>
    <t>sn 25 ngõ 3 phố dốc học</t>
  </si>
  <si>
    <t>1BNL + téc</t>
  </si>
  <si>
    <t>Tùng</t>
  </si>
  <si>
    <t>Vệ sinh  1 bình nóng lạnh, 1 tét nước 
Anh Tùng - Sdt  0934268893
Địa chỉ đ.chỉ sn 25 ngõ 3 phố dốc học
KH hẹn lịch vào thứ 2 ngày 20/1/2025, KH của sếp Thắng - P.KH</t>
  </si>
  <si>
    <t xml:space="preserve"> 0934268893</t>
  </si>
  <si>
    <t>091 7292966 sn 50 ngõ 7A bãi muối kh hương giang đk rửa bể và tec sáng thứ 3 ngày 21/1 , KH của a Thảo - p.kinh doanh</t>
  </si>
  <si>
    <t>091 7292966</t>
  </si>
  <si>
    <t>Bể + Téc</t>
  </si>
  <si>
    <t>21/1</t>
  </si>
  <si>
    <t>Thảo - PKD</t>
  </si>
  <si>
    <t>Hương Giang</t>
  </si>
  <si>
    <t xml:space="preserve"> sn 50 ngõ 7A bãi muối</t>
  </si>
  <si>
    <t xml:space="preserve">Mã khách hàng: HG071975
Tên khách hàng: Trần Văn Tự
Địa chỉ: So nha 157. Tổ 23, khu 4, Phường Trần Hưng Đạo, TP.Hạ Long  sđt 0914802407, KH của Duy - p.kinh doanh, </t>
  </si>
  <si>
    <t>Duy - Kinh doanh cty</t>
  </si>
  <si>
    <t>Trần Văn Tự</t>
  </si>
  <si>
    <t xml:space="preserve"> 0914802407</t>
  </si>
  <si>
    <t>So nha 157. Tổ 23, khu 4, Phường Trần Hưng Đạo</t>
  </si>
  <si>
    <t>nhà sếp Hải PP CTTN : 4 BNL, sđt 0919996587;  chị Nga: 1 bể + 1 téc, sđt 0912148129; địa chỉ : sau TỈnh ủy,  đky làm ngày mai 21/1</t>
  </si>
  <si>
    <t>Sếp Hải CTT</t>
  </si>
  <si>
    <t xml:space="preserve"> chị Nga</t>
  </si>
  <si>
    <t>0919996587</t>
  </si>
  <si>
    <t>sau TỈnh ủy</t>
  </si>
  <si>
    <t>Đki rửa tét . Ngõ 23 nguyễn văn cừ. Số nhà 18. 0926994444, kh của Trần Thị Thu Thảo -VP</t>
  </si>
  <si>
    <t xml:space="preserve"> Ngõ 23 nguyễn văn cừ. Số nhà 18</t>
  </si>
  <si>
    <t>0926994444</t>
  </si>
  <si>
    <t>Trần Thị Thu Thảo -VP</t>
  </si>
  <si>
    <t>vs máy giặt, t6k1 hà khánh, 0912232690 kh của Phạm Thuý Hường -VP</t>
  </si>
  <si>
    <t>0912232690</t>
  </si>
  <si>
    <t>t6k1 hà khánh</t>
  </si>
  <si>
    <t>Rửa bể cho nhà Dương Thị Lương - P-KTTC, địa chỉ: Ô 42, lô b8 khu đô thị Bãi Muối, Cao Thắng, Hạ Long, Quảng Ninh. SĐT 0987650225</t>
  </si>
  <si>
    <t>Dương Lương - Kế toán</t>
  </si>
  <si>
    <t>Ô 42, lô b8 khu đô thị Bãi Muối</t>
  </si>
  <si>
    <t>0987650225</t>
  </si>
  <si>
    <t>Lương</t>
  </si>
  <si>
    <t>0385994842 hiệu vàng hữu quang, cột 8 đăng ký rửa bể rửa tec,</t>
  </si>
  <si>
    <t>0385994842</t>
  </si>
  <si>
    <t>hiệu vàng hữu quang</t>
  </si>
  <si>
    <t>cột 8</t>
  </si>
  <si>
    <t>181</t>
  </si>
  <si>
    <t xml:space="preserve">Hà - Chánh VP </t>
  </si>
  <si>
    <t>chuyển BC</t>
  </si>
  <si>
    <t>0766666636 khách hàng gần chung cư đồi T5 đăng ký rửa 2 bể vào sáng mai</t>
  </si>
  <si>
    <t>Xuyền - Hồng Hải</t>
  </si>
  <si>
    <t>0766666636</t>
  </si>
  <si>
    <t>Đồi T5</t>
  </si>
  <si>
    <t>Bùi Thị Hải Ly</t>
  </si>
  <si>
    <t>T13K2 HK`</t>
  </si>
  <si>
    <t>0347113888</t>
  </si>
  <si>
    <t>SCC - Máy hỏng</t>
  </si>
  <si>
    <t>SCC - Máy nội địa</t>
  </si>
  <si>
    <t>qua tết</t>
  </si>
  <si>
    <t>chuưa chắc</t>
  </si>
  <si>
    <t>23/1</t>
  </si>
  <si>
    <t>Bể+téc</t>
  </si>
  <si>
    <t>Nam 0974656750 Số nhà 183 nguyễn thượng hiền, hồng hà. ( rửa bể sáng chủ nhật) kh của Nguyễn Thanh Huyền - VP, KH muốn rửa sáng mai (19/1)</t>
  </si>
  <si>
    <t>Nam</t>
  </si>
  <si>
    <t>0974656750</t>
  </si>
  <si>
    <t>Số nhà 183 nguyễn thượng hiền, hồng hà</t>
  </si>
  <si>
    <t>Toản - CTT xuất hóa đơn, t2</t>
  </si>
  <si>
    <t>Kh của c Tố Như - BKS đky vệ sinh máy giặt ; đc: Tổ 9 khu 3 hồng hà hạ long q.ninh. cạnh liên cq số 3; 0904200965</t>
  </si>
  <si>
    <t>KH của Hoàng Quốc Hưng - P.KH bảo dưỡng 2 BNL vào ngày 24/1, sđt 0989718886</t>
  </si>
  <si>
    <t>Mai Việt Hồng</t>
  </si>
  <si>
    <t>Hoàng Quốc Hưng - PKH</t>
  </si>
  <si>
    <t>kh của Phạm Thúy Hường , sđt 0399417564 , Thanh Tâm, tổ 1 k10 số nhà 126 phường Hà trung, vs máy giặt, đki trưa thứ 6 làm</t>
  </si>
  <si>
    <t>Thanh Tâm</t>
  </si>
  <si>
    <t>Tố Như BKS</t>
  </si>
  <si>
    <t>Nguyễn Văn Quyết</t>
  </si>
  <si>
    <t>T64K7 CT</t>
  </si>
  <si>
    <t>0377897374</t>
  </si>
  <si>
    <t>Khách hàng đăng ký rửa bể 
Phạm Ngọc Tú
Số nhà 65 Phạm Ngọc Thạch , phường Cai xanh
0902749479</t>
  </si>
  <si>
    <t>Phạm Thanh Tuấn - CT</t>
  </si>
  <si>
    <t>0902749479</t>
  </si>
  <si>
    <t>Phạm Ngọc Tú</t>
  </si>
  <si>
    <t>Số nhà 65 Phạm Ngọc Thạch , phường Cai xanh</t>
  </si>
  <si>
    <t>0375584638 khách hàng đăng ký vệ sinh téc nước vào chiều nay. Nhà ngõ 21-20 đi vào</t>
  </si>
  <si>
    <t>Trần Thế Toàn</t>
  </si>
  <si>
    <t>22/1</t>
  </si>
  <si>
    <t>Chị đăng ký rửa 2 téc nước  Ngày 23/1 buổi sáng
Địa chỉ: Hải đội 2 Biên Phòng
Số đt: 0982. 369. 966</t>
  </si>
  <si>
    <t>0974288162. Chú mạnh sn 84 hg26</t>
  </si>
  <si>
    <t>Linh Hồng Hải</t>
  </si>
  <si>
    <t>ông dũng: số nhà 45 ngõ 44, phố võ thị sáu. đồi T5. 
sđt: 0868316630</t>
  </si>
  <si>
    <t>25/1</t>
  </si>
  <si>
    <t>Tố Như - BKS</t>
  </si>
  <si>
    <t>0981258336</t>
  </si>
  <si>
    <t>0964838122 - Bể</t>
  </si>
  <si>
    <t>Dung</t>
  </si>
  <si>
    <t>Hủy</t>
  </si>
  <si>
    <t>Thơ CX - KH tự làm</t>
  </si>
  <si>
    <t>Hoãn</t>
  </si>
  <si>
    <t>Bùi Hồng Nhung - KTTC
(KH chưa sx đc tgian, hẹn sau)</t>
  </si>
  <si>
    <t>Thắng - Kế hoạch
(Téc sạch k rửa - BNL hỏng)</t>
  </si>
  <si>
    <t>Thúy Hường - VP
Máy giặt quá cũ</t>
  </si>
  <si>
    <t>Thúy Hường VP</t>
  </si>
  <si>
    <t>T6K10 Hhai</t>
  </si>
  <si>
    <t>13/2</t>
  </si>
  <si>
    <t>khách hàng của Tô Việt Hiên-P.kỹ thuật:
Quách xuân Việt 0984004100
Số nhà 252 ngõ 14 cao thắng
Bảo dưỡng máy giặt ạ</t>
  </si>
  <si>
    <t>Tô Việt Hiên - Kỹ thuật</t>
  </si>
  <si>
    <t>Quách Xuân Việt</t>
  </si>
  <si>
    <t>Ngõ 14 CT</t>
  </si>
  <si>
    <t>0984004100</t>
  </si>
  <si>
    <t>Nguyễn Thị ĐÍnh</t>
  </si>
  <si>
    <t>2 Máy Giặt</t>
  </si>
  <si>
    <t>0987367733</t>
  </si>
  <si>
    <t>A14-09 Monbay</t>
  </si>
  <si>
    <t>14/2</t>
  </si>
  <si>
    <t>Phương Thảo</t>
  </si>
  <si>
    <t>Tuyết Nhung KD</t>
  </si>
  <si>
    <t>KH của Hương Giang - P. Đầu tư: Rửa 02 bình nóng lạnh : Bùi Thị Mơ 0869312866 - Lideco Toà A tầng 11
Khách đang có nhu cầu vệ sinh máy giặt lồng ngang</t>
  </si>
  <si>
    <t>Hương Giang - PĐT cty</t>
  </si>
  <si>
    <t>Bùi THị Mơ</t>
  </si>
  <si>
    <t>Tòa A Lideco</t>
  </si>
  <si>
    <t>2 BNL</t>
  </si>
  <si>
    <t xml:space="preserve"> 0869312866</t>
  </si>
  <si>
    <t>Nguyễn thị oanh tổ 38 khu 4 phường cao thắng rửa téc (0369248099)</t>
  </si>
  <si>
    <t>Hùng THĐ</t>
  </si>
  <si>
    <t>Nguyễn Thị Oanh</t>
  </si>
  <si>
    <t>T38K4 CT</t>
  </si>
  <si>
    <t>0369248099</t>
  </si>
  <si>
    <t>KH của tuyết nhung - P.KD đăng ký rửa bể và téc, chị Mai 0912786629, làm chủ nhật</t>
  </si>
  <si>
    <t>chị Mai</t>
  </si>
  <si>
    <t>0912786629</t>
  </si>
  <si>
    <t>16/2</t>
  </si>
  <si>
    <t>Trần hằng - chợ cột 8- 0868932033- máy giặt đứng- Kh của Phong ctt; kh hẹn 10h sáng mai</t>
  </si>
  <si>
    <t>Phong CTT</t>
  </si>
  <si>
    <t>Trần Hằng</t>
  </si>
  <si>
    <t>0868932033</t>
  </si>
  <si>
    <t>Khách hàng của c Bích - PP Kinh doanh. Khách hàng Dung, sn 35/2, To 4b, k5, Hồng Hải - rửa bể sáng thứ 2</t>
  </si>
  <si>
    <t>Bích PP Kdoanh</t>
  </si>
  <si>
    <t>0978365233</t>
  </si>
  <si>
    <t>Khách hàng của c Lương Thị Mai Hiên (Phòng Kỹ thuật - SCC) có 01 KH có nhu cầu rửa bể hôm nay (15/02/2025), KH Lưu Thị Uyên sđt 0917656999, A8-09 Mon Bay - Hồng Hải</t>
  </si>
  <si>
    <t>15/2</t>
  </si>
  <si>
    <t>Mai Hiên SCC</t>
  </si>
  <si>
    <t>Lưu Thị Uyên</t>
  </si>
  <si>
    <t>0917656999</t>
  </si>
  <si>
    <t>Monbay</t>
  </si>
  <si>
    <t>Xong</t>
  </si>
  <si>
    <t>Cúc</t>
  </si>
  <si>
    <t>18/2</t>
  </si>
  <si>
    <t xml:space="preserve"> Đinh Văn Hưng</t>
  </si>
  <si>
    <t>0917616565</t>
  </si>
  <si>
    <t>T13K4 HL</t>
  </si>
  <si>
    <t>Mạnh CĐCN</t>
  </si>
  <si>
    <t>trần ngoc chi - bảo vệ VP -  tổ6 k10 h hải hạ long dđ 0387912519 đăng ký bảo dưỡng máy giặt</t>
  </si>
  <si>
    <t>Chú Chi - BV</t>
  </si>
  <si>
    <t>0387912519</t>
  </si>
  <si>
    <t>Tran Ngoc Chi</t>
  </si>
  <si>
    <t>An - Kiểm định</t>
  </si>
  <si>
    <t>Vũ Ngọc Diễm</t>
  </si>
  <si>
    <t>Đồi Ngân hàng</t>
  </si>
  <si>
    <t>0348826988</t>
  </si>
  <si>
    <t>19/2</t>
  </si>
  <si>
    <t>20/2</t>
  </si>
  <si>
    <t>KH của sếp Chinh - P.vật tư: anh Hoàn 0977688450 - tổ 4 khu 4 Trần Hưng Đạo HL (gần uỷ ban phường THĐ) đăng ký bd bình nóng lạnh</t>
  </si>
  <si>
    <t>Chinh - Vật tư</t>
  </si>
  <si>
    <t>Hoàn</t>
  </si>
  <si>
    <t>0977688450</t>
  </si>
  <si>
    <t>uỷ ban phường THĐ</t>
  </si>
  <si>
    <t>KH của chị Hải - P.CLN: c Yến. 0989 302 487; đc: Tổ 7, khu 6 Hà Lầm (qua nhà văn hóa khu 6 khoảng 100m) vệ sinh máy giặt lồng ngang. vào thứ 6 tầm chiều 3 h</t>
  </si>
  <si>
    <t>Hải - CLN</t>
  </si>
  <si>
    <t>Yến</t>
  </si>
  <si>
    <t>0989302487</t>
  </si>
  <si>
    <t xml:space="preserve">kh của chị Hường - VP: Phạm thu hoài ; tổ 8 khu9 phường hồng hà; sđt 0386991669 
đk sáng 20/2 làm máy giặt và téc </t>
  </si>
  <si>
    <t>Máy  giặt + téc</t>
  </si>
  <si>
    <t>Phạm Thu Hoài</t>
  </si>
  <si>
    <t>0386991669</t>
  </si>
  <si>
    <t>KH của Nguyễn Quang Khải - QLDA: Quỳnh; Gần chung cư Trần Hưng Đạo, Hạ Long; 0388 534 398; đky vs máy giặt ngày 22/2</t>
  </si>
  <si>
    <t>Khải - BQLDA</t>
  </si>
  <si>
    <t>Quỳnh</t>
  </si>
  <si>
    <t>0388534398</t>
  </si>
  <si>
    <t xml:space="preserve">Khách hàng của anh Phúc - P.Kỹ thuật; rửa bể
Chị Chi - 0847860676 - số nhà 29, trong chợ cột 3, Hạ Long </t>
  </si>
  <si>
    <t>Phúc - Kỹ thuật</t>
  </si>
  <si>
    <t>Số nhà 37 ngõ 11 Nguyễn Nguyệt ánh 0936958336</t>
  </si>
  <si>
    <t>0936958336</t>
  </si>
  <si>
    <t>Vương Xuân Hùng Hồng Hải</t>
  </si>
  <si>
    <t>H của Hương Giang ; Lê Thị Hoa 0392685129; CC Lideco, vs máy giặt</t>
  </si>
  <si>
    <t>0392685129</t>
  </si>
  <si>
    <t>Lê Thị Hoa</t>
  </si>
  <si>
    <t>CC Lideco</t>
  </si>
  <si>
    <t>khách c Thư SCC: Đàm Minh Hoà SN 323, tổ 19, khu 2b phường Cao Thắng. Rửa bể 5m3. 0977445926</t>
  </si>
  <si>
    <t>Thư SCC</t>
  </si>
  <si>
    <t>DĐàm Minh Hòa</t>
  </si>
  <si>
    <t>SN 323, tổ 19, khu 2b phường Cao Thắng</t>
  </si>
  <si>
    <t>0977445926</t>
  </si>
  <si>
    <t>0984220048 đky rửa bể. Rửa hôm nay</t>
  </si>
  <si>
    <t>0332172858. KH đký sục 2b nóng lạnh hẹn chiều nay</t>
  </si>
  <si>
    <t>KH của Sếp Chinh - p.Vật tư:  0904768777; sn 102, tổ 5, khu phố Yết Kiêu</t>
  </si>
  <si>
    <t>0904768777</t>
  </si>
  <si>
    <t>Cuối tuần</t>
  </si>
  <si>
    <t>21/2</t>
  </si>
  <si>
    <t>22/2</t>
  </si>
  <si>
    <t>Khách c Thư SCC: Trịnh Văn Huê; tổ 7 Hồng Hà; 0936374417; đký bd 1 máy giặt + 1 BNL</t>
  </si>
  <si>
    <t>Trịnh Văn Huê</t>
  </si>
  <si>
    <t xml:space="preserve"> 0936374417</t>
  </si>
  <si>
    <t>máy giặt + 1 BNL</t>
  </si>
  <si>
    <t>KH của chị Hải - p.CLN: C Cúc, sđt 0766389866, nhà số 6, tổ 6 khu 3 - Hà Lầm, vệ sinh máy giặt và nóng lạnh, sáng thứ bảy tuần này</t>
  </si>
  <si>
    <t>24/2</t>
  </si>
  <si>
    <t>0766389866</t>
  </si>
  <si>
    <t>thứ 7</t>
  </si>
  <si>
    <t>KH của sếp Khải- BQLDA: Phương Thảo; Số nhà 76 đường Trần Phú - Hà Khánh, Hạ Long; '0967041997; đký vệ sinh BNL buổi sáng ngày 1/3</t>
  </si>
  <si>
    <t>25/2</t>
  </si>
  <si>
    <t>'0967041997</t>
  </si>
  <si>
    <t>1/3</t>
  </si>
  <si>
    <t xml:space="preserve">KHh của Trang P.CLN : Phùng Thuỷ ; Hà Lầm; 0988159695; đky làm vs máy giặt cuối tuần </t>
  </si>
  <si>
    <t>Trang - CLN</t>
  </si>
  <si>
    <t>Phùng Thủy</t>
  </si>
  <si>
    <t>0988159695</t>
  </si>
  <si>
    <t>26/2</t>
  </si>
  <si>
    <t>H của Nguyễn Tố Như - BKS ; Nguyễn Minh Dũng - đký VS máy giặt; 15 hải thanh 0387889688 sáng thứ 7</t>
  </si>
  <si>
    <t>t7</t>
  </si>
  <si>
    <t>Nguyễn Minh Dũng</t>
  </si>
  <si>
    <t>đã có phiếu</t>
  </si>
  <si>
    <t xml:space="preserve">KH của Phúc - p.CLN: Cô Lê, địa chỉ p.Cao Xanh gần chợ sato. Đt liên hệ 0904329996; đăng ký rửa bể chiều nay (3/3) ạ </t>
  </si>
  <si>
    <t>3/3</t>
  </si>
  <si>
    <t>KH của Phúc - p.CLN</t>
  </si>
  <si>
    <t>Cô Lê</t>
  </si>
  <si>
    <t xml:space="preserve">rửa bể </t>
  </si>
  <si>
    <t>chiều  (3/3)</t>
  </si>
  <si>
    <t>Trần Thị Phượng</t>
  </si>
  <si>
    <t>rửa bể + téc</t>
  </si>
  <si>
    <t>sáng chủ nhật 2/3</t>
  </si>
  <si>
    <t>Gấm vận động</t>
  </si>
  <si>
    <t>Liênđoàn lao động tỉnh( liên hệ anh Nguyễ Thành Chung)</t>
  </si>
  <si>
    <t xml:space="preserve"> anh Ngọc  Trạm Hòn gai báo</t>
  </si>
  <si>
    <t>Kh anh HƯng- Trạm Hà Tu  báo</t>
  </si>
  <si>
    <t>Cẩm vận động</t>
  </si>
  <si>
    <t>350k</t>
  </si>
  <si>
    <t>rửa chưa xong hẹn mấy hôm nữa quay lại rửa tiếp</t>
  </si>
  <si>
    <t>đã rửa xong</t>
  </si>
  <si>
    <t>chưa làm do kh đi viện</t>
  </si>
  <si>
    <t>chưa làm hẹn hôm khác</t>
  </si>
  <si>
    <t>Kh T2 chuyển T3</t>
  </si>
  <si>
    <t>T2 chuyển T3</t>
  </si>
  <si>
    <t>Kh tháng 3</t>
  </si>
  <si>
    <t>Thu phòng vật tư</t>
  </si>
  <si>
    <t>Thu  vật tư</t>
  </si>
  <si>
    <t>0904191858</t>
  </si>
  <si>
    <t>bể</t>
  </si>
  <si>
    <t>23/2</t>
  </si>
  <si>
    <t>0912664987</t>
  </si>
  <si>
    <t>0983884019</t>
  </si>
  <si>
    <t>thoa</t>
  </si>
  <si>
    <t>huyền</t>
  </si>
  <si>
    <t>bà bẩy</t>
  </si>
  <si>
    <t>bác hải</t>
  </si>
  <si>
    <t>hà vật tu</t>
  </si>
  <si>
    <t>hà vật tư</t>
  </si>
  <si>
    <t>hùng</t>
  </si>
  <si>
    <t>0982071688</t>
  </si>
  <si>
    <t>bnl</t>
  </si>
  <si>
    <t>phạm thị thúy hường</t>
  </si>
  <si>
    <t>hoài</t>
  </si>
  <si>
    <t>tec</t>
  </si>
  <si>
    <t>bể=4m3</t>
  </si>
  <si>
    <t>bể=8m3</t>
  </si>
  <si>
    <t>máy giặt</t>
  </si>
  <si>
    <t>scc</t>
  </si>
  <si>
    <t>R</t>
  </si>
  <si>
    <t>téc</t>
  </si>
  <si>
    <t>5/3</t>
  </si>
  <si>
    <t>sếp manh</t>
  </si>
  <si>
    <t>sếp mạnh</t>
  </si>
  <si>
    <t>0967799878</t>
  </si>
  <si>
    <t>máy giăt</t>
  </si>
  <si>
    <t>8/3</t>
  </si>
  <si>
    <t>quang -vp</t>
  </si>
  <si>
    <t>quang- vp</t>
  </si>
  <si>
    <t>0934621552</t>
  </si>
  <si>
    <t>vũ thị hà- hồng hải</t>
  </si>
  <si>
    <t>phúc kỹ thuật</t>
  </si>
  <si>
    <t>phúc kỹ thuât</t>
  </si>
  <si>
    <t>hương</t>
  </si>
  <si>
    <t>0396883418</t>
  </si>
  <si>
    <t>di chuyển đồng hồ</t>
  </si>
  <si>
    <t>6/3</t>
  </si>
  <si>
    <t>linh- trạm hồng hải</t>
  </si>
  <si>
    <t>linh - trạm hồng hải</t>
  </si>
  <si>
    <t>0387837112</t>
  </si>
  <si>
    <t>mon bay anh quang</t>
  </si>
  <si>
    <t>chưa có piếu thu đã báo cho chi</t>
  </si>
  <si>
    <t>chưa phiếu</t>
  </si>
  <si>
    <t>kh không trả ời</t>
  </si>
  <si>
    <t>máy hiện đại không làm đc- hủy</t>
  </si>
  <si>
    <t>van</t>
  </si>
  <si>
    <t>hộp</t>
  </si>
  <si>
    <t>Đá Trắng</t>
  </si>
  <si>
    <t>anh Hùng THĐ</t>
  </si>
  <si>
    <t>090414412</t>
  </si>
  <si>
    <t>rửa bể</t>
  </si>
  <si>
    <t>Vũ Thị Hồng Hương - Hồng Hải</t>
  </si>
  <si>
    <t>10/3</t>
  </si>
  <si>
    <t>cảm cty</t>
  </si>
  <si>
    <t>phạm thị thu p hồng hải</t>
  </si>
  <si>
    <t>phạm văn sơn phường h.hải</t>
  </si>
  <si>
    <t>nguyễn văn quang phường H.hải</t>
  </si>
  <si>
    <t>trần quang thanh phường hồng hải</t>
  </si>
  <si>
    <t>bình nóng lạnh</t>
  </si>
  <si>
    <t>cảm- cty 0936578714</t>
  </si>
  <si>
    <t>0904141412</t>
  </si>
  <si>
    <t>KH huỷ không còn nhu cầu</t>
  </si>
  <si>
    <t>có đến làm nhưng máy hỏng nên không làm được</t>
  </si>
  <si>
    <t>phạm thị thúy hường văn phòng</t>
  </si>
  <si>
    <t>Đinh  Quang Toản- CTTN : Chu Thế Nam</t>
  </si>
  <si>
    <t>Toản CTTN</t>
  </si>
  <si>
    <t>anh Nam</t>
  </si>
  <si>
    <t>0777188666</t>
  </si>
  <si>
    <t>tìm nghiệm thu cho Chi KD công ty</t>
  </si>
  <si>
    <t>9/3</t>
  </si>
  <si>
    <t>13/3</t>
  </si>
  <si>
    <t>khoa trạm Yết kiêu</t>
  </si>
  <si>
    <t>khoa trạm Yk</t>
  </si>
  <si>
    <t>tổ 2 khu1 THĐ</t>
  </si>
  <si>
    <t>;0352507989</t>
  </si>
  <si>
    <t>r</t>
  </si>
  <si>
    <t>14/3</t>
  </si>
  <si>
    <t>Sếp Hùng-phòng ĐTXD công ty</t>
  </si>
  <si>
    <t>cột 8 hồng hà</t>
  </si>
  <si>
    <t>0935891688</t>
  </si>
  <si>
    <t>VS đường ống</t>
  </si>
  <si>
    <t>16/3</t>
  </si>
  <si>
    <t>anh Hùng- Hồng hải</t>
  </si>
  <si>
    <t>0982933778</t>
  </si>
  <si>
    <t>Thắm- CTTN VP</t>
  </si>
  <si>
    <t>0977924695</t>
  </si>
  <si>
    <t>thay van</t>
  </si>
  <si>
    <t>17/3</t>
  </si>
  <si>
    <t>DŨng- kinh doanh cty</t>
  </si>
  <si>
    <t>dũng KD cty</t>
  </si>
  <si>
    <t>máy giặt lồng đứng</t>
  </si>
  <si>
    <t>phán chợ núi sẻ</t>
  </si>
  <si>
    <t>làng công an HK</t>
  </si>
  <si>
    <t>0397163323</t>
  </si>
  <si>
    <t>Vũ Văn Thanh</t>
  </si>
  <si>
    <t>Minh - phòng Vật tư</t>
  </si>
  <si>
    <t>Vũ Hùng quyết</t>
  </si>
  <si>
    <t>thay hộp</t>
  </si>
  <si>
    <t>Nguyễn trung Hiếu</t>
  </si>
  <si>
    <t>Hách- Thủ kho vật tư</t>
  </si>
  <si>
    <t>MG</t>
  </si>
  <si>
    <t>KH của Thuỳ Vân - VP:</t>
  </si>
  <si>
    <t>18/3</t>
  </si>
  <si>
    <t>rửa téc</t>
  </si>
  <si>
    <t>0332767048</t>
  </si>
  <si>
    <t>Tạ Thị Vinh Tổ 2 khu 2 phường Hồng Hà</t>
  </si>
  <si>
    <t>cảm- cty 0936578715</t>
  </si>
  <si>
    <t>cảm- cty 0936578716</t>
  </si>
  <si>
    <t>cảm- cty 0936578717</t>
  </si>
  <si>
    <t>chị Huyền- KD cty</t>
  </si>
  <si>
    <t>trần văn chiến</t>
  </si>
  <si>
    <t>đã thay, đâ chụp NT cho Chi</t>
  </si>
  <si>
    <t>Trang - cơ điện công nghệ</t>
  </si>
  <si>
    <t>Bùi quý Hưng</t>
  </si>
  <si>
    <t>Huyền- VP cty ( co chị Vượng)</t>
  </si>
  <si>
    <t>Lê Anh Tiến</t>
  </si>
  <si>
    <t>KH của Thuỳ Vân - VP</t>
  </si>
  <si>
    <t>19/3</t>
  </si>
  <si>
    <t>Lê Thiết trụ Tổ 3 khu 2 phường Hồng Hà</t>
  </si>
  <si>
    <t>Vũ Ngọc Diệp - P.Kỹ thuật</t>
  </si>
  <si>
    <t xml:space="preserve">Phạm Kim Chi  SN 09 tổ 5 khu 9 Hồng Hà </t>
  </si>
  <si>
    <t xml:space="preserve"> Phương Thảo, tổ 5 khu 9 Hồng Hà</t>
  </si>
  <si>
    <t>Lương Thị Mai Hiên - Phòng Kỹ thuật - SCC</t>
  </si>
  <si>
    <t>Đỗ Huy Thuyên - Tổ 33, khu 4, Phường Hà Trung,</t>
  </si>
  <si>
    <t xml:space="preserve">Nguyễn Thị Hồng - BKS </t>
  </si>
  <si>
    <t>Nguyễn Thị Thuỷ, số nhà 401 tổ 5khu 5 Hồng Hà.</t>
  </si>
  <si>
    <t>19/4</t>
  </si>
  <si>
    <t>KH huỷ không có nhu cầu ( chồng không D/ y rửa)</t>
  </si>
  <si>
    <t>Chị Dung 47k3 bạch đằng</t>
  </si>
  <si>
    <t>20/3</t>
  </si>
  <si>
    <t>Chị Vân t48k3 bạch đằng</t>
  </si>
  <si>
    <t>Anh Hùng H. Hải</t>
  </si>
  <si>
    <t>0368990204</t>
  </si>
  <si>
    <t>0982260171</t>
  </si>
  <si>
    <t>Hoàn- kiểm định</t>
  </si>
  <si>
    <t>Hoàn kiểm đinh</t>
  </si>
  <si>
    <t>KH của Thu Hà P.Vật tư</t>
  </si>
  <si>
    <t>Nguyễn Văn Việt Hưng</t>
  </si>
  <si>
    <t>21/3</t>
  </si>
  <si>
    <t>chưa làm vì nhà bên cạnh chưa xây xong</t>
  </si>
  <si>
    <t>Nhà Trang tổ chức</t>
  </si>
  <si>
    <t>ngõ sau cơm thạch sanh, sn 44,</t>
  </si>
  <si>
    <t>Nhà a Long kiểm định</t>
  </si>
  <si>
    <t>Đoàn Mạnh Dương- phòng kiểm định</t>
  </si>
  <si>
    <t>Quách Văn Quyết</t>
  </si>
  <si>
    <t>Phạm Thị Minh Hạnh- Phòng Kiểm định</t>
  </si>
  <si>
    <t>Thái Nam Việt</t>
  </si>
  <si>
    <t>Nguyễn Thị Mai-phòng kiểm định</t>
  </si>
  <si>
    <t>Đỗ Văn Minh</t>
  </si>
  <si>
    <t>Phạm quang Tâm- BQL dự án</t>
  </si>
  <si>
    <t>Vũ Đình Tần- hà phong</t>
  </si>
  <si>
    <t>xác nhân TT hợp đồng DV cấp nước</t>
  </si>
  <si>
    <t>Anh Hách- phòng Vật tư</t>
  </si>
  <si>
    <t>Đỗ Văn Quân T17 khu 7 Cao Xanh- HG093021</t>
  </si>
  <si>
    <t>đã có bb NT, đã chụp cho Chi</t>
  </si>
  <si>
    <t xml:space="preserve"> BNL</t>
  </si>
  <si>
    <t>Nguỹen bảo Long- đồi t5</t>
  </si>
  <si>
    <t>Nguyễn Xuân Tùng- đồi t5</t>
  </si>
  <si>
    <t>đã có bb NT, đã chụp cho chỉ có BB BNL)</t>
  </si>
  <si>
    <t>Phạm Văn Tuấn- Cao Xanh</t>
  </si>
  <si>
    <t>Trang- CĐCN</t>
  </si>
  <si>
    <t>Nguyễn Thị Huyền- Cao Xanh</t>
  </si>
  <si>
    <t>0388268567</t>
  </si>
  <si>
    <t>25/3</t>
  </si>
  <si>
    <t>Trần Thu Thảo-vp :</t>
  </si>
  <si>
    <t>rửa tét và vệ sinh cây lọc</t>
  </si>
  <si>
    <t>Vinmart Hà phong</t>
  </si>
  <si>
    <t>chưa làm</t>
  </si>
  <si>
    <t xml:space="preserve"> nguyễn thị Hoa(tổ 2 khu4 yk)- trạm YK</t>
  </si>
  <si>
    <t>Đã báo trạm</t>
  </si>
  <si>
    <t>huỷ nhu cầu</t>
  </si>
  <si>
    <t>Yên Tú Bân - Phòng Kỹ thuật - SCC</t>
  </si>
  <si>
    <t>ổ 11 khu Yết Kiêu 3 p. Trần Hưng Đạo</t>
  </si>
  <si>
    <t>vệ sinh 2 bình nóng lạnh</t>
  </si>
  <si>
    <t xml:space="preserve"> 0948956655,</t>
  </si>
  <si>
    <t>tổng số tiền của 2 dịch vụ=565382 , do có phiếu giảm giá= 500.000 nên pt= 65382. Thu nhập trên PM tách ra 2 chỉ tiêu và nhâp nguyên giá khi chưa giảm giá của 2 dịch vụ  Nhập BNL=171.615, MG=393.767</t>
  </si>
  <si>
    <t>anh Hùng THĐ ( Chi- hồng hải vận động)</t>
  </si>
  <si>
    <t>Nguyễn tùng Cương vận động</t>
  </si>
  <si>
    <t>Chi Yến tổ 65k7 cao thắng</t>
  </si>
  <si>
    <t>26/3</t>
  </si>
  <si>
    <t xml:space="preserve"> nhà Anh Sinh- Nhà ở gần nhà văn hóa khu 8 cao xanh</t>
  </si>
  <si>
    <t>LT23 khu biệt thự Lan Tường Bãi Cháy</t>
  </si>
  <si>
    <t>27/3</t>
  </si>
  <si>
    <t>Hải- phòng KD cty</t>
  </si>
  <si>
    <t xml:space="preserve">sau cây xăng cao xanh, </t>
  </si>
  <si>
    <t xml:space="preserve"> R, đã chụp cho Chi</t>
  </si>
  <si>
    <t>Phạm Văn Nhật- tổ 99 khu11 Hà Tu HG052807</t>
  </si>
  <si>
    <t>28/3</t>
  </si>
  <si>
    <t>Điểm-TCLĐ</t>
  </si>
  <si>
    <t>3BNL+tec 2m3+1MG</t>
  </si>
  <si>
    <t>chú Hồng</t>
  </si>
  <si>
    <t>1BNL+!MG</t>
  </si>
  <si>
    <t>R đã chụp cho Chi</t>
  </si>
  <si>
    <t>Lê Thanh Hội- VP cty</t>
  </si>
  <si>
    <t>Lê Thanh Hội</t>
  </si>
  <si>
    <t>Lê Việt Hùng</t>
  </si>
  <si>
    <t xml:space="preserve"> R, đã chụp cho Chi  ( thực hiện 1 BNL+ 1 téc= 2 chỉ tiêu)</t>
  </si>
  <si>
    <t xml:space="preserve"> R, đã chụp cho Chi  ( thực hiện 2 BNL= 2 chỉ tiêu)</t>
  </si>
  <si>
    <t>Bùi Duy Cấp</t>
  </si>
  <si>
    <t>bể= 3m3</t>
  </si>
  <si>
    <t>Xuân - p.vật tư:</t>
  </si>
  <si>
    <t>29/3</t>
  </si>
  <si>
    <t>Phạm Hồng Quang, sau trường quang trung</t>
  </si>
  <si>
    <t>bể 2m3</t>
  </si>
  <si>
    <t>đỗ văn Hải( tổ 4 khu6 thđ) - trạm yk</t>
  </si>
  <si>
    <t>Nhung- Kế toán Công ty</t>
  </si>
  <si>
    <t>bùi hồng nhung</t>
  </si>
  <si>
    <t>Phạm Dung- KD Hòn gai</t>
  </si>
  <si>
    <t>chị Mai Thị Sinh</t>
  </si>
  <si>
    <t>hẹn hôm kháckh đi miền nam ( huỷ KH báo lại sau)</t>
  </si>
  <si>
    <t>nguyễn văn trường</t>
  </si>
  <si>
    <t>Tháng 4</t>
  </si>
  <si>
    <t>31/3</t>
  </si>
  <si>
    <t>tháng 3 đẩy sang</t>
  </si>
  <si>
    <t>hẹn lại hôm khác ( đẩy sang T4)</t>
  </si>
  <si>
    <t>đã làm xong chưa có phiếu ( đẩy sang T4)</t>
  </si>
  <si>
    <t>chưa làm ( đẩy sang T4)</t>
  </si>
  <si>
    <t>Gấm hà tu vận động</t>
  </si>
  <si>
    <t>KH có người ốm nên huỷ nhu cầu</t>
  </si>
  <si>
    <t>Hải bánh- đá trắng</t>
  </si>
  <si>
    <t>Hả bánh- đá trắng</t>
  </si>
  <si>
    <t>rử bể</t>
  </si>
  <si>
    <t>MG lồng ngang</t>
  </si>
  <si>
    <t>MG lồng đứng</t>
  </si>
  <si>
    <t>r đã có bb , đã nhập PM</t>
  </si>
  <si>
    <t xml:space="preserve"> em Dung- Kỹ thuật Hòn gai</t>
  </si>
  <si>
    <t>rửa bể, rửa téc, sục đường ống</t>
  </si>
  <si>
    <t>chị huệ PGĐ</t>
  </si>
  <si>
    <t>chị Huệ PGĐ</t>
  </si>
  <si>
    <t>chú Bình ngõ 18 ba đèo</t>
  </si>
  <si>
    <t>Hà Thanh Tùng - CTTN:</t>
  </si>
  <si>
    <t>Hà Văn Tịnh tổ 7 khu 3 bãi cháy;</t>
  </si>
  <si>
    <t>vs bình nóng lạnh</t>
  </si>
  <si>
    <t>3/4</t>
  </si>
  <si>
    <t>Điểm TCLĐ:</t>
  </si>
  <si>
    <t>a Tùng số nhà 274 giếng đồn</t>
  </si>
  <si>
    <t>0981082126,</t>
  </si>
  <si>
    <t>4/4</t>
  </si>
  <si>
    <t>hoàng văn thiều số 60E khu 5 Hồng Hà</t>
  </si>
  <si>
    <t>Chi - p.KD</t>
  </si>
  <si>
    <t xml:space="preserve">Lê Ninh CC lideco toà A Trần Hưng Đạo, Hồng Gai, </t>
  </si>
  <si>
    <t xml:space="preserve">VS máy giật </t>
  </si>
  <si>
    <t>7/4</t>
  </si>
  <si>
    <t>Khánh Chi- Trạm Cao Thắng vận động</t>
  </si>
  <si>
    <t>chú hùng số nhà 50 ngõ 8 tổ 22 khu2 Cao Thắng</t>
  </si>
  <si>
    <t>rửat éc</t>
  </si>
  <si>
    <t>R, đã có phiếu</t>
  </si>
  <si>
    <t>8/4</t>
  </si>
  <si>
    <t>Sáu - kiểm định</t>
  </si>
  <si>
    <t>Nguyễn thái sơn, Tổ 18 khu2 cao xanh</t>
  </si>
  <si>
    <t>Lê Thanh Hội-VP cty</t>
  </si>
  <si>
    <t>Lê ngọc huyền tổ 10 khu6 hà tu</t>
  </si>
  <si>
    <t>Lê Thị Hoa tổ 10 khu6 hà tu</t>
  </si>
  <si>
    <t>Nguyễn Thị Hạnh SN 85 Phạm Ngọc Thạch Cao Xnah</t>
  </si>
  <si>
    <t>Phạm CƯờng</t>
  </si>
  <si>
    <t>Xuân- Trạm Hồng Hà</t>
  </si>
  <si>
    <t>Lê ThịThanh Xuân Sn08 ngõ 6 hà tu</t>
  </si>
  <si>
    <t>Đỗ đình khiêm tổ 10 khu6 hà tu</t>
  </si>
  <si>
    <t>Nguyễn Thế  Anh- 773 Lê Thánh tông</t>
  </si>
  <si>
    <t>Dương- CTT</t>
  </si>
  <si>
    <t>Nguyễn văn Sn 12 gách 91 ngõ 9 bãi muối Cao Thắng</t>
  </si>
  <si>
    <t>KH huỷ không làm</t>
  </si>
  <si>
    <t>KH không làm do bể nứt, K chỉ muốn bơm cạn bể k rửa bể</t>
  </si>
  <si>
    <t>đã làm xong chưa có phiếu do Dũng chưa nộp tiền cho anh Hiếu</t>
  </si>
  <si>
    <t>R, đã có bb NT</t>
  </si>
  <si>
    <t>R, đã có phiếu ( đã báo cáo trên trang dịch vụ của Nhung mắt to ngày 9/4)</t>
  </si>
  <si>
    <t>10/4</t>
  </si>
  <si>
    <t>Trang -TCLĐ cty</t>
  </si>
  <si>
    <t>Nguyễn Luyến phố lê hoàn bạch đằng</t>
  </si>
  <si>
    <t>R, đã có phiếu ( đã báo cáo trên trang dịch vụ của Nhung mắt to ngày 10/4)</t>
  </si>
  <si>
    <t>trần tùng 272 giếng đồn THĐ</t>
  </si>
  <si>
    <t>R, đã có phiếu ( đã báo cáo trên trang dịch vụ của Nhung mắt to ngày10/4)</t>
  </si>
  <si>
    <t>Tuyền-  phòng KH cty</t>
  </si>
  <si>
    <t>Nguyễn Thành An Tổ 12 khu2 Hồng HỈ</t>
  </si>
  <si>
    <t>Đinh Thư Tyền</t>
  </si>
  <si>
    <t>Nhà hàng cơm thạch sanh</t>
  </si>
  <si>
    <t>Nhà hàng cơm thạch sanh số 99 Hồng Hải</t>
  </si>
  <si>
    <t>Hiếu- Tổ DV</t>
  </si>
  <si>
    <t>anh Cường ( KH hẹn 13/4)</t>
  </si>
  <si>
    <t>Huệ Cầu Scc</t>
  </si>
  <si>
    <t>Linh Thế Nam- Căn hộ liền kề Trần Hưng Đạo</t>
  </si>
  <si>
    <t>089 6102999</t>
  </si>
  <si>
    <t xml:space="preserve">Hiếu tổ RD </t>
  </si>
  <si>
    <t>a Hùng Ngõ 5 đường Bãi Muối muốn di chuyển 2 đồng hồ nước,</t>
  </si>
  <si>
    <t>di chuyển 2 đồng hồ nước,</t>
  </si>
  <si>
    <t>R, anh Hiếu chụ trước phiếu  ( đã báo cáo trên trang dịch vụ của Nhung mắt to ngày 10/4)</t>
  </si>
  <si>
    <t>R, đã làm đã báo Nhung mắt to</t>
  </si>
  <si>
    <t>Mai HƯơng- VP Cty</t>
  </si>
  <si>
    <t>Nguyễn Yến- SN 30 ngõ 33 Cao Xanh</t>
  </si>
  <si>
    <t xml:space="preserve">Nguyễn Thị Hồng - địa chỉ: Tổ 1, khu 7, Hà Tu </t>
  </si>
  <si>
    <t>Yến- kinh doanh xí nghiệp</t>
  </si>
  <si>
    <t>nha 643 NGUYEN VAN CU</t>
  </si>
  <si>
    <t xml:space="preserve">rửa 2 téc </t>
  </si>
  <si>
    <t>098 2262338</t>
  </si>
  <si>
    <t xml:space="preserve">Thuỷ - ghi số </t>
  </si>
  <si>
    <t>Nguyễn ngọc duyên- tổ 37 khu 4 HÒn Gai</t>
  </si>
  <si>
    <t>Nguyễn Thái sơn, Tổ 38 khu4 Hòn gai</t>
  </si>
  <si>
    <t>đã có</t>
  </si>
  <si>
    <t>anh Hiếu đã thay = 2 BNL</t>
  </si>
  <si>
    <t>Phạm Văn Ninh- SN 366 tổ 2 khu6 cao thắng</t>
  </si>
  <si>
    <t>thay cho BNL của Dũng T3</t>
  </si>
  <si>
    <t>Hồng Nhung- KD xí nghiệp</t>
  </si>
  <si>
    <t>Hoang hồng nhung- PG 02 .25 vinhomes Bạch đằng</t>
  </si>
  <si>
    <t>R đã có phiếu</t>
  </si>
  <si>
    <t>Lan Anh- Tổ DV</t>
  </si>
  <si>
    <t>Lê Quang Hiếu- Hồng Hà</t>
  </si>
  <si>
    <t>Hạnh - Trạm hà Lầm</t>
  </si>
  <si>
    <t>Nguyễn Văn HƯng- chợ loong toongf</t>
  </si>
  <si>
    <t>Nguyễn Ngọc Thanh- Tổ 2 khu 8 cao xanh</t>
  </si>
  <si>
    <t>thay 2 BNL  cho 1 MG của T3</t>
  </si>
  <si>
    <t>Mai- phòng K. định</t>
  </si>
  <si>
    <t>Đỗ Hữu Lục- Tổ 5 khu8 Cao Xanh</t>
  </si>
  <si>
    <t>Hạnh- phòng K. định</t>
  </si>
  <si>
    <t>Đỗ Trung Hải- tổ 2 khu6B hồng hải</t>
  </si>
  <si>
    <t>Hà- Trạm Hồng Hà</t>
  </si>
  <si>
    <t>Nguyễn Thành Trung</t>
  </si>
  <si>
    <t>Quang- Bảo vệ cty</t>
  </si>
  <si>
    <t>Tươi- BV Xí nghiệp</t>
  </si>
  <si>
    <t>Vũ Thị Tươi Ngõ 16Ba Đèo</t>
  </si>
  <si>
    <t>Đỗ Thị Oanh- tổ 3 khu4 bạch đằng</t>
  </si>
  <si>
    <t>Trần thị châm- Phố Hải thịnh Hồng hải</t>
  </si>
  <si>
    <t>Sếp Mạnh- Phó tổng</t>
  </si>
  <si>
    <t>Đàm Thị Hạnh- phố đông hồ Hồng ahir</t>
  </si>
  <si>
    <t>Hà Hằng- Thu Ngân</t>
  </si>
  <si>
    <t>Hà Thị Hằng- Tổ 2 khu1 Hà khánh</t>
  </si>
  <si>
    <t>Mè Văn Nguyên- Ngõ 4 Cao Thắng</t>
  </si>
  <si>
    <t>Huyền- Tổ DV</t>
  </si>
  <si>
    <t>Nguyễn Thị Nghĩa- Ngõ 4 Cao Thằng</t>
  </si>
  <si>
    <t>Hà Hằng- Thu ngân</t>
  </si>
  <si>
    <t xml:space="preserve">Huỷ </t>
  </si>
  <si>
    <t>Thu- Yết Kiêu</t>
  </si>
  <si>
    <t>Nguyên- kinh doanh xí nghiệp</t>
  </si>
  <si>
    <t>Hoàng Thế Việt- Ngõ 13 nguyễn văn cừ</t>
  </si>
  <si>
    <t>Anh Tưởng- DV Sửa chữa</t>
  </si>
  <si>
    <t>Thái ThịThanh Hà- Sn 21 phố dốc học Hòn gai</t>
  </si>
  <si>
    <t>Thắng- Tổ thất thoát</t>
  </si>
  <si>
    <t>Nguyễn Hồng Minh- ngõ 1 Cao Xanh</t>
  </si>
  <si>
    <t>Nguyễn Thành Trung- khu9 Hồng Hải</t>
  </si>
  <si>
    <t>Mười- ghí số</t>
  </si>
  <si>
    <t>Nguyễn Thị Linh- SN 436 Hà Trung</t>
  </si>
  <si>
    <t>Nguyễn Vũ Lệ- VP Cty</t>
  </si>
  <si>
    <t>Nguyễn Văn Tiến- Tổ 71 khu8 Cao Thắng</t>
  </si>
  <si>
    <t>Lê Thị Sáu- phòng KĐ Cty</t>
  </si>
  <si>
    <t>Nguyễn Thế Toàn- Khu 2A Cao Xnah</t>
  </si>
  <si>
    <t>thay rắc co</t>
  </si>
  <si>
    <t>Đinh Quý Sáu- Tổ 14 khu2A Cao Xnah</t>
  </si>
  <si>
    <t>Phạm Văn Thiêm- Khu 2A Cao Xanh</t>
  </si>
  <si>
    <t>Đinh Văn Sinh- Tổ 9A khu 3 Yết Kiêu</t>
  </si>
  <si>
    <t>Nguyễn Mạnh Quang- Phòng KĐ</t>
  </si>
  <si>
    <t>Nguyễn Quang Chiêu- Tổ 2 khu8 Cao Xanh</t>
  </si>
  <si>
    <t>Nguyễn Văn Tuấn- hòng KĐ Cty</t>
  </si>
  <si>
    <t>Nguyễn Mạnh Quang- Phòng KĐCty</t>
  </si>
  <si>
    <t>Nguyễn Hương Giang- Tổ 6 khu4 THĐ</t>
  </si>
  <si>
    <t>KH của Vũ THuỳ Chi - p.KD</t>
  </si>
  <si>
    <t xml:space="preserve">Nguyễn Thị Tuyên , Toà A Chung cư Trần Hưng Đạo Plaza, A803, </t>
  </si>
  <si>
    <t>MG+ 2BNL</t>
  </si>
  <si>
    <t>Vũ THuỳ Chi - p.KD</t>
  </si>
  <si>
    <t>Trần Minh Hải , SN 282 Giếng Đồn, phường Trần Hưng Đạo,</t>
  </si>
  <si>
    <t>Nguyễn Văn Tuấn- phòng KĐ đồng hồ</t>
  </si>
  <si>
    <t>Nguyễn Phương Thảo- Tổ 3 khu4 THĐ</t>
  </si>
  <si>
    <t>Nguyễn Tiến Hậu- VP Cty</t>
  </si>
  <si>
    <t>7 BNL ( 7 chỉ tiêu)</t>
  </si>
  <si>
    <t>KH của Vũ THuỳ Chi - p.KD ( 23chỉ tiêu)</t>
  </si>
  <si>
    <t>Hằng- Thu ngân</t>
  </si>
  <si>
    <t>Hà Thị Hằng- Tổ 2 khu Hà Khánh</t>
  </si>
  <si>
    <t>Lan Anh- Đá Trắng</t>
  </si>
  <si>
    <t>Đào - Móng Cái</t>
  </si>
  <si>
    <t>Phạm Văn Chinh- Ngõ 20 Cao Xnah</t>
  </si>
  <si>
    <t>Nguyệt- Hà Lầm</t>
  </si>
  <si>
    <t>Trần Bá Liên- Bã Muối</t>
  </si>
  <si>
    <t>Nguyễn Ngọc Tuấn- phòng Cơ điện Cty</t>
  </si>
  <si>
    <t>Nguyễn Thanh Huyền- VP Cty</t>
  </si>
  <si>
    <t>Nguyễn Văn Thưa- Phòng Kiểm định Cty</t>
  </si>
  <si>
    <t>Trần Hoài Thanh</t>
  </si>
  <si>
    <t>Nguyễn Thị Cậy</t>
  </si>
  <si>
    <t>Hoàng Văn Kiếm</t>
  </si>
  <si>
    <t>Hoàng Thu Hoài</t>
  </si>
  <si>
    <t>Chu Thị Nhài</t>
  </si>
  <si>
    <t>sửa chữa (thay van)</t>
  </si>
  <si>
    <t>sửa chữa (thay hộp)</t>
  </si>
  <si>
    <t>chuyển tuyến</t>
  </si>
  <si>
    <t xml:space="preserve">Quyết </t>
  </si>
  <si>
    <t>lideco trần hưng dạo</t>
  </si>
  <si>
    <t>Dũng PKD</t>
  </si>
  <si>
    <t>Yên TCLĐ,</t>
  </si>
  <si>
    <t>anh Hiêu gọi thì Kh bảo đã làm rồi k biếtđơn vị nào làm</t>
  </si>
  <si>
    <t>D4-02 monbay</t>
  </si>
  <si>
    <t>Phươg Thảo- phòng TCLĐ Cty</t>
  </si>
  <si>
    <t>Đinh Thị Sâm- Khu2 Cao Xanh</t>
  </si>
  <si>
    <t>Đỗ Minh Tân- Kỹ thuạt Cty</t>
  </si>
  <si>
    <t>Vũ Hải Vân- tổ 20 khu11 Hồng Hải</t>
  </si>
  <si>
    <t>Thay van</t>
  </si>
  <si>
    <t>Dũng - TT Cty</t>
  </si>
  <si>
    <t>Nguyễn Thu Hương- Tổ 60 khu7 Cao Thắng</t>
  </si>
  <si>
    <t>Đức Thịnh- P.phòng ký thuật Cty</t>
  </si>
  <si>
    <t>Nguyễn Thị Phượng- Phố Lê Hoàn Bạch Đằng</t>
  </si>
  <si>
    <t>HÙng- CĐCN</t>
  </si>
  <si>
    <t>Hoàng Thị Thu- tổ 3 khu1 Hồng Hải</t>
  </si>
  <si>
    <t>Nguyễn Trọng Quang- tổ 3 khu1 hồng hải</t>
  </si>
  <si>
    <t>Chi- KD Cty</t>
  </si>
  <si>
    <t>Vũ Minh Tiến- toàn a chung cư THĐ</t>
  </si>
  <si>
    <t>Tô Huệ - Đá Trăng</t>
  </si>
  <si>
    <t>Trịnh Cộng Hợi- tổ 11 khu3 Yết Kiêu</t>
  </si>
  <si>
    <t>bẻ</t>
  </si>
  <si>
    <t>Tô Lan- Yết Kiêu</t>
  </si>
  <si>
    <t>Trịnh Công Hợi- Tổ 11 khu3 Yết Kiêu</t>
  </si>
  <si>
    <t>Mạc Tuấn- Kỹ Thuật XN</t>
  </si>
  <si>
    <t>Mạc Anh Tuấn- Tổ 3 khu1 Hà Khánh</t>
  </si>
  <si>
    <t>Minh CLN</t>
  </si>
  <si>
    <t>Anh ĐỊnh- ngõ 7A Bãi muối Cao Thắng</t>
  </si>
  <si>
    <t>bể+ téc</t>
  </si>
  <si>
    <t>Thế Anh- CĐCN Cty</t>
  </si>
  <si>
    <t>0383282999- 0395007781</t>
  </si>
  <si>
    <t>bể+ 2BNL</t>
  </si>
  <si>
    <t>Lê Khánh Chi SN 31 Lê lợi yết kiêu</t>
  </si>
  <si>
    <t>Anh Ngọc - Trạm Hòn Gai</t>
  </si>
  <si>
    <t>Quỳnh- Đá Trắng</t>
  </si>
  <si>
    <t>Nguyễn Hưng</t>
  </si>
  <si>
    <t>Phạm thị Huyền Dự án Lideco lô B10 ô14</t>
  </si>
  <si>
    <t>Thảo- trạm Cao Xanh</t>
  </si>
  <si>
    <t>Phong scc</t>
  </si>
  <si>
    <t xml:space="preserve">Bùi Đức Đoàn tổ 3 khu 7 Hồng Hà </t>
  </si>
  <si>
    <t xml:space="preserve">Anh Toàn PP KT </t>
  </si>
  <si>
    <t>Bùi đức Y HG011843</t>
  </si>
  <si>
    <t>xác nhận HĐ cấp nước</t>
  </si>
  <si>
    <t>Dung- trạm Cao Thắng</t>
  </si>
  <si>
    <t>Nguyễn Văn Hiệp Tổ 72 khu2 Cao Thắng</t>
  </si>
  <si>
    <t>rửa bể+ giếng</t>
  </si>
  <si>
    <t>Hoàng Dung vận động- đá trắng</t>
  </si>
  <si>
    <t>chị Tuyết số nhà 146 Chợ Đồng Đăng - Việt Hưng, Hạ Long.</t>
  </si>
  <si>
    <t>rửa téc và sục rửa bình nóng lạnh</t>
  </si>
  <si>
    <t>Lê Văn Thao, Bắc Sato khu4 Cao Xanh</t>
  </si>
  <si>
    <t>0987491168 - HG097343</t>
  </si>
  <si>
    <t>Nguyễn Văn Luấn tổ 4 khu 9 Hồng Hà</t>
  </si>
  <si>
    <t>Trầ Thế Giang tôe 5 khu 1 Hồng Hà</t>
  </si>
  <si>
    <t>T5</t>
  </si>
  <si>
    <t>T4-&gt;T5</t>
  </si>
  <si>
    <t>thay nhà Đồng</t>
  </si>
  <si>
    <t>2bnl+ máy giặt</t>
  </si>
  <si>
    <t xml:space="preserve">Vân VP </t>
  </si>
  <si>
    <t>rửa bể và téc nước</t>
  </si>
  <si>
    <t>Thuý Nga- căn 30B chung cư Lideco THĐ</t>
  </si>
  <si>
    <t>R, đã làm đã báo Nhung mắt to( phiếu bể)</t>
  </si>
  <si>
    <t>Đặng Phương Liên Tổ 6 khu7B Hồng Hải</t>
  </si>
  <si>
    <t>Lê Văn Thao  Bắc Sato khu4 Cao Xanh</t>
  </si>
  <si>
    <t>Nguyễn Văn Dậu Sn60 ngõ 1 hải phong hồng hải</t>
  </si>
  <si>
    <t>My- Hòn Gai</t>
  </si>
  <si>
    <t>Trần Đan My- tổ 5 khu2 Yết Kiêu</t>
  </si>
  <si>
    <t>Nguyễn Thị Phượng</t>
  </si>
  <si>
    <t>Thuỷ- trạm Hồng Hải</t>
  </si>
  <si>
    <t>Lê Thị Duyên ( trịnh thị liên)</t>
  </si>
  <si>
    <t>bê</t>
  </si>
  <si>
    <t>Như Huệ VP</t>
  </si>
  <si>
    <t>Nguyễn Văn Quỳnh Tổ 5 khu 4 THĐ</t>
  </si>
  <si>
    <t>Phạm Minh Hải- Cty</t>
  </si>
  <si>
    <t>Nguyễn Văn Song- tổ 3 khu7 Hồng Hải</t>
  </si>
  <si>
    <t>di chuyển cụm đồng hồ</t>
  </si>
  <si>
    <t>Nguyễn Manh Quang- phòng KĐ Cty</t>
  </si>
  <si>
    <t>Nguyễn Xuân Long- tổ 3 khu2 THĐ</t>
  </si>
  <si>
    <t>Lại Văn Lai- tổ 25 khu4 THĐ</t>
  </si>
  <si>
    <t>Nguỹen Văn chung tổ 3 khu7 Cao xanh</t>
  </si>
  <si>
    <t xml:space="preserve">098 1558558 </t>
  </si>
  <si>
    <t>Thuỳ- vật tư</t>
  </si>
  <si>
    <t>Lương Kế toán</t>
  </si>
  <si>
    <t>Em Liên Ô 5, Lô b1, khu đô thị Bãi muối, cao thắng</t>
  </si>
  <si>
    <t xml:space="preserve"> 098 5750597</t>
  </si>
  <si>
    <t>Dinh tổ 2 khu 6 Hồng Hà</t>
  </si>
  <si>
    <t>Nguyễn Thị Thuý khu dâncuw tổng hơp khu 4A Cao Xnah- G097728</t>
  </si>
  <si>
    <t>Hùng cao thắng vận động</t>
  </si>
  <si>
    <t xml:space="preserve">Nguyễn thị chính tổ 9 khu 4 hà lầm </t>
  </si>
  <si>
    <t>Nguyễn Thị Dịu- VP Cty</t>
  </si>
  <si>
    <t>Vũ Tiến Cử- T28 khu3 Hà Trung</t>
  </si>
  <si>
    <t>Nguyễn Ngọc Đường Sông 3 Hồng Hà</t>
  </si>
  <si>
    <t>Vũ Văn Thảo- KD Cty</t>
  </si>
  <si>
    <t>Trần Minh Hà- tỏ 5 khu8 Hồng Hải</t>
  </si>
  <si>
    <t>Lưu Ngọc Quang- THĐ</t>
  </si>
  <si>
    <t>Vũ Trongj Biểu-sn 12 tổ 6 khu 1 THĐ</t>
  </si>
  <si>
    <t>0393011466-0335649169</t>
  </si>
  <si>
    <t>A Tiến SN 703 Nguyễn Văn Cừ, P. Hồng Hải (đầu ngõ 18), Cty TNHH điện tử tin Tiến Khoa</t>
  </si>
  <si>
    <t>2 bể (2m3+ 5m3)</t>
  </si>
  <si>
    <t>R, đã làm đã báo Nhung mắt to ( 2 chỉ tiêu 2 bể)</t>
  </si>
  <si>
    <t>mg lông ngang</t>
  </si>
  <si>
    <t>Phạm Quang Trường- Tổ 2 khu6 Hồng Hải</t>
  </si>
  <si>
    <t>Thu- Đá trắng</t>
  </si>
  <si>
    <t>Lê Văn Lâm- Tổ 3 khu6 hồng hà</t>
  </si>
  <si>
    <t>Hạnh- Hà Lầm</t>
  </si>
  <si>
    <t>Nguyễn Minh Tuấn- Tổ 10 khu1 Bạch Đằng</t>
  </si>
  <si>
    <t>Phương - Cao Thắng</t>
  </si>
  <si>
    <t>Bùi Thị Sáu- SN 237 Cao Xnah</t>
  </si>
  <si>
    <t>My- Cao Xanh</t>
  </si>
  <si>
    <t>Ngô Trí Trường- Tổ 9 khu6 Hồng Hà</t>
  </si>
  <si>
    <t>Cù Văn Tuyên- TỔ 9 KHU6 HỒNG hà</t>
  </si>
  <si>
    <t>Nguyễn Văn Cường- ô 32 lô A14 KĐT cột 5 ccotj 8 hồng hà</t>
  </si>
  <si>
    <t>Vũ Quang Tuấn- ô 32 lô A14 KĐT cột 5 ccotj 8 hồng hà</t>
  </si>
  <si>
    <t>Nguyễn Thanh Hải- Tổ 11 khu6 hồng hà</t>
  </si>
  <si>
    <t>Bác nguyễn văn long ( Nguyễn Xuân Thạch) Tổ 6 khu 1 phường hồng hà, Hg045614</t>
  </si>
  <si>
    <t>Chị  nguyễn Thị Dương  ( nguyễn Thị Duyên)SN 44 ngõ 10 Cao xanh</t>
  </si>
  <si>
    <t>R, đã làm đã báo Nhung mắt to 2 chỉ tiêu : 2 bể</t>
  </si>
  <si>
    <t>Vũ Thị Nguyệt ( trần tiến hùng)- SN 323 Nguyễn Văn Cừ Hồng Hải</t>
  </si>
  <si>
    <t>Vũ Thị Hạnh ( Lê Văn Phòng )Khách sạn PH 558 phố Hải phúc tổ 6 khu 6 A phường Hồng Hải gần UBND phường</t>
  </si>
  <si>
    <t>Oanh PKĐ</t>
  </si>
  <si>
    <t xml:space="preserve">KH hẹn hôm khác lên làm </t>
  </si>
  <si>
    <t>cơ sở chăm sóc bảo trợ trẻ em có hoàn ảnh khó khăn- cột 8 hồng hà</t>
  </si>
  <si>
    <t>Biên cây xanh</t>
  </si>
  <si>
    <t>Phạm hồng văn Số nhà 12, nghách 91 ngõ 9 đường bãi muối, phường cao thắng</t>
  </si>
  <si>
    <t xml:space="preserve"> 033 6179444</t>
  </si>
  <si>
    <t>Bùi Bích Phương p KH</t>
  </si>
  <si>
    <t>nhà số 97 ngõ 20 nguyễn văn cừ</t>
  </si>
  <si>
    <t>sửa chữa đường ống nước</t>
  </si>
  <si>
    <t>huỷ không làm</t>
  </si>
  <si>
    <t>Tuyên Hồng Hà</t>
  </si>
  <si>
    <t>Anh cường- số nhà 77 , tổ 7 khu 4 Hồng Hà</t>
  </si>
  <si>
    <t>BNL + thau rửa ống</t>
  </si>
  <si>
    <t>Vũ Thị Ngân- tổ 5 khu 4 Hồng Hà</t>
  </si>
  <si>
    <t>ghi số Tú- Cao Thắng</t>
  </si>
  <si>
    <t>C Hiền sn 17b khu đô thị ao cá k3 Cao Thắng</t>
  </si>
  <si>
    <t>Thuý- VP</t>
  </si>
  <si>
    <t>ngõ ngân hàng Msb đối diện Go</t>
  </si>
  <si>
    <t>098 8728254, +84 94 9319268</t>
  </si>
  <si>
    <t>Nguyễn Lệ Thuỷ- SN33 ngách 06  ngxo 20 Cao Thắng</t>
  </si>
  <si>
    <t>Đoàn Anh Tiến- Chung cư FLC</t>
  </si>
  <si>
    <t>Đỗ Hiền- XN Hồng Gai</t>
  </si>
  <si>
    <t>Đỗ Văn Vận- Tổ 3 khu 3 Hồng Hải</t>
  </si>
  <si>
    <t>Thảo- trạm Hồng Hà</t>
  </si>
  <si>
    <t>Tô Xuân Sinh- Tôe 46 khu8 Hồng Hà</t>
  </si>
  <si>
    <t>sếp Đức- Phó Tổng</t>
  </si>
  <si>
    <t>Nguyễn Văn Quỳnh- Tổ 5 khu 4 THĐ</t>
  </si>
  <si>
    <t>R, đã làm đã báo Nhung mắt to ( máy giặt lồng ngang+1BNL)</t>
  </si>
  <si>
    <t>Minh CTT</t>
  </si>
  <si>
    <t>DƯơng Thị Thu Hà- Sn B11 LK Big C</t>
  </si>
  <si>
    <t>Dương ( nữ)- CTT</t>
  </si>
  <si>
    <t>2 téc + 2BNL</t>
  </si>
  <si>
    <t>đã có lịch làm ngày 16/5</t>
  </si>
  <si>
    <t>Bùi Hoàng Minh , SN 322 nguyễn Văn cừ Hồng Hải</t>
  </si>
  <si>
    <t>Đã có lịch này 18/5</t>
  </si>
  <si>
    <t>GĐ bể còn đầy nước nên hoãn rửa bể(lần 1), lần 2 đã rửa anh Hiếu chưa mang phiếu về</t>
  </si>
  <si>
    <t>Linh - QLĐT</t>
  </si>
  <si>
    <t>làm rồi,chưa có phiếu về</t>
  </si>
  <si>
    <t>Đoàn Hồng Chinh- Sn 19 phường Hồng Hải</t>
  </si>
  <si>
    <t>SCc</t>
  </si>
  <si>
    <t>Scc</t>
  </si>
  <si>
    <t>Hiếu tổ DV</t>
  </si>
  <si>
    <t>Nguyễn quốc hồng- Tổ 18 khu7 Cao Xanh</t>
  </si>
  <si>
    <t>Nhung- tổ Dv</t>
  </si>
  <si>
    <t>Lý Kim Thoa</t>
  </si>
  <si>
    <t>Vượng - Hà Tu</t>
  </si>
  <si>
    <t>Nguyễn Văn Hùng, Tổ 2 khu6 Hồng Hải</t>
  </si>
  <si>
    <t>Nguyễn Thành Trung, Ô 18 Lô Z18 côt5,8 Hồng Hà</t>
  </si>
  <si>
    <t>bê+téc</t>
  </si>
  <si>
    <t>Minh CTT Xí nghiệp</t>
  </si>
  <si>
    <t>Vũ Thị Lan, hu 3 Hà khánh</t>
  </si>
  <si>
    <t>đã báo Nhung Ktra lại</t>
  </si>
  <si>
    <t>Cty  TNHH  1 TV Innovgreen Quảng Ninh(đỗ thị Hạnh tổ 7 khu 4 hồng hải)</t>
  </si>
  <si>
    <t xml:space="preserve">Điểm TCLĐ-&gt; Chinh TCLĐ </t>
  </si>
  <si>
    <t>Đỗ Minh Tân- Kỹ Thuật Cty</t>
  </si>
  <si>
    <t>Lê Viết Tụ- TĐC Hồng Hải</t>
  </si>
  <si>
    <t>Chinh- TCLĐ</t>
  </si>
  <si>
    <t>Nguyễn Văn Sáu- T8 khu7 Hà Tu</t>
  </si>
  <si>
    <t>sữa chưaz</t>
  </si>
  <si>
    <t>Phạm Xuân Hưng, Tổ 8 ju7 Hà Tu</t>
  </si>
  <si>
    <t>Phạm Thị Ngà, Tổ 8 khu7 Hà Tu</t>
  </si>
  <si>
    <t>Nguyễn Thị Thuý Nga- Tổ 8 khu7 Hà Tu</t>
  </si>
  <si>
    <t>Nguyễn  Ngọc Tuấn- Cơ điện Cty</t>
  </si>
  <si>
    <t>nguyễn thị Mai, Tổ 8 khu2 Hồng Hà</t>
  </si>
  <si>
    <t>Nguyễn Hữu Duy, Tổ 48 khu8 Hồng Hà</t>
  </si>
  <si>
    <t>Phùng Thị Phương Anh- Kế Toán Cty</t>
  </si>
  <si>
    <t>Nguyễn Thị Ngạn, Tổ 15 khu2 Cao Xnh</t>
  </si>
  <si>
    <t>Bùi Hữu Quỳnh, Tổ 3 khu1 Hà Trung</t>
  </si>
  <si>
    <t>Đoàn Mạnh Dương- Kiểm định Cty</t>
  </si>
  <si>
    <t>Nguyễn Tiến Mạnh, Tổ 32 khu4 Hà Tu</t>
  </si>
  <si>
    <t>Nguyễn Văn Tơ- Tổ 4 khu1 Hà Trung</t>
  </si>
  <si>
    <t>Hách-vật tư Cty</t>
  </si>
  <si>
    <t>Trang CLN</t>
  </si>
  <si>
    <t>số nhà 18, ngõ 25, lương thế vinh, tổ 6 khu 6 yếu kiêu</t>
  </si>
  <si>
    <t>Chung chu Trần hưng đạo</t>
  </si>
  <si>
    <t>Dương Thị  Mai Lan ( Vũ Văn Vượng)- Sn 22 Ba Đèo Hồng Gai</t>
  </si>
  <si>
    <t xml:space="preserve">Huy PKĐ </t>
  </si>
  <si>
    <t>Thế Anh P.CĐCN</t>
  </si>
  <si>
    <t xml:space="preserve"> Đặng Văn Vương, Tổ 1C Khu 8 P.Hồng Hải, TP Hạ Long, Tỉnh Quảng Ninh</t>
  </si>
  <si>
    <t>Điểm TLCĐ</t>
  </si>
  <si>
    <t>Hương, địa chỉ A20-04 Monbay</t>
  </si>
  <si>
    <t>Vệ sinh lồng giặt, Muốn làm sáng ngày thứ 7, 17/5, lúc 07h30</t>
  </si>
  <si>
    <t>Tiếp nhận 14/5</t>
  </si>
  <si>
    <t>Thùy Vân Vp</t>
  </si>
  <si>
    <t>Số 103 Nguyễn Văn Cừ</t>
  </si>
  <si>
    <t>BỂ+ bnl</t>
  </si>
  <si>
    <r>
      <t>032 6888789</t>
    </r>
    <r>
      <rPr>
        <sz val="9"/>
        <color rgb="FF081B3A"/>
        <rFont val="Segoe UI"/>
        <family val="2"/>
      </rPr>
      <t xml:space="preserve"> </t>
    </r>
  </si>
  <si>
    <t xml:space="preserve"> Bùi Huyền Trang -TCLĐ cty</t>
  </si>
  <si>
    <t>Vũ Huệ VP</t>
  </si>
  <si>
    <t xml:space="preserve">Số nhà 56 đường nguyễn thái bình , phường hồng hà, </t>
  </si>
  <si>
    <t xml:space="preserve">KH muốn di chuyển cụm đồng hồ </t>
  </si>
  <si>
    <t>KH muốn di chuyển cụm đồng hồ ( thư đã gọi anh Tuyên)</t>
  </si>
  <si>
    <t xml:space="preserve"> Bùi Thị Tú, tổ 4 khu1 Hà Trung</t>
  </si>
  <si>
    <t>Nguyễn Chính Nhất, tổ 36 khu11 Hà Tu</t>
  </si>
  <si>
    <t>R( 2 chỉ tiêu : MG+ BNL)</t>
  </si>
  <si>
    <t>Nhung Kế toán</t>
  </si>
  <si>
    <t>Số nhà 78 tổ 70 khu 6 phường Cao Xanh thành phố Hạ Long</t>
  </si>
  <si>
    <t xml:space="preserve">vệ sinh 1 máy giặt, 1 bình nóng lạnh, </t>
  </si>
  <si>
    <t>Tạo- CTT</t>
  </si>
  <si>
    <t>Anh quyền- cột 3 ( Nguyễn Thị Thuỳ), Đinh Thị Ngẫm</t>
  </si>
  <si>
    <t>Nguyễn Thị Thuý ( Vũ Mai Minh)- KDC Hà Khánh</t>
  </si>
  <si>
    <t>Trần Thị Quý ( Trần Thị Lâm)- Ngõ 14 đồi NH Hồng Hải</t>
  </si>
  <si>
    <t>R (3 chỉ tiêu: 2BNL+ 1 bể)</t>
  </si>
  <si>
    <t>Tạo CTT</t>
  </si>
  <si>
    <t>Vũ Thị Ngân ( Nguyễn Xuân Trường)- Tổ 5 khu4 Hồng Hà</t>
  </si>
  <si>
    <t xml:space="preserve">a Linh PP CĐ </t>
  </si>
  <si>
    <t>đắc Linh PP CĐ ( đăng ký 5 BNL)</t>
  </si>
  <si>
    <t>đắc Linh PP CĐ ( đăng ký  BNL)</t>
  </si>
  <si>
    <t>SN 194 lương đình của Hồng Hải</t>
  </si>
  <si>
    <t>R, 1 nhà rửa bể và bảo dưỡng bình nóng lạnh</t>
  </si>
  <si>
    <t>R ( 2BNL)</t>
  </si>
  <si>
    <t>ktra xemcuar SCC hay Hoàng dung</t>
  </si>
  <si>
    <t>R đã làm 05 BNL</t>
  </si>
  <si>
    <t>anh Hiếu gọi thư7 ngày 24/5 làm cho KH</t>
  </si>
  <si>
    <t>đã có nghệm thu 2 BNL ( cò bể KH nhắn làm sau)</t>
  </si>
  <si>
    <t>ChuThij Ứng ( Đoàn Văn Vương)- Số 8 tổ 1 khu 4C Hồng Hải</t>
  </si>
  <si>
    <t xml:space="preserve"> hỏi lại :Minh CLN hay của chị Tâm SCC</t>
  </si>
  <si>
    <t>Anh Ngọc - Trạm Hòn Gai  ( trả My vận đông)</t>
  </si>
  <si>
    <t>hỏ lai anh hiếu, đã làm cho khahs , chưa viết ngiẹm tu, KH chưa trả tiền bác  trần thi bích ngọc</t>
  </si>
  <si>
    <t>Phạm Phương Dung</t>
  </si>
  <si>
    <t>THÁNG 2</t>
  </si>
  <si>
    <t>Nguyễn Tuấn Minh</t>
  </si>
  <si>
    <t>Lương Minh Hương</t>
  </si>
  <si>
    <t>THÁNG 7</t>
  </si>
  <si>
    <t>THÁNG 8</t>
  </si>
  <si>
    <t>THÁNG 9</t>
  </si>
  <si>
    <t>THÁNG 10</t>
  </si>
  <si>
    <t>THÁNG 11</t>
  </si>
  <si>
    <t>THÁNG 12</t>
  </si>
  <si>
    <t xml:space="preserve">Phạm Thị Thu </t>
  </si>
  <si>
    <t>Trạm Hạ Long</t>
  </si>
  <si>
    <t>Trạm Hồng Gai</t>
  </si>
  <si>
    <t>Trạm Đá Trắng</t>
  </si>
  <si>
    <t>Họ và tên</t>
  </si>
  <si>
    <t>Tổ trạm</t>
  </si>
  <si>
    <t>Trưởng BP LĐTL</t>
  </si>
  <si>
    <t> CN Bảo vệ (Tăng cường ghi số)</t>
  </si>
  <si>
    <t>CN lái xe</t>
  </si>
  <si>
    <t>Trưởng BP kỹ thuật</t>
  </si>
  <si>
    <t>NV CTT</t>
  </si>
  <si>
    <t>Hạ Long</t>
  </si>
  <si>
    <t>Tổ trưởng</t>
  </si>
  <si>
    <t>DV-CTT</t>
  </si>
  <si>
    <t>Tổ phó</t>
  </si>
  <si>
    <t>CN Sửa chữa</t>
  </si>
  <si>
    <t>CN DV-CTT</t>
  </si>
  <si>
    <t>Kế hoạch/người</t>
  </si>
  <si>
    <t>Chức danh</t>
  </si>
  <si>
    <t>Phạm Quang Tâm</t>
  </si>
  <si>
    <t>Phan Hồng Hạnh</t>
  </si>
  <si>
    <t>DOANH THU</t>
  </si>
  <si>
    <t>Kế hoạch năm 2026</t>
  </si>
  <si>
    <t>Tỷ lệ năm</t>
  </si>
  <si>
    <t>Tổng DT</t>
  </si>
  <si>
    <t>CHÊNH LỆCH(về 0)</t>
  </si>
  <si>
    <t>BP Kinh doanh</t>
  </si>
  <si>
    <t>Đoàn Hồng Hà</t>
  </si>
  <si>
    <t>CBCNV</t>
  </si>
  <si>
    <t>DOANH THU TRƯỚC THUẾ</t>
  </si>
  <si>
    <t>Vũ Tuấn Hưng</t>
  </si>
  <si>
    <t>Phạm Văn Thạnh</t>
  </si>
  <si>
    <t>Tổng</t>
  </si>
  <si>
    <t>Phạm Thị Thúy</t>
  </si>
  <si>
    <t>Phạm Thị Bích Hằng</t>
  </si>
  <si>
    <t>Đinh Thị Cẩm Anh</t>
  </si>
  <si>
    <t>Phạm Thị Đan Thanh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</si>
</sst>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1010000]d/m/yy;@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b/>
      <sz val="10"/>
      <name val="Times New Roman"/>
      <family val="1"/>
    </font>
    <font>
      <i/>
      <sz val="13"/>
      <name val="Times New Roman"/>
      <family val="1"/>
    </font>
    <font>
      <sz val="13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rgb="FFFF0000"/>
      <name val="Times New Roman"/>
      <family val="1"/>
    </font>
    <font>
      <sz val="9"/>
      <name val="Calibri"/>
      <family val="2"/>
      <scheme val="minor"/>
    </font>
    <font>
      <sz val="10"/>
      <color theme="1"/>
      <name val="Times New Roman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rgb="FF081B3A"/>
      <name val="Segoe UI"/>
      <family val="2"/>
    </font>
    <font>
      <sz val="11"/>
      <color rgb="FFFF0000"/>
      <name val="Calibri"/>
      <family val="2"/>
      <scheme val="minor"/>
    </font>
    <font>
      <b/>
      <sz val="11"/>
      <color rgb="FF081B3A"/>
      <name val="Segoe UI"/>
      <family val="2"/>
    </font>
    <font>
      <u/>
      <sz val="11"/>
      <color theme="1"/>
      <name val="Segoe UI"/>
      <family val="2"/>
    </font>
    <font>
      <b/>
      <sz val="11"/>
      <color rgb="FFFF0000"/>
      <name val="Calibri"/>
      <family val="2"/>
      <scheme val="minor"/>
    </font>
    <font>
      <sz val="9"/>
      <color rgb="FF081B3A"/>
      <name val="Segoe UI"/>
      <family val="2"/>
    </font>
    <font>
      <sz val="8"/>
      <name val="Calibri"/>
      <family val="2"/>
      <scheme val="minor"/>
    </font>
    <font>
      <u/>
      <sz val="9"/>
      <color theme="1"/>
      <name val="Segoe UI"/>
      <family val="2"/>
    </font>
    <font>
      <sz val="9"/>
      <color rgb="FFFF0000"/>
      <name val="Segoe UI"/>
      <family val="2"/>
    </font>
    <font>
      <sz val="9"/>
      <name val="Segoe UI"/>
      <family val="2"/>
    </font>
    <font>
      <u/>
      <sz val="9"/>
      <color rgb="FF081B3A"/>
      <name val="Segoe UI"/>
      <family val="2"/>
    </font>
    <font>
      <sz val="12"/>
      <name val="Calibri"/>
      <family val="2"/>
      <scheme val="minor"/>
    </font>
    <font>
      <b/>
      <sz val="8"/>
      <name val="Times New Roman"/>
      <family val="1"/>
    </font>
    <font>
      <sz val="13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4DCA72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0" fontId="21" fillId="0" borderId="0"/>
  </cellStyleXfs>
  <cellXfs count="289">
    <xf numFmtId="0" fontId="0" fillId="0" borderId="0" xfId="0"/>
    <xf numFmtId="0" fontId="4" fillId="0" borderId="0" xfId="0" applyFont="1"/>
    <xf numFmtId="0" fontId="8" fillId="0" borderId="0" xfId="0" applyFont="1"/>
    <xf numFmtId="164" fontId="11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quotePrefix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" fontId="5" fillId="0" borderId="1" xfId="0" quotePrefix="1" applyNumberFormat="1" applyFont="1" applyBorder="1" applyAlignment="1">
      <alignment vertical="center"/>
    </xf>
    <xf numFmtId="164" fontId="5" fillId="0" borderId="1" xfId="1" quotePrefix="1" applyNumberFormat="1" applyFont="1" applyFill="1" applyBorder="1" applyAlignment="1">
      <alignment vertical="center"/>
    </xf>
    <xf numFmtId="164" fontId="5" fillId="0" borderId="1" xfId="1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165" fontId="16" fillId="0" borderId="1" xfId="0" quotePrefix="1" applyNumberFormat="1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4" fillId="0" borderId="1" xfId="0" applyFont="1" applyBorder="1"/>
    <xf numFmtId="0" fontId="16" fillId="0" borderId="1" xfId="0" applyFont="1" applyBorder="1" applyAlignment="1">
      <alignment vertical="center"/>
    </xf>
    <xf numFmtId="0" fontId="16" fillId="0" borderId="1" xfId="0" quotePrefix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" fontId="5" fillId="0" borderId="1" xfId="0" quotePrefix="1" applyNumberFormat="1" applyFont="1" applyBorder="1" applyAlignment="1">
      <alignment vertical="center" wrapText="1"/>
    </xf>
    <xf numFmtId="165" fontId="8" fillId="0" borderId="0" xfId="1" applyNumberFormat="1" applyFont="1" applyFill="1" applyAlignment="1"/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7" borderId="0" xfId="0" applyFont="1" applyFill="1"/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4" fillId="0" borderId="0" xfId="0" applyFont="1" applyAlignment="1">
      <alignment vertical="center"/>
    </xf>
    <xf numFmtId="0" fontId="17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164" fontId="8" fillId="0" borderId="0" xfId="1" applyNumberFormat="1" applyFont="1" applyFill="1" applyAlignment="1">
      <alignment horizontal="right"/>
    </xf>
    <xf numFmtId="0" fontId="8" fillId="0" borderId="0" xfId="0" applyFont="1" applyAlignment="1">
      <alignment horizontal="center" wrapText="1"/>
    </xf>
    <xf numFmtId="164" fontId="8" fillId="0" borderId="0" xfId="0" applyNumberFormat="1" applyFont="1" applyAlignment="1">
      <alignment horizontal="center" wrapText="1"/>
    </xf>
    <xf numFmtId="0" fontId="9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quotePrefix="1" applyNumberFormat="1" applyFont="1" applyBorder="1" applyAlignment="1">
      <alignment vertical="center"/>
    </xf>
    <xf numFmtId="0" fontId="4" fillId="0" borderId="0" xfId="0" applyFont="1" applyAlignment="1">
      <alignment horizontal="center"/>
    </xf>
    <xf numFmtId="165" fontId="4" fillId="0" borderId="0" xfId="0" applyNumberFormat="1" applyFont="1"/>
    <xf numFmtId="0" fontId="4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/>
    <xf numFmtId="0" fontId="4" fillId="0" borderId="1" xfId="0" applyFont="1" applyBorder="1" applyAlignment="1">
      <alignment horizontal="center" wrapText="1"/>
    </xf>
    <xf numFmtId="0" fontId="0" fillId="0" borderId="1" xfId="0" applyBorder="1"/>
    <xf numFmtId="0" fontId="4" fillId="5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8" borderId="1" xfId="0" applyFont="1" applyFill="1" applyBorder="1"/>
    <xf numFmtId="0" fontId="4" fillId="8" borderId="0" xfId="0" applyFont="1" applyFill="1"/>
    <xf numFmtId="0" fontId="4" fillId="0" borderId="1" xfId="0" quotePrefix="1" applyFont="1" applyBorder="1"/>
    <xf numFmtId="164" fontId="16" fillId="0" borderId="1" xfId="1" applyNumberFormat="1" applyFont="1" applyFill="1" applyBorder="1" applyAlignment="1">
      <alignment vertical="center"/>
    </xf>
    <xf numFmtId="0" fontId="4" fillId="10" borderId="1" xfId="0" applyFont="1" applyFill="1" applyBorder="1"/>
    <xf numFmtId="0" fontId="4" fillId="10" borderId="1" xfId="0" quotePrefix="1" applyFont="1" applyFill="1" applyBorder="1"/>
    <xf numFmtId="0" fontId="4" fillId="10" borderId="1" xfId="0" applyFont="1" applyFill="1" applyBorder="1" applyAlignment="1">
      <alignment horizontal="center"/>
    </xf>
    <xf numFmtId="165" fontId="4" fillId="10" borderId="1" xfId="0" applyNumberFormat="1" applyFont="1" applyFill="1" applyBorder="1"/>
    <xf numFmtId="0" fontId="4" fillId="10" borderId="1" xfId="0" applyFont="1" applyFill="1" applyBorder="1" applyAlignment="1">
      <alignment horizontal="center" wrapText="1"/>
    </xf>
    <xf numFmtId="0" fontId="0" fillId="10" borderId="1" xfId="0" applyFill="1" applyBorder="1"/>
    <xf numFmtId="0" fontId="2" fillId="4" borderId="1" xfId="0" applyFont="1" applyFill="1" applyBorder="1" applyAlignment="1">
      <alignment vertical="center"/>
    </xf>
    <xf numFmtId="0" fontId="2" fillId="4" borderId="1" xfId="0" quotePrefix="1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left" vertical="center"/>
    </xf>
    <xf numFmtId="16" fontId="2" fillId="4" borderId="1" xfId="0" quotePrefix="1" applyNumberFormat="1" applyFont="1" applyFill="1" applyBorder="1" applyAlignment="1">
      <alignment vertical="center"/>
    </xf>
    <xf numFmtId="0" fontId="18" fillId="4" borderId="1" xfId="0" applyFont="1" applyFill="1" applyBorder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164" fontId="16" fillId="0" borderId="1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left" vertical="center"/>
    </xf>
    <xf numFmtId="16" fontId="2" fillId="0" borderId="1" xfId="0" quotePrefix="1" applyNumberFormat="1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4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4" fillId="11" borderId="1" xfId="0" applyFont="1" applyFill="1" applyBorder="1"/>
    <xf numFmtId="0" fontId="4" fillId="11" borderId="1" xfId="0" quotePrefix="1" applyFont="1" applyFill="1" applyBorder="1"/>
    <xf numFmtId="0" fontId="4" fillId="11" borderId="1" xfId="0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0" fillId="11" borderId="0" xfId="0" applyFill="1" applyAlignment="1">
      <alignment horizontal="center"/>
    </xf>
    <xf numFmtId="0" fontId="4" fillId="11" borderId="0" xfId="0" applyFont="1" applyFill="1"/>
    <xf numFmtId="0" fontId="4" fillId="8" borderId="1" xfId="0" quotePrefix="1" applyFont="1" applyFill="1" applyBorder="1"/>
    <xf numFmtId="0" fontId="4" fillId="8" borderId="1" xfId="0" applyFont="1" applyFill="1" applyBorder="1" applyAlignment="1">
      <alignment horizontal="center"/>
    </xf>
    <xf numFmtId="165" fontId="4" fillId="8" borderId="1" xfId="0" applyNumberFormat="1" applyFont="1" applyFill="1" applyBorder="1"/>
    <xf numFmtId="0" fontId="4" fillId="8" borderId="1" xfId="0" applyFont="1" applyFill="1" applyBorder="1" applyAlignment="1">
      <alignment horizontal="center" wrapText="1"/>
    </xf>
    <xf numFmtId="0" fontId="0" fillId="8" borderId="1" xfId="0" applyFill="1" applyBorder="1"/>
    <xf numFmtId="0" fontId="0" fillId="8" borderId="0" xfId="0" applyFill="1" applyAlignment="1">
      <alignment horizontal="center"/>
    </xf>
    <xf numFmtId="165" fontId="4" fillId="11" borderId="1" xfId="0" applyNumberFormat="1" applyFont="1" applyFill="1" applyBorder="1"/>
    <xf numFmtId="0" fontId="4" fillId="7" borderId="1" xfId="0" applyFont="1" applyFill="1" applyBorder="1"/>
    <xf numFmtId="0" fontId="4" fillId="7" borderId="1" xfId="0" quotePrefix="1" applyFont="1" applyFill="1" applyBorder="1"/>
    <xf numFmtId="0" fontId="4" fillId="7" borderId="1" xfId="0" applyFont="1" applyFill="1" applyBorder="1" applyAlignment="1">
      <alignment horizontal="center"/>
    </xf>
    <xf numFmtId="165" fontId="4" fillId="7" borderId="1" xfId="0" applyNumberFormat="1" applyFont="1" applyFill="1" applyBorder="1"/>
    <xf numFmtId="0" fontId="4" fillId="7" borderId="1" xfId="0" applyFont="1" applyFill="1" applyBorder="1" applyAlignment="1">
      <alignment horizontal="center" wrapText="1"/>
    </xf>
    <xf numFmtId="0" fontId="0" fillId="7" borderId="1" xfId="0" applyFill="1" applyBorder="1"/>
    <xf numFmtId="0" fontId="0" fillId="7" borderId="0" xfId="0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164" fontId="7" fillId="0" borderId="4" xfId="1" applyNumberFormat="1" applyFont="1" applyFill="1" applyBorder="1" applyAlignment="1">
      <alignment horizontal="center" vertical="center"/>
    </xf>
    <xf numFmtId="164" fontId="11" fillId="0" borderId="1" xfId="1" applyNumberFormat="1" applyFont="1" applyFill="1" applyBorder="1" applyAlignment="1">
      <alignment horizontal="center" vertical="center"/>
    </xf>
    <xf numFmtId="164" fontId="4" fillId="0" borderId="1" xfId="1" applyNumberFormat="1" applyFont="1" applyFill="1" applyBorder="1" applyAlignment="1">
      <alignment vertical="center"/>
    </xf>
    <xf numFmtId="164" fontId="4" fillId="11" borderId="1" xfId="1" applyNumberFormat="1" applyFont="1" applyFill="1" applyBorder="1"/>
    <xf numFmtId="164" fontId="4" fillId="8" borderId="1" xfId="1" applyNumberFormat="1" applyFont="1" applyFill="1" applyBorder="1"/>
    <xf numFmtId="164" fontId="4" fillId="0" borderId="1" xfId="1" applyNumberFormat="1" applyFont="1" applyFill="1" applyBorder="1"/>
    <xf numFmtId="164" fontId="4" fillId="7" borderId="1" xfId="1" applyNumberFormat="1" applyFont="1" applyFill="1" applyBorder="1"/>
    <xf numFmtId="164" fontId="4" fillId="10" borderId="1" xfId="1" applyNumberFormat="1" applyFont="1" applyFill="1" applyBorder="1" applyAlignment="1">
      <alignment horizontal="center"/>
    </xf>
    <xf numFmtId="164" fontId="4" fillId="0" borderId="0" xfId="1" applyNumberFormat="1" applyFont="1" applyFill="1"/>
    <xf numFmtId="0" fontId="0" fillId="0" borderId="0" xfId="0" applyAlignment="1">
      <alignment vertical="center"/>
    </xf>
    <xf numFmtId="0" fontId="19" fillId="0" borderId="1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6" fontId="0" fillId="0" borderId="0" xfId="0" quotePrefix="1" applyNumberFormat="1" applyAlignment="1">
      <alignment vertical="center"/>
    </xf>
    <xf numFmtId="0" fontId="0" fillId="0" borderId="0" xfId="0" quotePrefix="1" applyAlignment="1">
      <alignment vertical="center"/>
    </xf>
    <xf numFmtId="0" fontId="2" fillId="0" borderId="1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quotePrefix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30" fillId="0" borderId="0" xfId="0" applyFont="1" applyAlignment="1">
      <alignment wrapText="1"/>
    </xf>
    <xf numFmtId="0" fontId="0" fillId="0" borderId="1" xfId="0" quotePrefix="1" applyBorder="1" applyAlignment="1">
      <alignment vertical="center"/>
    </xf>
    <xf numFmtId="0" fontId="19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12" borderId="0" xfId="0" quotePrefix="1" applyFill="1" applyAlignment="1">
      <alignment vertical="center"/>
    </xf>
    <xf numFmtId="0" fontId="0" fillId="12" borderId="0" xfId="0" applyFill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26" fillId="12" borderId="1" xfId="0" applyFont="1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0" fillId="12" borderId="1" xfId="0" quotePrefix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0" fontId="0" fillId="12" borderId="0" xfId="0" applyFill="1" applyAlignment="1">
      <alignment vertical="center"/>
    </xf>
    <xf numFmtId="0" fontId="25" fillId="0" borderId="0" xfId="0" applyFont="1" applyAlignment="1">
      <alignment wrapText="1"/>
    </xf>
    <xf numFmtId="0" fontId="0" fillId="4" borderId="0" xfId="0" quotePrefix="1" applyFill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26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quotePrefix="1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16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26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0" fillId="0" borderId="0" xfId="0" applyFont="1"/>
    <xf numFmtId="0" fontId="19" fillId="0" borderId="0" xfId="0" applyFont="1" applyAlignment="1">
      <alignment vertical="center" wrapText="1"/>
    </xf>
    <xf numFmtId="0" fontId="33" fillId="0" borderId="0" xfId="0" applyFont="1"/>
    <xf numFmtId="0" fontId="24" fillId="0" borderId="1" xfId="0" applyFont="1" applyBorder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4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6" fillId="4" borderId="0" xfId="0" applyFont="1" applyFill="1" applyAlignment="1">
      <alignment vertical="center"/>
    </xf>
    <xf numFmtId="0" fontId="30" fillId="2" borderId="0" xfId="0" applyFont="1" applyFill="1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26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/>
    </xf>
    <xf numFmtId="0" fontId="32" fillId="0" borderId="0" xfId="0" quotePrefix="1" applyFont="1" applyAlignment="1">
      <alignment horizontal="left"/>
    </xf>
    <xf numFmtId="0" fontId="32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0" fillId="4" borderId="0" xfId="0" applyFill="1" applyAlignment="1">
      <alignment horizontal="left" vertical="center"/>
    </xf>
    <xf numFmtId="0" fontId="26" fillId="0" borderId="1" xfId="0" quotePrefix="1" applyFont="1" applyBorder="1" applyAlignment="1">
      <alignment horizontal="left" vertical="center"/>
    </xf>
    <xf numFmtId="0" fontId="26" fillId="0" borderId="1" xfId="0" applyFont="1" applyBorder="1" applyAlignment="1">
      <alignment horizontal="left" vertical="center"/>
    </xf>
    <xf numFmtId="0" fontId="26" fillId="12" borderId="1" xfId="0" applyFont="1" applyFill="1" applyBorder="1" applyAlignment="1">
      <alignment horizontal="left" vertical="center"/>
    </xf>
    <xf numFmtId="0" fontId="26" fillId="4" borderId="1" xfId="0" applyFont="1" applyFill="1" applyBorder="1" applyAlignment="1">
      <alignment horizontal="left" vertical="center"/>
    </xf>
    <xf numFmtId="0" fontId="26" fillId="4" borderId="0" xfId="0" applyFont="1" applyFill="1" applyAlignment="1">
      <alignment horizontal="left" vertical="center"/>
    </xf>
    <xf numFmtId="0" fontId="34" fillId="13" borderId="0" xfId="0" applyFont="1" applyFill="1"/>
    <xf numFmtId="0" fontId="9" fillId="13" borderId="0" xfId="0" applyFont="1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13" borderId="0" xfId="0" applyFill="1" applyAlignment="1">
      <alignment vertical="center" wrapText="1"/>
    </xf>
    <xf numFmtId="0" fontId="3" fillId="13" borderId="0" xfId="0" applyFont="1" applyFill="1" applyAlignment="1">
      <alignment vertical="center" wrapText="1"/>
    </xf>
    <xf numFmtId="0" fontId="32" fillId="0" borderId="0" xfId="0" applyFont="1"/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 vertical="center" wrapText="1"/>
    </xf>
    <xf numFmtId="0" fontId="30" fillId="14" borderId="0" xfId="0" applyFont="1" applyFill="1"/>
    <xf numFmtId="0" fontId="0" fillId="14" borderId="0" xfId="0" applyFill="1" applyAlignment="1">
      <alignment vertical="center" wrapText="1"/>
    </xf>
    <xf numFmtId="0" fontId="3" fillId="14" borderId="0" xfId="0" applyFont="1" applyFill="1" applyAlignment="1">
      <alignment vertical="center" wrapText="1"/>
    </xf>
    <xf numFmtId="0" fontId="3" fillId="15" borderId="0" xfId="0" applyFont="1" applyFill="1" applyAlignment="1">
      <alignment vertical="center" wrapText="1"/>
    </xf>
    <xf numFmtId="0" fontId="0" fillId="15" borderId="0" xfId="0" applyFill="1" applyAlignment="1">
      <alignment vertical="center" wrapText="1"/>
    </xf>
    <xf numFmtId="0" fontId="35" fillId="0" borderId="0" xfId="0" applyFont="1" applyAlignment="1">
      <alignment horizontal="left"/>
    </xf>
    <xf numFmtId="0" fontId="26" fillId="2" borderId="0" xfId="0" applyFont="1" applyFill="1" applyAlignment="1">
      <alignment vertical="center"/>
    </xf>
    <xf numFmtId="0" fontId="32" fillId="2" borderId="0" xfId="0" applyFont="1" applyFill="1" applyAlignment="1">
      <alignment horizontal="left"/>
    </xf>
    <xf numFmtId="0" fontId="26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0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30" fillId="4" borderId="0" xfId="0" applyFont="1" applyFill="1"/>
    <xf numFmtId="0" fontId="0" fillId="16" borderId="0" xfId="0" applyFill="1" applyAlignment="1">
      <alignment vertical="center"/>
    </xf>
    <xf numFmtId="0" fontId="36" fillId="0" borderId="0" xfId="2" applyFont="1"/>
    <xf numFmtId="0" fontId="36" fillId="2" borderId="0" xfId="2" applyFont="1" applyFill="1"/>
    <xf numFmtId="0" fontId="6" fillId="0" borderId="1" xfId="2" applyFont="1" applyBorder="1" applyAlignment="1">
      <alignment horizontal="center" vertical="center"/>
    </xf>
    <xf numFmtId="0" fontId="6" fillId="2" borderId="1" xfId="2" applyFont="1" applyFill="1" applyBorder="1" applyAlignment="1">
      <alignment vertical="center" shrinkToFit="1"/>
    </xf>
    <xf numFmtId="0" fontId="17" fillId="2" borderId="1" xfId="2" applyFont="1" applyFill="1" applyBorder="1" applyAlignment="1">
      <alignment horizontal="center" vertical="center" shrinkToFit="1"/>
    </xf>
    <xf numFmtId="0" fontId="17" fillId="0" borderId="1" xfId="2" applyFont="1" applyBorder="1" applyAlignment="1">
      <alignment horizontal="center" vertical="center"/>
    </xf>
    <xf numFmtId="0" fontId="10" fillId="2" borderId="1" xfId="2" applyFont="1" applyFill="1" applyBorder="1" applyAlignment="1">
      <alignment vertical="center" shrinkToFit="1"/>
    </xf>
    <xf numFmtId="0" fontId="17" fillId="2" borderId="1" xfId="2" applyFont="1" applyFill="1" applyBorder="1" applyAlignment="1">
      <alignment horizontal="center" vertical="center" wrapText="1" shrinkToFit="1"/>
    </xf>
    <xf numFmtId="0" fontId="6" fillId="2" borderId="1" xfId="2" applyFont="1" applyFill="1" applyBorder="1" applyAlignment="1">
      <alignment horizontal="left" vertical="center" shrinkToFit="1"/>
    </xf>
    <xf numFmtId="0" fontId="10" fillId="2" borderId="1" xfId="2" applyFont="1" applyFill="1" applyBorder="1" applyAlignment="1">
      <alignment horizontal="left" vertical="center" shrinkToFit="1"/>
    </xf>
    <xf numFmtId="0" fontId="6" fillId="2" borderId="5" xfId="2" applyFont="1" applyFill="1" applyBorder="1" applyAlignment="1">
      <alignment vertical="center" shrinkToFit="1"/>
    </xf>
    <xf numFmtId="0" fontId="6" fillId="2" borderId="5" xfId="2" applyFont="1" applyFill="1" applyBorder="1" applyAlignment="1">
      <alignment horizontal="left" vertical="center" shrinkToFit="1"/>
    </xf>
    <xf numFmtId="0" fontId="17" fillId="0" borderId="5" xfId="2" applyFont="1" applyBorder="1" applyAlignment="1">
      <alignment horizontal="center" vertical="center"/>
    </xf>
    <xf numFmtId="0" fontId="6" fillId="2" borderId="5" xfId="2" applyFont="1" applyFill="1" applyBorder="1" applyAlignment="1">
      <alignment horizontal="left" vertical="center" wrapText="1" shrinkToFit="1"/>
    </xf>
    <xf numFmtId="0" fontId="6" fillId="2" borderId="3" xfId="2" applyFont="1" applyFill="1" applyBorder="1" applyAlignment="1">
      <alignment vertical="center" shrinkToFit="1"/>
    </xf>
    <xf numFmtId="0" fontId="14" fillId="2" borderId="1" xfId="2" applyFont="1" applyFill="1" applyBorder="1" applyAlignment="1">
      <alignment horizontal="center" vertical="center" shrinkToFit="1"/>
    </xf>
    <xf numFmtId="0" fontId="37" fillId="0" borderId="1" xfId="2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 shrinkToFit="1"/>
    </xf>
    <xf numFmtId="0" fontId="37" fillId="4" borderId="1" xfId="2" applyFont="1" applyFill="1" applyBorder="1" applyAlignment="1">
      <alignment horizontal="center" vertical="center" wrapText="1"/>
    </xf>
    <xf numFmtId="0" fontId="36" fillId="4" borderId="0" xfId="2" applyFont="1" applyFill="1"/>
    <xf numFmtId="0" fontId="11" fillId="0" borderId="1" xfId="2" applyFont="1" applyBorder="1" applyAlignment="1">
      <alignment horizontal="center" vertical="center"/>
    </xf>
    <xf numFmtId="0" fontId="36" fillId="4" borderId="1" xfId="2" applyFont="1" applyFill="1" applyBorder="1"/>
    <xf numFmtId="0" fontId="36" fillId="0" borderId="1" xfId="2" applyFont="1" applyBorder="1"/>
    <xf numFmtId="0" fontId="11" fillId="0" borderId="2" xfId="2" applyFont="1" applyBorder="1" applyAlignment="1">
      <alignment horizontal="center" vertical="center"/>
    </xf>
    <xf numFmtId="0" fontId="11" fillId="0" borderId="1" xfId="2" applyFont="1" applyBorder="1" applyAlignment="1">
      <alignment wrapText="1"/>
    </xf>
    <xf numFmtId="0" fontId="38" fillId="0" borderId="0" xfId="0" applyFont="1"/>
    <xf numFmtId="0" fontId="16" fillId="2" borderId="1" xfId="2" applyFont="1" applyFill="1" applyBorder="1" applyAlignment="1">
      <alignment vertical="center" shrinkToFit="1"/>
    </xf>
    <xf numFmtId="3" fontId="36" fillId="0" borderId="0" xfId="2" applyNumberFormat="1" applyFont="1"/>
    <xf numFmtId="3" fontId="10" fillId="0" borderId="1" xfId="2" applyNumberFormat="1" applyFont="1" applyBorder="1" applyAlignment="1">
      <alignment horizontal="center" vertical="center"/>
    </xf>
    <xf numFmtId="3" fontId="36" fillId="4" borderId="1" xfId="2" applyNumberFormat="1" applyFont="1" applyFill="1" applyBorder="1"/>
    <xf numFmtId="3" fontId="36" fillId="0" borderId="1" xfId="2" applyNumberFormat="1" applyFont="1" applyBorder="1"/>
    <xf numFmtId="3" fontId="6" fillId="0" borderId="0" xfId="2" applyNumberFormat="1" applyFont="1"/>
    <xf numFmtId="3" fontId="6" fillId="4" borderId="1" xfId="2" applyNumberFormat="1" applyFont="1" applyFill="1" applyBorder="1"/>
    <xf numFmtId="3" fontId="6" fillId="0" borderId="1" xfId="2" applyNumberFormat="1" applyFont="1" applyBorder="1"/>
    <xf numFmtId="2" fontId="36" fillId="0" borderId="1" xfId="2" applyNumberFormat="1" applyFont="1" applyBorder="1"/>
    <xf numFmtId="0" fontId="10" fillId="2" borderId="1" xfId="2" applyFont="1" applyFill="1" applyBorder="1" applyAlignment="1">
      <alignment horizontal="center" vertical="center"/>
    </xf>
    <xf numFmtId="0" fontId="14" fillId="2" borderId="1" xfId="2" applyFont="1" applyFill="1" applyBorder="1" applyAlignment="1">
      <alignment horizontal="center" vertical="center"/>
    </xf>
    <xf numFmtId="3" fontId="6" fillId="2" borderId="2" xfId="2" applyNumberFormat="1" applyFont="1" applyFill="1" applyBorder="1" applyAlignment="1"/>
    <xf numFmtId="3" fontId="36" fillId="2" borderId="2" xfId="2" applyNumberFormat="1" applyFont="1" applyFill="1" applyBorder="1" applyAlignment="1"/>
    <xf numFmtId="3" fontId="6" fillId="2" borderId="1" xfId="2" applyNumberFormat="1" applyFont="1" applyFill="1" applyBorder="1"/>
    <xf numFmtId="0" fontId="36" fillId="2" borderId="2" xfId="2" applyFont="1" applyFill="1" applyBorder="1" applyAlignment="1"/>
    <xf numFmtId="3" fontId="36" fillId="2" borderId="1" xfId="2" applyNumberFormat="1" applyFont="1" applyFill="1" applyBorder="1"/>
    <xf numFmtId="3" fontId="0" fillId="0" borderId="0" xfId="0" applyNumberFormat="1"/>
    <xf numFmtId="3" fontId="38" fillId="0" borderId="0" xfId="0" applyNumberFormat="1" applyFont="1"/>
    <xf numFmtId="3" fontId="38" fillId="4" borderId="0" xfId="0" applyNumberFormat="1" applyFont="1" applyFill="1"/>
    <xf numFmtId="2" fontId="36" fillId="17" borderId="1" xfId="2" applyNumberFormat="1" applyFont="1" applyFill="1" applyBorder="1"/>
    <xf numFmtId="165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4" fontId="9" fillId="0" borderId="5" xfId="1" applyNumberFormat="1" applyFont="1" applyFill="1" applyBorder="1" applyAlignment="1">
      <alignment horizontal="center" vertical="center" wrapText="1"/>
    </xf>
    <xf numFmtId="164" fontId="9" fillId="0" borderId="6" xfId="1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9" fillId="0" borderId="0" xfId="1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2" applyFont="1" applyBorder="1" applyAlignment="1">
      <alignment horizontal="center" vertical="center" wrapText="1"/>
    </xf>
    <xf numFmtId="0" fontId="13" fillId="0" borderId="11" xfId="2" applyFont="1" applyBorder="1" applyAlignment="1">
      <alignment horizontal="center" vertical="center" wrapText="1"/>
    </xf>
    <xf numFmtId="0" fontId="7" fillId="0" borderId="8" xfId="2" applyFont="1" applyFill="1" applyBorder="1" applyAlignment="1">
      <alignment horizontal="right" vertical="center"/>
    </xf>
    <xf numFmtId="0" fontId="7" fillId="0" borderId="9" xfId="2" applyFont="1" applyFill="1" applyBorder="1" applyAlignment="1">
      <alignment horizontal="right" vertical="center"/>
    </xf>
    <xf numFmtId="0" fontId="7" fillId="0" borderId="10" xfId="2" applyFont="1" applyFill="1" applyBorder="1" applyAlignment="1">
      <alignment horizontal="right" vertical="center"/>
    </xf>
    <xf numFmtId="0" fontId="37" fillId="0" borderId="2" xfId="2" applyFont="1" applyBorder="1" applyAlignment="1">
      <alignment horizontal="center" vertical="center" wrapText="1"/>
    </xf>
    <xf numFmtId="0" fontId="37" fillId="0" borderId="7" xfId="2" applyFont="1" applyBorder="1" applyAlignment="1">
      <alignment horizontal="center" vertical="center" wrapText="1"/>
    </xf>
    <xf numFmtId="0" fontId="37" fillId="0" borderId="3" xfId="2" applyFont="1" applyBorder="1" applyAlignment="1">
      <alignment horizontal="center" vertical="center" wrapText="1"/>
    </xf>
    <xf numFmtId="0" fontId="7" fillId="4" borderId="8" xfId="2" applyFont="1" applyFill="1" applyBorder="1" applyAlignment="1">
      <alignment horizontal="right" vertical="center"/>
    </xf>
    <xf numFmtId="0" fontId="7" fillId="4" borderId="9" xfId="2" applyFont="1" applyFill="1" applyBorder="1" applyAlignment="1">
      <alignment horizontal="right" vertical="center"/>
    </xf>
    <xf numFmtId="0" fontId="7" fillId="4" borderId="10" xfId="2" applyFont="1" applyFill="1" applyBorder="1" applyAlignment="1">
      <alignment horizontal="right" vertical="center"/>
    </xf>
  </cellXfs>
  <cellStyles count="6">
    <cellStyle name="Comma" xfId="1" builtinId="3"/>
    <cellStyle name="Normal" xfId="0" builtinId="0"/>
    <cellStyle name="Normal 2" xfId="2"/>
    <cellStyle name="Normal 3" xfId="4"/>
    <cellStyle name="Normal 3 2" xfId="3"/>
    <cellStyle name="Normal 6" xfId="5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1190625</xdr:colOff>
      <xdr:row>2</xdr:row>
      <xdr:rowOff>0</xdr:rowOff>
    </xdr:from>
    <xdr:to>
      <xdr:col>2</xdr:col>
      <xdr:colOff>638175</xdr:colOff>
      <xdr:row>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1590675" y="381000"/>
          <a:ext cx="12287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2</xdr:row>
      <xdr:rowOff>9525</xdr:rowOff>
    </xdr:from>
    <xdr:to>
      <xdr:col>6</xdr:col>
      <xdr:colOff>714375</xdr:colOff>
      <xdr:row>2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629275" y="390525"/>
          <a:ext cx="752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52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924550" y="221646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11</xdr:col>
      <xdr:colOff>0</xdr:colOff>
      <xdr:row>52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924550" y="221646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15659100" y="25877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8</xdr:col>
      <xdr:colOff>0</xdr:colOff>
      <xdr:row>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5659100" y="2587752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1123950</xdr:colOff>
      <xdr:row>1</xdr:row>
      <xdr:rowOff>0</xdr:rowOff>
    </xdr:from>
    <xdr:ext cx="19050" cy="28575"/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D21AF51-D1E3-433C-B74B-88A381E6F739}"/>
            </a:ext>
          </a:extLst>
        </xdr:cNvPr>
        <xdr:cNvCxnSpPr/>
      </xdr:nvCxnSpPr>
      <xdr:spPr>
        <a:xfrm>
          <a:off x="1504950" y="247650"/>
          <a:ext cx="19050" cy="28575"/>
        </a:xfrm>
        <a:prstGeom prst="line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  <xdr:oneCellAnchor>
    <xdr:from>
      <xdr:col>1</xdr:col>
      <xdr:colOff>1123950</xdr:colOff>
      <xdr:row>12</xdr:row>
      <xdr:rowOff>0</xdr:rowOff>
    </xdr:from>
    <xdr:ext cx="19050" cy="28575"/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D21AF51-D1E3-433C-B74B-88A381E6F739}"/>
            </a:ext>
          </a:extLst>
        </xdr:cNvPr>
        <xdr:cNvCxnSpPr/>
      </xdr:nvCxnSpPr>
      <xdr:spPr>
        <a:xfrm>
          <a:off x="1504950" y="0"/>
          <a:ext cx="19050" cy="28575"/>
        </a:xfrm>
        <a:prstGeom prst="line">
          <a:avLst/>
        </a:prstGeom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K29"/>
  <sheetViews>
    <sheetView topLeftCell="A10" workbookViewId="0">
      <selection activeCell="C15" sqref="C15"/>
    </sheetView>
  </sheetViews>
  <sheetFormatPr defaultColWidth="9.140625" defaultRowHeight="15" x14ac:dyDescent="0.25"/>
  <cols>
    <col min="1" max="1" width="6" style="43" customWidth="1"/>
    <col min="2" max="2" width="26.7109375" style="1" customWidth="1"/>
    <col min="3" max="3" width="26" style="1" customWidth="1"/>
    <col min="4" max="4" width="13.140625" style="1" customWidth="1"/>
    <col min="5" max="6" width="6.42578125" style="43" customWidth="1"/>
    <col min="7" max="7" width="14.42578125" style="114" bestFit="1" customWidth="1"/>
    <col min="8" max="8" width="10.42578125" style="44" customWidth="1"/>
    <col min="9" max="9" width="11.42578125" style="44" customWidth="1"/>
    <col min="10" max="10" width="16" style="45" customWidth="1"/>
    <col min="11" max="11" width="10.140625" style="1" customWidth="1"/>
    <col min="12" max="12" width="8.85546875" style="1" customWidth="1"/>
    <col min="13" max="13" width="13.85546875" customWidth="1"/>
    <col min="14" max="14" width="7.85546875" style="32" customWidth="1"/>
    <col min="15" max="15" width="10.42578125" style="32" bestFit="1" customWidth="1"/>
    <col min="16" max="35" width="9.140625" style="32"/>
    <col min="36" max="16384" width="9.140625" style="1"/>
  </cols>
  <sheetData>
    <row r="1" spans="1:35" x14ac:dyDescent="0.25">
      <c r="A1" s="274" t="s">
        <v>0</v>
      </c>
      <c r="B1" s="274"/>
      <c r="C1" s="274"/>
      <c r="D1" s="275" t="s">
        <v>1</v>
      </c>
      <c r="E1" s="275"/>
      <c r="F1" s="275"/>
      <c r="G1" s="275"/>
      <c r="H1" s="275"/>
      <c r="I1" s="275"/>
      <c r="J1" s="275"/>
      <c r="K1" s="275"/>
      <c r="L1" s="275"/>
    </row>
    <row r="2" spans="1:35" x14ac:dyDescent="0.25">
      <c r="A2" s="276" t="s">
        <v>2</v>
      </c>
      <c r="B2" s="276"/>
      <c r="C2" s="276"/>
      <c r="D2" s="275" t="s">
        <v>3</v>
      </c>
      <c r="E2" s="275"/>
      <c r="F2" s="275"/>
      <c r="G2" s="275"/>
      <c r="H2" s="275"/>
      <c r="I2" s="275"/>
      <c r="J2" s="275"/>
      <c r="K2" s="275"/>
      <c r="L2" s="275"/>
    </row>
    <row r="3" spans="1:35" x14ac:dyDescent="0.25">
      <c r="A3" s="104"/>
      <c r="B3" s="2"/>
      <c r="C3" s="2"/>
      <c r="D3" s="2"/>
      <c r="E3" s="104"/>
      <c r="F3" s="104"/>
      <c r="G3" s="33"/>
      <c r="H3" s="24"/>
      <c r="I3" s="24"/>
      <c r="J3" s="34"/>
      <c r="K3" s="2"/>
      <c r="L3" s="2"/>
    </row>
    <row r="4" spans="1:35" ht="18.75" x14ac:dyDescent="0.3">
      <c r="A4" s="277" t="s">
        <v>40</v>
      </c>
      <c r="B4" s="277"/>
      <c r="C4" s="277"/>
      <c r="D4" s="277"/>
      <c r="E4" s="277"/>
      <c r="F4" s="277"/>
      <c r="G4" s="277"/>
      <c r="H4" s="277"/>
      <c r="I4" s="277"/>
      <c r="J4" s="277"/>
      <c r="K4" s="277"/>
      <c r="L4" s="277"/>
    </row>
    <row r="5" spans="1:35" ht="16.5" x14ac:dyDescent="0.25">
      <c r="A5" s="273" t="s">
        <v>34</v>
      </c>
      <c r="B5" s="273"/>
      <c r="C5" s="273"/>
      <c r="D5" s="273"/>
      <c r="E5" s="273"/>
      <c r="F5" s="273"/>
      <c r="G5" s="273"/>
      <c r="H5" s="273"/>
      <c r="I5" s="273"/>
      <c r="J5" s="273"/>
      <c r="K5" s="273"/>
      <c r="L5" s="273"/>
    </row>
    <row r="6" spans="1:35" x14ac:dyDescent="0.25">
      <c r="A6" s="104"/>
      <c r="B6" s="2"/>
      <c r="C6" s="2"/>
      <c r="D6" s="2"/>
      <c r="E6" s="104"/>
      <c r="F6" s="104"/>
      <c r="G6" s="33"/>
      <c r="H6" s="24"/>
      <c r="I6" s="24"/>
      <c r="J6" s="35"/>
      <c r="K6" s="2"/>
      <c r="L6" s="2"/>
    </row>
    <row r="7" spans="1:35" s="2" customFormat="1" ht="19.5" customHeight="1" x14ac:dyDescent="0.25">
      <c r="A7" s="268" t="s">
        <v>17</v>
      </c>
      <c r="B7" s="268" t="s">
        <v>30</v>
      </c>
      <c r="C7" s="268" t="s">
        <v>29</v>
      </c>
      <c r="D7" s="268" t="s">
        <v>24</v>
      </c>
      <c r="E7" s="269" t="s">
        <v>25</v>
      </c>
      <c r="F7" s="270"/>
      <c r="G7" s="271" t="s">
        <v>4</v>
      </c>
      <c r="H7" s="267" t="s">
        <v>7</v>
      </c>
      <c r="I7" s="267" t="s">
        <v>8</v>
      </c>
      <c r="J7" s="268" t="s">
        <v>5</v>
      </c>
      <c r="K7" s="268" t="s">
        <v>6</v>
      </c>
      <c r="L7" s="268"/>
      <c r="M7" s="14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</row>
    <row r="8" spans="1:35" s="37" customFormat="1" ht="30.75" customHeight="1" x14ac:dyDescent="0.25">
      <c r="A8" s="268"/>
      <c r="B8" s="268"/>
      <c r="C8" s="268"/>
      <c r="D8" s="268"/>
      <c r="E8" s="105" t="s">
        <v>19</v>
      </c>
      <c r="F8" s="105" t="s">
        <v>18</v>
      </c>
      <c r="G8" s="272"/>
      <c r="H8" s="267"/>
      <c r="I8" s="267"/>
      <c r="J8" s="268"/>
      <c r="K8" s="36" t="s">
        <v>10</v>
      </c>
      <c r="L8" s="105" t="s">
        <v>9</v>
      </c>
      <c r="M8" s="13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</row>
    <row r="9" spans="1:35" ht="21.75" customHeight="1" x14ac:dyDescent="0.25">
      <c r="A9" s="38" t="s">
        <v>11</v>
      </c>
      <c r="B9" s="38"/>
      <c r="C9" s="38"/>
      <c r="D9" s="38"/>
      <c r="E9" s="39"/>
      <c r="F9" s="39"/>
      <c r="G9" s="106"/>
      <c r="H9" s="39"/>
      <c r="I9" s="39"/>
      <c r="J9" s="40"/>
      <c r="K9" s="38"/>
      <c r="L9" s="39"/>
    </row>
    <row r="10" spans="1:35" s="30" customFormat="1" ht="21.75" customHeight="1" x14ac:dyDescent="0.25">
      <c r="A10" s="41" t="s">
        <v>12</v>
      </c>
      <c r="B10" s="22"/>
      <c r="C10" s="22"/>
      <c r="D10" s="42"/>
      <c r="E10" s="3">
        <f>SUBTOTAL(109,E11:E39)</f>
        <v>18</v>
      </c>
      <c r="F10" s="3">
        <f t="shared" ref="F10:M10" si="0">SUBTOTAL(109,F11:F39)</f>
        <v>3</v>
      </c>
      <c r="G10" s="107">
        <f t="shared" si="0"/>
        <v>4662429</v>
      </c>
      <c r="H10" s="3">
        <f t="shared" si="0"/>
        <v>0</v>
      </c>
      <c r="I10" s="3">
        <f t="shared" si="0"/>
        <v>0</v>
      </c>
      <c r="J10" s="3">
        <f t="shared" si="0"/>
        <v>0</v>
      </c>
      <c r="K10" s="3">
        <f t="shared" si="0"/>
        <v>0</v>
      </c>
      <c r="L10" s="3">
        <f t="shared" si="0"/>
        <v>0</v>
      </c>
      <c r="M10" s="3">
        <f t="shared" si="0"/>
        <v>0</v>
      </c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</row>
    <row r="11" spans="1:35" s="14" customFormat="1" ht="22.5" customHeight="1" x14ac:dyDescent="0.25">
      <c r="A11" s="7">
        <v>1</v>
      </c>
      <c r="B11" s="4" t="s">
        <v>36</v>
      </c>
      <c r="C11" s="5" t="s">
        <v>37</v>
      </c>
      <c r="D11" s="6" t="s">
        <v>38</v>
      </c>
      <c r="E11" s="7">
        <v>1</v>
      </c>
      <c r="F11" s="8"/>
      <c r="G11" s="10">
        <v>233702</v>
      </c>
      <c r="H11" s="11"/>
      <c r="I11" s="11"/>
      <c r="J11" s="23"/>
      <c r="K11" s="31" t="s">
        <v>20</v>
      </c>
      <c r="L11" s="5"/>
      <c r="M11" s="9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spans="1:35" s="70" customFormat="1" ht="22.5" customHeight="1" x14ac:dyDescent="0.25">
      <c r="A12" s="7">
        <v>2</v>
      </c>
      <c r="B12" s="63" t="s">
        <v>41</v>
      </c>
      <c r="C12" s="63" t="s">
        <v>42</v>
      </c>
      <c r="D12" s="64" t="s">
        <v>43</v>
      </c>
      <c r="E12" s="65">
        <v>1</v>
      </c>
      <c r="F12" s="65"/>
      <c r="G12" s="66">
        <v>171615</v>
      </c>
      <c r="H12" s="66"/>
      <c r="I12" s="66"/>
      <c r="J12" s="67"/>
      <c r="K12" s="68" t="s">
        <v>20</v>
      </c>
      <c r="L12" s="63"/>
      <c r="M12" s="68" t="s">
        <v>26</v>
      </c>
      <c r="N12" s="63" t="s">
        <v>57</v>
      </c>
      <c r="O12" s="63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</row>
    <row r="13" spans="1:35" s="13" customFormat="1" ht="22.5" customHeight="1" x14ac:dyDescent="0.25">
      <c r="A13" s="7">
        <v>3</v>
      </c>
      <c r="B13" s="19" t="s">
        <v>44</v>
      </c>
      <c r="C13" s="19" t="s">
        <v>45</v>
      </c>
      <c r="D13" s="20" t="s">
        <v>46</v>
      </c>
      <c r="E13" s="17">
        <v>1</v>
      </c>
      <c r="F13" s="17"/>
      <c r="G13" s="56">
        <v>233702</v>
      </c>
      <c r="H13" s="71"/>
      <c r="I13" s="56"/>
      <c r="J13" s="16"/>
      <c r="K13" s="31" t="s">
        <v>22</v>
      </c>
      <c r="L13" s="19"/>
      <c r="M13" s="31"/>
      <c r="N13" s="19"/>
      <c r="O13" s="25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</row>
    <row r="14" spans="1:35" s="13" customFormat="1" ht="22.5" customHeight="1" x14ac:dyDescent="0.25">
      <c r="A14" s="7">
        <v>4</v>
      </c>
      <c r="B14" s="28" t="s">
        <v>47</v>
      </c>
      <c r="C14" s="28" t="s">
        <v>48</v>
      </c>
      <c r="D14" s="29" t="s">
        <v>49</v>
      </c>
      <c r="E14" s="26">
        <v>2</v>
      </c>
      <c r="F14" s="26"/>
      <c r="G14" s="72">
        <v>509034</v>
      </c>
      <c r="H14" s="72"/>
      <c r="I14" s="72"/>
      <c r="J14" s="73"/>
      <c r="K14" s="74"/>
      <c r="L14" s="28" t="s">
        <v>9</v>
      </c>
      <c r="M14" s="74"/>
      <c r="N14" s="28"/>
      <c r="O14" s="28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</row>
    <row r="15" spans="1:35" s="13" customFormat="1" ht="22.5" customHeight="1" x14ac:dyDescent="0.25">
      <c r="A15" s="7">
        <v>5</v>
      </c>
      <c r="B15" s="21" t="s">
        <v>52</v>
      </c>
      <c r="C15" s="21" t="s">
        <v>50</v>
      </c>
      <c r="D15" s="75" t="s">
        <v>51</v>
      </c>
      <c r="E15" s="76">
        <v>2</v>
      </c>
      <c r="F15" s="76"/>
      <c r="G15" s="108">
        <v>928892</v>
      </c>
      <c r="H15" s="76"/>
      <c r="I15" s="21"/>
      <c r="J15" s="77"/>
      <c r="K15" s="77" t="s">
        <v>21</v>
      </c>
      <c r="L15" s="78"/>
      <c r="M15" s="76"/>
      <c r="N15" s="21"/>
      <c r="O15" s="79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</row>
    <row r="16" spans="1:35" s="13" customFormat="1" ht="22.5" customHeight="1" x14ac:dyDescent="0.25">
      <c r="A16" s="7">
        <v>6</v>
      </c>
      <c r="B16" s="28" t="s">
        <v>53</v>
      </c>
      <c r="C16" s="21" t="s">
        <v>54</v>
      </c>
      <c r="D16" s="75" t="s">
        <v>55</v>
      </c>
      <c r="E16" s="26">
        <v>1</v>
      </c>
      <c r="F16" s="26"/>
      <c r="G16" s="108">
        <v>171615</v>
      </c>
      <c r="H16" s="76"/>
      <c r="I16" s="21"/>
      <c r="J16" s="77"/>
      <c r="K16" s="77" t="s">
        <v>39</v>
      </c>
      <c r="L16" s="78"/>
      <c r="M16" s="76"/>
      <c r="N16" s="21" t="s">
        <v>56</v>
      </c>
      <c r="O16" s="79"/>
    </row>
    <row r="17" spans="1:37" s="89" customFormat="1" ht="19.5" customHeight="1" x14ac:dyDescent="0.25">
      <c r="A17" s="7">
        <v>7</v>
      </c>
      <c r="B17" s="83" t="s">
        <v>59</v>
      </c>
      <c r="C17" s="83" t="s">
        <v>50</v>
      </c>
      <c r="D17" s="84" t="s">
        <v>60</v>
      </c>
      <c r="E17" s="85">
        <v>1</v>
      </c>
      <c r="F17" s="85"/>
      <c r="G17" s="109">
        <v>232573</v>
      </c>
      <c r="H17" s="85"/>
      <c r="I17" s="83"/>
      <c r="J17" s="86" t="s">
        <v>65</v>
      </c>
      <c r="K17" s="96" t="s">
        <v>58</v>
      </c>
      <c r="L17" s="86"/>
      <c r="M17" s="85"/>
      <c r="N17" s="83" t="s">
        <v>66</v>
      </c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</row>
    <row r="18" spans="1:37" s="30" customFormat="1" ht="29.25" customHeight="1" x14ac:dyDescent="0.25">
      <c r="A18" s="7">
        <v>8</v>
      </c>
      <c r="B18" s="21" t="s">
        <v>61</v>
      </c>
      <c r="C18" s="21" t="s">
        <v>62</v>
      </c>
      <c r="D18" s="75" t="s">
        <v>63</v>
      </c>
      <c r="E18" s="76">
        <v>1</v>
      </c>
      <c r="F18" s="76"/>
      <c r="G18" s="108">
        <v>293531</v>
      </c>
      <c r="H18" s="76"/>
      <c r="I18" s="21"/>
      <c r="J18" s="82" t="s">
        <v>64</v>
      </c>
      <c r="K18" s="77" t="s">
        <v>39</v>
      </c>
      <c r="L18" s="82"/>
      <c r="M18" s="76"/>
      <c r="N18" s="21"/>
      <c r="O18" s="79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</row>
    <row r="19" spans="1:37" s="54" customFormat="1" ht="15.75" customHeight="1" x14ac:dyDescent="0.25">
      <c r="A19" s="7">
        <v>9</v>
      </c>
      <c r="B19" s="53" t="s">
        <v>67</v>
      </c>
      <c r="C19" s="53" t="s">
        <v>68</v>
      </c>
      <c r="D19" s="90" t="s">
        <v>69</v>
      </c>
      <c r="E19" s="91">
        <v>1</v>
      </c>
      <c r="F19" s="91"/>
      <c r="G19" s="110">
        <v>171615</v>
      </c>
      <c r="H19" s="91"/>
      <c r="I19" s="53"/>
      <c r="J19" s="92"/>
      <c r="K19" s="53" t="s">
        <v>35</v>
      </c>
      <c r="L19" s="93"/>
      <c r="M19" s="91"/>
      <c r="N19" s="53" t="s">
        <v>83</v>
      </c>
      <c r="O19" s="94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</row>
    <row r="20" spans="1:37" ht="15.75" x14ac:dyDescent="0.25">
      <c r="A20" s="7">
        <v>10</v>
      </c>
      <c r="B20" s="18" t="s">
        <v>70</v>
      </c>
      <c r="C20" s="18" t="s">
        <v>71</v>
      </c>
      <c r="D20" s="55" t="s">
        <v>72</v>
      </c>
      <c r="E20" s="46">
        <v>1</v>
      </c>
      <c r="F20" s="46"/>
      <c r="G20" s="111">
        <v>171615</v>
      </c>
      <c r="H20" s="46"/>
      <c r="I20" s="18"/>
      <c r="J20" s="47"/>
      <c r="K20" s="18" t="s">
        <v>35</v>
      </c>
      <c r="L20" s="48"/>
      <c r="M20" s="46"/>
      <c r="N20" s="18"/>
      <c r="O20" s="49"/>
      <c r="AJ20" s="32"/>
      <c r="AK20" s="32"/>
    </row>
    <row r="21" spans="1:37" ht="15.75" x14ac:dyDescent="0.25">
      <c r="A21" s="7">
        <v>11</v>
      </c>
      <c r="B21" s="18" t="s">
        <v>73</v>
      </c>
      <c r="C21" s="18" t="s">
        <v>74</v>
      </c>
      <c r="D21" s="55" t="s">
        <v>75</v>
      </c>
      <c r="E21" s="46">
        <v>1</v>
      </c>
      <c r="F21" s="46"/>
      <c r="G21" s="111">
        <v>171615</v>
      </c>
      <c r="H21" s="46"/>
      <c r="I21" s="18"/>
      <c r="J21" s="47"/>
      <c r="K21" s="18" t="s">
        <v>31</v>
      </c>
      <c r="L21" s="48"/>
      <c r="M21" s="46"/>
      <c r="N21" s="18"/>
      <c r="O21" s="49"/>
      <c r="AJ21" s="32"/>
      <c r="AK21" s="32"/>
    </row>
    <row r="22" spans="1:37" ht="15.75" x14ac:dyDescent="0.25">
      <c r="A22" s="7">
        <v>12</v>
      </c>
      <c r="B22" s="18" t="s">
        <v>76</v>
      </c>
      <c r="C22" s="18" t="s">
        <v>23</v>
      </c>
      <c r="D22" s="18"/>
      <c r="E22" s="46">
        <v>1</v>
      </c>
      <c r="F22" s="46"/>
      <c r="G22" s="111">
        <v>171615</v>
      </c>
      <c r="H22" s="46"/>
      <c r="I22" s="18"/>
      <c r="J22" s="47"/>
      <c r="K22" s="18" t="s">
        <v>16</v>
      </c>
      <c r="L22" s="48"/>
      <c r="M22" s="49" t="s">
        <v>32</v>
      </c>
      <c r="N22" s="18"/>
      <c r="O22" s="49"/>
      <c r="AJ22" s="32"/>
      <c r="AK22" s="32"/>
    </row>
    <row r="23" spans="1:37" ht="15.75" x14ac:dyDescent="0.25">
      <c r="A23" s="7">
        <v>13</v>
      </c>
      <c r="B23" s="18" t="s">
        <v>77</v>
      </c>
      <c r="C23" s="18" t="s">
        <v>78</v>
      </c>
      <c r="D23" s="18"/>
      <c r="E23" s="46">
        <v>1</v>
      </c>
      <c r="F23" s="46"/>
      <c r="G23" s="111">
        <v>171615</v>
      </c>
      <c r="H23" s="46"/>
      <c r="I23" s="18"/>
      <c r="J23" s="47"/>
      <c r="K23" s="18" t="s">
        <v>16</v>
      </c>
      <c r="L23" s="48"/>
      <c r="M23" s="49" t="s">
        <v>81</v>
      </c>
      <c r="N23" s="18"/>
      <c r="O23" s="49"/>
      <c r="AJ23" s="32"/>
      <c r="AK23" s="32"/>
    </row>
    <row r="24" spans="1:37" ht="15.75" x14ac:dyDescent="0.25">
      <c r="A24" s="7">
        <v>14</v>
      </c>
      <c r="B24" s="18" t="s">
        <v>79</v>
      </c>
      <c r="C24" s="18" t="s">
        <v>80</v>
      </c>
      <c r="D24" s="18"/>
      <c r="E24" s="46">
        <v>1</v>
      </c>
      <c r="F24" s="46"/>
      <c r="G24" s="111">
        <v>171615</v>
      </c>
      <c r="H24" s="46"/>
      <c r="I24" s="18"/>
      <c r="J24" s="47"/>
      <c r="K24" s="18" t="s">
        <v>16</v>
      </c>
      <c r="L24" s="48"/>
      <c r="M24" s="49" t="s">
        <v>82</v>
      </c>
      <c r="N24" s="18"/>
      <c r="O24" s="49"/>
      <c r="AJ24" s="32"/>
      <c r="AK24" s="32"/>
    </row>
    <row r="25" spans="1:37" s="27" customFormat="1" ht="15.75" x14ac:dyDescent="0.25">
      <c r="A25" s="7">
        <v>15</v>
      </c>
      <c r="B25" s="97" t="s">
        <v>86</v>
      </c>
      <c r="C25" s="98" t="s">
        <v>84</v>
      </c>
      <c r="D25" s="97" t="s">
        <v>85</v>
      </c>
      <c r="E25" s="99">
        <v>1</v>
      </c>
      <c r="F25" s="99"/>
      <c r="G25" s="112">
        <v>171615</v>
      </c>
      <c r="H25" s="99"/>
      <c r="I25" s="97"/>
      <c r="J25" s="100"/>
      <c r="K25" s="100" t="s">
        <v>20</v>
      </c>
      <c r="L25" s="101"/>
      <c r="M25" s="99"/>
      <c r="N25" s="97" t="s">
        <v>87</v>
      </c>
      <c r="O25" s="102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</row>
    <row r="26" spans="1:37" ht="15.75" x14ac:dyDescent="0.25">
      <c r="A26" s="7">
        <v>16</v>
      </c>
      <c r="B26" s="57" t="s">
        <v>88</v>
      </c>
      <c r="C26" s="57" t="s">
        <v>23</v>
      </c>
      <c r="D26" s="58" t="s">
        <v>89</v>
      </c>
      <c r="E26" s="59">
        <v>1</v>
      </c>
      <c r="F26" s="59"/>
      <c r="G26" s="113">
        <v>171615</v>
      </c>
      <c r="H26" s="59"/>
      <c r="I26" s="57"/>
      <c r="J26" s="60"/>
      <c r="K26" s="60" t="s">
        <v>28</v>
      </c>
      <c r="L26" s="61"/>
      <c r="M26" s="62" t="s">
        <v>90</v>
      </c>
      <c r="N26" s="57"/>
      <c r="O26" s="62"/>
    </row>
    <row r="27" spans="1:37" ht="15.75" x14ac:dyDescent="0.25">
      <c r="A27" s="7">
        <v>17</v>
      </c>
      <c r="B27" s="18" t="s">
        <v>92</v>
      </c>
      <c r="C27" s="18" t="s">
        <v>93</v>
      </c>
      <c r="D27" s="55" t="s">
        <v>94</v>
      </c>
      <c r="E27" s="50"/>
      <c r="F27" s="51">
        <v>1</v>
      </c>
      <c r="G27" s="110">
        <v>171615</v>
      </c>
      <c r="H27" s="52"/>
      <c r="I27" s="53"/>
      <c r="J27" s="47"/>
      <c r="K27" s="47"/>
      <c r="L27" s="80"/>
      <c r="M27" s="46" t="s">
        <v>91</v>
      </c>
      <c r="N27" s="18"/>
      <c r="O27" s="49"/>
      <c r="AJ27" s="32"/>
      <c r="AK27" s="32"/>
    </row>
    <row r="28" spans="1:37" ht="15.75" x14ac:dyDescent="0.25">
      <c r="A28" s="7">
        <v>18</v>
      </c>
      <c r="B28" s="18" t="s">
        <v>95</v>
      </c>
      <c r="C28" s="18" t="s">
        <v>96</v>
      </c>
      <c r="D28" s="55" t="s">
        <v>97</v>
      </c>
      <c r="E28" s="50"/>
      <c r="F28" s="51">
        <v>1</v>
      </c>
      <c r="G28" s="110">
        <v>171615</v>
      </c>
      <c r="H28" s="52"/>
      <c r="I28" s="53"/>
      <c r="J28" s="47"/>
      <c r="K28" s="47"/>
      <c r="L28" s="80"/>
      <c r="M28" s="46" t="s">
        <v>91</v>
      </c>
      <c r="N28" s="18"/>
      <c r="O28" s="49"/>
      <c r="AJ28" s="32"/>
      <c r="AK28" s="32"/>
    </row>
    <row r="29" spans="1:37" ht="15.75" x14ac:dyDescent="0.25">
      <c r="A29" s="7">
        <v>19</v>
      </c>
      <c r="B29" s="18" t="s">
        <v>98</v>
      </c>
      <c r="C29" s="18" t="s">
        <v>99</v>
      </c>
      <c r="D29" s="55" t="s">
        <v>100</v>
      </c>
      <c r="E29" s="50"/>
      <c r="F29" s="51">
        <v>1</v>
      </c>
      <c r="G29" s="110">
        <v>171615</v>
      </c>
      <c r="H29" s="52"/>
      <c r="I29" s="53"/>
      <c r="J29" s="47"/>
      <c r="K29" s="47"/>
      <c r="L29" s="80"/>
      <c r="M29" s="46" t="s">
        <v>27</v>
      </c>
      <c r="N29" s="18"/>
      <c r="O29" s="49"/>
      <c r="AJ29" s="32"/>
      <c r="AK29" s="32"/>
    </row>
  </sheetData>
  <mergeCells count="16">
    <mergeCell ref="A5:L5"/>
    <mergeCell ref="A1:C1"/>
    <mergeCell ref="D1:L1"/>
    <mergeCell ref="A2:C2"/>
    <mergeCell ref="D2:L2"/>
    <mergeCell ref="A4:L4"/>
    <mergeCell ref="H7:H8"/>
    <mergeCell ref="I7:I8"/>
    <mergeCell ref="J7:J8"/>
    <mergeCell ref="K7:L7"/>
    <mergeCell ref="A7:A8"/>
    <mergeCell ref="B7:B8"/>
    <mergeCell ref="C7:C8"/>
    <mergeCell ref="D7:D8"/>
    <mergeCell ref="E7:F7"/>
    <mergeCell ref="G7:G8"/>
  </mergeCells>
  <conditionalFormatting sqref="B11">
    <cfRule type="duplicateValues" dxfId="41" priority="35"/>
  </conditionalFormatting>
  <conditionalFormatting sqref="B12:B14">
    <cfRule type="duplicateValues" dxfId="40" priority="33"/>
  </conditionalFormatting>
  <conditionalFormatting sqref="B15">
    <cfRule type="duplicateValues" dxfId="39" priority="32"/>
  </conditionalFormatting>
  <conditionalFormatting sqref="B16">
    <cfRule type="duplicateValues" dxfId="38" priority="31"/>
  </conditionalFormatting>
  <conditionalFormatting sqref="B17">
    <cfRule type="duplicateValues" dxfId="37" priority="30"/>
  </conditionalFormatting>
  <conditionalFormatting sqref="B18">
    <cfRule type="duplicateValues" dxfId="36" priority="36"/>
  </conditionalFormatting>
  <conditionalFormatting sqref="B19:B20">
    <cfRule type="duplicateValues" dxfId="35" priority="27"/>
    <cfRule type="duplicateValues" dxfId="34" priority="28"/>
    <cfRule type="duplicateValues" dxfId="33" priority="29"/>
  </conditionalFormatting>
  <conditionalFormatting sqref="B21">
    <cfRule type="duplicateValues" dxfId="32" priority="24"/>
    <cfRule type="duplicateValues" dxfId="31" priority="25"/>
    <cfRule type="duplicateValues" dxfId="30" priority="26"/>
  </conditionalFormatting>
  <conditionalFormatting sqref="B22:B24">
    <cfRule type="duplicateValues" dxfId="29" priority="21"/>
    <cfRule type="duplicateValues" dxfId="28" priority="22"/>
    <cfRule type="duplicateValues" dxfId="27" priority="23"/>
  </conditionalFormatting>
  <conditionalFormatting sqref="B25">
    <cfRule type="duplicateValues" dxfId="26" priority="17"/>
    <cfRule type="duplicateValues" dxfId="25" priority="18"/>
    <cfRule type="duplicateValues" dxfId="24" priority="19"/>
    <cfRule type="duplicateValues" dxfId="23" priority="20"/>
  </conditionalFormatting>
  <conditionalFormatting sqref="B26">
    <cfRule type="duplicateValues" dxfId="22" priority="13"/>
    <cfRule type="duplicateValues" dxfId="21" priority="14"/>
    <cfRule type="duplicateValues" dxfId="20" priority="15"/>
    <cfRule type="duplicateValues" dxfId="19" priority="16"/>
  </conditionalFormatting>
  <conditionalFormatting sqref="B27">
    <cfRule type="duplicateValues" dxfId="18" priority="9"/>
    <cfRule type="duplicateValues" dxfId="17" priority="10"/>
    <cfRule type="duplicateValues" dxfId="16" priority="11"/>
    <cfRule type="duplicateValues" dxfId="15" priority="12"/>
  </conditionalFormatting>
  <conditionalFormatting sqref="B28">
    <cfRule type="duplicateValues" dxfId="14" priority="5"/>
    <cfRule type="duplicateValues" dxfId="13" priority="6"/>
    <cfRule type="duplicateValues" dxfId="12" priority="7"/>
    <cfRule type="duplicateValues" dxfId="11" priority="8"/>
  </conditionalFormatting>
  <conditionalFormatting sqref="B29">
    <cfRule type="duplicateValues" dxfId="10" priority="1"/>
    <cfRule type="duplicateValues" dxfId="9" priority="2"/>
    <cfRule type="duplicateValues" dxfId="8" priority="3"/>
    <cfRule type="duplicateValues" dxfId="7" priority="4"/>
  </conditionalFormatting>
  <conditionalFormatting sqref="D11">
    <cfRule type="duplicateValues" dxfId="6" priority="34"/>
  </conditionalFormatting>
  <pageMargins left="0.2" right="0.2" top="0.25" bottom="0.2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O146"/>
  <sheetViews>
    <sheetView workbookViewId="0">
      <pane ySplit="1335" topLeftCell="A118" activePane="bottomLeft"/>
      <selection activeCell="D150" sqref="D150"/>
      <selection pane="bottomLeft" activeCell="A108" sqref="A108"/>
    </sheetView>
  </sheetViews>
  <sheetFormatPr defaultColWidth="9.140625" defaultRowHeight="15" x14ac:dyDescent="0.25"/>
  <cols>
    <col min="1" max="1" width="7.7109375" style="115" customWidth="1"/>
    <col min="2" max="2" width="39.140625" style="118" customWidth="1"/>
    <col min="3" max="3" width="27.140625" style="146" customWidth="1"/>
    <col min="4" max="4" width="44.140625" style="146" customWidth="1"/>
    <col min="5" max="6" width="10.28515625" style="146" customWidth="1"/>
    <col min="7" max="7" width="13.85546875" style="117" customWidth="1"/>
    <col min="8" max="8" width="18.42578125" style="115" customWidth="1"/>
    <col min="9" max="9" width="21" style="115" customWidth="1"/>
    <col min="10" max="10" width="13.28515625" style="115" customWidth="1"/>
    <col min="11" max="11" width="18" style="115" customWidth="1"/>
    <col min="12" max="12" width="17.85546875" style="81" customWidth="1"/>
    <col min="13" max="13" width="10.42578125" style="137" customWidth="1"/>
    <col min="14" max="14" width="18.85546875" style="115" customWidth="1"/>
    <col min="15" max="15" width="11.28515625" style="115" customWidth="1"/>
    <col min="16" max="16384" width="9.140625" style="115"/>
  </cols>
  <sheetData>
    <row r="2" spans="2:13" ht="2.25" customHeight="1" x14ac:dyDescent="0.25"/>
    <row r="3" spans="2:13" s="122" customFormat="1" ht="36.75" customHeight="1" x14ac:dyDescent="0.25">
      <c r="B3" s="123"/>
      <c r="C3" s="147" t="s">
        <v>446</v>
      </c>
      <c r="D3" s="147"/>
      <c r="E3" s="147"/>
      <c r="F3" s="147"/>
      <c r="G3" s="134" t="s">
        <v>445</v>
      </c>
      <c r="H3" s="124" t="s">
        <v>441</v>
      </c>
      <c r="I3" s="124" t="s">
        <v>442</v>
      </c>
      <c r="J3" s="124" t="s">
        <v>24</v>
      </c>
      <c r="K3" s="124" t="s">
        <v>443</v>
      </c>
      <c r="L3" s="132" t="s">
        <v>448</v>
      </c>
      <c r="M3" s="134" t="s">
        <v>444</v>
      </c>
    </row>
    <row r="4" spans="2:13" ht="32.25" customHeight="1" x14ac:dyDescent="0.25">
      <c r="B4" s="118" t="s">
        <v>105</v>
      </c>
      <c r="C4" s="133" t="s">
        <v>447</v>
      </c>
      <c r="D4" s="133"/>
      <c r="E4" s="133"/>
      <c r="F4" s="133"/>
      <c r="G4" s="125" t="s">
        <v>796</v>
      </c>
      <c r="H4" s="79"/>
      <c r="I4" s="79"/>
      <c r="J4" s="79"/>
      <c r="K4" s="79"/>
      <c r="L4" s="126"/>
      <c r="M4" s="127"/>
    </row>
    <row r="5" spans="2:13" ht="45" x14ac:dyDescent="0.25">
      <c r="B5" s="118" t="s">
        <v>106</v>
      </c>
      <c r="C5" s="133" t="s">
        <v>152</v>
      </c>
      <c r="D5" s="133"/>
      <c r="E5" s="133"/>
      <c r="F5" s="133"/>
      <c r="G5" s="125" t="s">
        <v>796</v>
      </c>
      <c r="H5" s="79"/>
      <c r="I5" s="79"/>
      <c r="J5" s="79"/>
      <c r="K5" s="79"/>
      <c r="L5" s="126"/>
      <c r="M5" s="127"/>
    </row>
    <row r="6" spans="2:13" ht="49.5" x14ac:dyDescent="0.25">
      <c r="B6" s="142" t="s">
        <v>107</v>
      </c>
      <c r="C6" s="133" t="s">
        <v>153</v>
      </c>
      <c r="D6" s="133"/>
      <c r="E6" s="133"/>
      <c r="F6" s="133"/>
      <c r="G6" s="125" t="s">
        <v>796</v>
      </c>
      <c r="H6" s="79"/>
      <c r="I6" s="79"/>
      <c r="J6" s="79"/>
      <c r="K6" s="79"/>
      <c r="L6" s="126"/>
      <c r="M6" s="127"/>
    </row>
    <row r="7" spans="2:13" ht="45" x14ac:dyDescent="0.25">
      <c r="B7" s="118" t="s">
        <v>108</v>
      </c>
      <c r="C7" s="133" t="s">
        <v>152</v>
      </c>
      <c r="D7" s="133"/>
      <c r="E7" s="133"/>
      <c r="F7" s="133"/>
      <c r="G7" s="125" t="s">
        <v>796</v>
      </c>
      <c r="H7" s="79"/>
      <c r="I7" s="79"/>
      <c r="J7" s="79"/>
      <c r="K7" s="79"/>
      <c r="L7" s="126"/>
      <c r="M7" s="127"/>
    </row>
    <row r="8" spans="2:13" ht="45" x14ac:dyDescent="0.25">
      <c r="B8" s="118" t="s">
        <v>109</v>
      </c>
      <c r="C8" s="133" t="s">
        <v>151</v>
      </c>
      <c r="D8" s="133"/>
      <c r="E8" s="133"/>
      <c r="F8" s="133"/>
      <c r="G8" s="125" t="s">
        <v>796</v>
      </c>
      <c r="H8" s="79"/>
      <c r="I8" s="79"/>
      <c r="J8" s="79"/>
      <c r="K8" s="79"/>
      <c r="L8" s="126"/>
      <c r="M8" s="127"/>
    </row>
    <row r="9" spans="2:13" ht="39" customHeight="1" x14ac:dyDescent="0.25">
      <c r="B9" s="118" t="s">
        <v>110</v>
      </c>
      <c r="C9" s="133" t="s">
        <v>151</v>
      </c>
      <c r="D9" s="133"/>
      <c r="E9" s="133"/>
      <c r="F9" s="133"/>
      <c r="G9" s="125" t="s">
        <v>796</v>
      </c>
      <c r="H9" s="79"/>
      <c r="I9" s="79"/>
      <c r="J9" s="79"/>
      <c r="K9" s="79"/>
      <c r="L9" s="126"/>
      <c r="M9" s="138" t="s">
        <v>579</v>
      </c>
    </row>
    <row r="10" spans="2:13" ht="60" x14ac:dyDescent="0.25">
      <c r="B10" s="118" t="s">
        <v>111</v>
      </c>
      <c r="C10" s="133" t="s">
        <v>151</v>
      </c>
      <c r="D10" s="133"/>
      <c r="E10" s="133"/>
      <c r="F10" s="133"/>
      <c r="G10" s="125" t="s">
        <v>796</v>
      </c>
      <c r="H10" s="79"/>
      <c r="I10" s="79"/>
      <c r="J10" s="79"/>
      <c r="K10" s="79"/>
      <c r="L10" s="126"/>
      <c r="M10" s="138" t="s">
        <v>579</v>
      </c>
    </row>
    <row r="11" spans="2:13" ht="66" x14ac:dyDescent="0.25">
      <c r="B11" s="142" t="s">
        <v>112</v>
      </c>
      <c r="C11" s="133" t="s">
        <v>150</v>
      </c>
      <c r="D11" s="133"/>
      <c r="E11" s="133"/>
      <c r="F11" s="133"/>
      <c r="G11" s="125" t="s">
        <v>796</v>
      </c>
      <c r="H11" s="79"/>
      <c r="I11" s="79"/>
      <c r="J11" s="79"/>
      <c r="K11" s="79"/>
      <c r="L11" s="126"/>
      <c r="M11" s="127"/>
    </row>
    <row r="12" spans="2:13" ht="45" x14ac:dyDescent="0.25">
      <c r="B12" s="118" t="s">
        <v>113</v>
      </c>
      <c r="C12" s="133" t="s">
        <v>149</v>
      </c>
      <c r="D12" s="133"/>
      <c r="E12" s="133"/>
      <c r="F12" s="133"/>
      <c r="G12" s="125" t="s">
        <v>796</v>
      </c>
      <c r="H12" s="79"/>
      <c r="I12" s="79"/>
      <c r="J12" s="79"/>
      <c r="K12" s="79"/>
      <c r="L12" s="126"/>
      <c r="M12" s="127"/>
    </row>
    <row r="13" spans="2:13" ht="45" x14ac:dyDescent="0.25">
      <c r="B13" s="118" t="s">
        <v>114</v>
      </c>
      <c r="C13" s="133" t="s">
        <v>149</v>
      </c>
      <c r="D13" s="133"/>
      <c r="E13" s="133"/>
      <c r="F13" s="133"/>
      <c r="G13" s="125" t="s">
        <v>796</v>
      </c>
      <c r="H13" s="79"/>
      <c r="I13" s="79"/>
      <c r="J13" s="79"/>
      <c r="K13" s="79"/>
      <c r="L13" s="126"/>
      <c r="M13" s="127"/>
    </row>
    <row r="14" spans="2:13" ht="49.5" x14ac:dyDescent="0.25">
      <c r="B14" s="142" t="s">
        <v>115</v>
      </c>
      <c r="C14" s="133" t="s">
        <v>116</v>
      </c>
      <c r="D14" s="133"/>
      <c r="E14" s="133"/>
      <c r="F14" s="133"/>
      <c r="G14" s="125" t="s">
        <v>796</v>
      </c>
      <c r="H14" s="79"/>
      <c r="I14" s="79"/>
      <c r="J14" s="79"/>
      <c r="K14" s="79"/>
      <c r="L14" s="126"/>
      <c r="M14" s="127"/>
    </row>
    <row r="15" spans="2:13" ht="49.5" x14ac:dyDescent="0.25">
      <c r="B15" s="142" t="s">
        <v>118</v>
      </c>
      <c r="C15" s="133" t="s">
        <v>148</v>
      </c>
      <c r="D15" s="133"/>
      <c r="E15" s="133"/>
      <c r="F15" s="133"/>
      <c r="G15" s="125" t="s">
        <v>796</v>
      </c>
      <c r="H15" s="79"/>
      <c r="I15" s="79"/>
      <c r="J15" s="79"/>
      <c r="K15" s="79"/>
      <c r="L15" s="126"/>
      <c r="M15" s="127"/>
    </row>
    <row r="16" spans="2:13" ht="30" x14ac:dyDescent="0.25">
      <c r="B16" s="118" t="s">
        <v>119</v>
      </c>
      <c r="C16" s="133" t="s">
        <v>120</v>
      </c>
      <c r="D16" s="133"/>
      <c r="E16" s="133"/>
      <c r="F16" s="133"/>
      <c r="G16" s="125" t="s">
        <v>796</v>
      </c>
      <c r="H16" s="79"/>
      <c r="I16" s="79"/>
      <c r="J16" s="79"/>
      <c r="K16" s="79"/>
      <c r="L16" s="126"/>
      <c r="M16" s="127"/>
    </row>
    <row r="17" spans="1:13" ht="60" x14ac:dyDescent="0.25">
      <c r="B17" s="118" t="s">
        <v>121</v>
      </c>
      <c r="C17" s="133" t="s">
        <v>145</v>
      </c>
      <c r="D17" s="133"/>
      <c r="E17" s="133"/>
      <c r="F17" s="133"/>
      <c r="G17" s="125" t="s">
        <v>796</v>
      </c>
      <c r="H17" s="79"/>
      <c r="I17" s="79"/>
      <c r="J17" s="79"/>
      <c r="K17" s="79"/>
      <c r="L17" s="126"/>
      <c r="M17" s="127"/>
    </row>
    <row r="18" spans="1:13" ht="30" x14ac:dyDescent="0.25">
      <c r="B18" s="118" t="s">
        <v>122</v>
      </c>
      <c r="C18" s="133" t="s">
        <v>147</v>
      </c>
      <c r="D18" s="133"/>
      <c r="E18" s="133"/>
      <c r="F18" s="133"/>
      <c r="G18" s="125" t="s">
        <v>796</v>
      </c>
      <c r="H18" s="79"/>
      <c r="I18" s="79"/>
      <c r="J18" s="79"/>
      <c r="K18" s="79"/>
      <c r="L18" s="126"/>
      <c r="M18" s="127"/>
    </row>
    <row r="19" spans="1:13" ht="49.5" x14ac:dyDescent="0.25">
      <c r="B19" s="142" t="s">
        <v>123</v>
      </c>
      <c r="C19" s="133" t="s">
        <v>673</v>
      </c>
      <c r="D19" s="133"/>
      <c r="E19" s="133"/>
      <c r="F19" s="133"/>
      <c r="G19" s="125" t="s">
        <v>672</v>
      </c>
      <c r="H19" s="79"/>
      <c r="I19" s="79"/>
      <c r="J19" s="79"/>
      <c r="K19" s="79"/>
      <c r="L19" s="126"/>
      <c r="M19" s="127"/>
    </row>
    <row r="20" spans="1:13" ht="49.5" x14ac:dyDescent="0.25">
      <c r="A20" s="119" t="s">
        <v>129</v>
      </c>
      <c r="B20" s="142" t="s">
        <v>127</v>
      </c>
      <c r="C20" s="133" t="s">
        <v>128</v>
      </c>
      <c r="D20" s="133"/>
      <c r="E20" s="133"/>
      <c r="F20" s="133"/>
      <c r="G20" s="125" t="s">
        <v>796</v>
      </c>
      <c r="H20" s="79"/>
      <c r="I20" s="79"/>
      <c r="J20" s="79"/>
      <c r="K20" s="79"/>
      <c r="L20" s="126"/>
      <c r="M20" s="127"/>
    </row>
    <row r="21" spans="1:13" ht="66" x14ac:dyDescent="0.25">
      <c r="B21" s="142" t="s">
        <v>130</v>
      </c>
      <c r="C21" s="133" t="s">
        <v>142</v>
      </c>
      <c r="D21" s="133"/>
      <c r="E21" s="133"/>
      <c r="F21" s="133"/>
      <c r="G21" s="125" t="s">
        <v>796</v>
      </c>
      <c r="H21" s="79"/>
      <c r="I21" s="79"/>
      <c r="J21" s="79"/>
      <c r="K21" s="79"/>
      <c r="L21" s="127" t="s">
        <v>165</v>
      </c>
      <c r="M21" s="127"/>
    </row>
    <row r="22" spans="1:13" ht="45" x14ac:dyDescent="0.25">
      <c r="B22" s="118" t="s">
        <v>131</v>
      </c>
      <c r="C22" s="133" t="s">
        <v>142</v>
      </c>
      <c r="D22" s="133"/>
      <c r="E22" s="133"/>
      <c r="F22" s="133"/>
      <c r="G22" s="125" t="s">
        <v>796</v>
      </c>
      <c r="H22" s="79"/>
      <c r="I22" s="79"/>
      <c r="J22" s="79"/>
      <c r="K22" s="79"/>
      <c r="L22" s="126"/>
      <c r="M22" s="127"/>
    </row>
    <row r="23" spans="1:13" ht="82.5" x14ac:dyDescent="0.25">
      <c r="B23" s="142" t="s">
        <v>133</v>
      </c>
      <c r="C23" s="133" t="s">
        <v>143</v>
      </c>
      <c r="D23" s="133"/>
      <c r="E23" s="133"/>
      <c r="F23" s="133"/>
      <c r="G23" s="125" t="s">
        <v>417</v>
      </c>
      <c r="H23" s="79"/>
      <c r="I23" s="79"/>
      <c r="J23" s="79"/>
      <c r="K23" s="79"/>
      <c r="L23" s="126"/>
      <c r="M23" s="127"/>
    </row>
    <row r="24" spans="1:13" ht="60" x14ac:dyDescent="0.25">
      <c r="B24" s="118" t="s">
        <v>134</v>
      </c>
      <c r="C24" s="133" t="s">
        <v>144</v>
      </c>
      <c r="D24" s="133"/>
      <c r="E24" s="133"/>
      <c r="F24" s="133"/>
      <c r="G24" s="125" t="s">
        <v>796</v>
      </c>
      <c r="H24" s="79"/>
      <c r="I24" s="79"/>
      <c r="J24" s="79"/>
      <c r="K24" s="79"/>
      <c r="L24" s="126"/>
      <c r="M24" s="127"/>
    </row>
    <row r="25" spans="1:13" ht="45.75" customHeight="1" x14ac:dyDescent="0.25">
      <c r="B25" s="118" t="s">
        <v>135</v>
      </c>
      <c r="C25" s="133" t="s">
        <v>144</v>
      </c>
      <c r="D25" s="133"/>
      <c r="E25" s="133"/>
      <c r="F25" s="133"/>
      <c r="G25" s="125" t="s">
        <v>796</v>
      </c>
      <c r="H25" s="79"/>
      <c r="I25" s="79"/>
      <c r="J25" s="79"/>
      <c r="K25" s="79"/>
      <c r="L25" s="126"/>
      <c r="M25" s="127"/>
    </row>
    <row r="26" spans="1:13" ht="30" x14ac:dyDescent="0.25">
      <c r="B26" s="118" t="s">
        <v>136</v>
      </c>
      <c r="C26" s="133" t="s">
        <v>137</v>
      </c>
      <c r="D26" s="133"/>
      <c r="E26" s="133"/>
      <c r="F26" s="133"/>
      <c r="G26" s="125" t="s">
        <v>796</v>
      </c>
      <c r="H26" s="79"/>
      <c r="I26" s="79"/>
      <c r="J26" s="79"/>
      <c r="K26" s="79"/>
      <c r="L26" s="126"/>
      <c r="M26" s="127"/>
    </row>
    <row r="27" spans="1:13" x14ac:dyDescent="0.25">
      <c r="B27" s="118" t="s">
        <v>138</v>
      </c>
      <c r="C27" s="133" t="s">
        <v>139</v>
      </c>
      <c r="D27" s="133"/>
      <c r="E27" s="133"/>
      <c r="F27" s="133"/>
      <c r="G27" s="125" t="s">
        <v>796</v>
      </c>
      <c r="H27" s="79"/>
      <c r="I27" s="79"/>
      <c r="J27" s="79"/>
      <c r="K27" s="79"/>
      <c r="L27" s="126"/>
      <c r="M27" s="127"/>
    </row>
    <row r="28" spans="1:13" ht="27.75" customHeight="1" x14ac:dyDescent="0.25">
      <c r="B28" s="118" t="s">
        <v>140</v>
      </c>
      <c r="C28" s="133" t="s">
        <v>141</v>
      </c>
      <c r="D28" s="133"/>
      <c r="E28" s="133"/>
      <c r="F28" s="133"/>
      <c r="G28" s="125" t="s">
        <v>796</v>
      </c>
      <c r="H28" s="79"/>
      <c r="I28" s="79"/>
      <c r="J28" s="79"/>
      <c r="K28" s="79"/>
      <c r="L28" s="126"/>
      <c r="M28" s="127"/>
    </row>
    <row r="29" spans="1:13" ht="30" x14ac:dyDescent="0.25">
      <c r="B29" s="118" t="s">
        <v>154</v>
      </c>
      <c r="C29" s="133" t="s">
        <v>155</v>
      </c>
      <c r="D29" s="133"/>
      <c r="E29" s="133"/>
      <c r="F29" s="133"/>
      <c r="G29" s="125" t="s">
        <v>796</v>
      </c>
      <c r="H29" s="79"/>
      <c r="I29" s="79"/>
      <c r="J29" s="79"/>
      <c r="K29" s="79"/>
      <c r="L29" s="126"/>
      <c r="M29" s="127"/>
    </row>
    <row r="30" spans="1:13" ht="49.5" x14ac:dyDescent="0.25">
      <c r="A30" s="120" t="s">
        <v>157</v>
      </c>
      <c r="B30" s="142" t="s">
        <v>159</v>
      </c>
      <c r="C30" s="133" t="s">
        <v>158</v>
      </c>
      <c r="D30" s="133"/>
      <c r="E30" s="133"/>
      <c r="F30" s="133"/>
      <c r="G30" s="125" t="s">
        <v>796</v>
      </c>
      <c r="H30" s="79"/>
      <c r="I30" s="79"/>
      <c r="J30" s="79"/>
      <c r="K30" s="79"/>
      <c r="L30" s="126"/>
      <c r="M30" s="127"/>
    </row>
    <row r="31" spans="1:13" ht="45" x14ac:dyDescent="0.25">
      <c r="A31" s="120" t="s">
        <v>157</v>
      </c>
      <c r="B31" s="118" t="s">
        <v>160</v>
      </c>
      <c r="C31" s="133" t="s">
        <v>161</v>
      </c>
      <c r="D31" s="133"/>
      <c r="E31" s="133"/>
      <c r="F31" s="133"/>
      <c r="G31" s="125" t="s">
        <v>796</v>
      </c>
      <c r="H31" s="79"/>
      <c r="I31" s="79"/>
      <c r="J31" s="79"/>
      <c r="K31" s="79"/>
      <c r="L31" s="126"/>
      <c r="M31" s="127"/>
    </row>
    <row r="32" spans="1:13" ht="30" x14ac:dyDescent="0.25">
      <c r="B32" s="118" t="s">
        <v>166</v>
      </c>
      <c r="C32" s="133" t="s">
        <v>167</v>
      </c>
      <c r="D32" s="133"/>
      <c r="E32" s="133"/>
      <c r="F32" s="133"/>
      <c r="G32" s="125" t="s">
        <v>796</v>
      </c>
      <c r="H32" s="79"/>
      <c r="I32" s="79"/>
      <c r="J32" s="79"/>
      <c r="K32" s="79"/>
      <c r="L32" s="126"/>
      <c r="M32" s="127"/>
    </row>
    <row r="33" spans="1:13" ht="33" x14ac:dyDescent="0.25">
      <c r="B33" s="142" t="s">
        <v>168</v>
      </c>
      <c r="C33" s="133" t="s">
        <v>120</v>
      </c>
      <c r="D33" s="133"/>
      <c r="E33" s="133"/>
      <c r="F33" s="133"/>
      <c r="G33" s="125" t="s">
        <v>796</v>
      </c>
      <c r="H33" s="79"/>
      <c r="I33" s="79"/>
      <c r="J33" s="79"/>
      <c r="K33" s="79"/>
      <c r="L33" s="126"/>
      <c r="M33" s="138" t="s">
        <v>420</v>
      </c>
    </row>
    <row r="34" spans="1:13" ht="45" x14ac:dyDescent="0.25">
      <c r="A34" s="120" t="s">
        <v>169</v>
      </c>
      <c r="B34" s="118" t="s">
        <v>170</v>
      </c>
      <c r="C34" s="133" t="s">
        <v>171</v>
      </c>
      <c r="D34" s="133"/>
      <c r="E34" s="133"/>
      <c r="F34" s="133"/>
      <c r="G34" s="125" t="s">
        <v>796</v>
      </c>
      <c r="H34" s="79"/>
      <c r="I34" s="79"/>
      <c r="J34" s="79"/>
      <c r="K34" s="79"/>
      <c r="L34" s="126"/>
      <c r="M34" s="138" t="s">
        <v>491</v>
      </c>
    </row>
    <row r="35" spans="1:13" ht="45.75" customHeight="1" x14ac:dyDescent="0.25">
      <c r="A35" s="120" t="s">
        <v>157</v>
      </c>
      <c r="B35" s="118" t="s">
        <v>172</v>
      </c>
      <c r="C35" s="133" t="s">
        <v>173</v>
      </c>
      <c r="D35" s="133"/>
      <c r="E35" s="133"/>
      <c r="F35" s="133"/>
      <c r="G35" s="125" t="s">
        <v>796</v>
      </c>
      <c r="H35" s="79"/>
      <c r="I35" s="79"/>
      <c r="J35" s="79"/>
      <c r="K35" s="79"/>
      <c r="L35" s="126"/>
      <c r="M35" s="138" t="s">
        <v>451</v>
      </c>
    </row>
    <row r="36" spans="1:13" ht="30" x14ac:dyDescent="0.25">
      <c r="A36" s="120" t="s">
        <v>157</v>
      </c>
      <c r="B36" s="118" t="s">
        <v>174</v>
      </c>
      <c r="C36" s="133" t="s">
        <v>175</v>
      </c>
      <c r="D36" s="133"/>
      <c r="E36" s="133"/>
      <c r="F36" s="133"/>
      <c r="G36" s="125" t="s">
        <v>796</v>
      </c>
      <c r="H36" s="79"/>
      <c r="I36" s="79"/>
      <c r="J36" s="79"/>
      <c r="K36" s="79"/>
      <c r="L36" s="126"/>
      <c r="M36" s="127"/>
    </row>
    <row r="37" spans="1:13" ht="30" x14ac:dyDescent="0.25">
      <c r="A37" s="120" t="s">
        <v>157</v>
      </c>
      <c r="B37" s="118" t="s">
        <v>176</v>
      </c>
      <c r="C37" s="133" t="s">
        <v>177</v>
      </c>
      <c r="D37" s="133"/>
      <c r="E37" s="133"/>
      <c r="F37" s="133"/>
      <c r="G37" s="125" t="s">
        <v>796</v>
      </c>
      <c r="H37" s="79"/>
      <c r="I37" s="79"/>
      <c r="J37" s="79"/>
      <c r="K37" s="79"/>
      <c r="L37" s="126"/>
      <c r="M37" s="127"/>
    </row>
    <row r="38" spans="1:13" ht="60" x14ac:dyDescent="0.25">
      <c r="B38" s="118" t="s">
        <v>180</v>
      </c>
      <c r="C38" s="133" t="s">
        <v>178</v>
      </c>
      <c r="D38" s="133"/>
      <c r="E38" s="133"/>
      <c r="F38" s="133"/>
      <c r="G38" s="125"/>
      <c r="H38" s="79"/>
      <c r="I38" s="79"/>
      <c r="J38" s="79"/>
      <c r="K38" s="79"/>
      <c r="L38" s="129" t="s">
        <v>179</v>
      </c>
      <c r="M38" s="127"/>
    </row>
    <row r="39" spans="1:13" ht="30" x14ac:dyDescent="0.25">
      <c r="B39" s="118" t="s">
        <v>182</v>
      </c>
      <c r="C39" s="133" t="s">
        <v>181</v>
      </c>
      <c r="D39" s="133"/>
      <c r="E39" s="133"/>
      <c r="F39" s="133"/>
      <c r="G39" s="125" t="s">
        <v>796</v>
      </c>
      <c r="H39" s="79"/>
      <c r="I39" s="79"/>
      <c r="J39" s="79"/>
      <c r="K39" s="79"/>
      <c r="L39" s="126"/>
      <c r="M39" s="127"/>
    </row>
    <row r="40" spans="1:13" ht="45" x14ac:dyDescent="0.25">
      <c r="A40" s="120" t="s">
        <v>169</v>
      </c>
      <c r="B40" s="118" t="s">
        <v>183</v>
      </c>
      <c r="C40" s="133" t="s">
        <v>184</v>
      </c>
      <c r="D40" s="133"/>
      <c r="E40" s="133"/>
      <c r="F40" s="133"/>
      <c r="G40" s="125" t="s">
        <v>796</v>
      </c>
      <c r="H40" s="79"/>
      <c r="I40" s="79"/>
      <c r="J40" s="79"/>
      <c r="K40" s="79"/>
      <c r="L40" s="126"/>
      <c r="M40" s="138" t="s">
        <v>450</v>
      </c>
    </row>
    <row r="41" spans="1:13" ht="49.5" x14ac:dyDescent="0.25">
      <c r="A41" s="120" t="s">
        <v>169</v>
      </c>
      <c r="B41" s="142" t="s">
        <v>404</v>
      </c>
      <c r="C41" s="133" t="s">
        <v>405</v>
      </c>
      <c r="D41" s="133"/>
      <c r="E41" s="133"/>
      <c r="F41" s="133"/>
      <c r="G41" s="125" t="s">
        <v>796</v>
      </c>
      <c r="H41" s="28"/>
      <c r="I41" s="28"/>
      <c r="J41" s="28"/>
      <c r="K41" s="28"/>
      <c r="L41" s="26"/>
      <c r="M41" s="136" t="s">
        <v>414</v>
      </c>
    </row>
    <row r="42" spans="1:13" ht="30" x14ac:dyDescent="0.25">
      <c r="B42" s="118" t="s">
        <v>407</v>
      </c>
      <c r="C42" s="133" t="s">
        <v>142</v>
      </c>
      <c r="D42" s="133"/>
      <c r="E42" s="133"/>
      <c r="F42" s="133"/>
      <c r="G42" s="125" t="s">
        <v>796</v>
      </c>
      <c r="H42" s="28"/>
      <c r="I42" s="28"/>
      <c r="J42" s="28"/>
      <c r="K42" s="28"/>
      <c r="L42" s="131" t="s">
        <v>408</v>
      </c>
      <c r="M42" s="135"/>
    </row>
    <row r="43" spans="1:13" ht="31.5" customHeight="1" x14ac:dyDescent="0.25">
      <c r="B43" s="118" t="s">
        <v>410</v>
      </c>
      <c r="C43" s="133" t="s">
        <v>411</v>
      </c>
      <c r="D43" s="133"/>
      <c r="E43" s="133"/>
      <c r="F43" s="133"/>
      <c r="G43" s="125" t="s">
        <v>796</v>
      </c>
      <c r="H43" s="28"/>
      <c r="I43" s="28"/>
      <c r="J43" s="28"/>
      <c r="K43" s="28"/>
      <c r="L43" s="26"/>
      <c r="M43" s="135"/>
    </row>
    <row r="44" spans="1:13" ht="45" x14ac:dyDescent="0.25">
      <c r="A44" s="120" t="s">
        <v>414</v>
      </c>
      <c r="B44" s="118" t="s">
        <v>413</v>
      </c>
      <c r="C44" s="133" t="s">
        <v>415</v>
      </c>
      <c r="D44" s="133"/>
      <c r="E44" s="133"/>
      <c r="F44" s="133"/>
      <c r="G44" s="125" t="s">
        <v>796</v>
      </c>
      <c r="H44" s="28"/>
      <c r="I44" s="28"/>
      <c r="J44" s="28"/>
      <c r="K44" s="28"/>
      <c r="L44" s="26"/>
      <c r="M44" s="135"/>
    </row>
    <row r="45" spans="1:13" ht="52.5" customHeight="1" x14ac:dyDescent="0.25">
      <c r="A45" s="120" t="s">
        <v>414</v>
      </c>
      <c r="B45" s="118" t="s">
        <v>418</v>
      </c>
      <c r="C45" s="133" t="s">
        <v>419</v>
      </c>
      <c r="D45" s="133"/>
      <c r="E45" s="133"/>
      <c r="F45" s="133"/>
      <c r="G45" s="125" t="s">
        <v>796</v>
      </c>
      <c r="H45" s="28"/>
      <c r="I45" s="28"/>
      <c r="J45" s="28"/>
      <c r="K45" s="28"/>
      <c r="L45" s="26"/>
      <c r="M45" s="135"/>
    </row>
    <row r="46" spans="1:13" ht="33" x14ac:dyDescent="0.25">
      <c r="A46" s="120" t="s">
        <v>420</v>
      </c>
      <c r="B46" s="142" t="s">
        <v>421</v>
      </c>
      <c r="C46" s="133" t="s">
        <v>422</v>
      </c>
      <c r="D46" s="133"/>
      <c r="E46" s="133"/>
      <c r="F46" s="133"/>
      <c r="G46" s="125" t="s">
        <v>796</v>
      </c>
      <c r="H46" s="28"/>
      <c r="I46" s="28"/>
      <c r="J46" s="28"/>
      <c r="K46" s="28"/>
      <c r="L46" s="26"/>
      <c r="M46" s="136" t="s">
        <v>460</v>
      </c>
    </row>
    <row r="47" spans="1:13" ht="66" x14ac:dyDescent="0.25">
      <c r="A47" s="120" t="s">
        <v>420</v>
      </c>
      <c r="B47" s="142" t="s">
        <v>423</v>
      </c>
      <c r="C47" s="133" t="s">
        <v>424</v>
      </c>
      <c r="D47" s="133"/>
      <c r="E47" s="133"/>
      <c r="F47" s="133"/>
      <c r="G47" s="125" t="s">
        <v>796</v>
      </c>
      <c r="H47" s="28"/>
      <c r="I47" s="28"/>
      <c r="J47" s="28"/>
      <c r="K47" s="28"/>
      <c r="L47" s="26"/>
      <c r="M47" s="136" t="s">
        <v>451</v>
      </c>
    </row>
    <row r="48" spans="1:13" ht="27.75" customHeight="1" x14ac:dyDescent="0.25">
      <c r="A48" s="120" t="s">
        <v>420</v>
      </c>
      <c r="B48" s="118" t="s">
        <v>425</v>
      </c>
      <c r="C48" s="133" t="s">
        <v>411</v>
      </c>
      <c r="D48" s="133"/>
      <c r="E48" s="133"/>
      <c r="F48" s="133"/>
      <c r="G48" s="125" t="s">
        <v>796</v>
      </c>
      <c r="H48" s="28"/>
      <c r="I48" s="28"/>
      <c r="J48" s="28"/>
      <c r="K48" s="28"/>
      <c r="L48" s="26"/>
      <c r="M48" s="135"/>
    </row>
    <row r="49" spans="1:13" ht="45" x14ac:dyDescent="0.25">
      <c r="A49" s="120" t="s">
        <v>420</v>
      </c>
      <c r="B49" s="118" t="s">
        <v>426</v>
      </c>
      <c r="C49" s="133" t="s">
        <v>427</v>
      </c>
      <c r="D49" s="133"/>
      <c r="E49" s="133"/>
      <c r="F49" s="133"/>
      <c r="G49" s="125" t="s">
        <v>796</v>
      </c>
      <c r="H49" s="28"/>
      <c r="I49" s="28"/>
      <c r="J49" s="28"/>
      <c r="K49" s="28"/>
      <c r="L49" s="26"/>
      <c r="M49" s="136" t="s">
        <v>460</v>
      </c>
    </row>
    <row r="50" spans="1:13" ht="49.5" customHeight="1" x14ac:dyDescent="0.25">
      <c r="A50" s="120" t="s">
        <v>420</v>
      </c>
      <c r="B50" s="118" t="s">
        <v>439</v>
      </c>
      <c r="C50" s="133" t="s">
        <v>440</v>
      </c>
      <c r="D50" s="133"/>
      <c r="E50" s="133"/>
      <c r="F50" s="133"/>
      <c r="G50" s="125" t="s">
        <v>796</v>
      </c>
      <c r="H50" s="28" t="s">
        <v>461</v>
      </c>
      <c r="I50" s="28" t="s">
        <v>462</v>
      </c>
      <c r="J50" s="28"/>
      <c r="K50" s="28" t="s">
        <v>406</v>
      </c>
      <c r="L50" s="26"/>
      <c r="M50" s="135"/>
    </row>
    <row r="51" spans="1:13" ht="33.75" customHeight="1" x14ac:dyDescent="0.25">
      <c r="A51" s="120" t="s">
        <v>420</v>
      </c>
      <c r="B51" s="118" t="s">
        <v>449</v>
      </c>
      <c r="C51" s="133" t="s">
        <v>428</v>
      </c>
      <c r="D51" s="133"/>
      <c r="E51" s="133"/>
      <c r="F51" s="133"/>
      <c r="G51" s="125" t="s">
        <v>796</v>
      </c>
      <c r="H51" s="28" t="s">
        <v>463</v>
      </c>
      <c r="I51" s="28" t="s">
        <v>464</v>
      </c>
      <c r="J51" s="29" t="s">
        <v>465</v>
      </c>
      <c r="K51" s="28" t="s">
        <v>406</v>
      </c>
      <c r="L51" s="26"/>
      <c r="M51" s="135"/>
    </row>
    <row r="52" spans="1:13" ht="39" customHeight="1" x14ac:dyDescent="0.25">
      <c r="A52" s="120" t="s">
        <v>420</v>
      </c>
      <c r="C52" s="133" t="s">
        <v>434</v>
      </c>
      <c r="D52" s="133"/>
      <c r="E52" s="133"/>
      <c r="F52" s="133"/>
      <c r="G52" s="125" t="s">
        <v>796</v>
      </c>
      <c r="H52" s="28" t="s">
        <v>430</v>
      </c>
      <c r="I52" s="28" t="s">
        <v>431</v>
      </c>
      <c r="J52" s="29" t="s">
        <v>432</v>
      </c>
      <c r="K52" s="28" t="s">
        <v>433</v>
      </c>
      <c r="L52" s="130"/>
      <c r="M52" s="136" t="s">
        <v>455</v>
      </c>
    </row>
    <row r="53" spans="1:13" ht="39" customHeight="1" x14ac:dyDescent="0.25">
      <c r="A53" s="120" t="s">
        <v>420</v>
      </c>
      <c r="C53" s="133" t="s">
        <v>438</v>
      </c>
      <c r="D53" s="133"/>
      <c r="E53" s="133"/>
      <c r="F53" s="133"/>
      <c r="G53" s="125" t="s">
        <v>796</v>
      </c>
      <c r="H53" s="28" t="s">
        <v>435</v>
      </c>
      <c r="I53" s="28" t="s">
        <v>436</v>
      </c>
      <c r="J53" s="29" t="s">
        <v>437</v>
      </c>
      <c r="K53" s="28" t="s">
        <v>416</v>
      </c>
      <c r="L53" s="130"/>
      <c r="M53" s="136" t="s">
        <v>451</v>
      </c>
    </row>
    <row r="54" spans="1:13" ht="58.5" customHeight="1" x14ac:dyDescent="0.25">
      <c r="A54" s="120" t="s">
        <v>451</v>
      </c>
      <c r="B54" s="148" t="s">
        <v>452</v>
      </c>
      <c r="C54" s="133" t="s">
        <v>675</v>
      </c>
      <c r="D54" s="133"/>
      <c r="E54" s="133"/>
      <c r="F54" s="133"/>
      <c r="G54" s="116" t="s">
        <v>674</v>
      </c>
      <c r="H54" s="28"/>
      <c r="I54" s="28" t="s">
        <v>453</v>
      </c>
      <c r="J54" s="29" t="s">
        <v>454</v>
      </c>
      <c r="K54" s="28" t="s">
        <v>409</v>
      </c>
      <c r="L54" s="130" t="s">
        <v>455</v>
      </c>
      <c r="M54" s="135"/>
    </row>
    <row r="55" spans="1:13" ht="39" customHeight="1" x14ac:dyDescent="0.25">
      <c r="A55" s="120" t="s">
        <v>451</v>
      </c>
      <c r="B55" s="148" t="s">
        <v>456</v>
      </c>
      <c r="C55" s="133" t="s">
        <v>146</v>
      </c>
      <c r="D55" s="133"/>
      <c r="E55" s="133"/>
      <c r="F55" s="133"/>
      <c r="G55" s="116" t="s">
        <v>674</v>
      </c>
      <c r="H55" s="28" t="s">
        <v>457</v>
      </c>
      <c r="I55" s="28" t="s">
        <v>458</v>
      </c>
      <c r="J55" s="29" t="s">
        <v>459</v>
      </c>
      <c r="K55" s="28" t="s">
        <v>104</v>
      </c>
      <c r="L55" s="130" t="s">
        <v>451</v>
      </c>
      <c r="M55" s="136"/>
    </row>
    <row r="56" spans="1:13" ht="39" customHeight="1" x14ac:dyDescent="0.25">
      <c r="A56" s="120" t="s">
        <v>451</v>
      </c>
      <c r="B56" s="118" t="s">
        <v>466</v>
      </c>
      <c r="C56" s="133" t="s">
        <v>467</v>
      </c>
      <c r="D56" s="133"/>
      <c r="E56" s="133"/>
      <c r="F56" s="133"/>
      <c r="G56" s="125" t="s">
        <v>796</v>
      </c>
      <c r="H56" s="28" t="s">
        <v>468</v>
      </c>
      <c r="I56" s="28" t="s">
        <v>469</v>
      </c>
      <c r="J56" s="29" t="s">
        <v>669</v>
      </c>
      <c r="K56" s="28" t="s">
        <v>406</v>
      </c>
      <c r="L56" s="130" t="s">
        <v>455</v>
      </c>
      <c r="M56" s="135"/>
    </row>
    <row r="57" spans="1:13" ht="39" customHeight="1" x14ac:dyDescent="0.25">
      <c r="A57" s="120" t="s">
        <v>451</v>
      </c>
      <c r="B57" s="118" t="s">
        <v>470</v>
      </c>
      <c r="C57" s="133" t="s">
        <v>635</v>
      </c>
      <c r="D57" s="133"/>
      <c r="E57" s="133"/>
      <c r="F57" s="133"/>
      <c r="G57" s="125" t="s">
        <v>796</v>
      </c>
      <c r="H57" s="28" t="s">
        <v>470</v>
      </c>
      <c r="I57" s="121" t="s">
        <v>472</v>
      </c>
      <c r="J57" s="29" t="s">
        <v>471</v>
      </c>
      <c r="K57" s="28" t="s">
        <v>412</v>
      </c>
      <c r="L57" s="130" t="s">
        <v>475</v>
      </c>
      <c r="M57" s="135"/>
    </row>
    <row r="58" spans="1:13" ht="39" customHeight="1" x14ac:dyDescent="0.25">
      <c r="A58" s="120" t="s">
        <v>455</v>
      </c>
      <c r="B58" s="118" t="s">
        <v>473</v>
      </c>
      <c r="C58" s="133" t="s">
        <v>634</v>
      </c>
      <c r="D58" s="133"/>
      <c r="E58" s="133"/>
      <c r="F58" s="133"/>
      <c r="G58" s="125" t="s">
        <v>796</v>
      </c>
      <c r="H58" s="140" t="s">
        <v>473</v>
      </c>
      <c r="I58" s="28" t="s">
        <v>476</v>
      </c>
      <c r="J58" s="29" t="s">
        <v>477</v>
      </c>
      <c r="K58" s="28" t="s">
        <v>412</v>
      </c>
      <c r="L58" s="130" t="s">
        <v>475</v>
      </c>
      <c r="M58" s="135"/>
    </row>
    <row r="59" spans="1:13" ht="39" customHeight="1" x14ac:dyDescent="0.25">
      <c r="A59" s="120" t="s">
        <v>450</v>
      </c>
      <c r="B59" s="141" t="s">
        <v>480</v>
      </c>
      <c r="C59" s="133" t="s">
        <v>9</v>
      </c>
      <c r="D59" s="133"/>
      <c r="E59" s="133"/>
      <c r="F59" s="133"/>
      <c r="G59" s="125" t="s">
        <v>796</v>
      </c>
      <c r="H59" s="140" t="s">
        <v>474</v>
      </c>
      <c r="I59" s="28" t="s">
        <v>479</v>
      </c>
      <c r="J59" s="29" t="s">
        <v>478</v>
      </c>
      <c r="K59" s="28" t="s">
        <v>412</v>
      </c>
      <c r="L59" s="26"/>
      <c r="M59" s="135"/>
    </row>
    <row r="60" spans="1:13" ht="39" customHeight="1" x14ac:dyDescent="0.25">
      <c r="A60" s="120" t="s">
        <v>455</v>
      </c>
      <c r="B60" s="118" t="s">
        <v>481</v>
      </c>
      <c r="C60" s="133" t="s">
        <v>482</v>
      </c>
      <c r="D60" s="133"/>
      <c r="E60" s="133"/>
      <c r="F60" s="133"/>
      <c r="G60" s="125" t="s">
        <v>796</v>
      </c>
      <c r="H60" s="28" t="s">
        <v>483</v>
      </c>
      <c r="I60" s="28" t="s">
        <v>484</v>
      </c>
      <c r="J60" s="29" t="s">
        <v>485</v>
      </c>
      <c r="K60" s="28" t="s">
        <v>406</v>
      </c>
      <c r="L60" s="128" t="s">
        <v>455</v>
      </c>
      <c r="M60" s="135"/>
    </row>
    <row r="61" spans="1:13" ht="48.75" customHeight="1" x14ac:dyDescent="0.25">
      <c r="A61" s="120" t="s">
        <v>455</v>
      </c>
      <c r="B61" s="118" t="s">
        <v>486</v>
      </c>
      <c r="C61" s="133" t="s">
        <v>487</v>
      </c>
      <c r="D61" s="133"/>
      <c r="E61" s="133"/>
      <c r="F61" s="133"/>
      <c r="G61" s="125" t="s">
        <v>796</v>
      </c>
      <c r="H61" s="28" t="s">
        <v>488</v>
      </c>
      <c r="I61" s="28" t="s">
        <v>489</v>
      </c>
      <c r="J61" s="29" t="s">
        <v>490</v>
      </c>
      <c r="K61" s="28" t="s">
        <v>406</v>
      </c>
      <c r="L61" s="130" t="s">
        <v>491</v>
      </c>
      <c r="M61" s="135"/>
    </row>
    <row r="62" spans="1:13" ht="39" customHeight="1" x14ac:dyDescent="0.25">
      <c r="A62" s="120" t="s">
        <v>455</v>
      </c>
      <c r="C62" s="133" t="s">
        <v>492</v>
      </c>
      <c r="D62" s="133"/>
      <c r="E62" s="133"/>
      <c r="F62" s="133"/>
      <c r="G62" s="125" t="s">
        <v>796</v>
      </c>
      <c r="H62" s="28" t="s">
        <v>493</v>
      </c>
      <c r="I62" s="28"/>
      <c r="J62" s="29" t="s">
        <v>495</v>
      </c>
      <c r="K62" s="28" t="s">
        <v>494</v>
      </c>
      <c r="L62" s="130" t="s">
        <v>491</v>
      </c>
      <c r="M62" s="136" t="s">
        <v>542</v>
      </c>
    </row>
    <row r="63" spans="1:13" ht="45" customHeight="1" x14ac:dyDescent="0.25">
      <c r="A63" s="120" t="s">
        <v>455</v>
      </c>
      <c r="B63" s="118" t="s">
        <v>496</v>
      </c>
      <c r="C63" s="133" t="s">
        <v>497</v>
      </c>
      <c r="D63" s="133"/>
      <c r="E63" s="133"/>
      <c r="F63" s="133"/>
      <c r="G63" s="125" t="s">
        <v>796</v>
      </c>
      <c r="H63" s="28" t="s">
        <v>498</v>
      </c>
      <c r="I63" s="28"/>
      <c r="J63" s="29" t="s">
        <v>499</v>
      </c>
      <c r="K63" s="28" t="s">
        <v>103</v>
      </c>
      <c r="L63" s="130" t="s">
        <v>491</v>
      </c>
      <c r="M63" s="136" t="s">
        <v>491</v>
      </c>
    </row>
    <row r="64" spans="1:13" ht="39" customHeight="1" x14ac:dyDescent="0.25">
      <c r="A64" s="120" t="s">
        <v>455</v>
      </c>
      <c r="B64" s="118" t="s">
        <v>500</v>
      </c>
      <c r="C64" s="133" t="s">
        <v>501</v>
      </c>
      <c r="D64" s="133"/>
      <c r="E64" s="133"/>
      <c r="F64" s="133"/>
      <c r="G64" s="125" t="s">
        <v>796</v>
      </c>
      <c r="H64" s="28" t="s">
        <v>502</v>
      </c>
      <c r="I64" s="28" t="s">
        <v>503</v>
      </c>
      <c r="J64" s="29" t="s">
        <v>504</v>
      </c>
      <c r="K64" s="28" t="s">
        <v>406</v>
      </c>
      <c r="L64" s="26"/>
      <c r="M64" s="135"/>
    </row>
    <row r="65" spans="1:13" ht="47.25" customHeight="1" x14ac:dyDescent="0.25">
      <c r="A65" s="120" t="s">
        <v>455</v>
      </c>
      <c r="B65" s="118" t="s">
        <v>505</v>
      </c>
      <c r="C65" s="133" t="s">
        <v>507</v>
      </c>
      <c r="D65" s="133"/>
      <c r="E65" s="133"/>
      <c r="F65" s="133"/>
      <c r="G65" s="125" t="s">
        <v>796</v>
      </c>
      <c r="H65" s="28" t="s">
        <v>32</v>
      </c>
      <c r="I65" s="28"/>
      <c r="J65" s="29" t="s">
        <v>506</v>
      </c>
      <c r="K65" s="28" t="s">
        <v>406</v>
      </c>
      <c r="L65" s="130" t="s">
        <v>491</v>
      </c>
      <c r="M65" s="136" t="s">
        <v>491</v>
      </c>
    </row>
    <row r="66" spans="1:13" ht="54" customHeight="1" x14ac:dyDescent="0.25">
      <c r="A66" s="120" t="s">
        <v>455</v>
      </c>
      <c r="B66" s="118" t="s">
        <v>508</v>
      </c>
      <c r="C66" s="133" t="s">
        <v>509</v>
      </c>
      <c r="D66" s="133"/>
      <c r="E66" s="133"/>
      <c r="F66" s="133"/>
      <c r="G66" s="125" t="s">
        <v>796</v>
      </c>
      <c r="H66" s="28" t="s">
        <v>511</v>
      </c>
      <c r="I66" s="121" t="s">
        <v>514</v>
      </c>
      <c r="J66" s="29" t="s">
        <v>512</v>
      </c>
      <c r="K66" s="28" t="s">
        <v>513</v>
      </c>
      <c r="L66" s="130" t="s">
        <v>510</v>
      </c>
      <c r="M66" s="136" t="s">
        <v>542</v>
      </c>
    </row>
    <row r="67" spans="1:13" ht="39" customHeight="1" x14ac:dyDescent="0.25">
      <c r="A67" s="120" t="s">
        <v>455</v>
      </c>
      <c r="C67" s="133" t="s">
        <v>9</v>
      </c>
      <c r="D67" s="133"/>
      <c r="E67" s="133"/>
      <c r="F67" s="133"/>
      <c r="G67" s="125" t="s">
        <v>796</v>
      </c>
      <c r="H67" s="28"/>
      <c r="I67" s="28" t="s">
        <v>516</v>
      </c>
      <c r="J67" s="29" t="s">
        <v>515</v>
      </c>
      <c r="K67" s="28" t="s">
        <v>412</v>
      </c>
      <c r="L67" s="26"/>
      <c r="M67" s="136" t="s">
        <v>475</v>
      </c>
    </row>
    <row r="68" spans="1:13" ht="39" customHeight="1" x14ac:dyDescent="0.25">
      <c r="A68" s="120" t="s">
        <v>455</v>
      </c>
      <c r="B68" s="118" t="s">
        <v>517</v>
      </c>
      <c r="C68" s="133" t="s">
        <v>518</v>
      </c>
      <c r="D68" s="133"/>
      <c r="E68" s="133"/>
      <c r="F68" s="133"/>
      <c r="G68" s="125" t="s">
        <v>796</v>
      </c>
      <c r="H68" s="28"/>
      <c r="I68" s="28" t="s">
        <v>520</v>
      </c>
      <c r="J68" s="29" t="s">
        <v>519</v>
      </c>
      <c r="K68" s="28" t="s">
        <v>103</v>
      </c>
      <c r="L68" s="26"/>
      <c r="M68" s="135"/>
    </row>
    <row r="69" spans="1:13" ht="39" customHeight="1" x14ac:dyDescent="0.25">
      <c r="A69" s="120" t="s">
        <v>455</v>
      </c>
      <c r="B69" s="118" t="s">
        <v>521</v>
      </c>
      <c r="C69" s="133" t="s">
        <v>522</v>
      </c>
      <c r="D69" s="133"/>
      <c r="E69" s="133"/>
      <c r="F69" s="133"/>
      <c r="G69" s="125" t="s">
        <v>796</v>
      </c>
      <c r="H69" s="28" t="s">
        <v>523</v>
      </c>
      <c r="I69" s="28" t="s">
        <v>524</v>
      </c>
      <c r="J69" s="29" t="s">
        <v>525</v>
      </c>
      <c r="K69" s="28" t="s">
        <v>406</v>
      </c>
      <c r="L69" s="130" t="s">
        <v>491</v>
      </c>
      <c r="M69" s="136" t="s">
        <v>491</v>
      </c>
    </row>
    <row r="70" spans="1:13" ht="56.25" customHeight="1" x14ac:dyDescent="0.25">
      <c r="A70" s="120" t="s">
        <v>491</v>
      </c>
      <c r="B70" s="118" t="s">
        <v>526</v>
      </c>
      <c r="C70" s="133" t="s">
        <v>492</v>
      </c>
      <c r="D70" s="133"/>
      <c r="E70" s="133"/>
      <c r="F70" s="133"/>
      <c r="G70" s="125" t="s">
        <v>796</v>
      </c>
      <c r="H70" s="28" t="s">
        <v>527</v>
      </c>
      <c r="I70" s="28" t="s">
        <v>528</v>
      </c>
      <c r="J70" s="29" t="s">
        <v>529</v>
      </c>
      <c r="K70" s="28" t="s">
        <v>104</v>
      </c>
      <c r="L70" s="26"/>
      <c r="M70" s="136" t="s">
        <v>542</v>
      </c>
    </row>
    <row r="71" spans="1:13" ht="56.25" customHeight="1" x14ac:dyDescent="0.25">
      <c r="A71" s="120" t="s">
        <v>491</v>
      </c>
      <c r="B71" s="118" t="s">
        <v>530</v>
      </c>
      <c r="C71" s="133" t="s">
        <v>428</v>
      </c>
      <c r="D71" s="133"/>
      <c r="E71" s="133"/>
      <c r="F71" s="133"/>
      <c r="G71" s="125" t="s">
        <v>796</v>
      </c>
      <c r="H71" s="28" t="s">
        <v>531</v>
      </c>
      <c r="I71" s="121" t="s">
        <v>534</v>
      </c>
      <c r="J71" s="29" t="s">
        <v>532</v>
      </c>
      <c r="K71" s="28" t="s">
        <v>533</v>
      </c>
      <c r="L71" s="130" t="s">
        <v>475</v>
      </c>
      <c r="M71" s="136" t="s">
        <v>542</v>
      </c>
    </row>
    <row r="72" spans="1:13" ht="45" customHeight="1" x14ac:dyDescent="0.2">
      <c r="A72" s="120" t="s">
        <v>491</v>
      </c>
      <c r="B72" s="143" t="s">
        <v>535</v>
      </c>
      <c r="C72" s="133" t="s">
        <v>536</v>
      </c>
      <c r="D72" s="133"/>
      <c r="E72" s="133"/>
      <c r="F72" s="133"/>
      <c r="G72" s="125" t="s">
        <v>796</v>
      </c>
      <c r="H72" s="28" t="s">
        <v>537</v>
      </c>
      <c r="I72" s="28" t="s">
        <v>538</v>
      </c>
      <c r="J72" s="29" t="s">
        <v>539</v>
      </c>
      <c r="K72" s="28" t="s">
        <v>540</v>
      </c>
      <c r="L72" s="130" t="s">
        <v>624</v>
      </c>
      <c r="M72" s="136" t="s">
        <v>510</v>
      </c>
    </row>
    <row r="73" spans="1:13" ht="39" customHeight="1" x14ac:dyDescent="0.25">
      <c r="A73" s="120" t="s">
        <v>541</v>
      </c>
      <c r="B73" s="148" t="s">
        <v>543</v>
      </c>
      <c r="C73" s="133" t="s">
        <v>644</v>
      </c>
      <c r="D73" s="133"/>
      <c r="E73" s="133"/>
      <c r="F73" s="133"/>
      <c r="G73" s="116"/>
      <c r="H73" s="28" t="s">
        <v>544</v>
      </c>
      <c r="I73" s="28" t="s">
        <v>545</v>
      </c>
      <c r="J73" s="29" t="s">
        <v>546</v>
      </c>
      <c r="K73" s="28" t="s">
        <v>547</v>
      </c>
      <c r="L73" s="26"/>
      <c r="M73" s="136" t="s">
        <v>594</v>
      </c>
    </row>
    <row r="74" spans="1:13" ht="39" customHeight="1" x14ac:dyDescent="0.25">
      <c r="A74" s="120" t="s">
        <v>541</v>
      </c>
      <c r="B74" s="118" t="s">
        <v>548</v>
      </c>
      <c r="C74" s="133" t="s">
        <v>549</v>
      </c>
      <c r="D74" s="133"/>
      <c r="E74" s="133"/>
      <c r="F74" s="133"/>
      <c r="G74" s="125" t="s">
        <v>796</v>
      </c>
      <c r="H74" s="28" t="s">
        <v>550</v>
      </c>
      <c r="I74" s="28" t="s">
        <v>551</v>
      </c>
      <c r="J74" s="29" t="s">
        <v>552</v>
      </c>
      <c r="K74" s="28" t="s">
        <v>132</v>
      </c>
      <c r="L74" s="26"/>
      <c r="M74" s="136" t="s">
        <v>542</v>
      </c>
    </row>
    <row r="75" spans="1:13" ht="48.75" customHeight="1" x14ac:dyDescent="0.25">
      <c r="A75" s="120" t="s">
        <v>542</v>
      </c>
      <c r="B75" s="118" t="s">
        <v>553</v>
      </c>
      <c r="C75" s="133" t="s">
        <v>625</v>
      </c>
      <c r="D75" s="133"/>
      <c r="E75" s="133"/>
      <c r="F75" s="133"/>
      <c r="G75" s="145" t="s">
        <v>626</v>
      </c>
      <c r="H75" s="28" t="s">
        <v>429</v>
      </c>
      <c r="I75" s="28"/>
      <c r="J75" s="29" t="s">
        <v>554</v>
      </c>
      <c r="K75" s="28" t="s">
        <v>132</v>
      </c>
      <c r="L75" s="26"/>
      <c r="M75" s="136"/>
    </row>
    <row r="76" spans="1:13" ht="49.5" customHeight="1" x14ac:dyDescent="0.25">
      <c r="A76" s="120" t="s">
        <v>542</v>
      </c>
      <c r="B76" s="118" t="s">
        <v>555</v>
      </c>
      <c r="C76" s="133" t="s">
        <v>145</v>
      </c>
      <c r="D76" s="133"/>
      <c r="E76" s="133"/>
      <c r="F76" s="133"/>
      <c r="G76" s="125" t="s">
        <v>796</v>
      </c>
      <c r="H76" s="28" t="s">
        <v>556</v>
      </c>
      <c r="I76" s="28" t="s">
        <v>557</v>
      </c>
      <c r="J76" s="29" t="s">
        <v>558</v>
      </c>
      <c r="K76" s="28" t="s">
        <v>132</v>
      </c>
      <c r="L76" s="26"/>
      <c r="M76" s="135"/>
    </row>
    <row r="77" spans="1:13" ht="39" customHeight="1" x14ac:dyDescent="0.25">
      <c r="A77" s="120" t="s">
        <v>542</v>
      </c>
      <c r="B77" s="118" t="s">
        <v>559</v>
      </c>
      <c r="C77" s="133" t="s">
        <v>411</v>
      </c>
      <c r="D77" s="133"/>
      <c r="E77" s="133"/>
      <c r="F77" s="133"/>
      <c r="G77" s="125" t="s">
        <v>796</v>
      </c>
      <c r="H77" s="28" t="s">
        <v>560</v>
      </c>
      <c r="I77" s="28" t="s">
        <v>561</v>
      </c>
      <c r="J77" s="29" t="s">
        <v>562</v>
      </c>
      <c r="K77" s="28" t="s">
        <v>563</v>
      </c>
      <c r="L77" s="26"/>
      <c r="M77" s="135"/>
    </row>
    <row r="78" spans="1:13" ht="57.75" customHeight="1" x14ac:dyDescent="0.25">
      <c r="A78" s="120" t="s">
        <v>542</v>
      </c>
      <c r="B78" s="148" t="s">
        <v>564</v>
      </c>
      <c r="C78" s="133" t="s">
        <v>492</v>
      </c>
      <c r="D78" s="133"/>
      <c r="E78" s="133"/>
      <c r="F78" s="133"/>
      <c r="G78" s="125" t="s">
        <v>796</v>
      </c>
      <c r="H78" s="28" t="s">
        <v>565</v>
      </c>
      <c r="I78" s="28" t="s">
        <v>566</v>
      </c>
      <c r="J78" s="29" t="s">
        <v>567</v>
      </c>
      <c r="K78" s="28" t="s">
        <v>104</v>
      </c>
      <c r="L78" s="26" t="s">
        <v>510</v>
      </c>
      <c r="M78" s="135"/>
    </row>
    <row r="79" spans="1:13" ht="39" customHeight="1" x14ac:dyDescent="0.25">
      <c r="A79" s="120" t="s">
        <v>542</v>
      </c>
      <c r="B79" s="118" t="s">
        <v>568</v>
      </c>
      <c r="C79" s="133" t="s">
        <v>569</v>
      </c>
      <c r="D79" s="133"/>
      <c r="E79" s="133"/>
      <c r="F79" s="133"/>
      <c r="G79" s="125" t="s">
        <v>796</v>
      </c>
      <c r="H79" s="28"/>
      <c r="I79" s="28" t="s">
        <v>571</v>
      </c>
      <c r="J79" s="29" t="s">
        <v>570</v>
      </c>
      <c r="K79" s="28" t="s">
        <v>132</v>
      </c>
      <c r="L79" s="130" t="s">
        <v>475</v>
      </c>
      <c r="M79" s="136" t="s">
        <v>475</v>
      </c>
    </row>
    <row r="80" spans="1:13" ht="39" customHeight="1" x14ac:dyDescent="0.25">
      <c r="A80" s="120" t="s">
        <v>510</v>
      </c>
      <c r="B80" s="118" t="s">
        <v>572</v>
      </c>
      <c r="C80" s="133" t="s">
        <v>573</v>
      </c>
      <c r="D80" s="133"/>
      <c r="E80" s="133"/>
      <c r="F80" s="133"/>
      <c r="G80" s="116" t="s">
        <v>672</v>
      </c>
      <c r="H80" s="28" t="s">
        <v>574</v>
      </c>
      <c r="I80" s="28" t="s">
        <v>575</v>
      </c>
      <c r="J80" s="29" t="s">
        <v>576</v>
      </c>
      <c r="K80" s="28" t="s">
        <v>563</v>
      </c>
      <c r="L80" s="130" t="s">
        <v>475</v>
      </c>
      <c r="M80" s="135"/>
    </row>
    <row r="81" spans="1:13" ht="39" customHeight="1" x14ac:dyDescent="0.25">
      <c r="A81" s="120" t="s">
        <v>475</v>
      </c>
      <c r="B81" s="28" t="s">
        <v>577</v>
      </c>
      <c r="C81" s="133" t="s">
        <v>144</v>
      </c>
      <c r="D81" s="133"/>
      <c r="E81" s="133"/>
      <c r="F81" s="133"/>
      <c r="G81" s="116"/>
      <c r="H81" s="28" t="s">
        <v>577</v>
      </c>
      <c r="I81" s="28"/>
      <c r="J81" s="29" t="s">
        <v>580</v>
      </c>
      <c r="K81" s="28" t="s">
        <v>578</v>
      </c>
      <c r="L81" s="130" t="s">
        <v>579</v>
      </c>
      <c r="M81" s="135"/>
    </row>
    <row r="82" spans="1:13" ht="30" x14ac:dyDescent="0.25">
      <c r="A82" s="120" t="s">
        <v>475</v>
      </c>
      <c r="B82" s="118" t="s">
        <v>581</v>
      </c>
      <c r="C82" s="133" t="s">
        <v>582</v>
      </c>
      <c r="D82" s="133"/>
      <c r="E82" s="133"/>
      <c r="F82" s="133"/>
      <c r="G82" s="125" t="s">
        <v>796</v>
      </c>
      <c r="H82" s="79"/>
      <c r="I82" s="79" t="s">
        <v>583</v>
      </c>
      <c r="J82" s="144" t="s">
        <v>584</v>
      </c>
      <c r="K82" s="28" t="s">
        <v>132</v>
      </c>
      <c r="L82" s="128" t="s">
        <v>475</v>
      </c>
      <c r="M82" s="127"/>
    </row>
    <row r="83" spans="1:13" ht="35.25" customHeight="1" x14ac:dyDescent="0.25">
      <c r="A83" s="120" t="s">
        <v>475</v>
      </c>
      <c r="B83" s="144" t="s">
        <v>670</v>
      </c>
      <c r="C83" s="133" t="s">
        <v>171</v>
      </c>
      <c r="D83" s="133"/>
      <c r="E83" s="133"/>
      <c r="F83" s="133"/>
      <c r="G83" s="116" t="s">
        <v>672</v>
      </c>
      <c r="H83" s="79"/>
      <c r="I83" s="79"/>
      <c r="J83" s="144" t="s">
        <v>585</v>
      </c>
      <c r="K83" s="79" t="s">
        <v>132</v>
      </c>
      <c r="L83" s="128" t="s">
        <v>475</v>
      </c>
      <c r="M83" s="127"/>
    </row>
    <row r="84" spans="1:13" ht="75" x14ac:dyDescent="0.25">
      <c r="A84" s="120" t="s">
        <v>510</v>
      </c>
      <c r="B84" s="118" t="s">
        <v>589</v>
      </c>
      <c r="C84" s="133" t="s">
        <v>676</v>
      </c>
      <c r="D84" s="133"/>
      <c r="E84" s="133"/>
      <c r="F84" s="133"/>
      <c r="G84" s="125" t="s">
        <v>672</v>
      </c>
      <c r="H84" s="79" t="s">
        <v>588</v>
      </c>
      <c r="I84" s="79" t="s">
        <v>586</v>
      </c>
      <c r="J84" s="144" t="s">
        <v>590</v>
      </c>
      <c r="K84" s="79" t="s">
        <v>587</v>
      </c>
      <c r="L84" s="128" t="s">
        <v>579</v>
      </c>
      <c r="M84" s="127"/>
    </row>
    <row r="85" spans="1:13" ht="54.75" customHeight="1" x14ac:dyDescent="0.25">
      <c r="A85" s="120" t="s">
        <v>510</v>
      </c>
      <c r="B85" s="118" t="s">
        <v>591</v>
      </c>
      <c r="C85" s="133" t="s">
        <v>595</v>
      </c>
      <c r="D85" s="133"/>
      <c r="E85" s="133"/>
      <c r="F85" s="133"/>
      <c r="G85" s="125" t="s">
        <v>117</v>
      </c>
      <c r="H85" s="79" t="s">
        <v>596</v>
      </c>
      <c r="I85" s="79" t="s">
        <v>597</v>
      </c>
      <c r="J85" s="144" t="s">
        <v>592</v>
      </c>
      <c r="K85" s="79" t="s">
        <v>593</v>
      </c>
      <c r="L85" s="128" t="s">
        <v>594</v>
      </c>
      <c r="M85" s="138" t="s">
        <v>594</v>
      </c>
    </row>
    <row r="86" spans="1:13" ht="75" x14ac:dyDescent="0.25">
      <c r="A86" s="120" t="s">
        <v>475</v>
      </c>
      <c r="B86" s="118" t="s">
        <v>598</v>
      </c>
      <c r="C86" s="133" t="s">
        <v>599</v>
      </c>
      <c r="D86" s="133"/>
      <c r="E86" s="133"/>
      <c r="F86" s="133"/>
      <c r="G86" s="125" t="s">
        <v>796</v>
      </c>
      <c r="H86" s="79" t="s">
        <v>600</v>
      </c>
      <c r="I86" s="79" t="s">
        <v>602</v>
      </c>
      <c r="J86" s="144" t="s">
        <v>601</v>
      </c>
      <c r="K86" s="79" t="s">
        <v>132</v>
      </c>
      <c r="L86" s="128" t="s">
        <v>579</v>
      </c>
      <c r="M86" s="138" t="s">
        <v>579</v>
      </c>
    </row>
    <row r="87" spans="1:13" ht="60" x14ac:dyDescent="0.25">
      <c r="A87" s="120" t="s">
        <v>579</v>
      </c>
      <c r="B87" s="118" t="s">
        <v>603</v>
      </c>
      <c r="C87" s="133" t="s">
        <v>604</v>
      </c>
      <c r="D87" s="133"/>
      <c r="E87" s="133"/>
      <c r="F87" s="133"/>
      <c r="G87" s="125" t="s">
        <v>796</v>
      </c>
      <c r="H87" s="79" t="s">
        <v>605</v>
      </c>
      <c r="I87" s="79" t="s">
        <v>607</v>
      </c>
      <c r="J87" s="144" t="s">
        <v>606</v>
      </c>
      <c r="K87" s="79" t="s">
        <v>639</v>
      </c>
      <c r="L87" s="128" t="s">
        <v>594</v>
      </c>
      <c r="M87" s="138" t="s">
        <v>594</v>
      </c>
    </row>
    <row r="88" spans="1:13" ht="45" x14ac:dyDescent="0.25">
      <c r="A88" s="120" t="s">
        <v>579</v>
      </c>
      <c r="B88" s="118" t="s">
        <v>608</v>
      </c>
      <c r="C88" s="133" t="s">
        <v>611</v>
      </c>
      <c r="D88" s="133"/>
      <c r="E88" s="133"/>
      <c r="F88" s="133"/>
      <c r="G88" s="125" t="s">
        <v>796</v>
      </c>
      <c r="H88" s="79"/>
      <c r="I88" s="140" t="s">
        <v>609</v>
      </c>
      <c r="J88" s="144" t="s">
        <v>610</v>
      </c>
      <c r="K88" s="144" t="s">
        <v>563</v>
      </c>
      <c r="L88" s="126" t="s">
        <v>637</v>
      </c>
      <c r="M88" s="127"/>
    </row>
    <row r="89" spans="1:13" ht="45.75" customHeight="1" x14ac:dyDescent="0.25">
      <c r="A89" s="120" t="s">
        <v>579</v>
      </c>
      <c r="B89" s="118" t="s">
        <v>612</v>
      </c>
      <c r="C89" s="133" t="s">
        <v>492</v>
      </c>
      <c r="D89" s="133"/>
      <c r="E89" s="133"/>
      <c r="F89" s="133"/>
      <c r="G89" s="125" t="s">
        <v>796</v>
      </c>
      <c r="H89" s="79"/>
      <c r="I89" s="79" t="s">
        <v>614</v>
      </c>
      <c r="J89" s="144" t="s">
        <v>613</v>
      </c>
      <c r="K89" s="79" t="s">
        <v>104</v>
      </c>
      <c r="L89" s="127" t="s">
        <v>636</v>
      </c>
      <c r="M89" s="127"/>
    </row>
    <row r="90" spans="1:13" ht="60" x14ac:dyDescent="0.25">
      <c r="A90" s="120" t="s">
        <v>579</v>
      </c>
      <c r="B90" s="118" t="s">
        <v>615</v>
      </c>
      <c r="C90" s="133" t="s">
        <v>616</v>
      </c>
      <c r="D90" s="133"/>
      <c r="E90" s="133"/>
      <c r="F90" s="133"/>
      <c r="G90" s="125" t="s">
        <v>796</v>
      </c>
      <c r="H90" s="79" t="s">
        <v>619</v>
      </c>
      <c r="I90" s="79" t="s">
        <v>617</v>
      </c>
      <c r="J90" s="144" t="s">
        <v>618</v>
      </c>
      <c r="K90" s="79" t="s">
        <v>132</v>
      </c>
      <c r="L90" s="126"/>
      <c r="M90" s="127"/>
    </row>
    <row r="91" spans="1:13" ht="37.5" customHeight="1" x14ac:dyDescent="0.25">
      <c r="A91" s="120" t="s">
        <v>579</v>
      </c>
      <c r="B91" s="118" t="s">
        <v>620</v>
      </c>
      <c r="C91" s="133" t="s">
        <v>120</v>
      </c>
      <c r="D91" s="133"/>
      <c r="E91" s="133"/>
      <c r="F91" s="133"/>
      <c r="G91" s="125" t="s">
        <v>796</v>
      </c>
      <c r="H91" s="79" t="s">
        <v>622</v>
      </c>
      <c r="I91" s="79" t="s">
        <v>623</v>
      </c>
      <c r="J91" s="144" t="s">
        <v>621</v>
      </c>
      <c r="K91" s="79" t="s">
        <v>132</v>
      </c>
      <c r="L91" s="128" t="s">
        <v>594</v>
      </c>
      <c r="M91" s="138" t="s">
        <v>594</v>
      </c>
    </row>
    <row r="92" spans="1:13" ht="37.5" customHeight="1" x14ac:dyDescent="0.25">
      <c r="A92" s="120" t="s">
        <v>579</v>
      </c>
      <c r="B92" s="118" t="s">
        <v>627</v>
      </c>
      <c r="C92" s="133" t="s">
        <v>628</v>
      </c>
      <c r="D92" s="133"/>
      <c r="E92" s="133"/>
      <c r="F92" s="133"/>
      <c r="G92" s="125" t="s">
        <v>796</v>
      </c>
      <c r="H92" s="79"/>
      <c r="I92" s="79" t="s">
        <v>630</v>
      </c>
      <c r="J92" s="144" t="s">
        <v>629</v>
      </c>
      <c r="K92" s="79" t="s">
        <v>132</v>
      </c>
      <c r="L92" s="128" t="s">
        <v>638</v>
      </c>
      <c r="M92" s="127"/>
    </row>
    <row r="93" spans="1:13" ht="37.5" customHeight="1" x14ac:dyDescent="0.25">
      <c r="A93" s="120" t="s">
        <v>594</v>
      </c>
      <c r="C93" s="133" t="s">
        <v>9</v>
      </c>
      <c r="D93" s="133"/>
      <c r="E93" s="133"/>
      <c r="F93" s="133"/>
      <c r="G93" s="125" t="s">
        <v>796</v>
      </c>
      <c r="H93" s="79" t="s">
        <v>631</v>
      </c>
      <c r="I93" s="79" t="s">
        <v>632</v>
      </c>
      <c r="J93" s="144" t="s">
        <v>633</v>
      </c>
      <c r="K93" s="79" t="s">
        <v>132</v>
      </c>
      <c r="L93" s="128" t="s">
        <v>594</v>
      </c>
      <c r="M93" s="138" t="s">
        <v>594</v>
      </c>
    </row>
    <row r="94" spans="1:13" ht="44.25" customHeight="1" x14ac:dyDescent="0.25">
      <c r="A94" s="120" t="s">
        <v>510</v>
      </c>
      <c r="B94" s="118" t="s">
        <v>640</v>
      </c>
      <c r="C94" s="133" t="s">
        <v>487</v>
      </c>
      <c r="D94" s="133"/>
      <c r="E94" s="133"/>
      <c r="F94" s="133"/>
      <c r="G94" s="125" t="s">
        <v>796</v>
      </c>
      <c r="H94" s="79" t="s">
        <v>641</v>
      </c>
      <c r="I94" s="79" t="s">
        <v>643</v>
      </c>
      <c r="J94" s="144" t="s">
        <v>642</v>
      </c>
      <c r="K94" s="79" t="s">
        <v>132</v>
      </c>
      <c r="L94" s="126"/>
      <c r="M94" s="127"/>
    </row>
    <row r="95" spans="1:13" ht="37.5" customHeight="1" x14ac:dyDescent="0.25">
      <c r="A95" s="120" t="s">
        <v>594</v>
      </c>
      <c r="B95" s="118" t="s">
        <v>645</v>
      </c>
      <c r="C95" s="133" t="s">
        <v>651</v>
      </c>
      <c r="D95" s="133"/>
      <c r="E95" s="133"/>
      <c r="F95" s="133"/>
      <c r="G95" s="125" t="s">
        <v>796</v>
      </c>
      <c r="H95" s="79"/>
      <c r="I95" s="79"/>
      <c r="J95" s="79"/>
      <c r="K95" s="79"/>
      <c r="L95" s="126"/>
      <c r="M95" s="127"/>
    </row>
    <row r="96" spans="1:13" ht="37.5" customHeight="1" x14ac:dyDescent="0.25">
      <c r="A96" s="120" t="s">
        <v>638</v>
      </c>
      <c r="B96" s="118" t="s">
        <v>646</v>
      </c>
      <c r="C96" s="133" t="s">
        <v>648</v>
      </c>
      <c r="D96" s="133"/>
      <c r="E96" s="133"/>
      <c r="F96" s="133"/>
      <c r="G96" s="125" t="s">
        <v>796</v>
      </c>
      <c r="H96" s="79" t="s">
        <v>647</v>
      </c>
      <c r="I96" s="79"/>
      <c r="J96" s="79"/>
      <c r="K96" s="79"/>
      <c r="L96" s="126"/>
      <c r="M96" s="127"/>
    </row>
    <row r="97" spans="1:13" ht="44.25" customHeight="1" x14ac:dyDescent="0.25">
      <c r="A97" s="120" t="s">
        <v>638</v>
      </c>
      <c r="B97" s="118" t="s">
        <v>649</v>
      </c>
      <c r="C97" s="133" t="s">
        <v>677</v>
      </c>
      <c r="D97" s="133"/>
      <c r="E97" s="133"/>
      <c r="F97" s="133"/>
      <c r="G97" s="125" t="s">
        <v>672</v>
      </c>
      <c r="H97" s="79" t="s">
        <v>650</v>
      </c>
      <c r="I97" s="79"/>
      <c r="J97" s="79"/>
      <c r="K97" s="79"/>
      <c r="L97" s="126"/>
      <c r="M97" s="127"/>
    </row>
    <row r="98" spans="1:13" ht="37.5" customHeight="1" x14ac:dyDescent="0.25">
      <c r="A98" s="120" t="s">
        <v>579</v>
      </c>
      <c r="C98" s="133" t="s">
        <v>549</v>
      </c>
      <c r="D98" s="133"/>
      <c r="E98" s="133"/>
      <c r="F98" s="133"/>
      <c r="G98" s="125" t="s">
        <v>796</v>
      </c>
      <c r="H98" s="79" t="s">
        <v>652</v>
      </c>
      <c r="I98" s="79" t="s">
        <v>653</v>
      </c>
      <c r="J98" s="144" t="s">
        <v>654</v>
      </c>
      <c r="K98" s="79" t="s">
        <v>132</v>
      </c>
      <c r="L98" s="128" t="s">
        <v>594</v>
      </c>
      <c r="M98" s="127"/>
    </row>
    <row r="99" spans="1:13" ht="44.25" customHeight="1" x14ac:dyDescent="0.25">
      <c r="A99" s="120" t="s">
        <v>579</v>
      </c>
      <c r="B99" s="118" t="s">
        <v>655</v>
      </c>
      <c r="C99" s="133" t="s">
        <v>656</v>
      </c>
      <c r="D99" s="133"/>
      <c r="E99" s="133"/>
      <c r="F99" s="133"/>
      <c r="G99" s="125" t="s">
        <v>796</v>
      </c>
      <c r="H99" s="79" t="s">
        <v>658</v>
      </c>
      <c r="I99" s="79" t="s">
        <v>659</v>
      </c>
      <c r="J99" s="144" t="s">
        <v>657</v>
      </c>
      <c r="K99" s="79" t="s">
        <v>132</v>
      </c>
      <c r="L99" s="128" t="s">
        <v>594</v>
      </c>
      <c r="M99" s="127"/>
    </row>
    <row r="100" spans="1:13" ht="37.5" customHeight="1" x14ac:dyDescent="0.25">
      <c r="A100" s="120" t="s">
        <v>662</v>
      </c>
      <c r="B100" s="118" t="s">
        <v>660</v>
      </c>
      <c r="C100" s="133" t="s">
        <v>628</v>
      </c>
      <c r="D100" s="133"/>
      <c r="E100" s="133"/>
      <c r="F100" s="133"/>
      <c r="G100" s="125" t="s">
        <v>796</v>
      </c>
      <c r="H100" s="79" t="s">
        <v>661</v>
      </c>
      <c r="I100" s="79"/>
      <c r="J100" s="79"/>
      <c r="K100" s="79" t="s">
        <v>132</v>
      </c>
      <c r="L100" s="128" t="s">
        <v>662</v>
      </c>
      <c r="M100" s="127"/>
    </row>
    <row r="101" spans="1:13" ht="57" customHeight="1" x14ac:dyDescent="0.25">
      <c r="A101" s="120" t="s">
        <v>662</v>
      </c>
      <c r="B101" s="118" t="s">
        <v>663</v>
      </c>
      <c r="C101" s="133" t="s">
        <v>145</v>
      </c>
      <c r="D101" s="133"/>
      <c r="E101" s="133"/>
      <c r="F101" s="133"/>
      <c r="G101" s="125" t="s">
        <v>796</v>
      </c>
      <c r="H101" s="79"/>
      <c r="I101" s="79"/>
      <c r="J101" s="79"/>
      <c r="K101" s="79" t="s">
        <v>132</v>
      </c>
      <c r="L101" s="126"/>
      <c r="M101" s="127"/>
    </row>
    <row r="102" spans="1:13" ht="37.5" customHeight="1" x14ac:dyDescent="0.25">
      <c r="A102" s="120" t="s">
        <v>662</v>
      </c>
      <c r="B102" s="118" t="s">
        <v>664</v>
      </c>
      <c r="C102" s="133" t="s">
        <v>665</v>
      </c>
      <c r="D102" s="133"/>
      <c r="E102" s="133"/>
      <c r="F102" s="133"/>
      <c r="G102" s="125" t="s">
        <v>796</v>
      </c>
      <c r="H102" s="79"/>
      <c r="I102" s="79"/>
      <c r="J102" s="79"/>
      <c r="K102" s="79" t="s">
        <v>132</v>
      </c>
      <c r="L102" s="126"/>
      <c r="M102" s="127"/>
    </row>
    <row r="103" spans="1:13" ht="48.75" customHeight="1" x14ac:dyDescent="0.25">
      <c r="A103" s="120" t="s">
        <v>667</v>
      </c>
      <c r="B103" s="118" t="s">
        <v>666</v>
      </c>
      <c r="C103" s="133" t="s">
        <v>137</v>
      </c>
      <c r="D103" s="133"/>
      <c r="E103" s="133"/>
      <c r="F103" s="133"/>
      <c r="G103" s="125" t="s">
        <v>796</v>
      </c>
      <c r="H103" s="79"/>
      <c r="I103" s="79"/>
      <c r="J103" s="79"/>
      <c r="K103" s="79" t="s">
        <v>132</v>
      </c>
      <c r="L103" s="128" t="s">
        <v>667</v>
      </c>
      <c r="M103" s="127"/>
    </row>
    <row r="104" spans="1:13" s="156" customFormat="1" ht="18" customHeight="1" x14ac:dyDescent="0.25">
      <c r="A104" s="149"/>
      <c r="B104" s="150"/>
      <c r="C104" s="151"/>
      <c r="D104" s="151"/>
      <c r="E104" s="151"/>
      <c r="F104" s="151"/>
      <c r="G104" s="152"/>
      <c r="H104" s="153"/>
      <c r="I104" s="153"/>
      <c r="J104" s="153"/>
      <c r="K104" s="153"/>
      <c r="L104" s="154"/>
      <c r="M104" s="155"/>
    </row>
    <row r="105" spans="1:13" ht="60" x14ac:dyDescent="0.25">
      <c r="A105" s="120" t="s">
        <v>680</v>
      </c>
      <c r="B105" s="118" t="s">
        <v>681</v>
      </c>
      <c r="C105" s="133" t="s">
        <v>682</v>
      </c>
      <c r="D105" s="133"/>
      <c r="E105" s="133"/>
      <c r="F105" s="133"/>
      <c r="G105" s="125" t="s">
        <v>796</v>
      </c>
      <c r="H105" s="79" t="s">
        <v>683</v>
      </c>
      <c r="I105" s="79" t="s">
        <v>684</v>
      </c>
      <c r="J105" s="144" t="s">
        <v>685</v>
      </c>
      <c r="K105" s="79" t="s">
        <v>104</v>
      </c>
      <c r="L105" s="128" t="s">
        <v>690</v>
      </c>
      <c r="M105" s="127"/>
    </row>
    <row r="106" spans="1:13" ht="31.5" customHeight="1" x14ac:dyDescent="0.25">
      <c r="A106" s="120" t="s">
        <v>680</v>
      </c>
      <c r="C106" s="133" t="s">
        <v>9</v>
      </c>
      <c r="D106" s="133"/>
      <c r="E106" s="133"/>
      <c r="F106" s="133"/>
      <c r="G106" s="125" t="s">
        <v>796</v>
      </c>
      <c r="H106" s="79" t="s">
        <v>686</v>
      </c>
      <c r="I106" s="79" t="s">
        <v>689</v>
      </c>
      <c r="J106" s="144" t="s">
        <v>688</v>
      </c>
      <c r="K106" s="79" t="s">
        <v>687</v>
      </c>
      <c r="L106" s="128" t="s">
        <v>690</v>
      </c>
      <c r="M106" s="127" t="s">
        <v>721</v>
      </c>
    </row>
    <row r="107" spans="1:13" ht="38.25" customHeight="1" x14ac:dyDescent="0.25">
      <c r="A107" s="120" t="s">
        <v>690</v>
      </c>
      <c r="B107" s="118" t="s">
        <v>693</v>
      </c>
      <c r="C107" s="133" t="s">
        <v>694</v>
      </c>
      <c r="D107" s="133"/>
      <c r="E107" s="133"/>
      <c r="F107" s="133"/>
      <c r="G107" s="125" t="s">
        <v>796</v>
      </c>
      <c r="H107" s="79" t="s">
        <v>695</v>
      </c>
      <c r="I107" s="79" t="s">
        <v>696</v>
      </c>
      <c r="J107" s="144" t="s">
        <v>698</v>
      </c>
      <c r="K107" s="79" t="s">
        <v>697</v>
      </c>
      <c r="L107" s="126"/>
      <c r="M107" s="127"/>
    </row>
    <row r="108" spans="1:13" ht="32.25" customHeight="1" x14ac:dyDescent="0.25">
      <c r="A108" s="120" t="s">
        <v>690</v>
      </c>
      <c r="B108" s="118" t="s">
        <v>699</v>
      </c>
      <c r="C108" s="133" t="s">
        <v>700</v>
      </c>
      <c r="D108" s="133"/>
      <c r="E108" s="133"/>
      <c r="F108" s="133"/>
      <c r="G108" s="125" t="s">
        <v>796</v>
      </c>
      <c r="H108" s="79" t="s">
        <v>701</v>
      </c>
      <c r="I108" s="79" t="s">
        <v>702</v>
      </c>
      <c r="J108" s="144" t="s">
        <v>703</v>
      </c>
      <c r="K108" s="79" t="s">
        <v>132</v>
      </c>
      <c r="L108" s="126"/>
      <c r="M108" s="127"/>
    </row>
    <row r="109" spans="1:13" ht="36" customHeight="1" x14ac:dyDescent="0.25">
      <c r="A109" s="120" t="s">
        <v>690</v>
      </c>
      <c r="B109" s="118" t="s">
        <v>704</v>
      </c>
      <c r="C109" s="133" t="s">
        <v>692</v>
      </c>
      <c r="D109" s="133"/>
      <c r="E109" s="133"/>
      <c r="F109" s="133"/>
      <c r="G109" s="125" t="s">
        <v>796</v>
      </c>
      <c r="H109" s="79" t="s">
        <v>705</v>
      </c>
      <c r="I109" s="79"/>
      <c r="J109" s="144" t="s">
        <v>706</v>
      </c>
      <c r="K109" s="79" t="s">
        <v>132</v>
      </c>
      <c r="L109" s="128" t="s">
        <v>707</v>
      </c>
      <c r="M109" s="127"/>
    </row>
    <row r="110" spans="1:13" ht="49.5" x14ac:dyDescent="0.3">
      <c r="A110" s="120" t="s">
        <v>690</v>
      </c>
      <c r="B110" s="157" t="s">
        <v>708</v>
      </c>
      <c r="C110" s="133" t="s">
        <v>709</v>
      </c>
      <c r="D110" s="133"/>
      <c r="E110" s="133"/>
      <c r="F110" s="133"/>
      <c r="G110" s="125" t="s">
        <v>796</v>
      </c>
      <c r="H110" s="79" t="s">
        <v>710</v>
      </c>
      <c r="I110" s="79"/>
      <c r="J110" s="144" t="s">
        <v>711</v>
      </c>
      <c r="K110" s="79" t="s">
        <v>104</v>
      </c>
      <c r="L110" s="128" t="s">
        <v>716</v>
      </c>
      <c r="M110" s="127"/>
    </row>
    <row r="111" spans="1:13" ht="49.5" x14ac:dyDescent="0.3">
      <c r="A111" s="120" t="s">
        <v>716</v>
      </c>
      <c r="B111" s="157" t="s">
        <v>712</v>
      </c>
      <c r="C111" s="133" t="s">
        <v>713</v>
      </c>
      <c r="D111" s="133"/>
      <c r="E111" s="133"/>
      <c r="F111" s="133"/>
      <c r="G111" s="125" t="s">
        <v>796</v>
      </c>
      <c r="H111" s="79" t="s">
        <v>671</v>
      </c>
      <c r="I111" s="79"/>
      <c r="J111" s="144" t="s">
        <v>714</v>
      </c>
      <c r="K111" s="79" t="s">
        <v>406</v>
      </c>
      <c r="L111" s="128" t="s">
        <v>716</v>
      </c>
      <c r="M111" s="127"/>
    </row>
    <row r="112" spans="1:13" ht="57" customHeight="1" x14ac:dyDescent="0.25">
      <c r="A112" s="120" t="s">
        <v>716</v>
      </c>
      <c r="B112" s="118" t="s">
        <v>715</v>
      </c>
      <c r="C112" s="133" t="s">
        <v>717</v>
      </c>
      <c r="D112" s="133"/>
      <c r="E112" s="133"/>
      <c r="F112" s="133"/>
      <c r="G112" s="125" t="s">
        <v>796</v>
      </c>
      <c r="H112" s="79" t="s">
        <v>718</v>
      </c>
      <c r="I112" s="79" t="s">
        <v>720</v>
      </c>
      <c r="J112" s="144" t="s">
        <v>719</v>
      </c>
      <c r="K112" s="79" t="s">
        <v>406</v>
      </c>
      <c r="L112" s="128" t="s">
        <v>716</v>
      </c>
      <c r="M112" s="127"/>
    </row>
    <row r="113" spans="1:13" ht="23.25" customHeight="1" x14ac:dyDescent="0.25">
      <c r="A113" s="120" t="s">
        <v>723</v>
      </c>
      <c r="C113" s="133" t="s">
        <v>727</v>
      </c>
      <c r="D113" s="133"/>
      <c r="E113" s="133"/>
      <c r="F113" s="133"/>
      <c r="G113" s="125" t="s">
        <v>672</v>
      </c>
      <c r="H113" s="79" t="s">
        <v>724</v>
      </c>
      <c r="I113" s="79" t="s">
        <v>726</v>
      </c>
      <c r="J113" s="144" t="s">
        <v>725</v>
      </c>
      <c r="K113" s="79" t="s">
        <v>104</v>
      </c>
      <c r="L113" s="126"/>
      <c r="M113" s="127"/>
    </row>
    <row r="114" spans="1:13" ht="43.5" customHeight="1" x14ac:dyDescent="0.25">
      <c r="A114" s="120" t="s">
        <v>723</v>
      </c>
      <c r="B114" s="118" t="s">
        <v>728</v>
      </c>
      <c r="C114" s="133" t="s">
        <v>729</v>
      </c>
      <c r="D114" s="133"/>
      <c r="E114" s="133"/>
      <c r="F114" s="133"/>
      <c r="G114" s="125"/>
      <c r="H114" s="79" t="s">
        <v>731</v>
      </c>
      <c r="I114" s="79" t="s">
        <v>679</v>
      </c>
      <c r="J114" s="144" t="s">
        <v>730</v>
      </c>
      <c r="K114" s="79" t="s">
        <v>104</v>
      </c>
      <c r="L114" s="128" t="s">
        <v>737</v>
      </c>
      <c r="M114" s="127"/>
    </row>
    <row r="115" spans="1:13" ht="27" customHeight="1" x14ac:dyDescent="0.25">
      <c r="A115" s="120" t="s">
        <v>723</v>
      </c>
      <c r="C115" s="133" t="s">
        <v>732</v>
      </c>
      <c r="D115" s="133"/>
      <c r="E115" s="133"/>
      <c r="F115" s="133"/>
      <c r="G115" s="125" t="s">
        <v>796</v>
      </c>
      <c r="H115" s="79" t="s">
        <v>733</v>
      </c>
      <c r="I115" s="79" t="s">
        <v>734</v>
      </c>
      <c r="J115" s="144" t="s">
        <v>735</v>
      </c>
      <c r="K115" s="79" t="s">
        <v>104</v>
      </c>
      <c r="L115" s="128" t="s">
        <v>736</v>
      </c>
      <c r="M115" s="127"/>
    </row>
    <row r="116" spans="1:13" ht="62.45" customHeight="1" x14ac:dyDescent="0.25">
      <c r="A116" s="120" t="s">
        <v>723</v>
      </c>
      <c r="B116" s="118" t="s">
        <v>738</v>
      </c>
      <c r="C116" s="133" t="s">
        <v>739</v>
      </c>
      <c r="D116" s="133"/>
      <c r="E116" s="133"/>
      <c r="F116" s="133"/>
      <c r="G116" s="125" t="s">
        <v>796</v>
      </c>
      <c r="H116" s="79" t="s">
        <v>740</v>
      </c>
      <c r="I116" s="79" t="s">
        <v>742</v>
      </c>
      <c r="J116" s="144" t="s">
        <v>741</v>
      </c>
      <c r="K116" s="79" t="s">
        <v>103</v>
      </c>
      <c r="L116" s="126"/>
      <c r="M116" s="127"/>
    </row>
    <row r="117" spans="1:13" ht="57" customHeight="1" x14ac:dyDescent="0.25">
      <c r="A117" s="120" t="s">
        <v>736</v>
      </c>
      <c r="B117" s="118" t="s">
        <v>743</v>
      </c>
      <c r="C117" s="133" t="s">
        <v>744</v>
      </c>
      <c r="D117" s="133"/>
      <c r="E117" s="133"/>
      <c r="F117" s="133"/>
      <c r="G117" s="125"/>
      <c r="H117" s="79" t="s">
        <v>745</v>
      </c>
      <c r="I117" s="79"/>
      <c r="J117" s="144" t="s">
        <v>746</v>
      </c>
      <c r="K117" s="79" t="s">
        <v>104</v>
      </c>
      <c r="L117" s="128" t="s">
        <v>737</v>
      </c>
      <c r="M117" s="127"/>
    </row>
    <row r="118" spans="1:13" ht="45" x14ac:dyDescent="0.25">
      <c r="A118" s="120" t="s">
        <v>736</v>
      </c>
      <c r="B118" s="118" t="s">
        <v>747</v>
      </c>
      <c r="C118" s="133" t="s">
        <v>678</v>
      </c>
      <c r="D118" s="133"/>
      <c r="E118" s="133"/>
      <c r="F118" s="133"/>
      <c r="G118" s="125" t="s">
        <v>117</v>
      </c>
      <c r="H118" s="79" t="s">
        <v>749</v>
      </c>
      <c r="I118" s="79"/>
      <c r="J118" s="144" t="s">
        <v>750</v>
      </c>
      <c r="K118" s="79" t="s">
        <v>748</v>
      </c>
      <c r="L118" s="128" t="s">
        <v>737</v>
      </c>
      <c r="M118" s="127"/>
    </row>
    <row r="119" spans="1:13" ht="60" x14ac:dyDescent="0.25">
      <c r="A119" s="120" t="s">
        <v>736</v>
      </c>
      <c r="B119" s="118" t="s">
        <v>751</v>
      </c>
      <c r="C119" s="133" t="s">
        <v>752</v>
      </c>
      <c r="D119" s="133"/>
      <c r="E119" s="133"/>
      <c r="F119" s="133"/>
      <c r="G119" s="125"/>
      <c r="H119" s="79" t="s">
        <v>753</v>
      </c>
      <c r="I119" s="79"/>
      <c r="J119" s="144" t="s">
        <v>754</v>
      </c>
      <c r="K119" s="79" t="s">
        <v>104</v>
      </c>
      <c r="L119" s="128" t="s">
        <v>737</v>
      </c>
      <c r="M119" s="127"/>
    </row>
    <row r="120" spans="1:13" ht="60" x14ac:dyDescent="0.25">
      <c r="A120" s="120" t="s">
        <v>736</v>
      </c>
      <c r="B120" s="118" t="s">
        <v>755</v>
      </c>
      <c r="C120" s="133" t="s">
        <v>756</v>
      </c>
      <c r="D120" s="133"/>
      <c r="E120" s="133"/>
      <c r="F120" s="133"/>
      <c r="G120" s="125" t="s">
        <v>796</v>
      </c>
      <c r="H120" s="79"/>
      <c r="I120" s="79"/>
      <c r="J120" s="79"/>
      <c r="K120" s="79" t="s">
        <v>132</v>
      </c>
      <c r="L120" s="126"/>
      <c r="M120" s="138" t="s">
        <v>736</v>
      </c>
    </row>
    <row r="121" spans="1:13" ht="33" x14ac:dyDescent="0.25">
      <c r="A121" s="120" t="s">
        <v>736</v>
      </c>
      <c r="B121" s="142" t="s">
        <v>757</v>
      </c>
      <c r="C121" s="133" t="s">
        <v>759</v>
      </c>
      <c r="D121" s="133"/>
      <c r="E121" s="133"/>
      <c r="F121" s="133"/>
      <c r="G121" s="125" t="s">
        <v>796</v>
      </c>
      <c r="H121" s="79"/>
      <c r="I121" s="79"/>
      <c r="J121" s="144" t="s">
        <v>758</v>
      </c>
      <c r="K121" s="79" t="s">
        <v>132</v>
      </c>
      <c r="L121" s="128" t="s">
        <v>737</v>
      </c>
      <c r="M121" s="127"/>
    </row>
    <row r="122" spans="1:13" ht="30" x14ac:dyDescent="0.25">
      <c r="A122" s="120" t="s">
        <v>736</v>
      </c>
      <c r="B122" s="118" t="s">
        <v>760</v>
      </c>
      <c r="C122" s="133" t="s">
        <v>694</v>
      </c>
      <c r="D122" s="133"/>
      <c r="E122" s="133"/>
      <c r="F122" s="133"/>
      <c r="G122" s="125" t="s">
        <v>796</v>
      </c>
      <c r="H122" s="79" t="s">
        <v>762</v>
      </c>
      <c r="I122" s="79" t="s">
        <v>763</v>
      </c>
      <c r="J122" s="144" t="s">
        <v>761</v>
      </c>
      <c r="K122" s="79" t="s">
        <v>104</v>
      </c>
      <c r="L122" s="126"/>
      <c r="M122" s="127"/>
    </row>
    <row r="123" spans="1:13" ht="49.5" x14ac:dyDescent="0.3">
      <c r="A123" s="120" t="s">
        <v>737</v>
      </c>
      <c r="B123" s="157" t="s">
        <v>764</v>
      </c>
      <c r="C123" s="133" t="s">
        <v>765</v>
      </c>
      <c r="D123" s="133"/>
      <c r="E123" s="133"/>
      <c r="F123" s="133"/>
      <c r="G123" s="125" t="s">
        <v>796</v>
      </c>
      <c r="H123" s="79" t="s">
        <v>766</v>
      </c>
      <c r="I123" s="140" t="s">
        <v>767</v>
      </c>
      <c r="J123" s="144" t="s">
        <v>768</v>
      </c>
      <c r="K123" s="79" t="s">
        <v>132</v>
      </c>
      <c r="L123" s="128" t="s">
        <v>737</v>
      </c>
      <c r="M123" s="127"/>
    </row>
    <row r="124" spans="1:13" ht="25.5" customHeight="1" x14ac:dyDescent="0.25">
      <c r="A124" s="120" t="s">
        <v>737</v>
      </c>
      <c r="B124" s="118" t="s">
        <v>769</v>
      </c>
      <c r="C124" s="133" t="s">
        <v>137</v>
      </c>
      <c r="D124" s="125" t="s">
        <v>813</v>
      </c>
      <c r="E124" s="125"/>
      <c r="F124" s="125"/>
      <c r="G124" s="125"/>
      <c r="H124" s="79"/>
      <c r="I124" s="79"/>
      <c r="J124" s="79">
        <v>984220048</v>
      </c>
      <c r="K124" s="79" t="s">
        <v>132</v>
      </c>
      <c r="L124" s="128" t="s">
        <v>737</v>
      </c>
      <c r="M124" s="127"/>
    </row>
    <row r="125" spans="1:13" ht="30" x14ac:dyDescent="0.25">
      <c r="A125" s="120" t="s">
        <v>737</v>
      </c>
      <c r="B125" s="118" t="s">
        <v>770</v>
      </c>
      <c r="C125" s="133" t="s">
        <v>139</v>
      </c>
      <c r="D125" s="125"/>
      <c r="E125" s="125"/>
      <c r="F125" s="125"/>
      <c r="G125" s="125"/>
      <c r="H125" s="79"/>
      <c r="I125" s="79"/>
      <c r="J125" s="144">
        <v>332172858</v>
      </c>
      <c r="K125" s="79" t="s">
        <v>103</v>
      </c>
      <c r="L125" s="128" t="s">
        <v>737</v>
      </c>
      <c r="M125" s="127"/>
    </row>
    <row r="126" spans="1:13" ht="30" x14ac:dyDescent="0.25">
      <c r="A126" s="120" t="s">
        <v>737</v>
      </c>
      <c r="B126" s="118" t="s">
        <v>771</v>
      </c>
      <c r="C126" s="133" t="s">
        <v>739</v>
      </c>
      <c r="D126" s="125" t="s">
        <v>842</v>
      </c>
      <c r="E126" s="125">
        <v>537624</v>
      </c>
      <c r="F126" s="125"/>
      <c r="G126" s="125"/>
      <c r="H126" s="79"/>
      <c r="I126" s="79"/>
      <c r="J126" s="144" t="s">
        <v>772</v>
      </c>
      <c r="K126" s="79" t="s">
        <v>132</v>
      </c>
      <c r="L126" s="126" t="s">
        <v>773</v>
      </c>
      <c r="M126" s="127"/>
    </row>
    <row r="127" spans="1:13" s="165" customFormat="1" x14ac:dyDescent="0.25">
      <c r="A127" s="158"/>
      <c r="B127" s="148" t="s">
        <v>818</v>
      </c>
      <c r="C127" s="159"/>
      <c r="D127" s="160"/>
      <c r="E127" s="160"/>
      <c r="F127" s="160"/>
      <c r="G127" s="160"/>
      <c r="H127" s="161"/>
      <c r="I127" s="161"/>
      <c r="J127" s="162"/>
      <c r="K127" s="161"/>
      <c r="L127" s="163"/>
      <c r="M127" s="164"/>
    </row>
    <row r="128" spans="1:13" ht="36" customHeight="1" x14ac:dyDescent="0.25">
      <c r="A128" s="120" t="s">
        <v>774</v>
      </c>
      <c r="B128" s="141" t="s">
        <v>776</v>
      </c>
      <c r="C128" s="133" t="s">
        <v>765</v>
      </c>
      <c r="D128" s="125" t="s">
        <v>814</v>
      </c>
      <c r="E128" s="125"/>
      <c r="F128" s="125"/>
      <c r="G128" s="125" t="s">
        <v>817</v>
      </c>
      <c r="H128" s="79" t="s">
        <v>777</v>
      </c>
      <c r="I128" s="79"/>
      <c r="J128" s="144" t="s">
        <v>778</v>
      </c>
      <c r="K128" s="79" t="s">
        <v>779</v>
      </c>
      <c r="L128" s="126"/>
      <c r="M128" s="127"/>
    </row>
    <row r="129" spans="1:15" ht="36" customHeight="1" x14ac:dyDescent="0.25">
      <c r="A129" s="120" t="s">
        <v>775</v>
      </c>
      <c r="B129" s="118" t="s">
        <v>819</v>
      </c>
      <c r="C129" s="133" t="s">
        <v>820</v>
      </c>
      <c r="D129" s="125" t="s">
        <v>842</v>
      </c>
      <c r="E129" s="125">
        <v>324216</v>
      </c>
      <c r="F129" s="125"/>
      <c r="G129" s="125" t="s">
        <v>817</v>
      </c>
      <c r="H129" s="79" t="s">
        <v>826</v>
      </c>
      <c r="I129" s="79"/>
      <c r="J129" s="144" t="s">
        <v>821</v>
      </c>
      <c r="K129" s="79" t="s">
        <v>822</v>
      </c>
      <c r="L129" s="126" t="s">
        <v>775</v>
      </c>
      <c r="M129" s="127"/>
    </row>
    <row r="130" spans="1:15" ht="36" customHeight="1" x14ac:dyDescent="0.25">
      <c r="A130" s="120" t="s">
        <v>775</v>
      </c>
      <c r="B130" s="118" t="s">
        <v>830</v>
      </c>
      <c r="C130" s="133" t="s">
        <v>831</v>
      </c>
      <c r="D130" s="125" t="s">
        <v>842</v>
      </c>
      <c r="E130" s="125">
        <v>270864</v>
      </c>
      <c r="F130" s="125"/>
      <c r="G130" s="125" t="s">
        <v>817</v>
      </c>
      <c r="H130" s="79" t="s">
        <v>832</v>
      </c>
      <c r="I130" s="79"/>
      <c r="J130" s="144" t="s">
        <v>833</v>
      </c>
      <c r="K130" s="79" t="s">
        <v>843</v>
      </c>
      <c r="L130" s="126" t="s">
        <v>775</v>
      </c>
      <c r="M130" s="127"/>
    </row>
    <row r="131" spans="1:15" ht="36" customHeight="1" x14ac:dyDescent="0.25">
      <c r="A131" s="120" t="s">
        <v>775</v>
      </c>
      <c r="B131" s="168" t="s">
        <v>835</v>
      </c>
      <c r="C131" s="167" t="s">
        <v>835</v>
      </c>
      <c r="D131" s="125" t="s">
        <v>866</v>
      </c>
      <c r="E131" s="125"/>
      <c r="F131" s="125"/>
      <c r="G131" s="125" t="s">
        <v>817</v>
      </c>
      <c r="H131" s="79" t="s">
        <v>836</v>
      </c>
      <c r="I131" s="79"/>
      <c r="J131" s="144" t="s">
        <v>750</v>
      </c>
      <c r="K131" s="79" t="s">
        <v>837</v>
      </c>
      <c r="L131" s="126" t="s">
        <v>775</v>
      </c>
      <c r="M131" s="127"/>
    </row>
    <row r="132" spans="1:15" ht="36" customHeight="1" x14ac:dyDescent="0.25">
      <c r="A132" s="120" t="s">
        <v>823</v>
      </c>
      <c r="B132" s="118" t="s">
        <v>819</v>
      </c>
      <c r="C132" s="133" t="s">
        <v>820</v>
      </c>
      <c r="D132" s="125" t="s">
        <v>842</v>
      </c>
      <c r="E132" s="125">
        <v>421583</v>
      </c>
      <c r="F132" s="125"/>
      <c r="G132" s="125" t="s">
        <v>817</v>
      </c>
      <c r="H132" s="79" t="s">
        <v>827</v>
      </c>
      <c r="I132" s="79"/>
      <c r="J132" s="144" t="s">
        <v>824</v>
      </c>
      <c r="K132" s="79" t="s">
        <v>822</v>
      </c>
      <c r="L132" s="126" t="s">
        <v>775</v>
      </c>
      <c r="M132" s="127"/>
    </row>
    <row r="133" spans="1:15" ht="53.25" customHeight="1" x14ac:dyDescent="0.25">
      <c r="A133" s="120" t="s">
        <v>781</v>
      </c>
      <c r="B133" s="141" t="s">
        <v>780</v>
      </c>
      <c r="C133" s="133" t="s">
        <v>744</v>
      </c>
      <c r="D133" s="125"/>
      <c r="E133" s="125"/>
      <c r="F133" s="125"/>
      <c r="G133" s="125" t="s">
        <v>817</v>
      </c>
      <c r="H133" s="79" t="s">
        <v>722</v>
      </c>
      <c r="I133" s="79"/>
      <c r="J133" s="144" t="s">
        <v>782</v>
      </c>
      <c r="K133" s="79" t="s">
        <v>779</v>
      </c>
      <c r="L133" s="126" t="s">
        <v>783</v>
      </c>
      <c r="M133" s="127"/>
    </row>
    <row r="134" spans="1:15" ht="53.25" customHeight="1" x14ac:dyDescent="0.25">
      <c r="A134" s="120" t="s">
        <v>785</v>
      </c>
      <c r="B134" s="141" t="s">
        <v>784</v>
      </c>
      <c r="C134" s="133" t="s">
        <v>752</v>
      </c>
      <c r="D134" s="125" t="s">
        <v>842</v>
      </c>
      <c r="E134" s="125">
        <v>264826</v>
      </c>
      <c r="F134" s="125"/>
      <c r="G134" s="125" t="s">
        <v>816</v>
      </c>
      <c r="H134" s="79" t="s">
        <v>691</v>
      </c>
      <c r="I134" s="79"/>
      <c r="J134" s="79" t="s">
        <v>786</v>
      </c>
      <c r="K134" s="79" t="s">
        <v>103</v>
      </c>
      <c r="L134" s="128" t="s">
        <v>787</v>
      </c>
      <c r="M134" s="127"/>
    </row>
    <row r="135" spans="1:15" ht="44.25" customHeight="1" x14ac:dyDescent="0.25">
      <c r="A135" s="120" t="s">
        <v>785</v>
      </c>
      <c r="B135" s="141" t="s">
        <v>788</v>
      </c>
      <c r="C135" s="133" t="s">
        <v>789</v>
      </c>
      <c r="D135" s="125" t="s">
        <v>842</v>
      </c>
      <c r="E135" s="125">
        <v>374079</v>
      </c>
      <c r="F135" s="125" t="s">
        <v>864</v>
      </c>
      <c r="G135" s="125" t="s">
        <v>816</v>
      </c>
      <c r="H135" s="79" t="s">
        <v>790</v>
      </c>
      <c r="I135" s="79"/>
      <c r="J135" s="144" t="s">
        <v>791</v>
      </c>
      <c r="K135" s="79" t="s">
        <v>104</v>
      </c>
      <c r="L135" s="126" t="s">
        <v>773</v>
      </c>
      <c r="M135" s="127"/>
    </row>
    <row r="136" spans="1:15" ht="45" customHeight="1" x14ac:dyDescent="0.25">
      <c r="A136" s="120" t="s">
        <v>792</v>
      </c>
      <c r="B136" s="141" t="s">
        <v>793</v>
      </c>
      <c r="C136" s="133" t="s">
        <v>668</v>
      </c>
      <c r="D136" s="125" t="s">
        <v>815</v>
      </c>
      <c r="E136" s="125"/>
      <c r="F136" s="125"/>
      <c r="G136" s="125" t="s">
        <v>816</v>
      </c>
      <c r="H136" s="79" t="s">
        <v>795</v>
      </c>
      <c r="I136" s="79"/>
      <c r="J136" s="79">
        <v>387889688</v>
      </c>
      <c r="K136" s="79" t="s">
        <v>104</v>
      </c>
      <c r="L136" s="126" t="s">
        <v>794</v>
      </c>
      <c r="M136" s="127"/>
    </row>
    <row r="137" spans="1:15" ht="45" customHeight="1" x14ac:dyDescent="0.25">
      <c r="A137" s="120" t="s">
        <v>792</v>
      </c>
      <c r="B137" s="118" t="s">
        <v>819</v>
      </c>
      <c r="C137" s="133" t="s">
        <v>820</v>
      </c>
      <c r="D137" s="133" t="s">
        <v>842</v>
      </c>
      <c r="E137" s="117">
        <v>537624</v>
      </c>
      <c r="F137" s="117"/>
      <c r="G137" s="125" t="s">
        <v>816</v>
      </c>
      <c r="H137" s="79" t="s">
        <v>828</v>
      </c>
      <c r="I137" s="79"/>
      <c r="J137" s="144" t="s">
        <v>825</v>
      </c>
      <c r="K137" s="79" t="s">
        <v>822</v>
      </c>
      <c r="L137" s="126" t="s">
        <v>775</v>
      </c>
      <c r="M137" s="127"/>
    </row>
    <row r="138" spans="1:15" ht="45" customHeight="1" x14ac:dyDescent="0.25">
      <c r="A138" s="119" t="s">
        <v>787</v>
      </c>
      <c r="B138" s="118" t="s">
        <v>819</v>
      </c>
      <c r="C138" s="133"/>
      <c r="D138" s="133" t="s">
        <v>842</v>
      </c>
      <c r="E138" s="117">
        <v>421586</v>
      </c>
      <c r="F138" s="117"/>
      <c r="G138" s="125" t="s">
        <v>816</v>
      </c>
      <c r="H138" s="79" t="s">
        <v>829</v>
      </c>
      <c r="I138" s="79"/>
      <c r="J138" s="144" t="s">
        <v>821</v>
      </c>
      <c r="K138" s="79" t="s">
        <v>822</v>
      </c>
      <c r="L138" s="166">
        <v>45660</v>
      </c>
      <c r="M138" s="127"/>
    </row>
    <row r="139" spans="1:15" ht="45" customHeight="1" x14ac:dyDescent="0.25">
      <c r="A139" s="119" t="s">
        <v>787</v>
      </c>
      <c r="B139" s="118" t="s">
        <v>808</v>
      </c>
      <c r="C139" s="133" t="s">
        <v>810</v>
      </c>
      <c r="D139" s="115" t="s">
        <v>842</v>
      </c>
      <c r="E139" s="115">
        <v>324216</v>
      </c>
      <c r="F139" s="115" t="s">
        <v>865</v>
      </c>
      <c r="G139" s="125"/>
      <c r="H139" s="79" t="s">
        <v>803</v>
      </c>
      <c r="I139" s="79"/>
      <c r="J139" s="79">
        <v>394351048</v>
      </c>
      <c r="K139" s="79" t="s">
        <v>804</v>
      </c>
      <c r="L139" s="126" t="s">
        <v>805</v>
      </c>
      <c r="M139" s="127"/>
      <c r="O139" s="115" t="s">
        <v>811</v>
      </c>
    </row>
    <row r="140" spans="1:15" ht="45" customHeight="1" x14ac:dyDescent="0.25">
      <c r="A140" s="119" t="s">
        <v>787</v>
      </c>
      <c r="B140" s="118" t="s">
        <v>809</v>
      </c>
      <c r="C140" s="133" t="s">
        <v>806</v>
      </c>
      <c r="D140" s="115" t="s">
        <v>812</v>
      </c>
      <c r="E140" s="115"/>
      <c r="F140" s="115"/>
      <c r="G140" s="125"/>
      <c r="H140" s="79" t="s">
        <v>807</v>
      </c>
      <c r="I140" s="79"/>
      <c r="J140" s="79">
        <v>334992296</v>
      </c>
      <c r="K140" s="79"/>
      <c r="L140" s="126" t="s">
        <v>805</v>
      </c>
      <c r="M140" s="127"/>
    </row>
    <row r="141" spans="1:15" ht="45" customHeight="1" x14ac:dyDescent="0.25">
      <c r="A141" s="120" t="s">
        <v>798</v>
      </c>
      <c r="B141" s="118" t="s">
        <v>797</v>
      </c>
      <c r="C141" s="133" t="s">
        <v>799</v>
      </c>
      <c r="D141" s="125" t="s">
        <v>842</v>
      </c>
      <c r="E141" s="125">
        <v>421583</v>
      </c>
      <c r="F141" s="125" t="s">
        <v>864</v>
      </c>
      <c r="H141" s="79" t="s">
        <v>800</v>
      </c>
      <c r="I141" s="79"/>
      <c r="J141" s="144" t="s">
        <v>504</v>
      </c>
      <c r="K141" s="79" t="s">
        <v>801</v>
      </c>
      <c r="L141" s="79" t="s">
        <v>802</v>
      </c>
      <c r="M141" s="127"/>
    </row>
    <row r="142" spans="1:15" ht="24" customHeight="1" x14ac:dyDescent="0.25">
      <c r="A142" s="119" t="s">
        <v>844</v>
      </c>
      <c r="B142" s="118" t="s">
        <v>845</v>
      </c>
      <c r="C142" s="146" t="s">
        <v>846</v>
      </c>
      <c r="D142" s="146" t="s">
        <v>867</v>
      </c>
      <c r="J142" s="120" t="s">
        <v>847</v>
      </c>
      <c r="K142" s="115" t="s">
        <v>848</v>
      </c>
    </row>
    <row r="143" spans="1:15" ht="24" customHeight="1" x14ac:dyDescent="0.25">
      <c r="A143" s="119" t="s">
        <v>844</v>
      </c>
      <c r="B143" s="118" t="s">
        <v>854</v>
      </c>
      <c r="C143" s="146" t="s">
        <v>855</v>
      </c>
      <c r="H143" s="115" t="s">
        <v>856</v>
      </c>
      <c r="J143" s="120" t="s">
        <v>857</v>
      </c>
      <c r="K143" s="115" t="s">
        <v>858</v>
      </c>
    </row>
    <row r="144" spans="1:15" ht="24" customHeight="1" x14ac:dyDescent="0.25">
      <c r="A144" s="119" t="s">
        <v>859</v>
      </c>
      <c r="B144" s="118" t="s">
        <v>860</v>
      </c>
      <c r="C144" s="146" t="s">
        <v>861</v>
      </c>
      <c r="H144" s="115" t="s">
        <v>863</v>
      </c>
      <c r="J144" s="120" t="s">
        <v>862</v>
      </c>
      <c r="K144" s="115" t="s">
        <v>843</v>
      </c>
    </row>
    <row r="145" spans="1:11" ht="18.600000000000001" customHeight="1" x14ac:dyDescent="0.25">
      <c r="A145" s="119" t="s">
        <v>849</v>
      </c>
      <c r="B145" s="118" t="s">
        <v>850</v>
      </c>
      <c r="C145" s="146" t="s">
        <v>851</v>
      </c>
      <c r="H145" s="115" t="s">
        <v>853</v>
      </c>
      <c r="J145" s="120" t="s">
        <v>852</v>
      </c>
      <c r="K145" s="115" t="s">
        <v>848</v>
      </c>
    </row>
    <row r="146" spans="1:11" ht="18" customHeight="1" x14ac:dyDescent="0.25">
      <c r="A146" s="119" t="s">
        <v>875</v>
      </c>
      <c r="B146" s="118" t="s">
        <v>871</v>
      </c>
      <c r="D146" s="146" t="s">
        <v>871</v>
      </c>
      <c r="H146" s="115" t="s">
        <v>874</v>
      </c>
      <c r="J146" s="120" t="s">
        <v>872</v>
      </c>
      <c r="K146" s="115" t="s">
        <v>873</v>
      </c>
    </row>
  </sheetData>
  <autoFilter ref="A104:M135"/>
  <conditionalFormatting sqref="B83">
    <cfRule type="duplicateValues" dxfId="5" priority="1"/>
  </conditionalFormatting>
  <conditionalFormatting sqref="J1:J87 J89:J1048576">
    <cfRule type="duplicateValues" dxfId="4" priority="2"/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1"/>
  <sheetViews>
    <sheetView topLeftCell="C177" workbookViewId="0">
      <selection activeCell="H197" sqref="H197"/>
    </sheetView>
  </sheetViews>
  <sheetFormatPr defaultColWidth="9.140625" defaultRowHeight="15" x14ac:dyDescent="0.25"/>
  <cols>
    <col min="1" max="1" width="14.7109375" style="115" customWidth="1"/>
    <col min="2" max="2" width="39.140625" style="118" customWidth="1"/>
    <col min="3" max="3" width="32.28515625" style="146" customWidth="1"/>
    <col min="4" max="4" width="41.28515625" style="146" customWidth="1"/>
    <col min="5" max="5" width="5.42578125" style="117" customWidth="1"/>
    <col min="6" max="6" width="40.28515625" style="115" customWidth="1"/>
    <col min="7" max="7" width="30.5703125" style="115" customWidth="1"/>
    <col min="8" max="8" width="24.7109375" style="187" customWidth="1"/>
    <col min="9" max="9" width="32" style="181" customWidth="1"/>
    <col min="10" max="10" width="18.85546875" style="115" customWidth="1"/>
    <col min="11" max="11" width="11.28515625" style="115" customWidth="1"/>
    <col min="12" max="16384" width="9.140625" style="115"/>
  </cols>
  <sheetData>
    <row r="1" spans="1:9" ht="60" x14ac:dyDescent="0.25">
      <c r="A1" s="120" t="s">
        <v>579</v>
      </c>
      <c r="B1" s="118" t="s">
        <v>603</v>
      </c>
      <c r="C1" s="133" t="s">
        <v>604</v>
      </c>
      <c r="D1" s="133"/>
      <c r="E1" s="125" t="s">
        <v>796</v>
      </c>
      <c r="F1" s="79" t="s">
        <v>605</v>
      </c>
      <c r="G1" s="144" t="s">
        <v>606</v>
      </c>
      <c r="H1" s="182" t="s">
        <v>639</v>
      </c>
      <c r="I1" s="192" t="s">
        <v>594</v>
      </c>
    </row>
    <row r="2" spans="1:9" ht="45" x14ac:dyDescent="0.25">
      <c r="A2" s="120" t="s">
        <v>579</v>
      </c>
      <c r="B2" s="118" t="s">
        <v>608</v>
      </c>
      <c r="C2" s="133" t="s">
        <v>611</v>
      </c>
      <c r="D2" s="133"/>
      <c r="E2" s="125" t="s">
        <v>796</v>
      </c>
      <c r="F2" s="79"/>
      <c r="G2" s="144" t="s">
        <v>610</v>
      </c>
      <c r="H2" s="183" t="s">
        <v>563</v>
      </c>
      <c r="I2" s="193"/>
    </row>
    <row r="3" spans="1:9" ht="45.75" customHeight="1" x14ac:dyDescent="0.25">
      <c r="A3" s="120" t="s">
        <v>579</v>
      </c>
      <c r="B3" s="118" t="s">
        <v>612</v>
      </c>
      <c r="C3" s="133" t="s">
        <v>492</v>
      </c>
      <c r="D3" s="133"/>
      <c r="E3" s="125" t="s">
        <v>796</v>
      </c>
      <c r="F3" s="79"/>
      <c r="G3" s="144" t="s">
        <v>613</v>
      </c>
      <c r="H3" s="182" t="s">
        <v>104</v>
      </c>
      <c r="I3" s="193"/>
    </row>
    <row r="4" spans="1:9" ht="60" x14ac:dyDescent="0.25">
      <c r="A4" s="120" t="s">
        <v>579</v>
      </c>
      <c r="B4" s="118" t="s">
        <v>615</v>
      </c>
      <c r="C4" s="133" t="s">
        <v>616</v>
      </c>
      <c r="D4" s="133"/>
      <c r="E4" s="125" t="s">
        <v>796</v>
      </c>
      <c r="F4" s="79" t="s">
        <v>619</v>
      </c>
      <c r="G4" s="144" t="s">
        <v>618</v>
      </c>
      <c r="H4" s="182" t="s">
        <v>132</v>
      </c>
      <c r="I4" s="193"/>
    </row>
    <row r="5" spans="1:9" ht="37.5" customHeight="1" x14ac:dyDescent="0.25">
      <c r="A5" s="120" t="s">
        <v>579</v>
      </c>
      <c r="B5" s="118" t="s">
        <v>620</v>
      </c>
      <c r="C5" s="133" t="s">
        <v>120</v>
      </c>
      <c r="D5" s="133"/>
      <c r="E5" s="125" t="s">
        <v>796</v>
      </c>
      <c r="F5" s="79" t="s">
        <v>622</v>
      </c>
      <c r="G5" s="144" t="s">
        <v>621</v>
      </c>
      <c r="H5" s="182" t="s">
        <v>132</v>
      </c>
      <c r="I5" s="192" t="s">
        <v>594</v>
      </c>
    </row>
    <row r="6" spans="1:9" ht="37.5" customHeight="1" x14ac:dyDescent="0.25">
      <c r="A6" s="120" t="s">
        <v>579</v>
      </c>
      <c r="B6" s="118" t="s">
        <v>627</v>
      </c>
      <c r="C6" s="133" t="s">
        <v>628</v>
      </c>
      <c r="D6" s="133"/>
      <c r="E6" s="125" t="s">
        <v>796</v>
      </c>
      <c r="F6" s="79"/>
      <c r="G6" s="144" t="s">
        <v>629</v>
      </c>
      <c r="H6" s="182" t="s">
        <v>132</v>
      </c>
      <c r="I6" s="193"/>
    </row>
    <row r="7" spans="1:9" ht="37.5" customHeight="1" x14ac:dyDescent="0.25">
      <c r="A7" s="120" t="s">
        <v>594</v>
      </c>
      <c r="C7" s="133" t="s">
        <v>9</v>
      </c>
      <c r="D7" s="133"/>
      <c r="E7" s="125" t="s">
        <v>796</v>
      </c>
      <c r="F7" s="79" t="s">
        <v>631</v>
      </c>
      <c r="G7" s="144" t="s">
        <v>633</v>
      </c>
      <c r="H7" s="182" t="s">
        <v>132</v>
      </c>
      <c r="I7" s="192" t="s">
        <v>594</v>
      </c>
    </row>
    <row r="8" spans="1:9" ht="44.25" customHeight="1" x14ac:dyDescent="0.25">
      <c r="A8" s="120" t="s">
        <v>510</v>
      </c>
      <c r="B8" s="118" t="s">
        <v>640</v>
      </c>
      <c r="C8" s="133" t="s">
        <v>487</v>
      </c>
      <c r="D8" s="133"/>
      <c r="E8" s="125" t="s">
        <v>796</v>
      </c>
      <c r="F8" s="79" t="s">
        <v>641</v>
      </c>
      <c r="G8" s="144" t="s">
        <v>642</v>
      </c>
      <c r="H8" s="182" t="s">
        <v>132</v>
      </c>
      <c r="I8" s="193"/>
    </row>
    <row r="9" spans="1:9" ht="37.5" customHeight="1" x14ac:dyDescent="0.25">
      <c r="A9" s="120" t="s">
        <v>594</v>
      </c>
      <c r="B9" s="118" t="s">
        <v>645</v>
      </c>
      <c r="C9" s="133" t="s">
        <v>651</v>
      </c>
      <c r="D9" s="133"/>
      <c r="E9" s="125" t="s">
        <v>796</v>
      </c>
      <c r="F9" s="79"/>
      <c r="G9" s="79"/>
      <c r="H9" s="182"/>
      <c r="I9" s="193"/>
    </row>
    <row r="10" spans="1:9" ht="37.5" customHeight="1" x14ac:dyDescent="0.25">
      <c r="A10" s="120" t="s">
        <v>638</v>
      </c>
      <c r="B10" s="118" t="s">
        <v>646</v>
      </c>
      <c r="C10" s="133" t="s">
        <v>648</v>
      </c>
      <c r="D10" s="133"/>
      <c r="E10" s="125" t="s">
        <v>796</v>
      </c>
      <c r="F10" s="79" t="s">
        <v>647</v>
      </c>
      <c r="G10" s="79"/>
      <c r="H10" s="182"/>
      <c r="I10" s="193"/>
    </row>
    <row r="11" spans="1:9" ht="44.25" customHeight="1" x14ac:dyDescent="0.25">
      <c r="A11" s="120" t="s">
        <v>638</v>
      </c>
      <c r="B11" s="118" t="s">
        <v>649</v>
      </c>
      <c r="C11" s="133" t="s">
        <v>677</v>
      </c>
      <c r="D11" s="133"/>
      <c r="E11" s="125" t="s">
        <v>672</v>
      </c>
      <c r="F11" s="79" t="s">
        <v>650</v>
      </c>
      <c r="G11" s="79"/>
      <c r="H11" s="182"/>
      <c r="I11" s="193"/>
    </row>
    <row r="12" spans="1:9" ht="37.5" customHeight="1" x14ac:dyDescent="0.25">
      <c r="A12" s="120" t="s">
        <v>579</v>
      </c>
      <c r="C12" s="133" t="s">
        <v>549</v>
      </c>
      <c r="D12" s="133"/>
      <c r="E12" s="125" t="s">
        <v>796</v>
      </c>
      <c r="F12" s="79" t="s">
        <v>652</v>
      </c>
      <c r="G12" s="144" t="s">
        <v>654</v>
      </c>
      <c r="H12" s="182" t="s">
        <v>132</v>
      </c>
      <c r="I12" s="193"/>
    </row>
    <row r="13" spans="1:9" ht="44.25" customHeight="1" x14ac:dyDescent="0.25">
      <c r="A13" s="120" t="s">
        <v>579</v>
      </c>
      <c r="B13" s="118" t="s">
        <v>655</v>
      </c>
      <c r="C13" s="133" t="s">
        <v>656</v>
      </c>
      <c r="D13" s="133"/>
      <c r="E13" s="125" t="s">
        <v>796</v>
      </c>
      <c r="F13" s="79" t="s">
        <v>658</v>
      </c>
      <c r="G13" s="144" t="s">
        <v>657</v>
      </c>
      <c r="H13" s="182" t="s">
        <v>132</v>
      </c>
      <c r="I13" s="193"/>
    </row>
    <row r="14" spans="1:9" ht="37.5" customHeight="1" x14ac:dyDescent="0.25">
      <c r="A14" s="120" t="s">
        <v>662</v>
      </c>
      <c r="B14" s="118" t="s">
        <v>660</v>
      </c>
      <c r="C14" s="133" t="s">
        <v>628</v>
      </c>
      <c r="D14" s="133"/>
      <c r="E14" s="125" t="s">
        <v>796</v>
      </c>
      <c r="F14" s="79" t="s">
        <v>661</v>
      </c>
      <c r="G14" s="79"/>
      <c r="H14" s="182" t="s">
        <v>132</v>
      </c>
      <c r="I14" s="193"/>
    </row>
    <row r="15" spans="1:9" ht="57" customHeight="1" x14ac:dyDescent="0.25">
      <c r="A15" s="120" t="s">
        <v>662</v>
      </c>
      <c r="B15" s="118" t="s">
        <v>663</v>
      </c>
      <c r="C15" s="133" t="s">
        <v>145</v>
      </c>
      <c r="D15" s="133"/>
      <c r="E15" s="125" t="s">
        <v>796</v>
      </c>
      <c r="F15" s="79"/>
      <c r="G15" s="79"/>
      <c r="H15" s="182" t="s">
        <v>132</v>
      </c>
      <c r="I15" s="193"/>
    </row>
    <row r="16" spans="1:9" ht="37.5" customHeight="1" x14ac:dyDescent="0.25">
      <c r="A16" s="120" t="s">
        <v>662</v>
      </c>
      <c r="B16" s="118" t="s">
        <v>664</v>
      </c>
      <c r="C16" s="133" t="s">
        <v>665</v>
      </c>
      <c r="D16" s="133"/>
      <c r="E16" s="125" t="s">
        <v>796</v>
      </c>
      <c r="F16" s="79"/>
      <c r="G16" s="79"/>
      <c r="H16" s="182" t="s">
        <v>132</v>
      </c>
      <c r="I16" s="193"/>
    </row>
    <row r="17" spans="1:9" ht="48.75" customHeight="1" x14ac:dyDescent="0.25">
      <c r="A17" s="120" t="s">
        <v>667</v>
      </c>
      <c r="B17" s="118" t="s">
        <v>666</v>
      </c>
      <c r="C17" s="133" t="s">
        <v>137</v>
      </c>
      <c r="D17" s="133"/>
      <c r="E17" s="125" t="s">
        <v>796</v>
      </c>
      <c r="F17" s="79"/>
      <c r="G17" s="79"/>
      <c r="H17" s="182" t="s">
        <v>132</v>
      </c>
      <c r="I17" s="193"/>
    </row>
    <row r="18" spans="1:9" s="156" customFormat="1" ht="18" customHeight="1" x14ac:dyDescent="0.25">
      <c r="A18" s="149"/>
      <c r="B18" s="150"/>
      <c r="C18" s="151"/>
      <c r="D18" s="151"/>
      <c r="E18" s="152"/>
      <c r="F18" s="153"/>
      <c r="G18" s="153"/>
      <c r="H18" s="184"/>
      <c r="I18" s="194"/>
    </row>
    <row r="19" spans="1:9" ht="60" x14ac:dyDescent="0.25">
      <c r="A19" s="120" t="s">
        <v>680</v>
      </c>
      <c r="B19" s="118" t="s">
        <v>681</v>
      </c>
      <c r="C19" s="133" t="s">
        <v>682</v>
      </c>
      <c r="D19" s="133"/>
      <c r="E19" s="125" t="s">
        <v>796</v>
      </c>
      <c r="F19" s="79" t="s">
        <v>683</v>
      </c>
      <c r="G19" s="144" t="s">
        <v>685</v>
      </c>
      <c r="H19" s="182" t="s">
        <v>104</v>
      </c>
      <c r="I19" s="193"/>
    </row>
    <row r="20" spans="1:9" ht="31.5" customHeight="1" x14ac:dyDescent="0.25">
      <c r="A20" s="120" t="s">
        <v>680</v>
      </c>
      <c r="C20" s="133" t="s">
        <v>9</v>
      </c>
      <c r="D20" s="133"/>
      <c r="E20" s="125" t="s">
        <v>796</v>
      </c>
      <c r="F20" s="79" t="s">
        <v>686</v>
      </c>
      <c r="G20" s="144" t="s">
        <v>688</v>
      </c>
      <c r="H20" s="182" t="s">
        <v>687</v>
      </c>
      <c r="I20" s="193" t="s">
        <v>721</v>
      </c>
    </row>
    <row r="21" spans="1:9" ht="38.25" customHeight="1" x14ac:dyDescent="0.25">
      <c r="A21" s="120" t="s">
        <v>690</v>
      </c>
      <c r="B21" s="118" t="s">
        <v>693</v>
      </c>
      <c r="C21" s="133" t="s">
        <v>694</v>
      </c>
      <c r="D21" s="133"/>
      <c r="E21" s="125" t="s">
        <v>796</v>
      </c>
      <c r="F21" s="79" t="s">
        <v>695</v>
      </c>
      <c r="G21" s="144" t="s">
        <v>698</v>
      </c>
      <c r="H21" s="182" t="s">
        <v>697</v>
      </c>
      <c r="I21" s="193"/>
    </row>
    <row r="22" spans="1:9" ht="32.25" customHeight="1" x14ac:dyDescent="0.25">
      <c r="A22" s="120" t="s">
        <v>690</v>
      </c>
      <c r="B22" s="118" t="s">
        <v>699</v>
      </c>
      <c r="C22" s="133" t="s">
        <v>700</v>
      </c>
      <c r="D22" s="133"/>
      <c r="E22" s="125" t="s">
        <v>796</v>
      </c>
      <c r="F22" s="79" t="s">
        <v>701</v>
      </c>
      <c r="G22" s="144" t="s">
        <v>703</v>
      </c>
      <c r="H22" s="182" t="s">
        <v>132</v>
      </c>
      <c r="I22" s="193"/>
    </row>
    <row r="23" spans="1:9" ht="36" customHeight="1" x14ac:dyDescent="0.25">
      <c r="A23" s="120" t="s">
        <v>690</v>
      </c>
      <c r="B23" s="118" t="s">
        <v>704</v>
      </c>
      <c r="C23" s="133" t="s">
        <v>692</v>
      </c>
      <c r="D23" s="133"/>
      <c r="E23" s="125" t="s">
        <v>796</v>
      </c>
      <c r="F23" s="79" t="s">
        <v>705</v>
      </c>
      <c r="G23" s="144" t="s">
        <v>706</v>
      </c>
      <c r="H23" s="182" t="s">
        <v>132</v>
      </c>
      <c r="I23" s="193"/>
    </row>
    <row r="24" spans="1:9" ht="49.5" x14ac:dyDescent="0.3">
      <c r="A24" s="120" t="s">
        <v>690</v>
      </c>
      <c r="B24" s="157" t="s">
        <v>708</v>
      </c>
      <c r="C24" s="133" t="s">
        <v>709</v>
      </c>
      <c r="D24" s="133"/>
      <c r="E24" s="125" t="s">
        <v>796</v>
      </c>
      <c r="F24" s="79" t="s">
        <v>710</v>
      </c>
      <c r="G24" s="144" t="s">
        <v>711</v>
      </c>
      <c r="H24" s="182" t="s">
        <v>104</v>
      </c>
      <c r="I24" s="193"/>
    </row>
    <row r="25" spans="1:9" ht="49.5" x14ac:dyDescent="0.3">
      <c r="A25" s="120" t="s">
        <v>716</v>
      </c>
      <c r="B25" s="157" t="s">
        <v>712</v>
      </c>
      <c r="C25" s="133" t="s">
        <v>713</v>
      </c>
      <c r="D25" s="133"/>
      <c r="E25" s="125" t="s">
        <v>796</v>
      </c>
      <c r="F25" s="79" t="s">
        <v>671</v>
      </c>
      <c r="G25" s="144" t="s">
        <v>714</v>
      </c>
      <c r="H25" s="182" t="s">
        <v>406</v>
      </c>
      <c r="I25" s="193"/>
    </row>
    <row r="26" spans="1:9" ht="57" customHeight="1" x14ac:dyDescent="0.25">
      <c r="A26" s="120" t="s">
        <v>716</v>
      </c>
      <c r="B26" s="118" t="s">
        <v>715</v>
      </c>
      <c r="C26" s="133" t="s">
        <v>717</v>
      </c>
      <c r="D26" s="133"/>
      <c r="E26" s="125" t="s">
        <v>796</v>
      </c>
      <c r="F26" s="79" t="s">
        <v>718</v>
      </c>
      <c r="G26" s="144" t="s">
        <v>719</v>
      </c>
      <c r="H26" s="182" t="s">
        <v>406</v>
      </c>
      <c r="I26" s="193"/>
    </row>
    <row r="27" spans="1:9" ht="23.25" customHeight="1" x14ac:dyDescent="0.25">
      <c r="A27" s="120" t="s">
        <v>723</v>
      </c>
      <c r="C27" s="133" t="s">
        <v>727</v>
      </c>
      <c r="D27" s="133"/>
      <c r="E27" s="125" t="s">
        <v>672</v>
      </c>
      <c r="F27" s="79" t="s">
        <v>724</v>
      </c>
      <c r="G27" s="144" t="s">
        <v>725</v>
      </c>
      <c r="H27" s="182" t="s">
        <v>104</v>
      </c>
      <c r="I27" s="193"/>
    </row>
    <row r="28" spans="1:9" ht="43.5" customHeight="1" x14ac:dyDescent="0.25">
      <c r="A28" s="120" t="s">
        <v>723</v>
      </c>
      <c r="B28" s="118" t="s">
        <v>728</v>
      </c>
      <c r="C28" s="133" t="s">
        <v>729</v>
      </c>
      <c r="D28" s="133"/>
      <c r="E28" s="125"/>
      <c r="F28" s="79" t="s">
        <v>731</v>
      </c>
      <c r="G28" s="144" t="s">
        <v>730</v>
      </c>
      <c r="H28" s="182" t="s">
        <v>104</v>
      </c>
      <c r="I28" s="193"/>
    </row>
    <row r="29" spans="1:9" ht="27" customHeight="1" x14ac:dyDescent="0.25">
      <c r="A29" s="120" t="s">
        <v>723</v>
      </c>
      <c r="C29" s="133" t="s">
        <v>732</v>
      </c>
      <c r="D29" s="133"/>
      <c r="E29" s="125" t="s">
        <v>796</v>
      </c>
      <c r="F29" s="79" t="s">
        <v>733</v>
      </c>
      <c r="G29" s="144" t="s">
        <v>735</v>
      </c>
      <c r="H29" s="182" t="s">
        <v>104</v>
      </c>
      <c r="I29" s="193"/>
    </row>
    <row r="30" spans="1:9" ht="62.45" customHeight="1" x14ac:dyDescent="0.25">
      <c r="A30" s="120" t="s">
        <v>723</v>
      </c>
      <c r="B30" s="118" t="s">
        <v>738</v>
      </c>
      <c r="C30" s="133" t="s">
        <v>739</v>
      </c>
      <c r="D30" s="133"/>
      <c r="E30" s="125" t="s">
        <v>796</v>
      </c>
      <c r="F30" s="79" t="s">
        <v>740</v>
      </c>
      <c r="G30" s="144" t="s">
        <v>741</v>
      </c>
      <c r="H30" s="182" t="s">
        <v>103</v>
      </c>
      <c r="I30" s="193"/>
    </row>
    <row r="31" spans="1:9" ht="57" customHeight="1" x14ac:dyDescent="0.25">
      <c r="A31" s="120" t="s">
        <v>736</v>
      </c>
      <c r="B31" s="118" t="s">
        <v>743</v>
      </c>
      <c r="C31" s="133" t="s">
        <v>744</v>
      </c>
      <c r="D31" s="133" t="s">
        <v>891</v>
      </c>
      <c r="E31" s="125"/>
      <c r="F31" s="79" t="s">
        <v>745</v>
      </c>
      <c r="G31" s="144" t="s">
        <v>746</v>
      </c>
      <c r="H31" s="182" t="s">
        <v>104</v>
      </c>
      <c r="I31" s="193"/>
    </row>
    <row r="32" spans="1:9" ht="45" x14ac:dyDescent="0.25">
      <c r="A32" s="120" t="s">
        <v>736</v>
      </c>
      <c r="B32" s="118" t="s">
        <v>747</v>
      </c>
      <c r="C32" s="133" t="s">
        <v>678</v>
      </c>
      <c r="D32" s="133"/>
      <c r="E32" s="125" t="s">
        <v>117</v>
      </c>
      <c r="F32" s="79" t="s">
        <v>749</v>
      </c>
      <c r="G32" s="144" t="s">
        <v>750</v>
      </c>
      <c r="H32" s="182" t="s">
        <v>748</v>
      </c>
      <c r="I32" s="193"/>
    </row>
    <row r="33" spans="1:10" ht="60" x14ac:dyDescent="0.25">
      <c r="A33" s="120" t="s">
        <v>736</v>
      </c>
      <c r="B33" s="118" t="s">
        <v>751</v>
      </c>
      <c r="C33" s="133" t="s">
        <v>752</v>
      </c>
      <c r="D33" s="133"/>
      <c r="E33" s="125"/>
      <c r="F33" s="79" t="s">
        <v>753</v>
      </c>
      <c r="G33" s="144" t="s">
        <v>754</v>
      </c>
      <c r="H33" s="182" t="s">
        <v>104</v>
      </c>
      <c r="I33" s="193"/>
    </row>
    <row r="34" spans="1:10" ht="60" x14ac:dyDescent="0.25">
      <c r="A34" s="120" t="s">
        <v>736</v>
      </c>
      <c r="B34" s="118" t="s">
        <v>755</v>
      </c>
      <c r="C34" s="133" t="s">
        <v>756</v>
      </c>
      <c r="D34" s="133"/>
      <c r="E34" s="125" t="s">
        <v>796</v>
      </c>
      <c r="F34" s="79"/>
      <c r="G34" s="79"/>
      <c r="H34" s="182" t="s">
        <v>132</v>
      </c>
      <c r="I34" s="192" t="s">
        <v>736</v>
      </c>
    </row>
    <row r="35" spans="1:10" ht="33" x14ac:dyDescent="0.25">
      <c r="A35" s="120" t="s">
        <v>736</v>
      </c>
      <c r="B35" s="142" t="s">
        <v>757</v>
      </c>
      <c r="C35" s="133" t="s">
        <v>759</v>
      </c>
      <c r="D35" s="133"/>
      <c r="E35" s="125" t="s">
        <v>796</v>
      </c>
      <c r="F35" s="79"/>
      <c r="G35" s="144" t="s">
        <v>758</v>
      </c>
      <c r="H35" s="182" t="s">
        <v>132</v>
      </c>
      <c r="I35" s="193"/>
    </row>
    <row r="36" spans="1:10" ht="30" x14ac:dyDescent="0.25">
      <c r="A36" s="120" t="s">
        <v>736</v>
      </c>
      <c r="B36" s="118" t="s">
        <v>760</v>
      </c>
      <c r="C36" s="133" t="s">
        <v>694</v>
      </c>
      <c r="D36" s="133"/>
      <c r="E36" s="125" t="s">
        <v>796</v>
      </c>
      <c r="F36" s="79" t="s">
        <v>762</v>
      </c>
      <c r="G36" s="144" t="s">
        <v>761</v>
      </c>
      <c r="H36" s="182" t="s">
        <v>104</v>
      </c>
      <c r="I36" s="193"/>
    </row>
    <row r="37" spans="1:10" ht="49.5" x14ac:dyDescent="0.3">
      <c r="A37" s="120" t="s">
        <v>737</v>
      </c>
      <c r="B37" s="157" t="s">
        <v>764</v>
      </c>
      <c r="C37" s="133" t="s">
        <v>765</v>
      </c>
      <c r="D37" s="133"/>
      <c r="E37" s="125" t="s">
        <v>796</v>
      </c>
      <c r="F37" s="79" t="s">
        <v>766</v>
      </c>
      <c r="G37" s="144" t="s">
        <v>768</v>
      </c>
      <c r="H37" s="182" t="s">
        <v>132</v>
      </c>
      <c r="I37" s="193"/>
    </row>
    <row r="38" spans="1:10" ht="25.5" customHeight="1" x14ac:dyDescent="0.25">
      <c r="A38" s="120" t="s">
        <v>737</v>
      </c>
      <c r="B38" s="118" t="s">
        <v>769</v>
      </c>
      <c r="C38" s="133" t="s">
        <v>137</v>
      </c>
      <c r="D38" s="125" t="s">
        <v>813</v>
      </c>
      <c r="E38" s="125"/>
      <c r="F38" s="79"/>
      <c r="G38" s="79">
        <v>984220048</v>
      </c>
      <c r="H38" s="182" t="s">
        <v>132</v>
      </c>
      <c r="I38" s="193"/>
    </row>
    <row r="39" spans="1:10" ht="30" x14ac:dyDescent="0.25">
      <c r="A39" s="120" t="s">
        <v>737</v>
      </c>
      <c r="B39" s="118" t="s">
        <v>770</v>
      </c>
      <c r="C39" s="133" t="s">
        <v>139</v>
      </c>
      <c r="D39" s="125"/>
      <c r="E39" s="125"/>
      <c r="F39" s="79"/>
      <c r="G39" s="144">
        <v>332172858</v>
      </c>
      <c r="H39" s="182" t="s">
        <v>103</v>
      </c>
      <c r="I39" s="193"/>
    </row>
    <row r="40" spans="1:10" ht="30" x14ac:dyDescent="0.25">
      <c r="A40" s="120" t="s">
        <v>737</v>
      </c>
      <c r="B40" s="118" t="s">
        <v>771</v>
      </c>
      <c r="C40" s="133" t="s">
        <v>739</v>
      </c>
      <c r="D40" s="125" t="s">
        <v>813</v>
      </c>
      <c r="E40" s="125"/>
      <c r="F40" s="79"/>
      <c r="G40" s="144" t="s">
        <v>772</v>
      </c>
      <c r="H40" s="182" t="s">
        <v>132</v>
      </c>
      <c r="I40" s="193"/>
    </row>
    <row r="41" spans="1:10" s="165" customFormat="1" x14ac:dyDescent="0.25">
      <c r="A41" s="158"/>
      <c r="B41" s="148" t="s">
        <v>818</v>
      </c>
      <c r="C41" s="159"/>
      <c r="D41" s="160"/>
      <c r="E41" s="160"/>
      <c r="F41" s="161"/>
      <c r="G41" s="162"/>
      <c r="H41" s="185"/>
      <c r="I41" s="195"/>
    </row>
    <row r="42" spans="1:10" ht="57" customHeight="1" x14ac:dyDescent="0.25">
      <c r="A42" s="120" t="s">
        <v>736</v>
      </c>
      <c r="B42" s="118" t="s">
        <v>743</v>
      </c>
      <c r="C42" s="133" t="s">
        <v>744</v>
      </c>
      <c r="D42" s="133" t="s">
        <v>898</v>
      </c>
      <c r="E42" s="125"/>
      <c r="F42" s="79" t="s">
        <v>745</v>
      </c>
      <c r="G42" s="144" t="s">
        <v>746</v>
      </c>
      <c r="H42" s="182" t="s">
        <v>104</v>
      </c>
      <c r="I42" s="193"/>
    </row>
    <row r="43" spans="1:10" ht="36" customHeight="1" x14ac:dyDescent="0.25">
      <c r="A43" s="120" t="s">
        <v>774</v>
      </c>
      <c r="B43" s="118" t="s">
        <v>776</v>
      </c>
      <c r="C43" s="133" t="s">
        <v>765</v>
      </c>
      <c r="D43" s="125" t="s">
        <v>898</v>
      </c>
      <c r="E43" s="125" t="s">
        <v>817</v>
      </c>
      <c r="F43" s="79" t="s">
        <v>777</v>
      </c>
      <c r="G43" s="144" t="s">
        <v>778</v>
      </c>
      <c r="H43" s="182" t="s">
        <v>779</v>
      </c>
      <c r="I43" s="193"/>
      <c r="J43" s="115" t="s">
        <v>998</v>
      </c>
    </row>
    <row r="44" spans="1:10" ht="36" customHeight="1" x14ac:dyDescent="0.25">
      <c r="A44" s="120" t="s">
        <v>775</v>
      </c>
      <c r="B44" s="118" t="s">
        <v>819</v>
      </c>
      <c r="C44" s="133" t="s">
        <v>820</v>
      </c>
      <c r="D44" s="125" t="s">
        <v>842</v>
      </c>
      <c r="E44" s="125" t="s">
        <v>817</v>
      </c>
      <c r="F44" s="79" t="s">
        <v>826</v>
      </c>
      <c r="G44" s="144" t="s">
        <v>821</v>
      </c>
      <c r="H44" s="182" t="s">
        <v>838</v>
      </c>
      <c r="I44" s="193"/>
    </row>
    <row r="45" spans="1:10" ht="36" customHeight="1" x14ac:dyDescent="0.25">
      <c r="A45" s="120" t="s">
        <v>775</v>
      </c>
      <c r="B45" s="118" t="s">
        <v>830</v>
      </c>
      <c r="C45" s="133" t="s">
        <v>831</v>
      </c>
      <c r="D45" s="125" t="s">
        <v>842</v>
      </c>
      <c r="E45" s="125" t="s">
        <v>817</v>
      </c>
      <c r="F45" s="79" t="s">
        <v>832</v>
      </c>
      <c r="G45" s="144" t="s">
        <v>833</v>
      </c>
      <c r="H45" s="182" t="s">
        <v>834</v>
      </c>
      <c r="I45" s="193"/>
    </row>
    <row r="46" spans="1:10" ht="36" customHeight="1" x14ac:dyDescent="0.25">
      <c r="A46" s="120" t="s">
        <v>775</v>
      </c>
      <c r="B46" s="167" t="s">
        <v>886</v>
      </c>
      <c r="C46" s="167" t="s">
        <v>835</v>
      </c>
      <c r="D46" s="125" t="s">
        <v>884</v>
      </c>
      <c r="E46" s="125" t="s">
        <v>817</v>
      </c>
      <c r="F46" s="79" t="s">
        <v>836</v>
      </c>
      <c r="G46" s="144" t="s">
        <v>750</v>
      </c>
      <c r="H46" s="182" t="s">
        <v>837</v>
      </c>
      <c r="I46" s="193"/>
    </row>
    <row r="47" spans="1:10" ht="36" customHeight="1" x14ac:dyDescent="0.25">
      <c r="A47" s="120" t="s">
        <v>823</v>
      </c>
      <c r="B47" s="118" t="s">
        <v>819</v>
      </c>
      <c r="C47" s="133" t="s">
        <v>820</v>
      </c>
      <c r="D47" s="125" t="s">
        <v>842</v>
      </c>
      <c r="E47" s="125" t="s">
        <v>817</v>
      </c>
      <c r="F47" s="79" t="s">
        <v>827</v>
      </c>
      <c r="G47" s="144" t="s">
        <v>824</v>
      </c>
      <c r="H47" s="182" t="s">
        <v>822</v>
      </c>
      <c r="I47" s="193"/>
    </row>
    <row r="48" spans="1:10" ht="53.25" customHeight="1" x14ac:dyDescent="0.25">
      <c r="A48" s="120" t="s">
        <v>781</v>
      </c>
      <c r="B48" s="118" t="s">
        <v>780</v>
      </c>
      <c r="C48" s="173" t="s">
        <v>744</v>
      </c>
      <c r="D48" s="146" t="s">
        <v>981</v>
      </c>
      <c r="E48" s="125" t="s">
        <v>817</v>
      </c>
      <c r="F48" s="79" t="s">
        <v>722</v>
      </c>
      <c r="G48" s="144" t="s">
        <v>782</v>
      </c>
      <c r="H48" s="182" t="s">
        <v>779</v>
      </c>
      <c r="I48" s="193"/>
    </row>
    <row r="49" spans="1:11" ht="53.25" customHeight="1" x14ac:dyDescent="0.25">
      <c r="A49" s="120" t="s">
        <v>785</v>
      </c>
      <c r="B49" s="118" t="s">
        <v>784</v>
      </c>
      <c r="C49" s="133" t="s">
        <v>752</v>
      </c>
      <c r="D49" s="125" t="s">
        <v>842</v>
      </c>
      <c r="E49" s="125" t="s">
        <v>816</v>
      </c>
      <c r="F49" s="79" t="s">
        <v>691</v>
      </c>
      <c r="G49" s="79" t="s">
        <v>786</v>
      </c>
      <c r="H49" s="182" t="s">
        <v>103</v>
      </c>
      <c r="I49" s="193"/>
    </row>
    <row r="50" spans="1:11" ht="44.25" customHeight="1" x14ac:dyDescent="0.25">
      <c r="A50" s="120" t="s">
        <v>785</v>
      </c>
      <c r="B50" s="118" t="s">
        <v>788</v>
      </c>
      <c r="C50" s="133" t="s">
        <v>789</v>
      </c>
      <c r="D50" s="125" t="s">
        <v>842</v>
      </c>
      <c r="E50" s="125" t="s">
        <v>816</v>
      </c>
      <c r="F50" s="79" t="s">
        <v>790</v>
      </c>
      <c r="G50" s="144" t="s">
        <v>791</v>
      </c>
      <c r="H50" s="182" t="s">
        <v>104</v>
      </c>
      <c r="I50" s="193"/>
    </row>
    <row r="51" spans="1:11" ht="45" customHeight="1" x14ac:dyDescent="0.25">
      <c r="A51" s="120" t="s">
        <v>792</v>
      </c>
      <c r="B51" s="118" t="s">
        <v>793</v>
      </c>
      <c r="C51" s="133" t="s">
        <v>668</v>
      </c>
      <c r="D51" s="125" t="s">
        <v>885</v>
      </c>
      <c r="E51" s="125" t="s">
        <v>816</v>
      </c>
      <c r="F51" s="79" t="s">
        <v>795</v>
      </c>
      <c r="G51" s="79">
        <v>387889688</v>
      </c>
      <c r="H51" s="182" t="s">
        <v>104</v>
      </c>
      <c r="I51" s="193"/>
    </row>
    <row r="52" spans="1:11" ht="45" customHeight="1" x14ac:dyDescent="0.25">
      <c r="A52" s="120" t="s">
        <v>792</v>
      </c>
      <c r="B52" s="118" t="s">
        <v>819</v>
      </c>
      <c r="C52" s="133" t="s">
        <v>820</v>
      </c>
      <c r="D52" s="133" t="s">
        <v>842</v>
      </c>
      <c r="E52" s="125" t="s">
        <v>816</v>
      </c>
      <c r="F52" s="79" t="s">
        <v>828</v>
      </c>
      <c r="G52" s="144" t="s">
        <v>825</v>
      </c>
      <c r="H52" s="182" t="s">
        <v>839</v>
      </c>
      <c r="I52" s="193"/>
    </row>
    <row r="53" spans="1:11" ht="45" customHeight="1" x14ac:dyDescent="0.25">
      <c r="A53" s="119" t="s">
        <v>787</v>
      </c>
      <c r="B53" s="118" t="s">
        <v>819</v>
      </c>
      <c r="C53" s="133"/>
      <c r="D53" s="133" t="s">
        <v>842</v>
      </c>
      <c r="E53" s="125" t="s">
        <v>816</v>
      </c>
      <c r="F53" s="79" t="s">
        <v>829</v>
      </c>
      <c r="G53" s="144" t="s">
        <v>821</v>
      </c>
      <c r="H53" s="182" t="s">
        <v>822</v>
      </c>
      <c r="I53" s="193"/>
    </row>
    <row r="54" spans="1:11" ht="45" customHeight="1" x14ac:dyDescent="0.25">
      <c r="A54" s="119" t="s">
        <v>787</v>
      </c>
      <c r="B54" s="118" t="s">
        <v>808</v>
      </c>
      <c r="C54" s="133" t="s">
        <v>810</v>
      </c>
      <c r="D54" s="115" t="s">
        <v>842</v>
      </c>
      <c r="E54" s="125"/>
      <c r="F54" s="79" t="s">
        <v>803</v>
      </c>
      <c r="G54" s="79">
        <v>394351048</v>
      </c>
      <c r="H54" s="182" t="s">
        <v>804</v>
      </c>
      <c r="I54" s="193"/>
      <c r="K54" s="115" t="s">
        <v>811</v>
      </c>
    </row>
    <row r="55" spans="1:11" ht="45" customHeight="1" x14ac:dyDescent="0.25">
      <c r="A55" s="119" t="s">
        <v>787</v>
      </c>
      <c r="B55" s="118" t="s">
        <v>809</v>
      </c>
      <c r="C55" s="133" t="s">
        <v>806</v>
      </c>
      <c r="D55" s="115" t="s">
        <v>898</v>
      </c>
      <c r="E55" s="125"/>
      <c r="F55" s="79" t="s">
        <v>807</v>
      </c>
      <c r="G55" s="79">
        <v>334992296</v>
      </c>
      <c r="H55" s="182"/>
      <c r="I55" s="193"/>
    </row>
    <row r="56" spans="1:11" ht="45" customHeight="1" x14ac:dyDescent="0.25">
      <c r="A56" s="120" t="s">
        <v>798</v>
      </c>
      <c r="B56" s="118" t="s">
        <v>797</v>
      </c>
      <c r="C56" s="133" t="s">
        <v>799</v>
      </c>
      <c r="D56" s="125" t="s">
        <v>842</v>
      </c>
      <c r="E56" s="125"/>
      <c r="F56" s="79" t="s">
        <v>800</v>
      </c>
      <c r="G56" s="144" t="s">
        <v>504</v>
      </c>
      <c r="H56" s="182" t="s">
        <v>801</v>
      </c>
      <c r="I56" s="193"/>
    </row>
    <row r="57" spans="1:11" ht="31.15" customHeight="1" x14ac:dyDescent="0.25">
      <c r="A57" s="119" t="s">
        <v>844</v>
      </c>
      <c r="B57" s="118" t="s">
        <v>845</v>
      </c>
      <c r="C57" s="169" t="s">
        <v>846</v>
      </c>
      <c r="D57" s="169" t="s">
        <v>867</v>
      </c>
      <c r="H57" s="186" t="s">
        <v>847</v>
      </c>
      <c r="I57" s="187" t="s">
        <v>848</v>
      </c>
      <c r="J57" s="81"/>
      <c r="K57" s="137"/>
    </row>
    <row r="58" spans="1:11" ht="31.15" customHeight="1" x14ac:dyDescent="0.25">
      <c r="A58" s="119" t="s">
        <v>844</v>
      </c>
      <c r="B58" s="118" t="s">
        <v>854</v>
      </c>
      <c r="C58" s="169" t="s">
        <v>855</v>
      </c>
      <c r="D58" s="171" t="s">
        <v>962</v>
      </c>
      <c r="F58" s="115" t="s">
        <v>856</v>
      </c>
      <c r="H58" s="186" t="s">
        <v>857</v>
      </c>
      <c r="I58" s="187" t="s">
        <v>858</v>
      </c>
      <c r="J58" s="81"/>
      <c r="K58" s="137"/>
    </row>
    <row r="59" spans="1:11" ht="31.15" customHeight="1" x14ac:dyDescent="0.25">
      <c r="A59" s="119" t="s">
        <v>859</v>
      </c>
      <c r="B59" s="118" t="s">
        <v>860</v>
      </c>
      <c r="C59" s="169" t="s">
        <v>861</v>
      </c>
      <c r="D59" s="169" t="s">
        <v>1032</v>
      </c>
      <c r="F59" s="115" t="s">
        <v>863</v>
      </c>
      <c r="H59" s="186" t="s">
        <v>862</v>
      </c>
      <c r="I59" s="187" t="s">
        <v>843</v>
      </c>
      <c r="J59" s="81"/>
      <c r="K59" s="137"/>
    </row>
    <row r="60" spans="1:11" ht="31.15" customHeight="1" x14ac:dyDescent="0.25">
      <c r="A60" s="119" t="s">
        <v>849</v>
      </c>
      <c r="B60" s="118" t="s">
        <v>850</v>
      </c>
      <c r="C60" s="169" t="s">
        <v>851</v>
      </c>
      <c r="D60" s="146" t="s">
        <v>898</v>
      </c>
      <c r="F60" s="115" t="s">
        <v>853</v>
      </c>
      <c r="H60" s="186" t="s">
        <v>852</v>
      </c>
      <c r="I60" s="187" t="s">
        <v>848</v>
      </c>
      <c r="J60" s="81"/>
      <c r="K60" s="137"/>
    </row>
    <row r="61" spans="1:11" ht="31.15" customHeight="1" x14ac:dyDescent="0.25">
      <c r="A61" s="119" t="s">
        <v>892</v>
      </c>
      <c r="B61" s="118" t="s">
        <v>887</v>
      </c>
      <c r="C61" s="169" t="s">
        <v>888</v>
      </c>
      <c r="D61" s="146" t="s">
        <v>898</v>
      </c>
      <c r="F61" s="115" t="s">
        <v>889</v>
      </c>
      <c r="H61" s="186" t="s">
        <v>890</v>
      </c>
      <c r="I61" s="187" t="s">
        <v>873</v>
      </c>
      <c r="J61" s="81"/>
      <c r="K61" s="137"/>
    </row>
    <row r="62" spans="1:11" ht="31.15" customHeight="1" x14ac:dyDescent="0.25">
      <c r="A62" s="119" t="s">
        <v>875</v>
      </c>
      <c r="B62" s="118" t="s">
        <v>999</v>
      </c>
      <c r="C62" s="118" t="s">
        <v>999</v>
      </c>
      <c r="D62" s="176" t="s">
        <v>898</v>
      </c>
      <c r="F62" s="115" t="s">
        <v>874</v>
      </c>
      <c r="H62" s="186" t="s">
        <v>883</v>
      </c>
      <c r="I62" s="187" t="s">
        <v>873</v>
      </c>
      <c r="J62" s="81"/>
      <c r="K62" s="137"/>
    </row>
    <row r="63" spans="1:11" ht="26.45" customHeight="1" x14ac:dyDescent="0.25">
      <c r="A63" s="119" t="s">
        <v>875</v>
      </c>
      <c r="B63" s="118" t="s">
        <v>882</v>
      </c>
      <c r="C63" s="169" t="s">
        <v>876</v>
      </c>
      <c r="D63" s="169" t="s">
        <v>898</v>
      </c>
      <c r="F63" s="115" t="s">
        <v>877</v>
      </c>
      <c r="I63" s="187" t="s">
        <v>881</v>
      </c>
      <c r="J63" s="81"/>
      <c r="K63" s="137"/>
    </row>
    <row r="64" spans="1:11" ht="21.6" customHeight="1" x14ac:dyDescent="0.25">
      <c r="B64" s="118" t="s">
        <v>929</v>
      </c>
      <c r="C64" s="169" t="s">
        <v>876</v>
      </c>
      <c r="D64" s="146" t="s">
        <v>898</v>
      </c>
      <c r="F64" s="115" t="s">
        <v>878</v>
      </c>
      <c r="I64" s="187" t="s">
        <v>881</v>
      </c>
    </row>
    <row r="65" spans="1:9" ht="22.15" customHeight="1" x14ac:dyDescent="0.25">
      <c r="B65" s="118" t="s">
        <v>930</v>
      </c>
      <c r="C65" s="169" t="s">
        <v>876</v>
      </c>
      <c r="D65" s="146" t="s">
        <v>898</v>
      </c>
      <c r="F65" s="115" t="s">
        <v>879</v>
      </c>
      <c r="I65" s="187" t="s">
        <v>881</v>
      </c>
    </row>
    <row r="66" spans="1:9" ht="23.45" customHeight="1" x14ac:dyDescent="0.25">
      <c r="B66" s="118" t="s">
        <v>931</v>
      </c>
      <c r="C66" s="171" t="s">
        <v>876</v>
      </c>
      <c r="D66" s="146" t="s">
        <v>898</v>
      </c>
      <c r="F66" s="115" t="s">
        <v>880</v>
      </c>
      <c r="I66" s="187" t="s">
        <v>881</v>
      </c>
    </row>
    <row r="67" spans="1:9" ht="27.6" customHeight="1" x14ac:dyDescent="0.25">
      <c r="A67" s="115" t="s">
        <v>893</v>
      </c>
      <c r="B67" s="118" t="s">
        <v>894</v>
      </c>
      <c r="C67" s="169" t="s">
        <v>895</v>
      </c>
      <c r="D67" s="175" t="s">
        <v>1041</v>
      </c>
      <c r="F67" s="115" t="s">
        <v>896</v>
      </c>
      <c r="H67" s="187" t="s">
        <v>897</v>
      </c>
      <c r="I67" s="181" t="s">
        <v>873</v>
      </c>
    </row>
    <row r="68" spans="1:9" ht="27.6" customHeight="1" x14ac:dyDescent="0.25">
      <c r="A68" s="115" t="s">
        <v>899</v>
      </c>
      <c r="B68" s="118" t="s">
        <v>900</v>
      </c>
      <c r="C68" s="118" t="s">
        <v>900</v>
      </c>
      <c r="D68" s="146" t="s">
        <v>1015</v>
      </c>
      <c r="F68" s="115" t="s">
        <v>901</v>
      </c>
      <c r="H68" s="186" t="s">
        <v>902</v>
      </c>
      <c r="I68" s="181" t="s">
        <v>903</v>
      </c>
    </row>
    <row r="69" spans="1:9" ht="24.6" customHeight="1" x14ac:dyDescent="0.25">
      <c r="A69" s="115" t="s">
        <v>904</v>
      </c>
      <c r="B69" s="118" t="s">
        <v>905</v>
      </c>
      <c r="C69" s="118" t="s">
        <v>905</v>
      </c>
      <c r="D69" s="146" t="s">
        <v>950</v>
      </c>
      <c r="H69" s="186" t="s">
        <v>906</v>
      </c>
      <c r="I69" s="181" t="s">
        <v>873</v>
      </c>
    </row>
    <row r="70" spans="1:9" ht="19.149999999999999" customHeight="1" x14ac:dyDescent="0.25">
      <c r="A70" s="115" t="s">
        <v>910</v>
      </c>
      <c r="B70" s="167" t="s">
        <v>907</v>
      </c>
      <c r="C70" s="167" t="s">
        <v>907</v>
      </c>
      <c r="D70" s="146" t="s">
        <v>1015</v>
      </c>
      <c r="F70" s="115" t="s">
        <v>1027</v>
      </c>
      <c r="G70" s="115" t="s">
        <v>992</v>
      </c>
      <c r="H70" s="186" t="s">
        <v>908</v>
      </c>
      <c r="I70" s="181" t="s">
        <v>909</v>
      </c>
    </row>
    <row r="71" spans="1:9" ht="19.149999999999999" customHeight="1" x14ac:dyDescent="0.25">
      <c r="B71" s="167" t="s">
        <v>907</v>
      </c>
      <c r="C71" s="167" t="s">
        <v>907</v>
      </c>
      <c r="D71" s="146" t="s">
        <v>1015</v>
      </c>
      <c r="F71" s="115" t="s">
        <v>991</v>
      </c>
      <c r="G71" s="115" t="s">
        <v>992</v>
      </c>
      <c r="H71" s="186" t="s">
        <v>908</v>
      </c>
      <c r="I71" s="181" t="s">
        <v>909</v>
      </c>
    </row>
    <row r="72" spans="1:9" ht="18.600000000000001" customHeight="1" x14ac:dyDescent="0.25">
      <c r="A72" s="115" t="s">
        <v>910</v>
      </c>
      <c r="B72" s="118" t="s">
        <v>911</v>
      </c>
      <c r="C72" s="169" t="s">
        <v>912</v>
      </c>
      <c r="D72" s="174" t="s">
        <v>1038</v>
      </c>
      <c r="F72" s="115" t="s">
        <v>914</v>
      </c>
      <c r="H72" s="186" t="s">
        <v>916</v>
      </c>
      <c r="I72" s="181" t="s">
        <v>834</v>
      </c>
    </row>
    <row r="73" spans="1:9" ht="18.600000000000001" customHeight="1" x14ac:dyDescent="0.25">
      <c r="B73" s="118" t="s">
        <v>911</v>
      </c>
      <c r="C73" s="169" t="s">
        <v>912</v>
      </c>
      <c r="D73" s="174" t="s">
        <v>1038</v>
      </c>
      <c r="F73" s="115" t="s">
        <v>914</v>
      </c>
      <c r="I73" s="181" t="s">
        <v>913</v>
      </c>
    </row>
    <row r="74" spans="1:9" ht="18.600000000000001" customHeight="1" x14ac:dyDescent="0.25">
      <c r="B74" s="118" t="s">
        <v>911</v>
      </c>
      <c r="C74" s="169" t="s">
        <v>912</v>
      </c>
      <c r="D74" s="174" t="s">
        <v>1039</v>
      </c>
      <c r="F74" s="115" t="s">
        <v>915</v>
      </c>
      <c r="I74" s="181" t="s">
        <v>913</v>
      </c>
    </row>
    <row r="75" spans="1:9" ht="18.600000000000001" customHeight="1" x14ac:dyDescent="0.25">
      <c r="A75" s="115" t="s">
        <v>910</v>
      </c>
      <c r="B75" s="118" t="s">
        <v>918</v>
      </c>
      <c r="C75" s="118" t="s">
        <v>918</v>
      </c>
      <c r="D75" s="146" t="s">
        <v>934</v>
      </c>
      <c r="F75" s="115" t="s">
        <v>919</v>
      </c>
      <c r="I75" s="181" t="s">
        <v>920</v>
      </c>
    </row>
    <row r="76" spans="1:9" ht="18.600000000000001" customHeight="1" x14ac:dyDescent="0.25">
      <c r="B76" s="118" t="s">
        <v>918</v>
      </c>
      <c r="C76" s="118" t="s">
        <v>918</v>
      </c>
      <c r="D76" s="146" t="s">
        <v>934</v>
      </c>
      <c r="F76" s="115" t="s">
        <v>921</v>
      </c>
      <c r="I76" s="181" t="s">
        <v>920</v>
      </c>
    </row>
    <row r="77" spans="1:9" ht="18.600000000000001" customHeight="1" x14ac:dyDescent="0.25">
      <c r="B77" s="118" t="s">
        <v>922</v>
      </c>
      <c r="C77" s="118" t="s">
        <v>922</v>
      </c>
      <c r="D77" s="146" t="s">
        <v>934</v>
      </c>
      <c r="F77" s="115" t="s">
        <v>917</v>
      </c>
      <c r="I77" s="181" t="s">
        <v>909</v>
      </c>
    </row>
    <row r="78" spans="1:9" ht="18.600000000000001" customHeight="1" x14ac:dyDescent="0.2">
      <c r="A78" s="115" t="s">
        <v>925</v>
      </c>
      <c r="B78" s="172" t="s">
        <v>924</v>
      </c>
      <c r="C78" s="170" t="s">
        <v>924</v>
      </c>
      <c r="D78" s="146" t="s">
        <v>934</v>
      </c>
      <c r="F78" s="170" t="s">
        <v>928</v>
      </c>
      <c r="H78" s="188" t="s">
        <v>927</v>
      </c>
      <c r="I78" s="181" t="s">
        <v>926</v>
      </c>
    </row>
    <row r="79" spans="1:9" ht="18.600000000000001" customHeight="1" x14ac:dyDescent="0.2">
      <c r="A79" s="115" t="s">
        <v>940</v>
      </c>
      <c r="B79" s="170" t="s">
        <v>939</v>
      </c>
      <c r="C79" s="170" t="s">
        <v>939</v>
      </c>
      <c r="D79" s="146" t="s">
        <v>934</v>
      </c>
      <c r="F79" s="170" t="s">
        <v>941</v>
      </c>
      <c r="H79" s="189">
        <v>969150605</v>
      </c>
      <c r="I79" s="181" t="s">
        <v>873</v>
      </c>
    </row>
    <row r="80" spans="1:9" ht="18.600000000000001" customHeight="1" x14ac:dyDescent="0.25">
      <c r="B80" s="118" t="s">
        <v>932</v>
      </c>
      <c r="C80" s="118" t="s">
        <v>932</v>
      </c>
      <c r="D80" s="146" t="s">
        <v>934</v>
      </c>
      <c r="F80" s="115" t="s">
        <v>933</v>
      </c>
      <c r="I80" s="181" t="s">
        <v>869</v>
      </c>
    </row>
    <row r="81" spans="1:9" ht="18.600000000000001" customHeight="1" x14ac:dyDescent="0.25">
      <c r="B81" s="118" t="s">
        <v>935</v>
      </c>
      <c r="C81" s="118" t="s">
        <v>935</v>
      </c>
      <c r="D81" s="146" t="s">
        <v>934</v>
      </c>
      <c r="F81" s="115" t="s">
        <v>936</v>
      </c>
      <c r="I81" s="181" t="s">
        <v>869</v>
      </c>
    </row>
    <row r="82" spans="1:9" ht="18.600000000000001" customHeight="1" x14ac:dyDescent="0.25">
      <c r="B82" s="118" t="s">
        <v>937</v>
      </c>
      <c r="C82" s="118" t="s">
        <v>937</v>
      </c>
      <c r="D82" s="146" t="s">
        <v>934</v>
      </c>
      <c r="F82" s="115" t="s">
        <v>938</v>
      </c>
      <c r="I82" s="181" t="s">
        <v>869</v>
      </c>
    </row>
    <row r="83" spans="1:9" ht="18.600000000000001" customHeight="1" x14ac:dyDescent="0.25">
      <c r="B83" s="118" t="s">
        <v>957</v>
      </c>
      <c r="C83" s="118" t="s">
        <v>957</v>
      </c>
      <c r="D83" s="146" t="s">
        <v>934</v>
      </c>
      <c r="I83" s="181" t="s">
        <v>868</v>
      </c>
    </row>
    <row r="84" spans="1:9" ht="18.600000000000001" customHeight="1" x14ac:dyDescent="0.25">
      <c r="B84" s="118" t="s">
        <v>958</v>
      </c>
      <c r="C84" s="118" t="s">
        <v>958</v>
      </c>
      <c r="D84" s="146" t="s">
        <v>934</v>
      </c>
      <c r="I84" s="181" t="s">
        <v>869</v>
      </c>
    </row>
    <row r="85" spans="1:9" ht="18.600000000000001" customHeight="1" x14ac:dyDescent="0.2">
      <c r="A85" s="179" t="s">
        <v>940</v>
      </c>
      <c r="B85" s="178" t="s">
        <v>942</v>
      </c>
      <c r="C85" s="170" t="s">
        <v>942</v>
      </c>
      <c r="D85" s="146" t="s">
        <v>1008</v>
      </c>
      <c r="F85" s="115" t="s">
        <v>943</v>
      </c>
      <c r="H85" s="187">
        <v>912486978</v>
      </c>
      <c r="I85" s="181" t="s">
        <v>926</v>
      </c>
    </row>
    <row r="86" spans="1:9" ht="18.600000000000001" customHeight="1" x14ac:dyDescent="0.2">
      <c r="A86" s="179" t="s">
        <v>949</v>
      </c>
      <c r="B86" s="178" t="s">
        <v>942</v>
      </c>
      <c r="C86" s="170" t="s">
        <v>942</v>
      </c>
      <c r="D86" s="146" t="s">
        <v>1008</v>
      </c>
      <c r="F86" s="115" t="s">
        <v>944</v>
      </c>
      <c r="H86" s="187">
        <v>399840666</v>
      </c>
      <c r="I86" s="181" t="s">
        <v>926</v>
      </c>
    </row>
    <row r="87" spans="1:9" ht="18.600000000000001" customHeight="1" x14ac:dyDescent="0.2">
      <c r="A87" s="115" t="s">
        <v>940</v>
      </c>
      <c r="B87" s="170" t="s">
        <v>945</v>
      </c>
      <c r="C87" s="170" t="s">
        <v>945</v>
      </c>
      <c r="D87" s="146" t="s">
        <v>977</v>
      </c>
      <c r="F87" s="170" t="s">
        <v>946</v>
      </c>
      <c r="H87" s="189">
        <v>936592189</v>
      </c>
      <c r="I87" s="181" t="s">
        <v>873</v>
      </c>
    </row>
    <row r="88" spans="1:9" ht="18.600000000000001" customHeight="1" x14ac:dyDescent="0.2">
      <c r="A88" s="115" t="s">
        <v>940</v>
      </c>
      <c r="B88" s="172" t="s">
        <v>947</v>
      </c>
      <c r="C88" s="170" t="s">
        <v>947</v>
      </c>
      <c r="D88" s="146" t="s">
        <v>977</v>
      </c>
      <c r="F88" s="170" t="s">
        <v>948</v>
      </c>
      <c r="H88" s="189">
        <v>904664505</v>
      </c>
      <c r="I88" s="181" t="s">
        <v>926</v>
      </c>
    </row>
    <row r="89" spans="1:9" ht="18.600000000000001" customHeight="1" x14ac:dyDescent="0.2">
      <c r="A89" s="115" t="s">
        <v>952</v>
      </c>
      <c r="B89" s="170" t="s">
        <v>954</v>
      </c>
      <c r="C89" s="170" t="s">
        <v>954</v>
      </c>
      <c r="D89" s="146" t="s">
        <v>993</v>
      </c>
      <c r="F89" s="170" t="s">
        <v>951</v>
      </c>
      <c r="H89" s="186" t="s">
        <v>955</v>
      </c>
      <c r="I89" s="181" t="s">
        <v>840</v>
      </c>
    </row>
    <row r="90" spans="1:9" ht="18.600000000000001" customHeight="1" x14ac:dyDescent="0.2">
      <c r="B90" s="170" t="s">
        <v>954</v>
      </c>
      <c r="C90" s="170" t="s">
        <v>954</v>
      </c>
      <c r="D90" s="146" t="s">
        <v>1087</v>
      </c>
      <c r="F90" s="170" t="s">
        <v>953</v>
      </c>
      <c r="H90" s="186" t="s">
        <v>956</v>
      </c>
      <c r="I90" s="181" t="s">
        <v>840</v>
      </c>
    </row>
    <row r="91" spans="1:9" ht="18.600000000000001" customHeight="1" x14ac:dyDescent="0.2">
      <c r="A91" s="115" t="s">
        <v>961</v>
      </c>
      <c r="B91" s="170" t="s">
        <v>959</v>
      </c>
      <c r="C91" s="170" t="s">
        <v>959</v>
      </c>
      <c r="D91" s="175" t="s">
        <v>1037</v>
      </c>
      <c r="F91" s="170" t="s">
        <v>960</v>
      </c>
      <c r="H91" s="187">
        <v>938110001</v>
      </c>
      <c r="I91" s="181" t="s">
        <v>873</v>
      </c>
    </row>
    <row r="92" spans="1:9" ht="18.600000000000001" customHeight="1" x14ac:dyDescent="0.2">
      <c r="A92" s="115" t="s">
        <v>961</v>
      </c>
      <c r="B92" s="170" t="s">
        <v>963</v>
      </c>
      <c r="C92" s="170" t="s">
        <v>963</v>
      </c>
      <c r="D92" s="146" t="s">
        <v>977</v>
      </c>
      <c r="F92" s="170" t="s">
        <v>964</v>
      </c>
      <c r="H92" s="187">
        <v>339819888</v>
      </c>
      <c r="I92" s="181" t="s">
        <v>873</v>
      </c>
    </row>
    <row r="93" spans="1:9" ht="18.600000000000001" customHeight="1" x14ac:dyDescent="0.2">
      <c r="A93" s="115" t="s">
        <v>961</v>
      </c>
      <c r="B93" s="170" t="s">
        <v>965</v>
      </c>
      <c r="C93" s="170" t="s">
        <v>965</v>
      </c>
      <c r="D93" s="146" t="s">
        <v>977</v>
      </c>
      <c r="F93" s="170" t="s">
        <v>979</v>
      </c>
      <c r="H93" s="190">
        <v>915016335</v>
      </c>
      <c r="I93" s="181" t="s">
        <v>978</v>
      </c>
    </row>
    <row r="94" spans="1:9" ht="18.600000000000001" customHeight="1" x14ac:dyDescent="0.2">
      <c r="B94" s="170" t="s">
        <v>965</v>
      </c>
      <c r="C94" s="170" t="s">
        <v>965</v>
      </c>
      <c r="D94" s="146" t="s">
        <v>977</v>
      </c>
      <c r="F94" s="170" t="s">
        <v>980</v>
      </c>
      <c r="H94" s="190"/>
      <c r="I94" s="181" t="s">
        <v>978</v>
      </c>
    </row>
    <row r="95" spans="1:9" ht="19.149999999999999" customHeight="1" x14ac:dyDescent="0.25">
      <c r="B95" s="118" t="s">
        <v>966</v>
      </c>
      <c r="C95" s="118" t="s">
        <v>966</v>
      </c>
      <c r="D95" s="146" t="s">
        <v>977</v>
      </c>
      <c r="F95" s="115" t="s">
        <v>967</v>
      </c>
      <c r="I95" s="181" t="s">
        <v>869</v>
      </c>
    </row>
    <row r="96" spans="1:9" ht="19.149999999999999" customHeight="1" x14ac:dyDescent="0.25">
      <c r="B96" s="118" t="s">
        <v>968</v>
      </c>
      <c r="C96" s="118" t="s">
        <v>968</v>
      </c>
      <c r="D96" s="146" t="s">
        <v>977</v>
      </c>
      <c r="F96" s="115" t="s">
        <v>969</v>
      </c>
      <c r="I96" s="181" t="s">
        <v>869</v>
      </c>
    </row>
    <row r="97" spans="1:9" ht="19.149999999999999" customHeight="1" x14ac:dyDescent="0.25">
      <c r="B97" s="118" t="s">
        <v>970</v>
      </c>
      <c r="C97" s="118" t="s">
        <v>970</v>
      </c>
      <c r="D97" s="146" t="s">
        <v>977</v>
      </c>
      <c r="F97" s="115" t="s">
        <v>971</v>
      </c>
      <c r="I97" s="181" t="s">
        <v>869</v>
      </c>
    </row>
    <row r="98" spans="1:9" ht="19.149999999999999" customHeight="1" x14ac:dyDescent="0.25">
      <c r="B98" s="118" t="s">
        <v>972</v>
      </c>
      <c r="C98" s="118" t="s">
        <v>972</v>
      </c>
      <c r="D98" s="146" t="s">
        <v>977</v>
      </c>
      <c r="F98" s="115" t="s">
        <v>973</v>
      </c>
      <c r="I98" s="181" t="s">
        <v>974</v>
      </c>
    </row>
    <row r="99" spans="1:9" ht="27.6" customHeight="1" x14ac:dyDescent="0.25">
      <c r="B99" s="118" t="s">
        <v>975</v>
      </c>
      <c r="C99" s="118" t="s">
        <v>975</v>
      </c>
      <c r="D99" s="146" t="s">
        <v>977</v>
      </c>
      <c r="F99" s="115" t="s">
        <v>976</v>
      </c>
      <c r="I99" s="181" t="s">
        <v>869</v>
      </c>
    </row>
    <row r="100" spans="1:9" ht="19.149999999999999" customHeight="1" x14ac:dyDescent="0.25">
      <c r="B100" s="118" t="s">
        <v>9</v>
      </c>
      <c r="C100" s="146" t="s">
        <v>9</v>
      </c>
      <c r="D100" s="146" t="s">
        <v>977</v>
      </c>
      <c r="F100" s="115" t="s">
        <v>982</v>
      </c>
      <c r="H100" s="187">
        <v>932612586</v>
      </c>
      <c r="I100" s="181" t="s">
        <v>873</v>
      </c>
    </row>
    <row r="101" spans="1:9" ht="19.149999999999999" customHeight="1" x14ac:dyDescent="0.25">
      <c r="B101" s="118" t="s">
        <v>983</v>
      </c>
      <c r="C101" s="118" t="s">
        <v>983</v>
      </c>
      <c r="D101" s="146" t="s">
        <v>977</v>
      </c>
      <c r="F101" s="115" t="s">
        <v>984</v>
      </c>
      <c r="H101" s="186" t="s">
        <v>985</v>
      </c>
      <c r="I101" s="181" t="s">
        <v>913</v>
      </c>
    </row>
    <row r="102" spans="1:9" ht="28.5" x14ac:dyDescent="0.2">
      <c r="A102" s="115" t="s">
        <v>986</v>
      </c>
      <c r="B102" s="170" t="s">
        <v>987</v>
      </c>
      <c r="C102" s="170" t="s">
        <v>987</v>
      </c>
      <c r="D102" s="146" t="s">
        <v>1019</v>
      </c>
      <c r="F102" s="170" t="s">
        <v>989</v>
      </c>
      <c r="H102" s="187">
        <v>973950883</v>
      </c>
      <c r="I102" s="190" t="s">
        <v>988</v>
      </c>
    </row>
    <row r="103" spans="1:9" ht="28.5" x14ac:dyDescent="0.2">
      <c r="A103" s="115" t="s">
        <v>986</v>
      </c>
      <c r="B103" s="170" t="s">
        <v>994</v>
      </c>
      <c r="C103" s="170" t="s">
        <v>994</v>
      </c>
      <c r="D103" s="146" t="s">
        <v>1020</v>
      </c>
      <c r="F103" s="170" t="s">
        <v>995</v>
      </c>
      <c r="H103" s="187" t="s">
        <v>997</v>
      </c>
      <c r="I103" s="190" t="s">
        <v>996</v>
      </c>
    </row>
    <row r="104" spans="1:9" ht="16.899999999999999" customHeight="1" x14ac:dyDescent="0.2">
      <c r="A104" s="115" t="s">
        <v>1002</v>
      </c>
      <c r="B104" s="170" t="s">
        <v>1000</v>
      </c>
      <c r="C104" s="170" t="s">
        <v>1000</v>
      </c>
      <c r="D104" s="180" t="s">
        <v>1087</v>
      </c>
      <c r="F104" s="172" t="s">
        <v>1001</v>
      </c>
      <c r="H104" s="189">
        <v>913553964</v>
      </c>
      <c r="I104" s="181" t="s">
        <v>873</v>
      </c>
    </row>
    <row r="105" spans="1:9" x14ac:dyDescent="0.2">
      <c r="A105" s="115" t="s">
        <v>1002</v>
      </c>
      <c r="B105" s="118" t="s">
        <v>894</v>
      </c>
      <c r="C105" s="118" t="s">
        <v>894</v>
      </c>
      <c r="D105" s="146" t="s">
        <v>898</v>
      </c>
      <c r="F105" s="170" t="s">
        <v>1003</v>
      </c>
      <c r="H105" s="187">
        <v>913534987</v>
      </c>
      <c r="I105" s="181" t="s">
        <v>873</v>
      </c>
    </row>
    <row r="106" spans="1:9" x14ac:dyDescent="0.2">
      <c r="A106" s="179" t="s">
        <v>1002</v>
      </c>
      <c r="B106" s="167" t="s">
        <v>1048</v>
      </c>
      <c r="C106" s="118" t="s">
        <v>1030</v>
      </c>
      <c r="D106" s="146" t="s">
        <v>1047</v>
      </c>
      <c r="F106" s="170" t="s">
        <v>1004</v>
      </c>
      <c r="H106" s="187">
        <v>342898666</v>
      </c>
      <c r="I106" s="181" t="s">
        <v>873</v>
      </c>
    </row>
    <row r="107" spans="1:9" ht="15" customHeight="1" x14ac:dyDescent="0.2">
      <c r="A107" s="179" t="s">
        <v>1005</v>
      </c>
      <c r="B107" s="167" t="s">
        <v>1006</v>
      </c>
      <c r="C107" s="118" t="s">
        <v>1006</v>
      </c>
      <c r="D107" s="146" t="s">
        <v>1008</v>
      </c>
      <c r="F107" s="170" t="s">
        <v>1007</v>
      </c>
      <c r="H107" s="187">
        <v>935618266</v>
      </c>
      <c r="I107" s="181" t="s">
        <v>873</v>
      </c>
    </row>
    <row r="108" spans="1:9" x14ac:dyDescent="0.25">
      <c r="B108" s="118" t="s">
        <v>922</v>
      </c>
      <c r="C108" s="118" t="s">
        <v>922</v>
      </c>
      <c r="D108" s="146" t="s">
        <v>1008</v>
      </c>
      <c r="F108" s="115" t="s">
        <v>1009</v>
      </c>
      <c r="I108" s="181" t="s">
        <v>869</v>
      </c>
    </row>
    <row r="109" spans="1:9" x14ac:dyDescent="0.2">
      <c r="A109" s="115" t="s">
        <v>1010</v>
      </c>
      <c r="B109" s="178" t="s">
        <v>1011</v>
      </c>
      <c r="C109" s="170" t="s">
        <v>1011</v>
      </c>
      <c r="D109" s="146" t="s">
        <v>1008</v>
      </c>
      <c r="F109" s="170" t="s">
        <v>1013</v>
      </c>
      <c r="H109" s="189">
        <v>972331671</v>
      </c>
      <c r="I109" s="181" t="s">
        <v>1012</v>
      </c>
    </row>
    <row r="110" spans="1:9" x14ac:dyDescent="0.2">
      <c r="B110" s="178" t="s">
        <v>1011</v>
      </c>
      <c r="C110" s="170" t="s">
        <v>1011</v>
      </c>
      <c r="D110" s="146" t="s">
        <v>1008</v>
      </c>
      <c r="F110" s="115" t="s">
        <v>1031</v>
      </c>
      <c r="H110" s="189">
        <v>912284843</v>
      </c>
      <c r="I110" s="181" t="s">
        <v>1014</v>
      </c>
    </row>
    <row r="111" spans="1:9" x14ac:dyDescent="0.25">
      <c r="B111" s="118" t="s">
        <v>1016</v>
      </c>
      <c r="C111" s="118" t="s">
        <v>1016</v>
      </c>
      <c r="D111" s="146" t="s">
        <v>1008</v>
      </c>
      <c r="F111" s="115" t="s">
        <v>1017</v>
      </c>
      <c r="H111" s="187">
        <v>856951847</v>
      </c>
      <c r="I111" s="181" t="s">
        <v>103</v>
      </c>
    </row>
    <row r="112" spans="1:9" x14ac:dyDescent="0.25">
      <c r="B112" s="118" t="s">
        <v>1016</v>
      </c>
      <c r="C112" s="118" t="s">
        <v>1016</v>
      </c>
      <c r="D112" s="146" t="s">
        <v>1008</v>
      </c>
      <c r="F112" s="115" t="s">
        <v>1018</v>
      </c>
      <c r="H112" s="187">
        <v>856951847</v>
      </c>
      <c r="I112" s="181" t="s">
        <v>103</v>
      </c>
    </row>
    <row r="113" spans="1:10" x14ac:dyDescent="0.25">
      <c r="B113" s="118" t="s">
        <v>9</v>
      </c>
      <c r="C113" s="146" t="s">
        <v>9</v>
      </c>
      <c r="D113" s="146" t="s">
        <v>1008</v>
      </c>
      <c r="F113" s="115" t="s">
        <v>1021</v>
      </c>
      <c r="H113" s="187">
        <v>936969818</v>
      </c>
      <c r="I113" s="181" t="s">
        <v>1022</v>
      </c>
    </row>
    <row r="114" spans="1:10" x14ac:dyDescent="0.2">
      <c r="A114" s="115" t="s">
        <v>1024</v>
      </c>
      <c r="B114" s="178" t="s">
        <v>1023</v>
      </c>
      <c r="C114" s="170" t="s">
        <v>1023</v>
      </c>
      <c r="D114" s="146" t="s">
        <v>1008</v>
      </c>
      <c r="F114" s="170" t="s">
        <v>1025</v>
      </c>
      <c r="H114" s="187">
        <v>913815808</v>
      </c>
      <c r="I114" s="181" t="s">
        <v>1026</v>
      </c>
    </row>
    <row r="115" spans="1:10" x14ac:dyDescent="0.25">
      <c r="B115" s="118" t="s">
        <v>1028</v>
      </c>
      <c r="C115" s="118" t="s">
        <v>1028</v>
      </c>
      <c r="D115" s="146" t="s">
        <v>1008</v>
      </c>
      <c r="F115" s="115" t="s">
        <v>1029</v>
      </c>
      <c r="H115" s="187">
        <v>962980214</v>
      </c>
      <c r="I115" s="181" t="s">
        <v>103</v>
      </c>
    </row>
    <row r="116" spans="1:10" x14ac:dyDescent="0.25">
      <c r="B116" s="167" t="s">
        <v>841</v>
      </c>
      <c r="C116" s="146" t="s">
        <v>841</v>
      </c>
      <c r="D116" s="146" t="s">
        <v>1008</v>
      </c>
      <c r="F116" s="115" t="s">
        <v>1033</v>
      </c>
      <c r="I116" s="181" t="s">
        <v>873</v>
      </c>
    </row>
    <row r="118" spans="1:10" x14ac:dyDescent="0.25">
      <c r="A118" s="165"/>
      <c r="B118" s="148" t="s">
        <v>1034</v>
      </c>
      <c r="C118" s="174"/>
      <c r="D118" s="174"/>
      <c r="E118" s="177"/>
      <c r="F118" s="165"/>
      <c r="G118" s="165"/>
      <c r="H118" s="191"/>
      <c r="I118" s="196"/>
    </row>
    <row r="119" spans="1:10" x14ac:dyDescent="0.25">
      <c r="A119" s="115" t="s">
        <v>1036</v>
      </c>
      <c r="C119" s="118"/>
    </row>
    <row r="120" spans="1:10" ht="18.600000000000001" customHeight="1" x14ac:dyDescent="0.2">
      <c r="A120" s="115" t="s">
        <v>961</v>
      </c>
      <c r="B120" s="197" t="s">
        <v>959</v>
      </c>
      <c r="C120" s="197" t="s">
        <v>959</v>
      </c>
      <c r="D120" s="198" t="s">
        <v>1084</v>
      </c>
      <c r="F120" s="170" t="s">
        <v>960</v>
      </c>
      <c r="H120" s="187">
        <v>938110001</v>
      </c>
      <c r="I120" s="181" t="s">
        <v>873</v>
      </c>
    </row>
    <row r="121" spans="1:10" ht="24.6" customHeight="1" x14ac:dyDescent="0.25">
      <c r="A121" s="115" t="s">
        <v>910</v>
      </c>
      <c r="B121" s="118" t="s">
        <v>911</v>
      </c>
      <c r="C121" s="169" t="s">
        <v>912</v>
      </c>
      <c r="D121" s="180" t="s">
        <v>1086</v>
      </c>
      <c r="F121" s="115" t="s">
        <v>914</v>
      </c>
      <c r="H121" s="186" t="s">
        <v>916</v>
      </c>
      <c r="I121" s="181" t="s">
        <v>834</v>
      </c>
      <c r="J121" s="115" t="s">
        <v>1120</v>
      </c>
    </row>
    <row r="122" spans="1:10" ht="25.15" customHeight="1" x14ac:dyDescent="0.25">
      <c r="B122" s="118" t="s">
        <v>911</v>
      </c>
      <c r="C122" s="169" t="s">
        <v>912</v>
      </c>
      <c r="D122" s="180" t="s">
        <v>1086</v>
      </c>
      <c r="F122" s="115" t="s">
        <v>914</v>
      </c>
      <c r="I122" s="181" t="s">
        <v>913</v>
      </c>
      <c r="J122" s="115" t="s">
        <v>1121</v>
      </c>
    </row>
    <row r="123" spans="1:10" ht="18.600000000000001" customHeight="1" x14ac:dyDescent="0.25">
      <c r="B123" s="118" t="s">
        <v>911</v>
      </c>
      <c r="C123" s="169" t="s">
        <v>912</v>
      </c>
      <c r="D123" s="180" t="s">
        <v>990</v>
      </c>
      <c r="F123" s="115" t="s">
        <v>915</v>
      </c>
      <c r="I123" s="181" t="s">
        <v>913</v>
      </c>
    </row>
    <row r="124" spans="1:10" x14ac:dyDescent="0.25">
      <c r="A124" s="115" t="s">
        <v>1035</v>
      </c>
      <c r="B124" s="141" t="s">
        <v>1040</v>
      </c>
      <c r="C124" s="141" t="s">
        <v>1040</v>
      </c>
      <c r="D124" s="175" t="s">
        <v>1069</v>
      </c>
      <c r="F124" s="115" t="s">
        <v>1081</v>
      </c>
      <c r="H124" s="187">
        <v>972527848</v>
      </c>
      <c r="I124" s="181" t="s">
        <v>873</v>
      </c>
    </row>
    <row r="125" spans="1:10" x14ac:dyDescent="0.25">
      <c r="A125" s="115" t="s">
        <v>1035</v>
      </c>
      <c r="B125" s="141" t="s">
        <v>1042</v>
      </c>
      <c r="C125" s="175" t="s">
        <v>1043</v>
      </c>
      <c r="D125" s="175" t="s">
        <v>1069</v>
      </c>
      <c r="F125" s="115" t="s">
        <v>1077</v>
      </c>
      <c r="H125" s="187">
        <v>397769666</v>
      </c>
      <c r="I125" s="181" t="s">
        <v>1044</v>
      </c>
    </row>
    <row r="126" spans="1:10" x14ac:dyDescent="0.25">
      <c r="A126" s="115" t="s">
        <v>1035</v>
      </c>
      <c r="B126" s="141" t="s">
        <v>954</v>
      </c>
      <c r="C126" s="175" t="s">
        <v>954</v>
      </c>
      <c r="D126" s="175" t="s">
        <v>1069</v>
      </c>
      <c r="F126" s="115" t="s">
        <v>1076</v>
      </c>
      <c r="H126" s="187">
        <v>393961058</v>
      </c>
      <c r="I126" s="181" t="s">
        <v>1049</v>
      </c>
    </row>
    <row r="127" spans="1:10" ht="28.5" x14ac:dyDescent="0.25">
      <c r="A127" s="199" t="s">
        <v>1035</v>
      </c>
      <c r="B127" s="200" t="s">
        <v>1050</v>
      </c>
      <c r="C127" s="201" t="s">
        <v>1051</v>
      </c>
      <c r="D127" s="201" t="s">
        <v>1085</v>
      </c>
      <c r="F127" s="115" t="s">
        <v>1052</v>
      </c>
      <c r="H127" s="187">
        <v>912095288</v>
      </c>
      <c r="I127" s="181" t="s">
        <v>873</v>
      </c>
    </row>
    <row r="128" spans="1:10" ht="28.5" x14ac:dyDescent="0.2">
      <c r="A128" s="119" t="s">
        <v>1056</v>
      </c>
      <c r="B128" s="172" t="s">
        <v>1053</v>
      </c>
      <c r="C128" s="172" t="s">
        <v>1053</v>
      </c>
      <c r="D128" s="175" t="s">
        <v>1088</v>
      </c>
      <c r="F128" s="170" t="s">
        <v>1054</v>
      </c>
      <c r="H128" s="187">
        <v>834382999</v>
      </c>
      <c r="I128" s="190" t="s">
        <v>1055</v>
      </c>
    </row>
    <row r="129" spans="1:9" ht="28.5" x14ac:dyDescent="0.2">
      <c r="A129" s="120" t="s">
        <v>1060</v>
      </c>
      <c r="B129" s="172" t="s">
        <v>1057</v>
      </c>
      <c r="C129" s="172" t="s">
        <v>1057</v>
      </c>
      <c r="D129" s="175" t="s">
        <v>1092</v>
      </c>
      <c r="F129" s="170" t="s">
        <v>1058</v>
      </c>
      <c r="H129" s="187" t="s">
        <v>1059</v>
      </c>
      <c r="I129" s="190" t="s">
        <v>1055</v>
      </c>
    </row>
    <row r="130" spans="1:9" ht="28.5" x14ac:dyDescent="0.2">
      <c r="A130" s="120"/>
      <c r="B130" s="172" t="s">
        <v>1057</v>
      </c>
      <c r="C130" s="172" t="s">
        <v>1057</v>
      </c>
      <c r="D130" s="175" t="s">
        <v>1092</v>
      </c>
      <c r="F130" s="170" t="s">
        <v>1093</v>
      </c>
      <c r="H130" s="187">
        <v>981082126</v>
      </c>
      <c r="I130" s="190" t="s">
        <v>873</v>
      </c>
    </row>
    <row r="131" spans="1:9" ht="28.5" x14ac:dyDescent="0.2">
      <c r="A131" s="120"/>
      <c r="B131" s="172" t="s">
        <v>1057</v>
      </c>
      <c r="C131" s="172" t="s">
        <v>1057</v>
      </c>
      <c r="D131" s="175" t="s">
        <v>1094</v>
      </c>
      <c r="F131" s="170" t="s">
        <v>1093</v>
      </c>
      <c r="H131" s="187">
        <v>981082126</v>
      </c>
      <c r="I131" s="190" t="s">
        <v>103</v>
      </c>
    </row>
    <row r="132" spans="1:9" ht="28.5" x14ac:dyDescent="0.2">
      <c r="A132" s="120"/>
      <c r="B132" s="172" t="s">
        <v>1057</v>
      </c>
      <c r="C132" s="172" t="s">
        <v>1057</v>
      </c>
      <c r="D132" s="175" t="s">
        <v>1094</v>
      </c>
      <c r="F132" s="170" t="s">
        <v>1093</v>
      </c>
      <c r="H132" s="187">
        <v>981082126</v>
      </c>
      <c r="I132" s="190" t="s">
        <v>873</v>
      </c>
    </row>
    <row r="133" spans="1:9" ht="28.5" x14ac:dyDescent="0.2">
      <c r="A133" s="120" t="s">
        <v>1060</v>
      </c>
      <c r="B133" s="141" t="s">
        <v>841</v>
      </c>
      <c r="C133" s="141" t="s">
        <v>841</v>
      </c>
      <c r="D133" s="175" t="s">
        <v>1094</v>
      </c>
      <c r="F133" s="170" t="s">
        <v>1061</v>
      </c>
      <c r="H133" s="186">
        <v>987852755</v>
      </c>
      <c r="I133" s="190" t="s">
        <v>873</v>
      </c>
    </row>
    <row r="134" spans="1:9" ht="26.45" customHeight="1" x14ac:dyDescent="0.2">
      <c r="A134" s="119" t="s">
        <v>1065</v>
      </c>
      <c r="B134" s="172" t="s">
        <v>1062</v>
      </c>
      <c r="C134" s="172" t="s">
        <v>1062</v>
      </c>
      <c r="D134" s="175" t="s">
        <v>1094</v>
      </c>
      <c r="F134" s="170" t="s">
        <v>1063</v>
      </c>
      <c r="H134" s="187">
        <v>974364388</v>
      </c>
      <c r="I134" s="181" t="s">
        <v>1064</v>
      </c>
    </row>
    <row r="135" spans="1:9" ht="30" x14ac:dyDescent="0.25">
      <c r="A135" s="120" t="s">
        <v>1065</v>
      </c>
      <c r="B135" s="118" t="s">
        <v>1066</v>
      </c>
      <c r="C135" s="118" t="s">
        <v>1066</v>
      </c>
      <c r="D135" s="146" t="s">
        <v>1126</v>
      </c>
      <c r="F135" s="115" t="s">
        <v>1067</v>
      </c>
      <c r="H135" s="187">
        <v>902135813</v>
      </c>
      <c r="I135" s="181" t="s">
        <v>1068</v>
      </c>
    </row>
    <row r="136" spans="1:9" ht="28.5" x14ac:dyDescent="0.25">
      <c r="A136" s="119" t="s">
        <v>1070</v>
      </c>
      <c r="B136" s="141" t="s">
        <v>1071</v>
      </c>
      <c r="C136" s="141" t="s">
        <v>1071</v>
      </c>
      <c r="D136" s="175" t="s">
        <v>1094</v>
      </c>
      <c r="F136" s="115" t="s">
        <v>1072</v>
      </c>
      <c r="H136" s="187">
        <v>941936888</v>
      </c>
      <c r="I136" s="181" t="s">
        <v>873</v>
      </c>
    </row>
    <row r="137" spans="1:9" ht="28.5" x14ac:dyDescent="0.25">
      <c r="A137" s="119" t="s">
        <v>1070</v>
      </c>
      <c r="B137" s="141" t="s">
        <v>1073</v>
      </c>
      <c r="C137" s="141" t="s">
        <v>1073</v>
      </c>
      <c r="D137" s="175" t="s">
        <v>1094</v>
      </c>
      <c r="F137" s="115" t="s">
        <v>1074</v>
      </c>
      <c r="H137" s="187">
        <v>856951847</v>
      </c>
      <c r="I137" s="181" t="s">
        <v>103</v>
      </c>
    </row>
    <row r="138" spans="1:9" ht="28.5" x14ac:dyDescent="0.25">
      <c r="B138" s="141" t="s">
        <v>1073</v>
      </c>
      <c r="C138" s="141" t="s">
        <v>1073</v>
      </c>
      <c r="D138" s="175" t="s">
        <v>1094</v>
      </c>
      <c r="F138" s="115" t="s">
        <v>1075</v>
      </c>
      <c r="H138" s="187">
        <v>856951847</v>
      </c>
      <c r="I138" s="181" t="s">
        <v>103</v>
      </c>
    </row>
    <row r="139" spans="1:9" x14ac:dyDescent="0.25">
      <c r="A139" s="120" t="s">
        <v>1070</v>
      </c>
      <c r="B139" s="141" t="s">
        <v>1078</v>
      </c>
      <c r="C139" s="141" t="s">
        <v>1078</v>
      </c>
      <c r="D139" s="175" t="s">
        <v>1069</v>
      </c>
      <c r="F139" s="115" t="s">
        <v>1079</v>
      </c>
      <c r="H139" s="187">
        <v>9862672181</v>
      </c>
      <c r="I139" s="181" t="s">
        <v>103</v>
      </c>
    </row>
    <row r="140" spans="1:9" x14ac:dyDescent="0.25">
      <c r="B140" s="141" t="s">
        <v>1078</v>
      </c>
      <c r="C140" s="141" t="s">
        <v>1078</v>
      </c>
      <c r="D140" s="175" t="s">
        <v>1069</v>
      </c>
      <c r="F140" s="115" t="s">
        <v>1080</v>
      </c>
      <c r="H140" s="187">
        <v>378491344</v>
      </c>
      <c r="I140" s="181" t="s">
        <v>103</v>
      </c>
    </row>
    <row r="141" spans="1:9" x14ac:dyDescent="0.25">
      <c r="A141" s="120" t="s">
        <v>1070</v>
      </c>
      <c r="B141" s="141" t="s">
        <v>1082</v>
      </c>
      <c r="C141" s="141" t="s">
        <v>1082</v>
      </c>
      <c r="D141" s="175" t="s">
        <v>1069</v>
      </c>
      <c r="F141" s="115" t="s">
        <v>1083</v>
      </c>
      <c r="H141" s="187">
        <v>336179444</v>
      </c>
      <c r="I141" s="181" t="s">
        <v>1045</v>
      </c>
    </row>
    <row r="142" spans="1:9" ht="28.5" x14ac:dyDescent="0.25">
      <c r="A142" s="120" t="s">
        <v>1089</v>
      </c>
      <c r="B142" s="141" t="s">
        <v>1090</v>
      </c>
      <c r="C142" s="141" t="s">
        <v>1090</v>
      </c>
      <c r="D142" s="175" t="s">
        <v>1092</v>
      </c>
      <c r="F142" s="115" t="s">
        <v>1091</v>
      </c>
      <c r="H142" s="187">
        <v>793028070</v>
      </c>
      <c r="I142" s="181" t="s">
        <v>873</v>
      </c>
    </row>
    <row r="143" spans="1:9" ht="28.5" x14ac:dyDescent="0.25">
      <c r="B143" s="141" t="s">
        <v>1095</v>
      </c>
      <c r="C143" s="141" t="s">
        <v>1095</v>
      </c>
      <c r="D143" s="175" t="s">
        <v>1092</v>
      </c>
      <c r="F143" s="115" t="s">
        <v>1096</v>
      </c>
      <c r="H143" s="187">
        <v>979817688</v>
      </c>
      <c r="I143" s="181" t="s">
        <v>873</v>
      </c>
    </row>
    <row r="144" spans="1:9" ht="28.5" x14ac:dyDescent="0.25">
      <c r="B144" s="141" t="s">
        <v>1095</v>
      </c>
      <c r="C144" s="141" t="s">
        <v>1095</v>
      </c>
      <c r="D144" s="175" t="s">
        <v>1092</v>
      </c>
      <c r="F144" s="115" t="s">
        <v>1097</v>
      </c>
      <c r="H144" s="187">
        <v>979817688</v>
      </c>
      <c r="I144" s="181" t="s">
        <v>103</v>
      </c>
    </row>
    <row r="145" spans="1:10" ht="17.45" customHeight="1" x14ac:dyDescent="0.2">
      <c r="A145" s="120" t="s">
        <v>1089</v>
      </c>
      <c r="B145" s="141" t="s">
        <v>1057</v>
      </c>
      <c r="C145" s="171" t="s">
        <v>1057</v>
      </c>
      <c r="D145" s="175" t="s">
        <v>1109</v>
      </c>
      <c r="F145" s="170" t="s">
        <v>1101</v>
      </c>
      <c r="H145" s="187">
        <v>989087088</v>
      </c>
      <c r="I145" s="181" t="s">
        <v>1045</v>
      </c>
    </row>
    <row r="146" spans="1:10" ht="27" customHeight="1" x14ac:dyDescent="0.25">
      <c r="A146" s="117"/>
      <c r="B146" s="141" t="s">
        <v>1098</v>
      </c>
      <c r="C146" s="141" t="s">
        <v>1098</v>
      </c>
      <c r="D146" s="175" t="s">
        <v>1108</v>
      </c>
      <c r="F146" s="118" t="s">
        <v>1099</v>
      </c>
      <c r="H146" s="187">
        <v>983038704</v>
      </c>
      <c r="I146" s="181" t="s">
        <v>873</v>
      </c>
    </row>
    <row r="147" spans="1:10" ht="28.5" x14ac:dyDescent="0.2">
      <c r="B147" s="172" t="s">
        <v>1102</v>
      </c>
      <c r="C147" s="172" t="s">
        <v>1102</v>
      </c>
      <c r="D147" s="175" t="s">
        <v>1092</v>
      </c>
      <c r="F147" s="170" t="s">
        <v>1103</v>
      </c>
      <c r="H147" s="189" t="s">
        <v>1104</v>
      </c>
      <c r="I147" s="181" t="s">
        <v>1044</v>
      </c>
    </row>
    <row r="148" spans="1:10" x14ac:dyDescent="0.2">
      <c r="B148" s="172" t="s">
        <v>1105</v>
      </c>
      <c r="C148" s="172" t="s">
        <v>1105</v>
      </c>
      <c r="D148" s="175" t="s">
        <v>1109</v>
      </c>
      <c r="F148" s="170" t="s">
        <v>1106</v>
      </c>
      <c r="H148" s="187">
        <v>878861239</v>
      </c>
      <c r="I148" s="181" t="s">
        <v>1107</v>
      </c>
    </row>
    <row r="149" spans="1:10" x14ac:dyDescent="0.25">
      <c r="B149" s="141" t="s">
        <v>1110</v>
      </c>
      <c r="C149" s="141" t="s">
        <v>1110</v>
      </c>
      <c r="D149" s="175" t="s">
        <v>1109</v>
      </c>
      <c r="F149" s="115" t="s">
        <v>1111</v>
      </c>
      <c r="H149" s="187">
        <v>376298355</v>
      </c>
      <c r="I149" s="181" t="s">
        <v>1046</v>
      </c>
    </row>
    <row r="150" spans="1:10" x14ac:dyDescent="0.2">
      <c r="B150" s="170" t="s">
        <v>1113</v>
      </c>
      <c r="C150" s="170" t="s">
        <v>1113</v>
      </c>
      <c r="D150" s="146" t="s">
        <v>1152</v>
      </c>
      <c r="F150" s="170" t="s">
        <v>1112</v>
      </c>
      <c r="H150" s="189">
        <v>387888972</v>
      </c>
      <c r="I150" s="181" t="s">
        <v>873</v>
      </c>
    </row>
    <row r="151" spans="1:10" x14ac:dyDescent="0.2">
      <c r="B151" s="118" t="s">
        <v>954</v>
      </c>
      <c r="C151" s="118" t="s">
        <v>954</v>
      </c>
      <c r="D151" s="146" t="s">
        <v>1126</v>
      </c>
      <c r="F151" s="170" t="s">
        <v>1114</v>
      </c>
      <c r="H151" s="189" t="s">
        <v>1116</v>
      </c>
      <c r="I151" s="181" t="s">
        <v>1115</v>
      </c>
    </row>
    <row r="152" spans="1:10" x14ac:dyDescent="0.25">
      <c r="A152" s="165"/>
      <c r="B152" s="148" t="s">
        <v>1117</v>
      </c>
      <c r="C152" s="148" t="s">
        <v>1117</v>
      </c>
      <c r="D152" s="174"/>
      <c r="E152" s="177"/>
      <c r="F152" s="165" t="s">
        <v>1118</v>
      </c>
      <c r="H152" s="187">
        <v>912182756</v>
      </c>
      <c r="I152" s="181" t="s">
        <v>926</v>
      </c>
    </row>
    <row r="153" spans="1:10" x14ac:dyDescent="0.25">
      <c r="B153" s="118" t="s">
        <v>1117</v>
      </c>
      <c r="C153" s="118" t="s">
        <v>1117</v>
      </c>
      <c r="D153" s="146" t="s">
        <v>1126</v>
      </c>
      <c r="F153" s="115" t="s">
        <v>1119</v>
      </c>
      <c r="H153" s="187">
        <v>912182756</v>
      </c>
      <c r="I153" s="181" t="s">
        <v>926</v>
      </c>
    </row>
    <row r="154" spans="1:10" x14ac:dyDescent="0.25">
      <c r="B154" s="118" t="s">
        <v>911</v>
      </c>
      <c r="C154" s="118" t="s">
        <v>911</v>
      </c>
      <c r="D154" s="175" t="s">
        <v>1109</v>
      </c>
      <c r="F154" s="115" t="s">
        <v>1122</v>
      </c>
      <c r="H154" s="187">
        <v>775259678</v>
      </c>
      <c r="I154" s="181" t="s">
        <v>834</v>
      </c>
      <c r="J154" s="115" t="s">
        <v>1123</v>
      </c>
    </row>
    <row r="155" spans="1:10" x14ac:dyDescent="0.25">
      <c r="B155" s="118" t="s">
        <v>911</v>
      </c>
      <c r="C155" s="118" t="s">
        <v>911</v>
      </c>
      <c r="D155" s="175" t="s">
        <v>1109</v>
      </c>
      <c r="F155" s="115" t="s">
        <v>1131</v>
      </c>
      <c r="H155" s="187">
        <v>775259678</v>
      </c>
      <c r="I155" s="181" t="s">
        <v>834</v>
      </c>
      <c r="J155" s="115" t="s">
        <v>1132</v>
      </c>
    </row>
    <row r="156" spans="1:10" x14ac:dyDescent="0.25">
      <c r="B156" s="118" t="s">
        <v>1124</v>
      </c>
      <c r="C156" s="118" t="s">
        <v>1124</v>
      </c>
      <c r="D156" s="146" t="s">
        <v>1126</v>
      </c>
      <c r="F156" s="115" t="s">
        <v>1125</v>
      </c>
      <c r="H156" s="187">
        <v>964808098</v>
      </c>
      <c r="I156" s="181" t="s">
        <v>1046</v>
      </c>
    </row>
    <row r="157" spans="1:10" x14ac:dyDescent="0.25">
      <c r="B157" s="118" t="s">
        <v>1127</v>
      </c>
      <c r="C157" s="118" t="s">
        <v>1127</v>
      </c>
      <c r="D157" s="146" t="s">
        <v>1126</v>
      </c>
      <c r="F157" s="115" t="s">
        <v>1128</v>
      </c>
      <c r="H157" s="187">
        <v>913388444</v>
      </c>
      <c r="I157" s="181" t="s">
        <v>873</v>
      </c>
    </row>
    <row r="158" spans="1:10" x14ac:dyDescent="0.25">
      <c r="B158" s="118" t="s">
        <v>1129</v>
      </c>
      <c r="C158" s="118" t="s">
        <v>1129</v>
      </c>
      <c r="D158" s="146" t="s">
        <v>1126</v>
      </c>
      <c r="F158" s="115" t="s">
        <v>1130</v>
      </c>
      <c r="H158" s="187">
        <v>906193658</v>
      </c>
      <c r="I158" s="181" t="s">
        <v>873</v>
      </c>
    </row>
    <row r="159" spans="1:10" x14ac:dyDescent="0.25">
      <c r="B159" s="118" t="s">
        <v>1133</v>
      </c>
      <c r="C159" s="118" t="s">
        <v>1133</v>
      </c>
      <c r="D159" s="175" t="s">
        <v>1109</v>
      </c>
      <c r="F159" s="115" t="s">
        <v>1134</v>
      </c>
      <c r="H159" s="187">
        <v>352524277</v>
      </c>
      <c r="I159" s="181" t="s">
        <v>858</v>
      </c>
    </row>
    <row r="160" spans="1:10" x14ac:dyDescent="0.25">
      <c r="B160" s="118" t="s">
        <v>1135</v>
      </c>
      <c r="C160" s="118" t="s">
        <v>1135</v>
      </c>
      <c r="D160" s="175" t="s">
        <v>1109</v>
      </c>
      <c r="F160" s="115" t="s">
        <v>1136</v>
      </c>
      <c r="H160" s="187">
        <v>912080327</v>
      </c>
      <c r="I160" s="181" t="s">
        <v>920</v>
      </c>
    </row>
    <row r="161" spans="2:9" x14ac:dyDescent="0.25">
      <c r="B161" s="118" t="s">
        <v>1137</v>
      </c>
      <c r="C161" s="118" t="s">
        <v>1137</v>
      </c>
      <c r="D161" s="146" t="s">
        <v>1126</v>
      </c>
      <c r="F161" s="115" t="s">
        <v>1138</v>
      </c>
      <c r="H161" s="187">
        <v>387143826</v>
      </c>
      <c r="I161" s="181" t="s">
        <v>873</v>
      </c>
    </row>
    <row r="162" spans="2:9" x14ac:dyDescent="0.25">
      <c r="B162" s="118" t="s">
        <v>1139</v>
      </c>
      <c r="C162" s="118" t="s">
        <v>1139</v>
      </c>
      <c r="D162" s="175" t="s">
        <v>1109</v>
      </c>
      <c r="F162" s="115" t="s">
        <v>1142</v>
      </c>
      <c r="H162" s="187">
        <v>936969818</v>
      </c>
      <c r="I162" s="181" t="s">
        <v>822</v>
      </c>
    </row>
    <row r="163" spans="2:9" x14ac:dyDescent="0.25">
      <c r="B163" s="118" t="s">
        <v>1140</v>
      </c>
      <c r="C163" s="118" t="s">
        <v>1140</v>
      </c>
      <c r="D163" s="146" t="s">
        <v>1126</v>
      </c>
      <c r="F163" s="115" t="s">
        <v>1141</v>
      </c>
      <c r="H163" s="187">
        <v>915158863</v>
      </c>
      <c r="I163" s="181" t="s">
        <v>822</v>
      </c>
    </row>
    <row r="164" spans="2:9" x14ac:dyDescent="0.25">
      <c r="B164" s="118" t="s">
        <v>1154</v>
      </c>
      <c r="C164" s="118" t="s">
        <v>1154</v>
      </c>
      <c r="D164" s="146" t="s">
        <v>1126</v>
      </c>
      <c r="F164" s="115" t="s">
        <v>1143</v>
      </c>
      <c r="H164" s="187">
        <v>904483671</v>
      </c>
      <c r="I164" s="181" t="s">
        <v>822</v>
      </c>
    </row>
    <row r="165" spans="2:9" x14ac:dyDescent="0.25">
      <c r="B165" s="118" t="s">
        <v>1144</v>
      </c>
      <c r="C165" s="118" t="s">
        <v>1144</v>
      </c>
      <c r="D165" s="175" t="s">
        <v>1109</v>
      </c>
      <c r="F165" s="115" t="s">
        <v>1145</v>
      </c>
      <c r="H165" s="187">
        <v>983682879</v>
      </c>
      <c r="I165" s="181" t="s">
        <v>822</v>
      </c>
    </row>
    <row r="166" spans="2:9" x14ac:dyDescent="0.25">
      <c r="B166" s="118" t="s">
        <v>1146</v>
      </c>
      <c r="C166" s="118" t="s">
        <v>1146</v>
      </c>
      <c r="D166" s="146" t="s">
        <v>1126</v>
      </c>
      <c r="F166" s="115" t="s">
        <v>1147</v>
      </c>
      <c r="H166" s="187">
        <v>934639639</v>
      </c>
      <c r="I166" s="181" t="s">
        <v>103</v>
      </c>
    </row>
    <row r="167" spans="2:9" x14ac:dyDescent="0.25">
      <c r="B167" s="118" t="s">
        <v>1100</v>
      </c>
      <c r="C167" s="118" t="s">
        <v>1100</v>
      </c>
      <c r="D167" s="146" t="s">
        <v>1126</v>
      </c>
      <c r="F167" s="115" t="s">
        <v>1148</v>
      </c>
      <c r="H167" s="187">
        <v>936363202</v>
      </c>
      <c r="I167" s="181" t="s">
        <v>822</v>
      </c>
    </row>
    <row r="168" spans="2:9" x14ac:dyDescent="0.25">
      <c r="B168" s="118" t="s">
        <v>1149</v>
      </c>
      <c r="C168" s="118" t="s">
        <v>1149</v>
      </c>
      <c r="D168" s="146" t="s">
        <v>1126</v>
      </c>
      <c r="F168" s="115" t="s">
        <v>1150</v>
      </c>
      <c r="H168" s="187">
        <v>356683675</v>
      </c>
      <c r="I168" s="181" t="s">
        <v>103</v>
      </c>
    </row>
    <row r="169" spans="2:9" x14ac:dyDescent="0.25">
      <c r="B169" s="118" t="s">
        <v>1153</v>
      </c>
      <c r="C169" s="118" t="s">
        <v>1153</v>
      </c>
      <c r="D169" s="146" t="s">
        <v>1126</v>
      </c>
      <c r="F169" s="115" t="s">
        <v>1155</v>
      </c>
      <c r="H169" s="187">
        <v>982327699</v>
      </c>
      <c r="I169" s="181" t="s">
        <v>822</v>
      </c>
    </row>
    <row r="170" spans="2:9" x14ac:dyDescent="0.25">
      <c r="B170" s="118" t="s">
        <v>1156</v>
      </c>
      <c r="C170" s="118" t="s">
        <v>1156</v>
      </c>
      <c r="D170" s="146" t="s">
        <v>1126</v>
      </c>
      <c r="F170" s="115" t="s">
        <v>1157</v>
      </c>
      <c r="H170" s="187">
        <v>912182756</v>
      </c>
      <c r="I170" s="181" t="s">
        <v>822</v>
      </c>
    </row>
    <row r="171" spans="2:9" x14ac:dyDescent="0.25">
      <c r="B171" s="118" t="s">
        <v>1151</v>
      </c>
      <c r="C171" s="118" t="s">
        <v>1151</v>
      </c>
      <c r="D171" s="146" t="s">
        <v>1126</v>
      </c>
      <c r="F171" s="115" t="s">
        <v>1159</v>
      </c>
      <c r="H171" s="187">
        <v>384553289</v>
      </c>
      <c r="I171" s="181" t="s">
        <v>834</v>
      </c>
    </row>
    <row r="172" spans="2:9" x14ac:dyDescent="0.25">
      <c r="B172" s="118" t="s">
        <v>1158</v>
      </c>
      <c r="C172" s="118" t="s">
        <v>1158</v>
      </c>
      <c r="D172" s="146" t="s">
        <v>1126</v>
      </c>
      <c r="F172" s="115" t="s">
        <v>1160</v>
      </c>
      <c r="H172" s="187">
        <v>982974998</v>
      </c>
      <c r="I172" s="181" t="s">
        <v>822</v>
      </c>
    </row>
    <row r="173" spans="2:9" x14ac:dyDescent="0.25">
      <c r="B173" s="118" t="s">
        <v>1161</v>
      </c>
      <c r="C173" s="118" t="s">
        <v>1161</v>
      </c>
      <c r="D173" s="146" t="s">
        <v>1126</v>
      </c>
      <c r="F173" s="115" t="s">
        <v>1162</v>
      </c>
      <c r="H173" s="187">
        <v>912954918</v>
      </c>
      <c r="I173" s="181" t="s">
        <v>822</v>
      </c>
    </row>
    <row r="174" spans="2:9" x14ac:dyDescent="0.25">
      <c r="B174" s="118" t="s">
        <v>1163</v>
      </c>
      <c r="C174" s="118" t="s">
        <v>1163</v>
      </c>
      <c r="D174" s="175" t="s">
        <v>1109</v>
      </c>
      <c r="F174" s="115" t="s">
        <v>1164</v>
      </c>
      <c r="I174" s="181" t="s">
        <v>920</v>
      </c>
    </row>
    <row r="175" spans="2:9" x14ac:dyDescent="0.25">
      <c r="B175" s="118" t="s">
        <v>1165</v>
      </c>
      <c r="C175" s="118" t="s">
        <v>1165</v>
      </c>
      <c r="D175" s="175" t="s">
        <v>1109</v>
      </c>
      <c r="F175" s="115" t="s">
        <v>1166</v>
      </c>
      <c r="I175" s="181" t="s">
        <v>1167</v>
      </c>
    </row>
    <row r="176" spans="2:9" x14ac:dyDescent="0.25">
      <c r="B176" s="118" t="s">
        <v>1165</v>
      </c>
      <c r="C176" s="118" t="s">
        <v>1165</v>
      </c>
      <c r="D176" s="175" t="s">
        <v>1109</v>
      </c>
      <c r="F176" s="115" t="s">
        <v>1168</v>
      </c>
      <c r="I176" s="181" t="s">
        <v>1167</v>
      </c>
    </row>
    <row r="177" spans="2:9" x14ac:dyDescent="0.25">
      <c r="B177" s="118" t="s">
        <v>1165</v>
      </c>
      <c r="C177" s="118" t="s">
        <v>1165</v>
      </c>
      <c r="D177" s="175" t="s">
        <v>1109</v>
      </c>
      <c r="F177" s="115" t="s">
        <v>1169</v>
      </c>
      <c r="I177" s="181" t="s">
        <v>1167</v>
      </c>
    </row>
    <row r="178" spans="2:9" x14ac:dyDescent="0.25">
      <c r="B178" s="118" t="s">
        <v>1102</v>
      </c>
      <c r="C178" s="118" t="s">
        <v>1102</v>
      </c>
      <c r="D178" s="175" t="s">
        <v>1109</v>
      </c>
      <c r="F178" s="115" t="s">
        <v>1170</v>
      </c>
      <c r="H178" s="187">
        <v>395229599</v>
      </c>
      <c r="I178" s="181" t="s">
        <v>822</v>
      </c>
    </row>
    <row r="179" spans="2:9" x14ac:dyDescent="0.25">
      <c r="B179" s="118" t="s">
        <v>1174</v>
      </c>
      <c r="C179" s="118" t="s">
        <v>1171</v>
      </c>
      <c r="D179" s="175" t="s">
        <v>1109</v>
      </c>
      <c r="F179" s="115" t="s">
        <v>1172</v>
      </c>
      <c r="H179" s="187">
        <v>915519637</v>
      </c>
      <c r="I179" s="181" t="s">
        <v>909</v>
      </c>
    </row>
    <row r="180" spans="2:9" x14ac:dyDescent="0.25">
      <c r="B180" s="118" t="s">
        <v>1173</v>
      </c>
      <c r="C180" s="118" t="s">
        <v>1173</v>
      </c>
      <c r="D180" s="175" t="s">
        <v>1109</v>
      </c>
      <c r="F180" s="115" t="s">
        <v>1175</v>
      </c>
      <c r="H180" s="187">
        <v>906182696</v>
      </c>
      <c r="I180" s="181" t="s">
        <v>920</v>
      </c>
    </row>
    <row r="181" spans="2:9" x14ac:dyDescent="0.2">
      <c r="B181" s="170" t="s">
        <v>1176</v>
      </c>
      <c r="C181" s="170" t="s">
        <v>1185</v>
      </c>
      <c r="D181" s="175" t="s">
        <v>1109</v>
      </c>
      <c r="F181" s="170" t="s">
        <v>1177</v>
      </c>
      <c r="H181" s="187">
        <v>829331926</v>
      </c>
      <c r="I181" s="181" t="s">
        <v>1178</v>
      </c>
    </row>
    <row r="182" spans="2:9" x14ac:dyDescent="0.2">
      <c r="B182" s="170" t="s">
        <v>1179</v>
      </c>
      <c r="C182" s="170" t="s">
        <v>1179</v>
      </c>
      <c r="D182" s="175" t="s">
        <v>1109</v>
      </c>
      <c r="F182" s="170" t="s">
        <v>1180</v>
      </c>
      <c r="H182" s="187">
        <v>984314060</v>
      </c>
      <c r="I182" s="181" t="s">
        <v>923</v>
      </c>
    </row>
    <row r="183" spans="2:9" ht="30" x14ac:dyDescent="0.25">
      <c r="B183" s="118" t="s">
        <v>1181</v>
      </c>
      <c r="C183" s="118" t="s">
        <v>1181</v>
      </c>
      <c r="D183" s="175" t="s">
        <v>1109</v>
      </c>
      <c r="F183" s="115" t="s">
        <v>1182</v>
      </c>
      <c r="I183" s="181" t="s">
        <v>920</v>
      </c>
    </row>
    <row r="184" spans="2:9" x14ac:dyDescent="0.25">
      <c r="B184" s="118" t="s">
        <v>1183</v>
      </c>
      <c r="C184" s="118" t="s">
        <v>1183</v>
      </c>
      <c r="D184" s="175" t="s">
        <v>1109</v>
      </c>
      <c r="F184" s="115" t="s">
        <v>1184</v>
      </c>
      <c r="I184" s="181" t="s">
        <v>103</v>
      </c>
    </row>
    <row r="185" spans="2:9" x14ac:dyDescent="0.25">
      <c r="B185" s="118" t="s">
        <v>1186</v>
      </c>
      <c r="C185" s="118" t="s">
        <v>1186</v>
      </c>
      <c r="D185" s="146" t="s">
        <v>1126</v>
      </c>
      <c r="F185" s="115" t="s">
        <v>1187</v>
      </c>
      <c r="H185" s="187">
        <v>934639639</v>
      </c>
      <c r="I185" s="181" t="s">
        <v>834</v>
      </c>
    </row>
    <row r="186" spans="2:9" x14ac:dyDescent="0.25">
      <c r="B186" s="118" t="s">
        <v>1188</v>
      </c>
      <c r="C186" s="118" t="s">
        <v>1188</v>
      </c>
      <c r="D186" s="146" t="s">
        <v>1126</v>
      </c>
      <c r="F186" s="115" t="s">
        <v>1141</v>
      </c>
      <c r="H186" s="187">
        <v>915158863</v>
      </c>
      <c r="I186" s="181" t="s">
        <v>834</v>
      </c>
    </row>
    <row r="187" spans="2:9" x14ac:dyDescent="0.25">
      <c r="B187" s="118" t="s">
        <v>1189</v>
      </c>
      <c r="C187" s="118" t="s">
        <v>1189</v>
      </c>
      <c r="D187" s="146" t="s">
        <v>1126</v>
      </c>
      <c r="F187" s="115" t="s">
        <v>1190</v>
      </c>
      <c r="H187" s="187">
        <v>975790719</v>
      </c>
      <c r="I187" s="181" t="s">
        <v>822</v>
      </c>
    </row>
    <row r="188" spans="2:9" x14ac:dyDescent="0.25">
      <c r="B188" s="169" t="s">
        <v>1191</v>
      </c>
      <c r="C188" s="169" t="s">
        <v>1191</v>
      </c>
      <c r="D188" s="146" t="s">
        <v>1126</v>
      </c>
      <c r="F188" s="115" t="s">
        <v>1192</v>
      </c>
      <c r="H188" s="187">
        <v>987156123</v>
      </c>
      <c r="I188" s="181" t="s">
        <v>822</v>
      </c>
    </row>
    <row r="189" spans="2:9" x14ac:dyDescent="0.25">
      <c r="B189" s="26" t="s">
        <v>1193</v>
      </c>
      <c r="C189" s="26" t="s">
        <v>1193</v>
      </c>
      <c r="D189" s="175" t="s">
        <v>1109</v>
      </c>
      <c r="F189" s="139" t="s">
        <v>1196</v>
      </c>
      <c r="H189" s="139">
        <v>962328136</v>
      </c>
      <c r="I189" s="26" t="s">
        <v>1201</v>
      </c>
    </row>
    <row r="190" spans="2:9" x14ac:dyDescent="0.25">
      <c r="B190" s="26" t="s">
        <v>1193</v>
      </c>
      <c r="C190" s="26" t="s">
        <v>1193</v>
      </c>
      <c r="D190" s="175" t="s">
        <v>1109</v>
      </c>
      <c r="F190" s="139" t="s">
        <v>1197</v>
      </c>
      <c r="H190" s="139">
        <v>982625401</v>
      </c>
      <c r="I190" s="26" t="s">
        <v>1201</v>
      </c>
    </row>
    <row r="191" spans="2:9" x14ac:dyDescent="0.25">
      <c r="B191" s="26" t="s">
        <v>1193</v>
      </c>
      <c r="C191" s="26" t="s">
        <v>1193</v>
      </c>
      <c r="D191" s="175" t="s">
        <v>1109</v>
      </c>
      <c r="F191" s="139" t="s">
        <v>1198</v>
      </c>
      <c r="H191" s="139">
        <v>902137836</v>
      </c>
      <c r="I191" s="26" t="s">
        <v>1201</v>
      </c>
    </row>
    <row r="192" spans="2:9" x14ac:dyDescent="0.25">
      <c r="B192" s="26" t="s">
        <v>1194</v>
      </c>
      <c r="C192" s="26" t="s">
        <v>1194</v>
      </c>
      <c r="D192" s="175" t="s">
        <v>1109</v>
      </c>
      <c r="F192" s="139" t="s">
        <v>1199</v>
      </c>
      <c r="H192" s="139">
        <v>977274387</v>
      </c>
      <c r="I192" s="26" t="s">
        <v>1202</v>
      </c>
    </row>
    <row r="193" spans="1:9" x14ac:dyDescent="0.25">
      <c r="B193" s="26" t="s">
        <v>1195</v>
      </c>
      <c r="C193" s="26" t="s">
        <v>1195</v>
      </c>
      <c r="D193" s="175" t="s">
        <v>1109</v>
      </c>
      <c r="F193" s="139" t="s">
        <v>1200</v>
      </c>
      <c r="H193" s="139">
        <v>908623417</v>
      </c>
      <c r="I193" s="26" t="s">
        <v>1201</v>
      </c>
    </row>
    <row r="194" spans="1:9" ht="21.6" customHeight="1" x14ac:dyDescent="0.2">
      <c r="A194" s="165" t="s">
        <v>1259</v>
      </c>
      <c r="B194" s="170" t="s">
        <v>1204</v>
      </c>
      <c r="C194" s="170" t="s">
        <v>1204</v>
      </c>
      <c r="D194" s="175" t="s">
        <v>1109</v>
      </c>
      <c r="F194" s="170" t="s">
        <v>1205</v>
      </c>
      <c r="H194" s="189">
        <v>396396456</v>
      </c>
    </row>
    <row r="195" spans="1:9" ht="12" customHeight="1" x14ac:dyDescent="0.2">
      <c r="B195" s="170" t="s">
        <v>765</v>
      </c>
      <c r="C195" s="170" t="s">
        <v>765</v>
      </c>
      <c r="D195" s="146" t="s">
        <v>1208</v>
      </c>
      <c r="F195" s="170"/>
      <c r="H195" s="189">
        <v>867228690</v>
      </c>
      <c r="I195" s="181" t="s">
        <v>822</v>
      </c>
    </row>
    <row r="196" spans="1:9" ht="24" x14ac:dyDescent="0.2">
      <c r="A196" s="165" t="s">
        <v>1259</v>
      </c>
      <c r="B196" s="170" t="s">
        <v>1206</v>
      </c>
      <c r="C196" s="170" t="s">
        <v>1206</v>
      </c>
      <c r="D196" s="175" t="s">
        <v>1109</v>
      </c>
      <c r="F196" s="204" t="s">
        <v>1301</v>
      </c>
      <c r="H196" s="187">
        <v>974321997</v>
      </c>
      <c r="I196" s="181" t="s">
        <v>822</v>
      </c>
    </row>
    <row r="197" spans="1:9" x14ac:dyDescent="0.2">
      <c r="A197" s="165" t="s">
        <v>1259</v>
      </c>
      <c r="B197" s="205" t="s">
        <v>1207</v>
      </c>
      <c r="C197" s="170" t="s">
        <v>1207</v>
      </c>
      <c r="D197" s="207" t="s">
        <v>1357</v>
      </c>
      <c r="F197" s="170" t="s">
        <v>1209</v>
      </c>
      <c r="G197" s="218" t="s">
        <v>1441</v>
      </c>
      <c r="H197" s="189">
        <v>783163666</v>
      </c>
    </row>
    <row r="198" spans="1:9" x14ac:dyDescent="0.25">
      <c r="B198" s="118" t="s">
        <v>1210</v>
      </c>
      <c r="C198" s="118" t="s">
        <v>1210</v>
      </c>
      <c r="D198" s="175" t="s">
        <v>1109</v>
      </c>
      <c r="F198" s="115" t="s">
        <v>1211</v>
      </c>
      <c r="I198" s="181" t="s">
        <v>1203</v>
      </c>
    </row>
    <row r="199" spans="1:9" x14ac:dyDescent="0.25">
      <c r="B199" s="118" t="s">
        <v>1212</v>
      </c>
      <c r="C199" s="118" t="s">
        <v>1212</v>
      </c>
      <c r="D199" s="175" t="s">
        <v>1109</v>
      </c>
      <c r="F199" s="115" t="s">
        <v>1213</v>
      </c>
      <c r="H199" s="187">
        <v>938286688</v>
      </c>
      <c r="I199" s="181" t="s">
        <v>1214</v>
      </c>
    </row>
    <row r="200" spans="1:9" x14ac:dyDescent="0.25">
      <c r="B200" s="118" t="s">
        <v>1215</v>
      </c>
      <c r="C200" s="118" t="s">
        <v>1215</v>
      </c>
      <c r="D200" s="175" t="s">
        <v>1109</v>
      </c>
      <c r="F200" s="115" t="s">
        <v>1216</v>
      </c>
      <c r="H200" s="187">
        <v>783162899</v>
      </c>
      <c r="I200" s="181" t="s">
        <v>822</v>
      </c>
    </row>
    <row r="201" spans="1:9" x14ac:dyDescent="0.25">
      <c r="B201" s="118" t="s">
        <v>1217</v>
      </c>
      <c r="C201" s="118" t="s">
        <v>1217</v>
      </c>
      <c r="D201" s="175" t="s">
        <v>1109</v>
      </c>
      <c r="F201" s="115" t="s">
        <v>1218</v>
      </c>
      <c r="H201" s="187">
        <v>866995268</v>
      </c>
      <c r="I201" s="181" t="s">
        <v>822</v>
      </c>
    </row>
    <row r="202" spans="1:9" x14ac:dyDescent="0.25">
      <c r="B202" s="118" t="s">
        <v>1219</v>
      </c>
      <c r="C202" s="118" t="s">
        <v>1219</v>
      </c>
      <c r="D202" s="175" t="s">
        <v>1109</v>
      </c>
      <c r="F202" s="115" t="s">
        <v>1220</v>
      </c>
      <c r="H202" s="187">
        <v>343358188</v>
      </c>
      <c r="I202" s="181" t="s">
        <v>1045</v>
      </c>
    </row>
    <row r="203" spans="1:9" x14ac:dyDescent="0.25">
      <c r="B203" s="118" t="s">
        <v>1219</v>
      </c>
      <c r="C203" s="118" t="s">
        <v>1219</v>
      </c>
      <c r="D203" s="175" t="s">
        <v>1109</v>
      </c>
      <c r="F203" s="115" t="s">
        <v>1221</v>
      </c>
      <c r="G203" s="115" t="s">
        <v>1260</v>
      </c>
      <c r="H203" s="187">
        <v>982564676</v>
      </c>
      <c r="I203" s="181" t="s">
        <v>1045</v>
      </c>
    </row>
    <row r="204" spans="1:9" x14ac:dyDescent="0.25">
      <c r="B204" s="118" t="s">
        <v>1222</v>
      </c>
      <c r="C204" s="118" t="s">
        <v>1222</v>
      </c>
      <c r="D204" s="175" t="s">
        <v>1109</v>
      </c>
      <c r="F204" s="115" t="s">
        <v>1223</v>
      </c>
      <c r="H204" s="187">
        <v>904181386</v>
      </c>
      <c r="I204" s="181" t="s">
        <v>1046</v>
      </c>
    </row>
    <row r="205" spans="1:9" x14ac:dyDescent="0.25">
      <c r="B205" s="118" t="s">
        <v>1224</v>
      </c>
      <c r="C205" s="118" t="s">
        <v>1224</v>
      </c>
      <c r="D205" s="146" t="s">
        <v>1126</v>
      </c>
      <c r="F205" s="115" t="s">
        <v>1225</v>
      </c>
      <c r="H205" s="187">
        <v>865862339</v>
      </c>
      <c r="I205" s="181" t="s">
        <v>1226</v>
      </c>
    </row>
    <row r="206" spans="1:9" x14ac:dyDescent="0.25">
      <c r="B206" s="118" t="s">
        <v>1227</v>
      </c>
      <c r="C206" s="118" t="s">
        <v>1227</v>
      </c>
      <c r="D206" s="146" t="s">
        <v>1126</v>
      </c>
      <c r="F206" s="115" t="s">
        <v>1228</v>
      </c>
      <c r="H206" s="187">
        <v>865862339</v>
      </c>
      <c r="I206" s="181" t="s">
        <v>822</v>
      </c>
    </row>
    <row r="207" spans="1:9" x14ac:dyDescent="0.25">
      <c r="B207" s="118" t="s">
        <v>1229</v>
      </c>
      <c r="C207" s="118" t="s">
        <v>1229</v>
      </c>
      <c r="D207" s="146" t="s">
        <v>1126</v>
      </c>
      <c r="F207" s="115" t="s">
        <v>1230</v>
      </c>
      <c r="H207" s="187">
        <v>968888434</v>
      </c>
      <c r="I207" s="181" t="s">
        <v>1046</v>
      </c>
    </row>
    <row r="208" spans="1:9" x14ac:dyDescent="0.25">
      <c r="A208" s="165" t="s">
        <v>1258</v>
      </c>
      <c r="B208" s="148"/>
      <c r="C208" s="148"/>
    </row>
    <row r="209" spans="2:9" x14ac:dyDescent="0.2">
      <c r="B209" s="205" t="s">
        <v>1439</v>
      </c>
      <c r="C209" s="170" t="s">
        <v>1231</v>
      </c>
      <c r="D209" s="207" t="s">
        <v>1436</v>
      </c>
      <c r="F209" s="170" t="s">
        <v>1356</v>
      </c>
      <c r="H209" s="187">
        <v>393609877</v>
      </c>
      <c r="I209" s="181" t="s">
        <v>103</v>
      </c>
    </row>
    <row r="210" spans="2:9" x14ac:dyDescent="0.25">
      <c r="B210" s="118" t="s">
        <v>1376</v>
      </c>
      <c r="C210" s="118" t="s">
        <v>1376</v>
      </c>
      <c r="D210" s="175" t="s">
        <v>1265</v>
      </c>
      <c r="F210" s="115" t="s">
        <v>1232</v>
      </c>
      <c r="H210" s="187">
        <v>904218278</v>
      </c>
      <c r="I210" s="181" t="s">
        <v>1233</v>
      </c>
    </row>
    <row r="211" spans="2:9" ht="28.5" x14ac:dyDescent="0.25">
      <c r="B211" s="206" t="s">
        <v>1234</v>
      </c>
      <c r="C211" s="118" t="s">
        <v>1234</v>
      </c>
      <c r="D211" s="146" t="s">
        <v>1437</v>
      </c>
      <c r="F211" s="115" t="s">
        <v>1438</v>
      </c>
      <c r="H211" s="187" t="s">
        <v>1235</v>
      </c>
      <c r="I211" s="181" t="s">
        <v>1236</v>
      </c>
    </row>
    <row r="212" spans="2:9" ht="30" x14ac:dyDescent="0.2">
      <c r="B212" s="167" t="s">
        <v>1440</v>
      </c>
      <c r="C212" s="118" t="s">
        <v>1238</v>
      </c>
      <c r="D212" s="146" t="s">
        <v>842</v>
      </c>
      <c r="F212" s="170" t="s">
        <v>1237</v>
      </c>
      <c r="H212" s="189">
        <v>945005999</v>
      </c>
      <c r="I212" s="181" t="s">
        <v>103</v>
      </c>
    </row>
    <row r="213" spans="2:9" x14ac:dyDescent="0.2">
      <c r="B213" s="118" t="s">
        <v>1239</v>
      </c>
      <c r="C213" s="118" t="s">
        <v>1239</v>
      </c>
      <c r="D213" s="146" t="s">
        <v>1126</v>
      </c>
      <c r="F213" s="115" t="s">
        <v>1240</v>
      </c>
      <c r="H213" s="189">
        <v>84913352658</v>
      </c>
      <c r="I213" s="181" t="s">
        <v>822</v>
      </c>
    </row>
    <row r="214" spans="2:9" x14ac:dyDescent="0.2">
      <c r="B214" s="118" t="s">
        <v>1242</v>
      </c>
      <c r="C214" s="118" t="s">
        <v>1242</v>
      </c>
      <c r="D214" s="146" t="s">
        <v>1126</v>
      </c>
      <c r="F214" s="170" t="s">
        <v>1241</v>
      </c>
      <c r="H214" s="189">
        <v>383362258</v>
      </c>
    </row>
    <row r="215" spans="2:9" x14ac:dyDescent="0.2">
      <c r="B215" s="170" t="s">
        <v>1243</v>
      </c>
      <c r="C215" s="170" t="s">
        <v>1243</v>
      </c>
      <c r="D215" s="175" t="s">
        <v>1109</v>
      </c>
      <c r="F215" s="170" t="s">
        <v>1244</v>
      </c>
      <c r="H215" s="187">
        <v>974125019</v>
      </c>
      <c r="I215" s="181" t="s">
        <v>822</v>
      </c>
    </row>
    <row r="216" spans="2:9" x14ac:dyDescent="0.2">
      <c r="B216" s="170" t="s">
        <v>1243</v>
      </c>
      <c r="C216" s="170" t="s">
        <v>1243</v>
      </c>
      <c r="D216" s="175" t="s">
        <v>1109</v>
      </c>
      <c r="F216" s="170" t="s">
        <v>1244</v>
      </c>
      <c r="H216" s="187">
        <v>974125019</v>
      </c>
      <c r="I216" s="181" t="s">
        <v>104</v>
      </c>
    </row>
    <row r="217" spans="2:9" x14ac:dyDescent="0.2">
      <c r="B217" s="170" t="s">
        <v>1245</v>
      </c>
      <c r="C217" s="170" t="s">
        <v>1245</v>
      </c>
      <c r="D217" s="146" t="s">
        <v>1324</v>
      </c>
      <c r="F217" s="115" t="s">
        <v>1246</v>
      </c>
      <c r="I217" s="181" t="s">
        <v>1247</v>
      </c>
    </row>
    <row r="218" spans="2:9" x14ac:dyDescent="0.25">
      <c r="B218" s="206" t="s">
        <v>1248</v>
      </c>
      <c r="C218" s="118" t="s">
        <v>1248</v>
      </c>
      <c r="F218" s="115" t="s">
        <v>1249</v>
      </c>
      <c r="H218" s="187">
        <v>986043150</v>
      </c>
      <c r="I218" s="181" t="s">
        <v>1250</v>
      </c>
    </row>
    <row r="219" spans="2:9" s="165" customFormat="1" x14ac:dyDescent="0.2">
      <c r="B219" s="217" t="s">
        <v>1251</v>
      </c>
      <c r="C219" s="217" t="s">
        <v>1251</v>
      </c>
      <c r="D219" s="174" t="s">
        <v>1434</v>
      </c>
      <c r="E219" s="177"/>
      <c r="F219" s="217" t="s">
        <v>1252</v>
      </c>
      <c r="H219" s="191">
        <v>974359439</v>
      </c>
      <c r="I219" s="217" t="s">
        <v>1253</v>
      </c>
    </row>
    <row r="220" spans="2:9" x14ac:dyDescent="0.25">
      <c r="B220" s="118" t="s">
        <v>9</v>
      </c>
      <c r="C220" s="146" t="s">
        <v>9</v>
      </c>
      <c r="D220" s="175" t="s">
        <v>1109</v>
      </c>
      <c r="F220" s="115" t="s">
        <v>1267</v>
      </c>
      <c r="H220" s="187" t="s">
        <v>1255</v>
      </c>
      <c r="I220" s="181" t="s">
        <v>873</v>
      </c>
    </row>
    <row r="221" spans="2:9" x14ac:dyDescent="0.25">
      <c r="B221" s="118" t="s">
        <v>9</v>
      </c>
      <c r="C221" s="146" t="s">
        <v>9</v>
      </c>
      <c r="D221" s="175" t="s">
        <v>1109</v>
      </c>
      <c r="F221" s="115" t="s">
        <v>1254</v>
      </c>
      <c r="H221" s="187" t="s">
        <v>1255</v>
      </c>
      <c r="I221" s="181" t="s">
        <v>843</v>
      </c>
    </row>
    <row r="222" spans="2:9" x14ac:dyDescent="0.25">
      <c r="B222" s="118" t="s">
        <v>9</v>
      </c>
      <c r="C222" s="146" t="s">
        <v>9</v>
      </c>
      <c r="D222" s="175" t="s">
        <v>1109</v>
      </c>
      <c r="F222" s="115" t="s">
        <v>1256</v>
      </c>
      <c r="H222" s="187">
        <v>846866662</v>
      </c>
      <c r="I222" s="181" t="s">
        <v>822</v>
      </c>
    </row>
    <row r="223" spans="2:9" x14ac:dyDescent="0.25">
      <c r="B223" s="118" t="s">
        <v>9</v>
      </c>
      <c r="C223" s="146" t="s">
        <v>9</v>
      </c>
      <c r="D223" s="175" t="s">
        <v>1109</v>
      </c>
      <c r="F223" s="115" t="s">
        <v>1257</v>
      </c>
      <c r="H223" s="187">
        <v>936622933</v>
      </c>
      <c r="I223" s="181" t="s">
        <v>840</v>
      </c>
    </row>
    <row r="224" spans="2:9" x14ac:dyDescent="0.25">
      <c r="B224" s="118" t="s">
        <v>9</v>
      </c>
      <c r="C224" s="146" t="s">
        <v>9</v>
      </c>
      <c r="D224" s="175" t="s">
        <v>1109</v>
      </c>
      <c r="F224" s="115" t="s">
        <v>1268</v>
      </c>
      <c r="H224" s="187">
        <v>902136968</v>
      </c>
      <c r="I224" s="181" t="s">
        <v>822</v>
      </c>
    </row>
    <row r="225" spans="2:9" x14ac:dyDescent="0.25">
      <c r="B225" s="118" t="s">
        <v>9</v>
      </c>
      <c r="C225" s="146" t="s">
        <v>9</v>
      </c>
      <c r="D225" s="175" t="s">
        <v>1109</v>
      </c>
      <c r="F225" s="115" t="s">
        <v>1268</v>
      </c>
      <c r="H225" s="187">
        <v>902136968</v>
      </c>
      <c r="I225" s="181" t="s">
        <v>843</v>
      </c>
    </row>
    <row r="226" spans="2:9" ht="28.5" x14ac:dyDescent="0.25">
      <c r="B226" s="167" t="s">
        <v>1219</v>
      </c>
      <c r="C226" s="118" t="s">
        <v>1219</v>
      </c>
      <c r="D226" s="175" t="s">
        <v>1350</v>
      </c>
      <c r="F226" s="115" t="s">
        <v>1343</v>
      </c>
      <c r="H226" s="187">
        <v>904005002</v>
      </c>
      <c r="I226" s="181" t="s">
        <v>1261</v>
      </c>
    </row>
    <row r="227" spans="2:9" x14ac:dyDescent="0.25">
      <c r="B227" s="118" t="s">
        <v>1219</v>
      </c>
      <c r="C227" s="118" t="s">
        <v>1219</v>
      </c>
      <c r="D227" s="175" t="s">
        <v>1109</v>
      </c>
      <c r="F227" s="115" t="s">
        <v>1264</v>
      </c>
      <c r="H227" s="187">
        <v>904005002</v>
      </c>
      <c r="I227" s="181" t="s">
        <v>840</v>
      </c>
    </row>
    <row r="228" spans="2:9" ht="28.5" x14ac:dyDescent="0.2">
      <c r="B228" s="170" t="s">
        <v>1262</v>
      </c>
      <c r="C228" s="170" t="s">
        <v>1262</v>
      </c>
      <c r="D228" s="175" t="s">
        <v>1303</v>
      </c>
      <c r="F228" s="170" t="s">
        <v>1318</v>
      </c>
      <c r="H228" s="187">
        <v>913072003</v>
      </c>
      <c r="I228" s="170" t="s">
        <v>1263</v>
      </c>
    </row>
    <row r="229" spans="2:9" x14ac:dyDescent="0.25">
      <c r="B229" s="118" t="s">
        <v>1139</v>
      </c>
      <c r="C229" s="118" t="s">
        <v>1139</v>
      </c>
      <c r="D229" s="175" t="s">
        <v>1109</v>
      </c>
      <c r="F229" s="115" t="s">
        <v>1266</v>
      </c>
      <c r="H229" s="187">
        <v>966785220</v>
      </c>
      <c r="I229" s="181" t="s">
        <v>1302</v>
      </c>
    </row>
    <row r="230" spans="2:9" x14ac:dyDescent="0.25">
      <c r="B230" s="118" t="s">
        <v>1269</v>
      </c>
      <c r="C230" s="118" t="s">
        <v>1269</v>
      </c>
      <c r="D230" s="146" t="s">
        <v>1126</v>
      </c>
      <c r="F230" s="115" t="s">
        <v>1270</v>
      </c>
      <c r="H230" s="187">
        <v>945005999</v>
      </c>
      <c r="I230" s="181" t="s">
        <v>834</v>
      </c>
    </row>
    <row r="231" spans="2:9" x14ac:dyDescent="0.25">
      <c r="B231" s="118" t="s">
        <v>1100</v>
      </c>
      <c r="C231" s="118" t="s">
        <v>1100</v>
      </c>
      <c r="D231" s="146" t="s">
        <v>1126</v>
      </c>
      <c r="F231" s="115" t="s">
        <v>1271</v>
      </c>
      <c r="H231" s="187">
        <v>866995268</v>
      </c>
      <c r="I231" s="181" t="s">
        <v>822</v>
      </c>
    </row>
    <row r="232" spans="2:9" x14ac:dyDescent="0.25">
      <c r="B232" s="118" t="s">
        <v>1272</v>
      </c>
      <c r="C232" s="118" t="s">
        <v>1272</v>
      </c>
      <c r="D232" s="146" t="s">
        <v>1126</v>
      </c>
      <c r="F232" s="115" t="s">
        <v>1273</v>
      </c>
      <c r="H232" s="187">
        <v>904630691</v>
      </c>
      <c r="I232" s="181" t="s">
        <v>1274</v>
      </c>
    </row>
    <row r="233" spans="2:9" ht="28.5" x14ac:dyDescent="0.2">
      <c r="B233" s="170" t="s">
        <v>1275</v>
      </c>
      <c r="C233" s="170" t="s">
        <v>1275</v>
      </c>
      <c r="D233" s="175" t="s">
        <v>1320</v>
      </c>
      <c r="F233" s="170" t="s">
        <v>1319</v>
      </c>
      <c r="H233" s="189">
        <v>948586648</v>
      </c>
      <c r="I233" s="181" t="s">
        <v>1233</v>
      </c>
    </row>
    <row r="234" spans="2:9" ht="42.75" x14ac:dyDescent="0.25">
      <c r="B234" s="209" t="s">
        <v>9</v>
      </c>
      <c r="C234" s="209" t="s">
        <v>9</v>
      </c>
      <c r="D234" s="208" t="s">
        <v>1358</v>
      </c>
      <c r="F234" s="115" t="s">
        <v>1276</v>
      </c>
      <c r="H234" s="187">
        <v>936429291</v>
      </c>
      <c r="I234" s="181" t="s">
        <v>1233</v>
      </c>
    </row>
    <row r="235" spans="2:9" x14ac:dyDescent="0.25">
      <c r="B235" s="118" t="s">
        <v>1277</v>
      </c>
      <c r="C235" s="118" t="s">
        <v>1277</v>
      </c>
      <c r="D235" s="175" t="s">
        <v>1109</v>
      </c>
      <c r="F235" s="115" t="s">
        <v>1278</v>
      </c>
      <c r="I235" s="181" t="s">
        <v>1279</v>
      </c>
    </row>
    <row r="236" spans="2:9" ht="30" x14ac:dyDescent="0.25">
      <c r="B236" s="118" t="s">
        <v>1280</v>
      </c>
      <c r="C236" s="118" t="s">
        <v>1280</v>
      </c>
      <c r="D236" s="175" t="s">
        <v>1109</v>
      </c>
      <c r="F236" s="115" t="s">
        <v>1281</v>
      </c>
      <c r="I236" s="181" t="s">
        <v>920</v>
      </c>
    </row>
    <row r="237" spans="2:9" ht="30" x14ac:dyDescent="0.25">
      <c r="B237" s="118" t="s">
        <v>1181</v>
      </c>
      <c r="C237" s="118" t="s">
        <v>1181</v>
      </c>
      <c r="D237" s="175" t="s">
        <v>1109</v>
      </c>
      <c r="F237" s="115" t="s">
        <v>1282</v>
      </c>
      <c r="I237" s="181" t="s">
        <v>909</v>
      </c>
    </row>
    <row r="238" spans="2:9" x14ac:dyDescent="0.25">
      <c r="B238" s="118" t="s">
        <v>9</v>
      </c>
      <c r="C238" s="146" t="s">
        <v>841</v>
      </c>
      <c r="D238" s="175" t="s">
        <v>1109</v>
      </c>
      <c r="F238" s="115" t="s">
        <v>1283</v>
      </c>
      <c r="H238" s="187">
        <v>919195166</v>
      </c>
      <c r="I238" s="181" t="s">
        <v>822</v>
      </c>
    </row>
    <row r="239" spans="2:9" ht="34.9" customHeight="1" x14ac:dyDescent="0.25">
      <c r="B239" s="216" t="s">
        <v>1410</v>
      </c>
      <c r="C239" s="118" t="s">
        <v>1090</v>
      </c>
      <c r="D239" s="175" t="s">
        <v>1109</v>
      </c>
      <c r="F239" s="203" t="s">
        <v>1322</v>
      </c>
      <c r="H239" s="187" t="s">
        <v>1284</v>
      </c>
      <c r="I239" s="181" t="s">
        <v>822</v>
      </c>
    </row>
    <row r="240" spans="2:9" s="179" customFormat="1" x14ac:dyDescent="0.25">
      <c r="B240" s="167" t="s">
        <v>1285</v>
      </c>
      <c r="C240" s="167" t="s">
        <v>1285</v>
      </c>
      <c r="D240" s="180" t="s">
        <v>898</v>
      </c>
      <c r="E240" s="211"/>
      <c r="F240" s="179" t="s">
        <v>1422</v>
      </c>
      <c r="H240" s="214">
        <v>912080464</v>
      </c>
      <c r="I240" s="213" t="s">
        <v>822</v>
      </c>
    </row>
    <row r="241" spans="2:9" s="179" customFormat="1" x14ac:dyDescent="0.25">
      <c r="B241" s="167" t="s">
        <v>1285</v>
      </c>
      <c r="C241" s="167" t="s">
        <v>1285</v>
      </c>
      <c r="D241" s="180" t="s">
        <v>898</v>
      </c>
      <c r="E241" s="211"/>
      <c r="F241" s="179" t="s">
        <v>1422</v>
      </c>
      <c r="H241" s="214">
        <v>848881666</v>
      </c>
      <c r="I241" s="213" t="s">
        <v>822</v>
      </c>
    </row>
    <row r="242" spans="2:9" s="179" customFormat="1" x14ac:dyDescent="0.25">
      <c r="B242" s="167" t="s">
        <v>1285</v>
      </c>
      <c r="C242" s="167" t="s">
        <v>1285</v>
      </c>
      <c r="D242" s="180" t="s">
        <v>898</v>
      </c>
      <c r="E242" s="211"/>
      <c r="F242" s="179" t="s">
        <v>1422</v>
      </c>
      <c r="H242" s="214">
        <v>848881666</v>
      </c>
      <c r="I242" s="213" t="s">
        <v>822</v>
      </c>
    </row>
    <row r="243" spans="2:9" x14ac:dyDescent="0.2">
      <c r="B243" s="205" t="s">
        <v>1286</v>
      </c>
      <c r="C243" s="170" t="s">
        <v>1286</v>
      </c>
      <c r="D243" s="146" t="s">
        <v>1374</v>
      </c>
      <c r="F243" s="170" t="s">
        <v>1287</v>
      </c>
      <c r="H243" s="187" t="s">
        <v>1288</v>
      </c>
      <c r="I243" s="181" t="s">
        <v>822</v>
      </c>
    </row>
    <row r="244" spans="2:9" x14ac:dyDescent="0.25">
      <c r="B244" s="118" t="s">
        <v>9</v>
      </c>
      <c r="C244" s="146" t="s">
        <v>9</v>
      </c>
      <c r="D244" s="175" t="s">
        <v>1109</v>
      </c>
      <c r="F244" s="115" t="s">
        <v>1289</v>
      </c>
      <c r="H244" s="187">
        <v>912696392</v>
      </c>
      <c r="I244" s="181" t="s">
        <v>822</v>
      </c>
    </row>
    <row r="245" spans="2:9" s="179" customFormat="1" ht="27.6" customHeight="1" x14ac:dyDescent="0.25">
      <c r="B245" s="167" t="s">
        <v>9</v>
      </c>
      <c r="C245" s="180" t="s">
        <v>9</v>
      </c>
      <c r="D245" s="180" t="s">
        <v>842</v>
      </c>
      <c r="E245" s="211"/>
      <c r="F245" s="215" t="s">
        <v>1290</v>
      </c>
      <c r="H245" s="214">
        <v>931066669</v>
      </c>
      <c r="I245" s="213"/>
    </row>
    <row r="246" spans="2:9" ht="16.899999999999999" customHeight="1" x14ac:dyDescent="0.2">
      <c r="B246" s="170" t="s">
        <v>1291</v>
      </c>
      <c r="C246" s="170" t="s">
        <v>1291</v>
      </c>
      <c r="D246" s="146" t="s">
        <v>1126</v>
      </c>
      <c r="F246" s="170" t="s">
        <v>1292</v>
      </c>
      <c r="H246" s="189">
        <v>982096698</v>
      </c>
      <c r="I246" s="181" t="s">
        <v>822</v>
      </c>
    </row>
    <row r="247" spans="2:9" x14ac:dyDescent="0.25">
      <c r="B247" s="118" t="s">
        <v>1163</v>
      </c>
      <c r="C247" s="118" t="s">
        <v>1163</v>
      </c>
      <c r="D247" s="175" t="s">
        <v>1109</v>
      </c>
      <c r="F247" s="115" t="s">
        <v>1294</v>
      </c>
      <c r="I247" s="181" t="s">
        <v>920</v>
      </c>
    </row>
    <row r="248" spans="2:9" x14ac:dyDescent="0.25">
      <c r="B248" s="118" t="s">
        <v>1293</v>
      </c>
      <c r="C248" s="118" t="s">
        <v>1293</v>
      </c>
      <c r="D248" s="175" t="s">
        <v>1109</v>
      </c>
      <c r="F248" s="115" t="s">
        <v>1295</v>
      </c>
      <c r="H248" s="187">
        <v>982258488</v>
      </c>
      <c r="I248" s="181" t="s">
        <v>920</v>
      </c>
    </row>
    <row r="249" spans="2:9" x14ac:dyDescent="0.25">
      <c r="B249" s="118" t="s">
        <v>1293</v>
      </c>
      <c r="C249" s="118" t="s">
        <v>1293</v>
      </c>
      <c r="D249" s="175" t="s">
        <v>1109</v>
      </c>
      <c r="F249" s="115" t="s">
        <v>1314</v>
      </c>
      <c r="H249" s="187">
        <v>912800037</v>
      </c>
      <c r="I249" s="181" t="s">
        <v>909</v>
      </c>
    </row>
    <row r="250" spans="2:9" x14ac:dyDescent="0.25">
      <c r="B250" s="118" t="s">
        <v>1293</v>
      </c>
      <c r="C250" s="118" t="s">
        <v>1293</v>
      </c>
      <c r="D250" s="175" t="s">
        <v>1109</v>
      </c>
      <c r="F250" s="115" t="s">
        <v>1315</v>
      </c>
      <c r="H250" s="187">
        <v>90417008</v>
      </c>
      <c r="I250" s="181" t="s">
        <v>909</v>
      </c>
    </row>
    <row r="251" spans="2:9" x14ac:dyDescent="0.25">
      <c r="B251" s="118" t="s">
        <v>1293</v>
      </c>
      <c r="C251" s="118" t="s">
        <v>1293</v>
      </c>
      <c r="D251" s="175" t="s">
        <v>1109</v>
      </c>
      <c r="F251" s="115" t="s">
        <v>1316</v>
      </c>
      <c r="H251" s="187">
        <v>936621655</v>
      </c>
      <c r="I251" s="181" t="s">
        <v>909</v>
      </c>
    </row>
    <row r="252" spans="2:9" x14ac:dyDescent="0.25">
      <c r="B252" s="118" t="s">
        <v>1293</v>
      </c>
      <c r="C252" s="118" t="s">
        <v>1293</v>
      </c>
      <c r="D252" s="175" t="s">
        <v>1109</v>
      </c>
      <c r="F252" s="115" t="s">
        <v>1317</v>
      </c>
      <c r="H252" s="187">
        <v>915457758</v>
      </c>
      <c r="I252" s="181" t="s">
        <v>909</v>
      </c>
    </row>
    <row r="253" spans="2:9" x14ac:dyDescent="0.25">
      <c r="B253" s="118" t="s">
        <v>1296</v>
      </c>
      <c r="C253" s="118" t="s">
        <v>1296</v>
      </c>
      <c r="D253" s="175" t="s">
        <v>1109</v>
      </c>
      <c r="F253" s="115" t="s">
        <v>1297</v>
      </c>
      <c r="I253" s="181" t="s">
        <v>920</v>
      </c>
    </row>
    <row r="254" spans="2:9" x14ac:dyDescent="0.25">
      <c r="B254" s="118" t="s">
        <v>1165</v>
      </c>
      <c r="C254" s="118" t="s">
        <v>1165</v>
      </c>
      <c r="D254" s="175" t="s">
        <v>1109</v>
      </c>
      <c r="F254" s="115" t="s">
        <v>1298</v>
      </c>
      <c r="I254" s="181" t="s">
        <v>920</v>
      </c>
    </row>
    <row r="255" spans="2:9" s="179" customFormat="1" x14ac:dyDescent="0.25">
      <c r="B255" s="167" t="s">
        <v>9</v>
      </c>
      <c r="C255" s="176" t="s">
        <v>9</v>
      </c>
      <c r="D255" s="180" t="s">
        <v>842</v>
      </c>
      <c r="E255" s="211"/>
      <c r="F255" s="179" t="s">
        <v>1299</v>
      </c>
      <c r="H255" s="214" t="s">
        <v>1300</v>
      </c>
      <c r="I255" s="213" t="s">
        <v>873</v>
      </c>
    </row>
    <row r="256" spans="2:9" x14ac:dyDescent="0.25">
      <c r="B256" s="118" t="s">
        <v>1243</v>
      </c>
      <c r="C256" s="169" t="s">
        <v>1243</v>
      </c>
      <c r="D256" s="175" t="s">
        <v>1109</v>
      </c>
      <c r="F256" s="115" t="s">
        <v>1321</v>
      </c>
      <c r="H256" s="187">
        <v>915071393</v>
      </c>
      <c r="I256" s="181" t="s">
        <v>1304</v>
      </c>
    </row>
    <row r="257" spans="2:9" x14ac:dyDescent="0.25">
      <c r="B257" s="118" t="s">
        <v>9</v>
      </c>
      <c r="C257" s="169" t="s">
        <v>9</v>
      </c>
      <c r="D257" s="175" t="s">
        <v>1109</v>
      </c>
      <c r="F257" s="115" t="s">
        <v>1305</v>
      </c>
      <c r="H257" s="187">
        <v>326729311</v>
      </c>
      <c r="I257" s="181" t="s">
        <v>822</v>
      </c>
    </row>
    <row r="258" spans="2:9" x14ac:dyDescent="0.25">
      <c r="B258" s="118" t="s">
        <v>1306</v>
      </c>
      <c r="C258" s="118" t="s">
        <v>1306</v>
      </c>
      <c r="D258" s="146" t="s">
        <v>1126</v>
      </c>
      <c r="F258" s="115" t="s">
        <v>1307</v>
      </c>
      <c r="H258" s="187">
        <v>976708547</v>
      </c>
      <c r="I258" s="181" t="s">
        <v>1046</v>
      </c>
    </row>
    <row r="259" spans="2:9" x14ac:dyDescent="0.25">
      <c r="B259" s="118" t="s">
        <v>1308</v>
      </c>
      <c r="C259" s="118" t="s">
        <v>1308</v>
      </c>
      <c r="D259" s="146" t="s">
        <v>1126</v>
      </c>
      <c r="F259" s="115" t="s">
        <v>1309</v>
      </c>
      <c r="H259" s="187">
        <v>3733305484</v>
      </c>
      <c r="I259" s="181" t="s">
        <v>822</v>
      </c>
    </row>
    <row r="260" spans="2:9" x14ac:dyDescent="0.25">
      <c r="B260" s="118" t="s">
        <v>1310</v>
      </c>
      <c r="C260" s="118" t="s">
        <v>1310</v>
      </c>
      <c r="D260" s="146" t="s">
        <v>1126</v>
      </c>
      <c r="F260" s="115" t="s">
        <v>1311</v>
      </c>
      <c r="H260" s="187">
        <v>915354999</v>
      </c>
      <c r="I260" s="181" t="s">
        <v>822</v>
      </c>
    </row>
    <row r="261" spans="2:9" x14ac:dyDescent="0.25">
      <c r="B261" s="118" t="s">
        <v>1312</v>
      </c>
      <c r="C261" s="118" t="s">
        <v>1312</v>
      </c>
      <c r="D261" s="146" t="s">
        <v>1126</v>
      </c>
      <c r="F261" s="115" t="s">
        <v>1313</v>
      </c>
      <c r="H261" s="187">
        <v>981646299</v>
      </c>
      <c r="I261" s="181" t="s">
        <v>103</v>
      </c>
    </row>
    <row r="262" spans="2:9" x14ac:dyDescent="0.2">
      <c r="B262" s="205" t="s">
        <v>1323</v>
      </c>
      <c r="C262" s="170" t="s">
        <v>1323</v>
      </c>
      <c r="H262" s="189">
        <v>913379389</v>
      </c>
      <c r="I262" s="181" t="s">
        <v>920</v>
      </c>
    </row>
    <row r="263" spans="2:9" ht="22.9" customHeight="1" x14ac:dyDescent="0.25">
      <c r="B263" s="206" t="s">
        <v>9</v>
      </c>
      <c r="C263" s="146" t="s">
        <v>9</v>
      </c>
      <c r="D263" s="207" t="s">
        <v>1355</v>
      </c>
      <c r="F263" s="115" t="s">
        <v>1325</v>
      </c>
      <c r="H263" s="187">
        <v>379505910</v>
      </c>
      <c r="I263" s="181" t="s">
        <v>840</v>
      </c>
    </row>
    <row r="264" spans="2:9" ht="22.9" customHeight="1" x14ac:dyDescent="0.2">
      <c r="B264" s="205" t="s">
        <v>1326</v>
      </c>
      <c r="C264" s="170" t="s">
        <v>1326</v>
      </c>
      <c r="F264" s="170" t="s">
        <v>1327</v>
      </c>
      <c r="H264" s="187" t="s">
        <v>1328</v>
      </c>
      <c r="I264" s="181" t="s">
        <v>103</v>
      </c>
    </row>
    <row r="265" spans="2:9" ht="22.9" customHeight="1" x14ac:dyDescent="0.2">
      <c r="B265" s="178" t="s">
        <v>1329</v>
      </c>
      <c r="C265" s="170" t="s">
        <v>1329</v>
      </c>
      <c r="D265" s="146" t="s">
        <v>1332</v>
      </c>
      <c r="F265" s="170" t="s">
        <v>1330</v>
      </c>
      <c r="H265" s="189">
        <v>359301253</v>
      </c>
      <c r="I265" s="181" t="s">
        <v>1331</v>
      </c>
    </row>
    <row r="266" spans="2:9" x14ac:dyDescent="0.25">
      <c r="B266" s="167" t="s">
        <v>1333</v>
      </c>
      <c r="C266" s="118" t="s">
        <v>1333</v>
      </c>
      <c r="D266" s="146" t="s">
        <v>898</v>
      </c>
      <c r="F266" s="115" t="s">
        <v>1334</v>
      </c>
      <c r="H266" s="187">
        <v>982808369</v>
      </c>
      <c r="I266" s="181" t="s">
        <v>1335</v>
      </c>
    </row>
    <row r="267" spans="2:9" x14ac:dyDescent="0.25">
      <c r="B267" s="167" t="s">
        <v>1333</v>
      </c>
      <c r="C267" s="118" t="s">
        <v>1333</v>
      </c>
      <c r="D267" s="146" t="s">
        <v>898</v>
      </c>
      <c r="F267" s="115" t="s">
        <v>1336</v>
      </c>
      <c r="H267" s="187">
        <v>903427228</v>
      </c>
      <c r="I267" s="181" t="s">
        <v>1335</v>
      </c>
    </row>
    <row r="268" spans="2:9" x14ac:dyDescent="0.2">
      <c r="B268" s="178" t="s">
        <v>1337</v>
      </c>
      <c r="C268" s="170" t="s">
        <v>1337</v>
      </c>
      <c r="D268" s="208" t="s">
        <v>898</v>
      </c>
      <c r="F268" s="170" t="s">
        <v>1338</v>
      </c>
      <c r="H268" s="187">
        <v>912658448</v>
      </c>
      <c r="I268" s="181" t="s">
        <v>873</v>
      </c>
    </row>
    <row r="269" spans="2:9" s="179" customFormat="1" x14ac:dyDescent="0.2">
      <c r="B269" s="167" t="s">
        <v>1339</v>
      </c>
      <c r="C269" s="167" t="s">
        <v>1339</v>
      </c>
      <c r="D269" s="180" t="s">
        <v>842</v>
      </c>
      <c r="E269" s="211"/>
      <c r="F269" s="178" t="s">
        <v>1340</v>
      </c>
      <c r="H269" s="212" t="s">
        <v>1341</v>
      </c>
      <c r="I269" s="213" t="s">
        <v>873</v>
      </c>
    </row>
    <row r="270" spans="2:9" x14ac:dyDescent="0.25">
      <c r="B270" s="118" t="s">
        <v>983</v>
      </c>
      <c r="C270" s="118" t="s">
        <v>983</v>
      </c>
      <c r="D270" s="175" t="s">
        <v>1109</v>
      </c>
      <c r="F270" s="115" t="s">
        <v>1342</v>
      </c>
      <c r="H270" s="187">
        <v>965222005</v>
      </c>
      <c r="I270" s="181" t="s">
        <v>1045</v>
      </c>
    </row>
    <row r="271" spans="2:9" x14ac:dyDescent="0.25">
      <c r="B271" s="118" t="s">
        <v>1344</v>
      </c>
      <c r="C271" s="118" t="s">
        <v>1344</v>
      </c>
      <c r="D271" s="146" t="s">
        <v>1126</v>
      </c>
      <c r="F271" s="115" t="s">
        <v>1398</v>
      </c>
      <c r="H271" s="187">
        <v>343931366</v>
      </c>
      <c r="I271" s="181" t="s">
        <v>822</v>
      </c>
    </row>
    <row r="272" spans="2:9" x14ac:dyDescent="0.25">
      <c r="B272" s="118" t="s">
        <v>9</v>
      </c>
      <c r="C272" s="146" t="s">
        <v>9</v>
      </c>
      <c r="D272" s="175" t="s">
        <v>1109</v>
      </c>
      <c r="F272" s="115" t="s">
        <v>1345</v>
      </c>
      <c r="H272" s="187">
        <v>914503595</v>
      </c>
      <c r="I272" s="181" t="s">
        <v>822</v>
      </c>
    </row>
    <row r="273" spans="2:9" x14ac:dyDescent="0.25">
      <c r="B273" s="118" t="s">
        <v>9</v>
      </c>
      <c r="C273" s="146" t="s">
        <v>9</v>
      </c>
      <c r="D273" s="175" t="s">
        <v>1109</v>
      </c>
      <c r="F273" s="115" t="s">
        <v>1345</v>
      </c>
      <c r="H273" s="187">
        <v>914503595</v>
      </c>
      <c r="I273" s="181" t="s">
        <v>822</v>
      </c>
    </row>
    <row r="274" spans="2:9" x14ac:dyDescent="0.25">
      <c r="B274" s="118" t="s">
        <v>1346</v>
      </c>
      <c r="C274" s="118" t="s">
        <v>1346</v>
      </c>
      <c r="D274" s="146" t="s">
        <v>1126</v>
      </c>
      <c r="F274" s="115" t="s">
        <v>1347</v>
      </c>
      <c r="I274" s="181" t="s">
        <v>822</v>
      </c>
    </row>
    <row r="275" spans="2:9" x14ac:dyDescent="0.25">
      <c r="B275" s="118" t="s">
        <v>1348</v>
      </c>
      <c r="C275" s="118" t="s">
        <v>1348</v>
      </c>
      <c r="D275" s="175" t="s">
        <v>1109</v>
      </c>
      <c r="F275" s="115" t="s">
        <v>1349</v>
      </c>
      <c r="H275" s="187">
        <v>936429291</v>
      </c>
      <c r="I275" s="181" t="s">
        <v>822</v>
      </c>
    </row>
    <row r="276" spans="2:9" x14ac:dyDescent="0.25">
      <c r="B276" s="118" t="s">
        <v>1348</v>
      </c>
      <c r="C276" s="118" t="s">
        <v>1348</v>
      </c>
      <c r="D276" s="175" t="s">
        <v>1109</v>
      </c>
      <c r="F276" s="115" t="s">
        <v>1349</v>
      </c>
      <c r="H276" s="187">
        <v>936429291</v>
      </c>
      <c r="I276" s="181" t="s">
        <v>822</v>
      </c>
    </row>
    <row r="277" spans="2:9" x14ac:dyDescent="0.25">
      <c r="B277" s="118" t="s">
        <v>1372</v>
      </c>
      <c r="C277" s="118" t="s">
        <v>1351</v>
      </c>
      <c r="D277" s="146" t="s">
        <v>1360</v>
      </c>
      <c r="F277" s="115" t="s">
        <v>1352</v>
      </c>
      <c r="H277" s="187">
        <v>963105750</v>
      </c>
      <c r="I277" s="181" t="s">
        <v>104</v>
      </c>
    </row>
    <row r="278" spans="2:9" x14ac:dyDescent="0.25">
      <c r="B278" s="118" t="s">
        <v>1353</v>
      </c>
      <c r="C278" s="118" t="s">
        <v>1353</v>
      </c>
      <c r="D278" s="146" t="s">
        <v>1425</v>
      </c>
      <c r="F278" s="115" t="s">
        <v>1424</v>
      </c>
      <c r="H278" s="187">
        <v>377436368</v>
      </c>
      <c r="I278" s="181" t="s">
        <v>1354</v>
      </c>
    </row>
    <row r="279" spans="2:9" x14ac:dyDescent="0.25">
      <c r="B279" s="118" t="s">
        <v>1359</v>
      </c>
      <c r="C279" s="118" t="s">
        <v>1359</v>
      </c>
      <c r="D279" s="146" t="s">
        <v>1417</v>
      </c>
      <c r="F279" s="115" t="s">
        <v>1361</v>
      </c>
      <c r="H279" s="187">
        <v>394148886</v>
      </c>
      <c r="I279" s="181" t="s">
        <v>923</v>
      </c>
    </row>
    <row r="280" spans="2:9" x14ac:dyDescent="0.25">
      <c r="B280" s="118" t="s">
        <v>1362</v>
      </c>
      <c r="C280" s="146" t="s">
        <v>1363</v>
      </c>
      <c r="D280" s="146" t="s">
        <v>1360</v>
      </c>
      <c r="F280" s="115" t="s">
        <v>1423</v>
      </c>
    </row>
    <row r="281" spans="2:9" x14ac:dyDescent="0.25">
      <c r="B281" s="118" t="s">
        <v>1364</v>
      </c>
      <c r="C281" s="118" t="s">
        <v>1364</v>
      </c>
      <c r="D281" s="146" t="s">
        <v>1360</v>
      </c>
      <c r="F281" s="115" t="s">
        <v>1365</v>
      </c>
      <c r="H281" s="187">
        <v>913264152</v>
      </c>
      <c r="I281" s="181" t="s">
        <v>923</v>
      </c>
    </row>
    <row r="282" spans="2:9" x14ac:dyDescent="0.25">
      <c r="B282" s="118" t="s">
        <v>1366</v>
      </c>
      <c r="C282" s="118" t="s">
        <v>1366</v>
      </c>
      <c r="D282" s="146" t="s">
        <v>1360</v>
      </c>
      <c r="F282" s="115" t="s">
        <v>1367</v>
      </c>
      <c r="H282" s="187">
        <v>817187599</v>
      </c>
      <c r="I282" s="181" t="s">
        <v>103</v>
      </c>
    </row>
    <row r="283" spans="2:9" ht="30" x14ac:dyDescent="0.25">
      <c r="B283" s="118" t="s">
        <v>9</v>
      </c>
      <c r="C283" s="146" t="s">
        <v>9</v>
      </c>
      <c r="D283" s="146" t="s">
        <v>842</v>
      </c>
      <c r="F283" s="118" t="s">
        <v>1375</v>
      </c>
      <c r="H283" s="187">
        <v>395898666</v>
      </c>
      <c r="I283" s="181" t="s">
        <v>822</v>
      </c>
    </row>
    <row r="284" spans="2:9" x14ac:dyDescent="0.25">
      <c r="B284" s="118" t="s">
        <v>1368</v>
      </c>
      <c r="C284" s="118" t="s">
        <v>1368</v>
      </c>
      <c r="D284" s="146" t="s">
        <v>1360</v>
      </c>
      <c r="F284" s="115" t="s">
        <v>1369</v>
      </c>
      <c r="H284" s="187">
        <v>916064558</v>
      </c>
      <c r="I284" s="181" t="s">
        <v>822</v>
      </c>
    </row>
    <row r="285" spans="2:9" x14ac:dyDescent="0.25">
      <c r="B285" s="118" t="s">
        <v>9</v>
      </c>
      <c r="C285" s="146" t="s">
        <v>9</v>
      </c>
      <c r="D285" s="146" t="s">
        <v>842</v>
      </c>
      <c r="F285" s="115" t="s">
        <v>1370</v>
      </c>
      <c r="H285" s="187">
        <v>904146924</v>
      </c>
      <c r="I285" s="181" t="s">
        <v>1371</v>
      </c>
    </row>
    <row r="286" spans="2:9" x14ac:dyDescent="0.25">
      <c r="B286" s="118" t="s">
        <v>9</v>
      </c>
      <c r="C286" s="146" t="s">
        <v>9</v>
      </c>
      <c r="D286" s="175" t="s">
        <v>1109</v>
      </c>
      <c r="F286" s="115" t="s">
        <v>1373</v>
      </c>
      <c r="H286" s="187">
        <v>902935186</v>
      </c>
      <c r="I286" s="181" t="s">
        <v>840</v>
      </c>
    </row>
    <row r="287" spans="2:9" x14ac:dyDescent="0.25">
      <c r="B287" s="118" t="s">
        <v>1377</v>
      </c>
      <c r="C287" s="118" t="s">
        <v>1377</v>
      </c>
      <c r="D287" s="175" t="s">
        <v>1109</v>
      </c>
      <c r="F287" s="115" t="s">
        <v>1378</v>
      </c>
      <c r="I287" s="181" t="s">
        <v>869</v>
      </c>
    </row>
    <row r="288" spans="2:9" x14ac:dyDescent="0.25">
      <c r="B288" s="118" t="s">
        <v>1379</v>
      </c>
      <c r="C288" s="118" t="s">
        <v>1379</v>
      </c>
      <c r="D288" s="175" t="s">
        <v>1109</v>
      </c>
      <c r="F288" s="115" t="s">
        <v>1380</v>
      </c>
      <c r="I288" s="181" t="s">
        <v>1381</v>
      </c>
    </row>
    <row r="289" spans="1:9" x14ac:dyDescent="0.25">
      <c r="B289" s="118" t="s">
        <v>1379</v>
      </c>
      <c r="C289" s="118" t="s">
        <v>1379</v>
      </c>
      <c r="D289" s="175" t="s">
        <v>1109</v>
      </c>
      <c r="F289" s="115" t="s">
        <v>1382</v>
      </c>
      <c r="I289" s="181" t="s">
        <v>1381</v>
      </c>
    </row>
    <row r="290" spans="1:9" x14ac:dyDescent="0.25">
      <c r="B290" s="118" t="s">
        <v>1379</v>
      </c>
      <c r="C290" s="118" t="s">
        <v>1379</v>
      </c>
      <c r="D290" s="175" t="s">
        <v>1109</v>
      </c>
      <c r="F290" s="115" t="s">
        <v>1383</v>
      </c>
      <c r="I290" s="181" t="s">
        <v>1381</v>
      </c>
    </row>
    <row r="291" spans="1:9" x14ac:dyDescent="0.25">
      <c r="B291" s="118" t="s">
        <v>1379</v>
      </c>
      <c r="C291" s="118" t="s">
        <v>1379</v>
      </c>
      <c r="D291" s="175" t="s">
        <v>1109</v>
      </c>
      <c r="F291" s="115" t="s">
        <v>1384</v>
      </c>
      <c r="I291" s="181" t="s">
        <v>1381</v>
      </c>
    </row>
    <row r="292" spans="1:9" x14ac:dyDescent="0.25">
      <c r="B292" s="118" t="s">
        <v>1385</v>
      </c>
      <c r="C292" s="118" t="s">
        <v>1385</v>
      </c>
      <c r="D292" s="175" t="s">
        <v>1109</v>
      </c>
      <c r="F292" s="115" t="s">
        <v>1386</v>
      </c>
      <c r="I292" s="181" t="s">
        <v>869</v>
      </c>
    </row>
    <row r="293" spans="1:9" x14ac:dyDescent="0.25">
      <c r="B293" s="118" t="s">
        <v>1385</v>
      </c>
      <c r="C293" s="118" t="s">
        <v>1385</v>
      </c>
      <c r="D293" s="175" t="s">
        <v>1109</v>
      </c>
      <c r="F293" s="115" t="s">
        <v>1387</v>
      </c>
      <c r="I293" s="181" t="s">
        <v>869</v>
      </c>
    </row>
    <row r="294" spans="1:9" ht="30" x14ac:dyDescent="0.25">
      <c r="B294" s="118" t="s">
        <v>1388</v>
      </c>
      <c r="C294" s="118" t="s">
        <v>1388</v>
      </c>
      <c r="D294" s="175" t="s">
        <v>1109</v>
      </c>
      <c r="F294" s="115" t="s">
        <v>1389</v>
      </c>
      <c r="I294" s="181" t="s">
        <v>869</v>
      </c>
    </row>
    <row r="295" spans="1:9" x14ac:dyDescent="0.25">
      <c r="B295" s="118" t="s">
        <v>1163</v>
      </c>
      <c r="C295" s="118" t="s">
        <v>1163</v>
      </c>
      <c r="D295" s="175" t="s">
        <v>1109</v>
      </c>
      <c r="F295" s="115" t="s">
        <v>1390</v>
      </c>
      <c r="I295" s="181" t="s">
        <v>869</v>
      </c>
    </row>
    <row r="296" spans="1:9" x14ac:dyDescent="0.25">
      <c r="B296" s="118" t="s">
        <v>1391</v>
      </c>
      <c r="C296" s="118" t="s">
        <v>1391</v>
      </c>
      <c r="D296" s="175" t="s">
        <v>1109</v>
      </c>
      <c r="F296" s="115" t="s">
        <v>1392</v>
      </c>
      <c r="I296" s="181" t="s">
        <v>869</v>
      </c>
    </row>
    <row r="297" spans="1:9" x14ac:dyDescent="0.25">
      <c r="B297" s="118" t="s">
        <v>1394</v>
      </c>
      <c r="C297" s="118" t="s">
        <v>1394</v>
      </c>
      <c r="D297" s="175" t="s">
        <v>1109</v>
      </c>
      <c r="F297" s="118" t="s">
        <v>1393</v>
      </c>
      <c r="I297" s="181" t="s">
        <v>869</v>
      </c>
    </row>
    <row r="298" spans="1:9" x14ac:dyDescent="0.25">
      <c r="B298" s="118" t="s">
        <v>1394</v>
      </c>
      <c r="C298" s="118" t="s">
        <v>1394</v>
      </c>
      <c r="D298" s="175" t="s">
        <v>1109</v>
      </c>
      <c r="F298" s="118" t="s">
        <v>1393</v>
      </c>
      <c r="I298" s="181" t="s">
        <v>869</v>
      </c>
    </row>
    <row r="299" spans="1:9" x14ac:dyDescent="0.2">
      <c r="B299" s="170" t="s">
        <v>1395</v>
      </c>
      <c r="C299" s="170" t="s">
        <v>1395</v>
      </c>
      <c r="D299" s="175" t="s">
        <v>1109</v>
      </c>
      <c r="F299" s="170" t="s">
        <v>1396</v>
      </c>
      <c r="H299" s="189">
        <v>977802051</v>
      </c>
      <c r="I299" s="181" t="s">
        <v>103</v>
      </c>
    </row>
    <row r="300" spans="1:9" x14ac:dyDescent="0.2">
      <c r="A300" s="115" t="s">
        <v>1405</v>
      </c>
      <c r="B300" s="178" t="s">
        <v>1429</v>
      </c>
      <c r="C300" s="170" t="s">
        <v>1428</v>
      </c>
      <c r="D300" s="146" t="s">
        <v>1435</v>
      </c>
      <c r="F300" s="170" t="s">
        <v>1431</v>
      </c>
      <c r="H300" s="210">
        <v>983295698</v>
      </c>
      <c r="I300" s="181" t="s">
        <v>103</v>
      </c>
    </row>
    <row r="301" spans="1:9" x14ac:dyDescent="0.2">
      <c r="A301" s="115" t="s">
        <v>1405</v>
      </c>
      <c r="B301" s="205" t="s">
        <v>1430</v>
      </c>
      <c r="C301" s="170" t="s">
        <v>1428</v>
      </c>
      <c r="F301" s="170" t="s">
        <v>1397</v>
      </c>
      <c r="H301" s="210">
        <v>919241988</v>
      </c>
      <c r="I301" s="181" t="s">
        <v>103</v>
      </c>
    </row>
    <row r="302" spans="1:9" x14ac:dyDescent="0.2">
      <c r="A302" s="115" t="s">
        <v>1405</v>
      </c>
      <c r="B302" s="170" t="s">
        <v>1399</v>
      </c>
      <c r="C302" s="170" t="s">
        <v>1399</v>
      </c>
      <c r="H302" s="187">
        <v>84904205388</v>
      </c>
      <c r="I302" s="181" t="s">
        <v>873</v>
      </c>
    </row>
    <row r="303" spans="1:9" x14ac:dyDescent="0.2">
      <c r="A303" s="115" t="s">
        <v>1405</v>
      </c>
      <c r="B303" s="170" t="s">
        <v>1400</v>
      </c>
      <c r="C303" s="170" t="s">
        <v>1400</v>
      </c>
      <c r="D303" s="170" t="s">
        <v>1433</v>
      </c>
      <c r="F303" s="170" t="s">
        <v>1401</v>
      </c>
      <c r="H303" s="187">
        <v>395846888</v>
      </c>
      <c r="I303" s="181" t="s">
        <v>103</v>
      </c>
    </row>
    <row r="304" spans="1:9" x14ac:dyDescent="0.2">
      <c r="A304" s="115" t="s">
        <v>1405</v>
      </c>
      <c r="B304" s="170" t="s">
        <v>1402</v>
      </c>
      <c r="C304" s="170" t="s">
        <v>1402</v>
      </c>
      <c r="D304" s="170" t="s">
        <v>1404</v>
      </c>
      <c r="F304" s="170" t="s">
        <v>1403</v>
      </c>
      <c r="H304" s="189">
        <v>904170669</v>
      </c>
      <c r="I304" s="181" t="s">
        <v>923</v>
      </c>
    </row>
    <row r="305" spans="1:9" x14ac:dyDescent="0.2">
      <c r="A305" s="115" t="s">
        <v>1405</v>
      </c>
      <c r="B305" s="170" t="s">
        <v>1406</v>
      </c>
      <c r="C305" s="170" t="s">
        <v>1406</v>
      </c>
      <c r="D305" s="170" t="s">
        <v>1432</v>
      </c>
      <c r="F305" s="170" t="s">
        <v>1407</v>
      </c>
      <c r="H305" s="202" t="s">
        <v>1409</v>
      </c>
      <c r="I305" s="181" t="s">
        <v>1408</v>
      </c>
    </row>
    <row r="306" spans="1:9" x14ac:dyDescent="0.2">
      <c r="A306" s="115" t="s">
        <v>1405</v>
      </c>
      <c r="B306" s="170" t="s">
        <v>1411</v>
      </c>
      <c r="C306" s="170" t="s">
        <v>1411</v>
      </c>
      <c r="D306" s="170" t="s">
        <v>1414</v>
      </c>
      <c r="F306" s="170" t="s">
        <v>1412</v>
      </c>
      <c r="H306" s="187">
        <v>936343139</v>
      </c>
      <c r="I306" s="170" t="s">
        <v>1413</v>
      </c>
    </row>
    <row r="307" spans="1:9" x14ac:dyDescent="0.25">
      <c r="B307" s="118" t="s">
        <v>1293</v>
      </c>
      <c r="C307" s="118" t="s">
        <v>1293</v>
      </c>
      <c r="D307" s="146" t="s">
        <v>842</v>
      </c>
      <c r="F307" s="115" t="s">
        <v>1416</v>
      </c>
      <c r="I307" s="181" t="s">
        <v>869</v>
      </c>
    </row>
    <row r="308" spans="1:9" x14ac:dyDescent="0.25">
      <c r="B308" s="118" t="s">
        <v>1293</v>
      </c>
      <c r="C308" s="118" t="s">
        <v>1293</v>
      </c>
      <c r="D308" s="146" t="s">
        <v>842</v>
      </c>
      <c r="F308" s="115" t="s">
        <v>1415</v>
      </c>
    </row>
    <row r="309" spans="1:9" x14ac:dyDescent="0.2">
      <c r="B309" s="170" t="s">
        <v>1418</v>
      </c>
      <c r="C309" s="170" t="s">
        <v>1418</v>
      </c>
      <c r="D309" s="170" t="s">
        <v>1420</v>
      </c>
      <c r="F309" s="170" t="s">
        <v>1419</v>
      </c>
      <c r="H309" s="187">
        <v>915056865</v>
      </c>
    </row>
    <row r="310" spans="1:9" x14ac:dyDescent="0.25">
      <c r="B310" s="118" t="s">
        <v>1421</v>
      </c>
      <c r="C310" s="146" t="s">
        <v>1426</v>
      </c>
      <c r="D310" s="146" t="s">
        <v>842</v>
      </c>
      <c r="F310" s="115" t="s">
        <v>1427</v>
      </c>
      <c r="H310" s="187">
        <v>903427228</v>
      </c>
      <c r="I310" s="181" t="s">
        <v>103</v>
      </c>
    </row>
    <row r="311" spans="1:9" x14ac:dyDescent="0.25">
      <c r="B311" s="118" t="s">
        <v>1421</v>
      </c>
      <c r="C311" s="146" t="s">
        <v>1426</v>
      </c>
      <c r="D311" s="146" t="s">
        <v>842</v>
      </c>
      <c r="F311" s="115" t="s">
        <v>1427</v>
      </c>
      <c r="I311" s="181" t="s">
        <v>103</v>
      </c>
    </row>
  </sheetData>
  <phoneticPr fontId="31" type="noConversion"/>
  <conditionalFormatting sqref="G1 G3:G56 G64:G1048576">
    <cfRule type="duplicateValues" dxfId="3" priority="5"/>
  </conditionalFormatting>
  <conditionalFormatting sqref="H57:H63">
    <cfRule type="duplicateValues" dxfId="2" priority="3"/>
  </conditionalFormatting>
  <conditionalFormatting sqref="H164">
    <cfRule type="duplicateValues" dxfId="1" priority="2"/>
  </conditionalFormatting>
  <conditionalFormatting sqref="H284">
    <cfRule type="duplicateValues" dxfId="0" priority="1"/>
  </conditionalFormatting>
  <pageMargins left="0.2" right="0.2" top="0.2" bottom="0.2" header="0.2" footer="0.3"/>
  <pageSetup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9"/>
  <sheetViews>
    <sheetView tabSelected="1" workbookViewId="0">
      <pane ySplit="3" topLeftCell="A4" activePane="bottomLeft" state="frozen"/>
      <selection pane="bottomLeft" activeCell="M22" sqref="M22"/>
    </sheetView>
  </sheetViews>
  <sheetFormatPr defaultColWidth="14.42578125" defaultRowHeight="15" customHeight="1" x14ac:dyDescent="0.25"/>
  <cols>
    <col min="1" max="1" width="5.7109375" style="219" customWidth="1"/>
    <col min="2" max="2" width="22.85546875" style="220" customWidth="1"/>
    <col min="3" max="3" width="14.5703125" style="220" customWidth="1"/>
    <col min="4" max="4" width="10.85546875" style="219" customWidth="1"/>
    <col min="5" max="6" width="16.7109375" style="252" customWidth="1"/>
    <col min="7" max="16" width="14.42578125" style="248" customWidth="1"/>
    <col min="17" max="16384" width="14.42578125" style="219"/>
  </cols>
  <sheetData>
    <row r="1" spans="1:20" ht="15" customHeight="1" x14ac:dyDescent="0.25">
      <c r="A1" s="278" t="s">
        <v>1481</v>
      </c>
      <c r="B1" s="278"/>
      <c r="C1" s="278"/>
      <c r="D1" s="278"/>
      <c r="J1" s="248">
        <f>I5/8</f>
        <v>0</v>
      </c>
    </row>
    <row r="2" spans="1:20" ht="35.25" customHeight="1" x14ac:dyDescent="0.25">
      <c r="A2" s="279"/>
      <c r="B2" s="279"/>
      <c r="C2" s="279"/>
      <c r="D2" s="279"/>
      <c r="S2" s="245" t="s">
        <v>1474</v>
      </c>
      <c r="T2" s="251">
        <v>1592834000</v>
      </c>
    </row>
    <row r="3" spans="1:20" ht="35.25" customHeight="1" x14ac:dyDescent="0.25">
      <c r="A3" s="283"/>
      <c r="B3" s="284"/>
      <c r="C3" s="284"/>
      <c r="D3" s="285"/>
      <c r="E3" s="249" t="s">
        <v>399</v>
      </c>
      <c r="F3" s="249" t="s">
        <v>1443</v>
      </c>
      <c r="G3" s="249" t="s">
        <v>400</v>
      </c>
      <c r="H3" s="249" t="s">
        <v>401</v>
      </c>
      <c r="I3" s="249" t="s">
        <v>402</v>
      </c>
      <c r="J3" s="249" t="s">
        <v>403</v>
      </c>
      <c r="K3" s="249" t="s">
        <v>1446</v>
      </c>
      <c r="L3" s="249" t="s">
        <v>1447</v>
      </c>
      <c r="M3" s="249" t="s">
        <v>1448</v>
      </c>
      <c r="N3" s="249" t="s">
        <v>1449</v>
      </c>
      <c r="O3" s="249" t="s">
        <v>1450</v>
      </c>
      <c r="P3" s="249" t="s">
        <v>1451</v>
      </c>
      <c r="Q3" s="241" t="s">
        <v>1476</v>
      </c>
      <c r="R3" s="244" t="s">
        <v>1475</v>
      </c>
      <c r="S3" s="245" t="s">
        <v>1480</v>
      </c>
      <c r="T3" s="251">
        <v>202</v>
      </c>
    </row>
    <row r="4" spans="1:20" s="240" customFormat="1" ht="35.25" customHeight="1" x14ac:dyDescent="0.25">
      <c r="A4" s="239"/>
      <c r="B4" s="286" t="s">
        <v>1473</v>
      </c>
      <c r="C4" s="287"/>
      <c r="D4" s="288"/>
      <c r="E4" s="253">
        <v>143114842</v>
      </c>
      <c r="F4" s="253">
        <v>140924159</v>
      </c>
      <c r="G4" s="250">
        <v>208965386</v>
      </c>
      <c r="H4" s="250">
        <v>282565076</v>
      </c>
      <c r="I4" s="250">
        <v>261084298</v>
      </c>
      <c r="J4" s="250"/>
      <c r="K4" s="250"/>
      <c r="L4" s="250"/>
      <c r="M4" s="250"/>
      <c r="N4" s="250"/>
      <c r="O4" s="250"/>
      <c r="P4" s="250"/>
      <c r="Q4" s="253">
        <f>SUM(E4:P4)</f>
        <v>1036653761</v>
      </c>
      <c r="R4" s="242"/>
      <c r="S4" s="245" t="s">
        <v>1469</v>
      </c>
      <c r="T4" s="251">
        <f>T2/T3</f>
        <v>7885316.8316831682</v>
      </c>
    </row>
    <row r="5" spans="1:20" ht="35.25" customHeight="1" x14ac:dyDescent="0.25">
      <c r="A5" s="235"/>
      <c r="B5" s="280" t="s">
        <v>1477</v>
      </c>
      <c r="C5" s="281"/>
      <c r="D5" s="282"/>
      <c r="E5" s="254">
        <v>0</v>
      </c>
      <c r="F5" s="254"/>
      <c r="G5" s="251">
        <v>0</v>
      </c>
      <c r="H5" s="251">
        <v>0</v>
      </c>
      <c r="I5" s="251">
        <v>0</v>
      </c>
      <c r="J5" s="251">
        <v>0</v>
      </c>
      <c r="K5" s="251">
        <v>0</v>
      </c>
      <c r="L5" s="251">
        <v>0</v>
      </c>
      <c r="M5" s="251">
        <v>0</v>
      </c>
      <c r="N5" s="251">
        <v>0</v>
      </c>
      <c r="O5" s="251">
        <v>0</v>
      </c>
      <c r="P5" s="251">
        <v>0</v>
      </c>
      <c r="Q5" s="253">
        <f t="shared" ref="Q5:Q68" si="0">SUM(E5:P5)</f>
        <v>0</v>
      </c>
      <c r="R5" s="243"/>
    </row>
    <row r="6" spans="1:20" ht="35.25" customHeight="1" x14ac:dyDescent="0.25">
      <c r="A6" s="235"/>
      <c r="B6" s="280" t="s">
        <v>1453</v>
      </c>
      <c r="C6" s="281"/>
      <c r="D6" s="282"/>
      <c r="E6" s="254">
        <v>3319424</v>
      </c>
      <c r="F6" s="254">
        <v>2450199</v>
      </c>
      <c r="G6" s="251"/>
      <c r="H6" s="251">
        <v>21428428</v>
      </c>
      <c r="I6" s="251">
        <v>4664531</v>
      </c>
      <c r="J6" s="251"/>
      <c r="K6" s="251"/>
      <c r="L6" s="251"/>
      <c r="M6" s="251"/>
      <c r="N6" s="251"/>
      <c r="O6" s="251"/>
      <c r="P6" s="251"/>
      <c r="Q6" s="253">
        <f t="shared" si="0"/>
        <v>31862582</v>
      </c>
      <c r="R6" s="243"/>
    </row>
    <row r="7" spans="1:20" ht="35.25" customHeight="1" x14ac:dyDescent="0.25">
      <c r="A7" s="235"/>
      <c r="B7" s="280" t="s">
        <v>1454</v>
      </c>
      <c r="C7" s="281"/>
      <c r="D7" s="282"/>
      <c r="E7" s="254"/>
      <c r="F7" s="254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3">
        <f t="shared" si="0"/>
        <v>0</v>
      </c>
      <c r="R7" s="243"/>
    </row>
    <row r="8" spans="1:20" ht="35.25" customHeight="1" x14ac:dyDescent="0.25">
      <c r="A8" s="235"/>
      <c r="B8" s="280" t="s">
        <v>13</v>
      </c>
      <c r="C8" s="281"/>
      <c r="D8" s="282"/>
      <c r="E8" s="254">
        <v>3650984</v>
      </c>
      <c r="F8" s="254">
        <v>1165386</v>
      </c>
      <c r="G8" s="251"/>
      <c r="H8" s="251">
        <v>2839647</v>
      </c>
      <c r="I8" s="251">
        <v>28198416</v>
      </c>
      <c r="J8" s="251"/>
      <c r="K8" s="251"/>
      <c r="L8" s="251"/>
      <c r="M8" s="251"/>
      <c r="N8" s="251"/>
      <c r="O8" s="251"/>
      <c r="P8" s="251"/>
      <c r="Q8" s="253">
        <f t="shared" si="0"/>
        <v>35854433</v>
      </c>
      <c r="R8" s="243"/>
    </row>
    <row r="9" spans="1:20" ht="35.25" customHeight="1" x14ac:dyDescent="0.25">
      <c r="A9" s="235"/>
      <c r="B9" s="280" t="s">
        <v>14</v>
      </c>
      <c r="C9" s="281"/>
      <c r="D9" s="282"/>
      <c r="E9" s="254">
        <v>19234682</v>
      </c>
      <c r="F9" s="254">
        <v>19816457</v>
      </c>
      <c r="G9" s="251"/>
      <c r="H9" s="251">
        <v>12697969</v>
      </c>
      <c r="I9" s="251">
        <v>21492242</v>
      </c>
      <c r="J9" s="251"/>
      <c r="K9" s="251"/>
      <c r="L9" s="251"/>
      <c r="M9" s="251"/>
      <c r="N9" s="251"/>
      <c r="O9" s="251"/>
      <c r="P9" s="251"/>
      <c r="Q9" s="253">
        <f t="shared" si="0"/>
        <v>73241350</v>
      </c>
      <c r="R9" s="243"/>
    </row>
    <row r="10" spans="1:20" ht="35.25" customHeight="1" x14ac:dyDescent="0.25">
      <c r="A10" s="235"/>
      <c r="B10" s="280" t="s">
        <v>15</v>
      </c>
      <c r="C10" s="281"/>
      <c r="D10" s="282"/>
      <c r="E10" s="254">
        <v>2749436</v>
      </c>
      <c r="F10" s="254">
        <v>410105</v>
      </c>
      <c r="G10" s="251"/>
      <c r="H10" s="251">
        <v>24797430</v>
      </c>
      <c r="I10" s="251">
        <v>33581040</v>
      </c>
      <c r="J10" s="251"/>
      <c r="K10" s="251"/>
      <c r="L10" s="251"/>
      <c r="M10" s="251"/>
      <c r="N10" s="251"/>
      <c r="O10" s="251"/>
      <c r="P10" s="251"/>
      <c r="Q10" s="253">
        <f t="shared" si="0"/>
        <v>61538011</v>
      </c>
      <c r="R10" s="243"/>
    </row>
    <row r="11" spans="1:20" ht="35.25" customHeight="1" x14ac:dyDescent="0.25">
      <c r="A11" s="235"/>
      <c r="B11" s="280" t="s">
        <v>1455</v>
      </c>
      <c r="C11" s="281"/>
      <c r="D11" s="282"/>
      <c r="E11" s="254">
        <v>0</v>
      </c>
      <c r="F11" s="254">
        <v>820210</v>
      </c>
      <c r="G11" s="251"/>
      <c r="H11" s="251">
        <v>410105</v>
      </c>
      <c r="I11" s="251">
        <v>17009611</v>
      </c>
      <c r="J11" s="251"/>
      <c r="K11" s="251"/>
      <c r="L11" s="251"/>
      <c r="M11" s="251"/>
      <c r="N11" s="251"/>
      <c r="O11" s="251"/>
      <c r="P11" s="251"/>
      <c r="Q11" s="253">
        <f t="shared" si="0"/>
        <v>18239926</v>
      </c>
      <c r="R11" s="243"/>
    </row>
    <row r="12" spans="1:20" ht="35.25" customHeight="1" x14ac:dyDescent="0.25">
      <c r="A12" s="235"/>
      <c r="B12" s="280" t="s">
        <v>102</v>
      </c>
      <c r="C12" s="281"/>
      <c r="D12" s="282"/>
      <c r="E12" s="254">
        <v>11036554</v>
      </c>
      <c r="F12" s="254">
        <v>116261802</v>
      </c>
      <c r="G12" s="251">
        <v>177762059</v>
      </c>
      <c r="H12" s="251">
        <v>134315597</v>
      </c>
      <c r="I12" s="251">
        <v>100928636</v>
      </c>
      <c r="J12" s="251"/>
      <c r="K12" s="251"/>
      <c r="L12" s="251"/>
      <c r="M12" s="251"/>
      <c r="N12" s="251"/>
      <c r="O12" s="251"/>
      <c r="P12" s="251"/>
      <c r="Q12" s="253">
        <f t="shared" si="0"/>
        <v>540304648</v>
      </c>
      <c r="R12" s="243"/>
    </row>
    <row r="13" spans="1:20" s="220" customFormat="1" ht="35.25" customHeight="1" x14ac:dyDescent="0.25">
      <c r="A13" s="256" t="s">
        <v>398</v>
      </c>
      <c r="B13" s="238" t="s">
        <v>1456</v>
      </c>
      <c r="C13" s="238" t="s">
        <v>1470</v>
      </c>
      <c r="D13" s="257" t="s">
        <v>1457</v>
      </c>
      <c r="E13" s="258">
        <v>103123762</v>
      </c>
      <c r="F13" s="258"/>
      <c r="G13" s="259">
        <v>31203327</v>
      </c>
      <c r="H13" s="259">
        <v>86075900</v>
      </c>
      <c r="I13" s="259">
        <v>55209822</v>
      </c>
      <c r="J13" s="259">
        <v>0</v>
      </c>
      <c r="K13" s="259">
        <v>0</v>
      </c>
      <c r="L13" s="259">
        <v>0</v>
      </c>
      <c r="M13" s="259">
        <v>0</v>
      </c>
      <c r="N13" s="259">
        <v>0</v>
      </c>
      <c r="O13" s="259">
        <v>0</v>
      </c>
      <c r="P13" s="259">
        <v>0</v>
      </c>
      <c r="Q13" s="260">
        <f t="shared" si="0"/>
        <v>275612811</v>
      </c>
      <c r="R13" s="261"/>
    </row>
    <row r="14" spans="1:20" ht="24.95" customHeight="1" x14ac:dyDescent="0.25">
      <c r="A14" s="236">
        <v>1</v>
      </c>
      <c r="B14" s="225" t="s">
        <v>185</v>
      </c>
      <c r="C14" s="234" t="s">
        <v>186</v>
      </c>
      <c r="D14" s="237" t="s">
        <v>187</v>
      </c>
      <c r="E14" s="260"/>
      <c r="F14" s="260"/>
      <c r="G14" s="262">
        <v>14838984</v>
      </c>
      <c r="H14" s="262"/>
      <c r="I14" s="262"/>
      <c r="J14" s="262"/>
      <c r="K14" s="262"/>
      <c r="L14" s="262"/>
      <c r="M14" s="262"/>
      <c r="N14" s="262"/>
      <c r="O14" s="262"/>
      <c r="P14" s="262"/>
      <c r="Q14" s="253">
        <f t="shared" si="0"/>
        <v>14838984</v>
      </c>
      <c r="R14" s="266">
        <f>Q14/$T$4*100</f>
        <v>188.18500659830215</v>
      </c>
    </row>
    <row r="15" spans="1:20" ht="24.95" customHeight="1" x14ac:dyDescent="0.25">
      <c r="A15" s="221">
        <v>2</v>
      </c>
      <c r="B15" s="222" t="s">
        <v>1471</v>
      </c>
      <c r="C15" s="223" t="s">
        <v>188</v>
      </c>
      <c r="D15" s="224" t="s">
        <v>187</v>
      </c>
      <c r="E15" s="260"/>
      <c r="F15" s="260"/>
      <c r="G15" s="262"/>
      <c r="H15" s="262">
        <v>3878231</v>
      </c>
      <c r="I15" s="262"/>
      <c r="J15" s="262"/>
      <c r="K15" s="262"/>
      <c r="L15" s="262"/>
      <c r="M15" s="262"/>
      <c r="N15" s="262"/>
      <c r="O15" s="262"/>
      <c r="P15" s="262"/>
      <c r="Q15" s="253">
        <f t="shared" si="0"/>
        <v>3878231</v>
      </c>
      <c r="R15" s="255">
        <f t="shared" ref="R15:R78" si="1">Q15/$T$4*100</f>
        <v>49.182944487623949</v>
      </c>
    </row>
    <row r="16" spans="1:20" ht="24.95" customHeight="1" x14ac:dyDescent="0.25">
      <c r="A16" s="221">
        <v>3</v>
      </c>
      <c r="B16" s="222" t="s">
        <v>33</v>
      </c>
      <c r="C16" s="223" t="s">
        <v>188</v>
      </c>
      <c r="D16" s="224" t="s">
        <v>187</v>
      </c>
      <c r="E16" s="260">
        <v>10900677</v>
      </c>
      <c r="F16" s="260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53">
        <f t="shared" si="0"/>
        <v>10900677</v>
      </c>
      <c r="R16" s="266">
        <f t="shared" si="1"/>
        <v>138.2401903776539</v>
      </c>
    </row>
    <row r="17" spans="1:18" ht="24.95" customHeight="1" x14ac:dyDescent="0.25">
      <c r="A17" s="221">
        <v>4</v>
      </c>
      <c r="B17" s="222" t="s">
        <v>189</v>
      </c>
      <c r="C17" s="223" t="s">
        <v>188</v>
      </c>
      <c r="D17" s="224" t="s">
        <v>187</v>
      </c>
      <c r="E17" s="260">
        <v>820576</v>
      </c>
      <c r="F17" s="260"/>
      <c r="G17" s="262"/>
      <c r="H17" s="262">
        <v>2553521</v>
      </c>
      <c r="I17" s="262"/>
      <c r="J17" s="262"/>
      <c r="K17" s="262"/>
      <c r="L17" s="262"/>
      <c r="M17" s="262"/>
      <c r="N17" s="262"/>
      <c r="O17" s="262"/>
      <c r="P17" s="262"/>
      <c r="Q17" s="253">
        <f t="shared" si="0"/>
        <v>3374097</v>
      </c>
      <c r="R17" s="255">
        <f t="shared" si="1"/>
        <v>42.789618629436589</v>
      </c>
    </row>
    <row r="18" spans="1:18" ht="24.95" customHeight="1" x14ac:dyDescent="0.25">
      <c r="A18" s="221">
        <v>5</v>
      </c>
      <c r="B18" s="225" t="s">
        <v>1442</v>
      </c>
      <c r="C18" s="234" t="s">
        <v>190</v>
      </c>
      <c r="D18" s="237" t="s">
        <v>187</v>
      </c>
      <c r="E18" s="260">
        <v>1334387</v>
      </c>
      <c r="F18" s="260">
        <v>1000000</v>
      </c>
      <c r="G18" s="262">
        <v>1352500</v>
      </c>
      <c r="H18" s="262"/>
      <c r="I18" s="262"/>
      <c r="J18" s="262"/>
      <c r="K18" s="262"/>
      <c r="L18" s="262"/>
      <c r="M18" s="262"/>
      <c r="N18" s="262"/>
      <c r="O18" s="262"/>
      <c r="P18" s="262"/>
      <c r="Q18" s="253">
        <f t="shared" si="0"/>
        <v>3686887</v>
      </c>
      <c r="R18" s="255">
        <f t="shared" si="1"/>
        <v>46.756358415252315</v>
      </c>
    </row>
    <row r="19" spans="1:18" ht="24.95" customHeight="1" x14ac:dyDescent="0.25">
      <c r="A19" s="221">
        <v>6</v>
      </c>
      <c r="B19" s="222" t="s">
        <v>191</v>
      </c>
      <c r="C19" s="223" t="s">
        <v>193</v>
      </c>
      <c r="D19" s="224" t="s">
        <v>187</v>
      </c>
      <c r="E19" s="260">
        <v>863000</v>
      </c>
      <c r="F19" s="260">
        <v>2024192</v>
      </c>
      <c r="G19" s="262"/>
      <c r="H19" s="262">
        <v>375600</v>
      </c>
      <c r="I19" s="262"/>
      <c r="J19" s="262"/>
      <c r="K19" s="262"/>
      <c r="L19" s="262"/>
      <c r="M19" s="262"/>
      <c r="N19" s="262"/>
      <c r="O19" s="262"/>
      <c r="P19" s="262"/>
      <c r="Q19" s="253">
        <f t="shared" si="0"/>
        <v>3262792</v>
      </c>
      <c r="R19" s="255">
        <f t="shared" si="1"/>
        <v>41.378071035650919</v>
      </c>
    </row>
    <row r="20" spans="1:18" ht="24.95" customHeight="1" x14ac:dyDescent="0.25">
      <c r="A20" s="221">
        <v>7</v>
      </c>
      <c r="B20" s="222" t="s">
        <v>192</v>
      </c>
      <c r="C20" s="223" t="s">
        <v>193</v>
      </c>
      <c r="D20" s="224" t="s">
        <v>187</v>
      </c>
      <c r="E20" s="260"/>
      <c r="F20" s="260">
        <v>1000000</v>
      </c>
      <c r="G20" s="262"/>
      <c r="H20" s="262">
        <v>1778104</v>
      </c>
      <c r="I20" s="262">
        <v>1126800</v>
      </c>
      <c r="J20" s="262"/>
      <c r="K20" s="262"/>
      <c r="L20" s="262"/>
      <c r="M20" s="262"/>
      <c r="N20" s="262"/>
      <c r="O20" s="262"/>
      <c r="P20" s="262"/>
      <c r="Q20" s="253">
        <f t="shared" si="0"/>
        <v>3904904</v>
      </c>
      <c r="R20" s="255">
        <f t="shared" si="1"/>
        <v>49.521206101828561</v>
      </c>
    </row>
    <row r="21" spans="1:18" ht="24.95" customHeight="1" x14ac:dyDescent="0.25">
      <c r="A21" s="221">
        <v>8</v>
      </c>
      <c r="B21" s="222" t="s">
        <v>1452</v>
      </c>
      <c r="C21" s="223" t="s">
        <v>193</v>
      </c>
      <c r="D21" s="224" t="s">
        <v>187</v>
      </c>
      <c r="E21" s="260">
        <v>870137</v>
      </c>
      <c r="F21" s="260">
        <v>3472903</v>
      </c>
      <c r="G21" s="262"/>
      <c r="H21" s="262"/>
      <c r="I21" s="262"/>
      <c r="J21" s="262"/>
      <c r="K21" s="262"/>
      <c r="L21" s="262"/>
      <c r="M21" s="262"/>
      <c r="N21" s="262"/>
      <c r="O21" s="262"/>
      <c r="P21" s="262"/>
      <c r="Q21" s="253">
        <f t="shared" si="0"/>
        <v>4343040</v>
      </c>
      <c r="R21" s="255">
        <f t="shared" si="1"/>
        <v>55.077558615649849</v>
      </c>
    </row>
    <row r="22" spans="1:18" ht="24.95" customHeight="1" x14ac:dyDescent="0.25">
      <c r="A22" s="221">
        <v>9</v>
      </c>
      <c r="B22" s="222" t="s">
        <v>77</v>
      </c>
      <c r="C22" s="223" t="s">
        <v>193</v>
      </c>
      <c r="D22" s="224" t="s">
        <v>187</v>
      </c>
      <c r="E22" s="260">
        <v>870137</v>
      </c>
      <c r="F22" s="260">
        <v>1000000</v>
      </c>
      <c r="G22" s="262"/>
      <c r="H22" s="262">
        <v>357600</v>
      </c>
      <c r="I22" s="262">
        <v>357600</v>
      </c>
      <c r="J22" s="262"/>
      <c r="K22" s="262"/>
      <c r="L22" s="262"/>
      <c r="M22" s="262"/>
      <c r="N22" s="262"/>
      <c r="O22" s="262"/>
      <c r="P22" s="262"/>
      <c r="Q22" s="253">
        <f t="shared" si="0"/>
        <v>2585337</v>
      </c>
      <c r="R22" s="255">
        <f t="shared" si="1"/>
        <v>32.786723161358935</v>
      </c>
    </row>
    <row r="23" spans="1:18" ht="24.95" customHeight="1" x14ac:dyDescent="0.25">
      <c r="A23" s="221">
        <v>10</v>
      </c>
      <c r="B23" s="222" t="s">
        <v>198</v>
      </c>
      <c r="C23" s="223" t="s">
        <v>193</v>
      </c>
      <c r="D23" s="224" t="s">
        <v>187</v>
      </c>
      <c r="E23" s="260">
        <v>870137</v>
      </c>
      <c r="F23" s="260">
        <v>1000000</v>
      </c>
      <c r="G23" s="262"/>
      <c r="H23" s="262">
        <v>354246</v>
      </c>
      <c r="I23" s="262"/>
      <c r="J23" s="262"/>
      <c r="K23" s="262"/>
      <c r="L23" s="262"/>
      <c r="M23" s="262"/>
      <c r="N23" s="262"/>
      <c r="O23" s="262"/>
      <c r="P23" s="262"/>
      <c r="Q23" s="253">
        <f t="shared" si="0"/>
        <v>2224383</v>
      </c>
      <c r="R23" s="255">
        <f t="shared" si="1"/>
        <v>28.209177227507698</v>
      </c>
    </row>
    <row r="24" spans="1:18" ht="24.95" customHeight="1" x14ac:dyDescent="0.25">
      <c r="A24" s="221">
        <v>11</v>
      </c>
      <c r="B24" s="222" t="s">
        <v>1472</v>
      </c>
      <c r="C24" s="223" t="s">
        <v>193</v>
      </c>
      <c r="D24" s="224" t="s">
        <v>187</v>
      </c>
      <c r="E24" s="260"/>
      <c r="F24" s="260">
        <v>1000000</v>
      </c>
      <c r="G24" s="262"/>
      <c r="H24" s="262">
        <v>1126800</v>
      </c>
      <c r="I24" s="262"/>
      <c r="J24" s="262"/>
      <c r="K24" s="262"/>
      <c r="L24" s="262"/>
      <c r="M24" s="262"/>
      <c r="N24" s="262"/>
      <c r="O24" s="262"/>
      <c r="P24" s="262"/>
      <c r="Q24" s="253">
        <f t="shared" si="0"/>
        <v>2126800</v>
      </c>
      <c r="R24" s="255">
        <f t="shared" si="1"/>
        <v>26.971649274186767</v>
      </c>
    </row>
    <row r="25" spans="1:18" ht="24.95" customHeight="1" x14ac:dyDescent="0.25">
      <c r="A25" s="221">
        <v>12</v>
      </c>
      <c r="B25" s="222" t="s">
        <v>1445</v>
      </c>
      <c r="C25" s="223" t="s">
        <v>193</v>
      </c>
      <c r="D25" s="224" t="s">
        <v>187</v>
      </c>
      <c r="E25" s="260">
        <v>2349475</v>
      </c>
      <c r="F25" s="260">
        <v>1000000</v>
      </c>
      <c r="G25" s="262"/>
      <c r="H25" s="262">
        <v>807706</v>
      </c>
      <c r="I25" s="262"/>
      <c r="J25" s="262"/>
      <c r="K25" s="262"/>
      <c r="L25" s="262"/>
      <c r="M25" s="262"/>
      <c r="N25" s="262"/>
      <c r="O25" s="262"/>
      <c r="P25" s="262"/>
      <c r="Q25" s="253">
        <f t="shared" si="0"/>
        <v>4157181</v>
      </c>
      <c r="R25" s="255">
        <f t="shared" si="1"/>
        <v>52.7205322086294</v>
      </c>
    </row>
    <row r="26" spans="1:18" ht="24.95" customHeight="1" x14ac:dyDescent="0.25">
      <c r="A26" s="221">
        <v>13</v>
      </c>
      <c r="B26" s="222" t="s">
        <v>201</v>
      </c>
      <c r="C26" s="223" t="s">
        <v>193</v>
      </c>
      <c r="D26" s="224" t="s">
        <v>187</v>
      </c>
      <c r="E26" s="260">
        <v>3790067</v>
      </c>
      <c r="F26" s="260">
        <v>4733434</v>
      </c>
      <c r="G26" s="262"/>
      <c r="H26" s="262">
        <v>934034</v>
      </c>
      <c r="I26" s="262"/>
      <c r="J26" s="262"/>
      <c r="K26" s="262"/>
      <c r="L26" s="262"/>
      <c r="M26" s="262"/>
      <c r="N26" s="262"/>
      <c r="O26" s="262"/>
      <c r="P26" s="262"/>
      <c r="Q26" s="253">
        <f t="shared" si="0"/>
        <v>9457535</v>
      </c>
      <c r="R26" s="266">
        <f t="shared" si="1"/>
        <v>119.93855417450909</v>
      </c>
    </row>
    <row r="27" spans="1:18" ht="24.95" customHeight="1" x14ac:dyDescent="0.25">
      <c r="A27" s="221">
        <v>14</v>
      </c>
      <c r="B27" s="222" t="s">
        <v>1488</v>
      </c>
      <c r="C27" s="223" t="s">
        <v>193</v>
      </c>
      <c r="D27" s="224" t="s">
        <v>187</v>
      </c>
      <c r="E27" s="260"/>
      <c r="F27" s="260"/>
      <c r="G27" s="262"/>
      <c r="H27" s="262"/>
      <c r="I27" s="262">
        <v>531369</v>
      </c>
      <c r="J27" s="262"/>
      <c r="K27" s="262"/>
      <c r="L27" s="262"/>
      <c r="M27" s="262"/>
      <c r="N27" s="262"/>
      <c r="O27" s="262"/>
      <c r="P27" s="262"/>
      <c r="Q27" s="253">
        <f t="shared" si="0"/>
        <v>531369</v>
      </c>
      <c r="R27" s="255">
        <f t="shared" si="1"/>
        <v>6.7387146432082696</v>
      </c>
    </row>
    <row r="28" spans="1:18" ht="24.95" customHeight="1" x14ac:dyDescent="0.25">
      <c r="A28" s="221">
        <v>15</v>
      </c>
      <c r="B28" s="222" t="s">
        <v>101</v>
      </c>
      <c r="C28" s="223" t="s">
        <v>193</v>
      </c>
      <c r="D28" s="224" t="s">
        <v>187</v>
      </c>
      <c r="E28" s="260"/>
      <c r="F28" s="260">
        <v>2000000</v>
      </c>
      <c r="G28" s="262"/>
      <c r="H28" s="262"/>
      <c r="I28" s="262">
        <v>708492</v>
      </c>
      <c r="J28" s="262"/>
      <c r="K28" s="262"/>
      <c r="L28" s="262"/>
      <c r="M28" s="262"/>
      <c r="N28" s="262"/>
      <c r="O28" s="262"/>
      <c r="P28" s="262"/>
      <c r="Q28" s="253">
        <f t="shared" si="0"/>
        <v>2708492</v>
      </c>
      <c r="R28" s="255">
        <f t="shared" si="1"/>
        <v>34.348550068619829</v>
      </c>
    </row>
    <row r="29" spans="1:18" ht="24.95" customHeight="1" x14ac:dyDescent="0.25">
      <c r="A29" s="221">
        <v>16</v>
      </c>
      <c r="B29" s="222" t="s">
        <v>202</v>
      </c>
      <c r="C29" s="223" t="s">
        <v>193</v>
      </c>
      <c r="D29" s="224" t="s">
        <v>187</v>
      </c>
      <c r="E29" s="260">
        <v>870137</v>
      </c>
      <c r="F29" s="260">
        <v>1000000</v>
      </c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53">
        <f t="shared" si="0"/>
        <v>1870137</v>
      </c>
      <c r="R29" s="255">
        <f t="shared" si="1"/>
        <v>23.716700798702188</v>
      </c>
    </row>
    <row r="30" spans="1:18" ht="24.95" customHeight="1" x14ac:dyDescent="0.25">
      <c r="A30" s="221">
        <v>17</v>
      </c>
      <c r="B30" s="222" t="s">
        <v>195</v>
      </c>
      <c r="C30" s="223" t="s">
        <v>203</v>
      </c>
      <c r="D30" s="224" t="s">
        <v>187</v>
      </c>
      <c r="E30" s="260">
        <v>3973677</v>
      </c>
      <c r="F30" s="260">
        <v>531369</v>
      </c>
      <c r="G30" s="262">
        <v>244805</v>
      </c>
      <c r="H30" s="262"/>
      <c r="I30" s="262"/>
      <c r="J30" s="262"/>
      <c r="K30" s="262"/>
      <c r="L30" s="262"/>
      <c r="M30" s="262"/>
      <c r="N30" s="262"/>
      <c r="O30" s="262"/>
      <c r="P30" s="262"/>
      <c r="Q30" s="253">
        <f t="shared" si="0"/>
        <v>4749851</v>
      </c>
      <c r="R30" s="255">
        <f t="shared" si="1"/>
        <v>60.236653788153696</v>
      </c>
    </row>
    <row r="31" spans="1:18" ht="24.95" customHeight="1" x14ac:dyDescent="0.25">
      <c r="A31" s="221">
        <v>18</v>
      </c>
      <c r="B31" s="222" t="s">
        <v>197</v>
      </c>
      <c r="C31" s="223" t="s">
        <v>203</v>
      </c>
      <c r="D31" s="224" t="s">
        <v>187</v>
      </c>
      <c r="E31" s="260"/>
      <c r="F31" s="260"/>
      <c r="G31" s="262"/>
      <c r="H31" s="262"/>
      <c r="I31" s="262">
        <v>177123</v>
      </c>
      <c r="J31" s="262"/>
      <c r="K31" s="262"/>
      <c r="L31" s="262"/>
      <c r="M31" s="262"/>
      <c r="N31" s="262"/>
      <c r="O31" s="262"/>
      <c r="P31" s="262"/>
      <c r="Q31" s="253">
        <f t="shared" si="0"/>
        <v>177123</v>
      </c>
      <c r="R31" s="255">
        <f t="shared" si="1"/>
        <v>2.2462382144027564</v>
      </c>
    </row>
    <row r="32" spans="1:18" ht="24.95" customHeight="1" x14ac:dyDescent="0.25">
      <c r="A32" s="221">
        <v>19</v>
      </c>
      <c r="B32" s="222" t="s">
        <v>200</v>
      </c>
      <c r="C32" s="223" t="s">
        <v>196</v>
      </c>
      <c r="D32" s="224" t="s">
        <v>187</v>
      </c>
      <c r="E32" s="260"/>
      <c r="F32" s="260">
        <v>402646</v>
      </c>
      <c r="G32" s="262">
        <v>246075</v>
      </c>
      <c r="H32" s="262">
        <v>177123</v>
      </c>
      <c r="I32" s="262"/>
      <c r="J32" s="262"/>
      <c r="K32" s="262"/>
      <c r="L32" s="262"/>
      <c r="M32" s="262"/>
      <c r="N32" s="262"/>
      <c r="O32" s="262"/>
      <c r="P32" s="262"/>
      <c r="Q32" s="253">
        <f t="shared" si="0"/>
        <v>825844</v>
      </c>
      <c r="R32" s="255">
        <f t="shared" si="1"/>
        <v>10.473187287564178</v>
      </c>
    </row>
    <row r="33" spans="1:18" ht="24.95" customHeight="1" x14ac:dyDescent="0.25">
      <c r="A33" s="221">
        <v>20</v>
      </c>
      <c r="B33" s="222" t="s">
        <v>301</v>
      </c>
      <c r="C33" s="223" t="s">
        <v>196</v>
      </c>
      <c r="D33" s="224" t="s">
        <v>187</v>
      </c>
      <c r="E33" s="260">
        <v>1000000</v>
      </c>
      <c r="F33" s="260">
        <v>815893</v>
      </c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53">
        <f t="shared" si="0"/>
        <v>1815893</v>
      </c>
      <c r="R33" s="255">
        <f t="shared" si="1"/>
        <v>23.028789315145207</v>
      </c>
    </row>
    <row r="34" spans="1:18" ht="24.95" customHeight="1" x14ac:dyDescent="0.25">
      <c r="A34" s="221">
        <v>21</v>
      </c>
      <c r="B34" s="225" t="s">
        <v>204</v>
      </c>
      <c r="C34" s="234" t="s">
        <v>205</v>
      </c>
      <c r="D34" s="237" t="s">
        <v>187</v>
      </c>
      <c r="E34" s="260"/>
      <c r="F34" s="260"/>
      <c r="G34" s="262"/>
      <c r="H34" s="262">
        <v>1265500</v>
      </c>
      <c r="I34" s="262"/>
      <c r="J34" s="262"/>
      <c r="K34" s="262"/>
      <c r="L34" s="262"/>
      <c r="M34" s="262"/>
      <c r="N34" s="262"/>
      <c r="O34" s="262"/>
      <c r="P34" s="262"/>
      <c r="Q34" s="253">
        <f t="shared" si="0"/>
        <v>1265500</v>
      </c>
      <c r="R34" s="255">
        <f t="shared" si="1"/>
        <v>16.048816135265824</v>
      </c>
    </row>
    <row r="35" spans="1:18" ht="24.95" customHeight="1" x14ac:dyDescent="0.25">
      <c r="A35" s="221">
        <v>22</v>
      </c>
      <c r="B35" s="222" t="s">
        <v>206</v>
      </c>
      <c r="C35" s="223" t="s">
        <v>207</v>
      </c>
      <c r="D35" s="224" t="s">
        <v>187</v>
      </c>
      <c r="E35" s="260"/>
      <c r="F35" s="260"/>
      <c r="G35" s="262"/>
      <c r="H35" s="262">
        <v>1424700</v>
      </c>
      <c r="I35" s="262"/>
      <c r="J35" s="262"/>
      <c r="K35" s="262"/>
      <c r="L35" s="262"/>
      <c r="M35" s="262"/>
      <c r="N35" s="262"/>
      <c r="O35" s="262"/>
      <c r="P35" s="262"/>
      <c r="Q35" s="253">
        <f t="shared" si="0"/>
        <v>1424700</v>
      </c>
      <c r="R35" s="255">
        <f t="shared" si="1"/>
        <v>18.067758473262124</v>
      </c>
    </row>
    <row r="36" spans="1:18" ht="24.95" customHeight="1" x14ac:dyDescent="0.25">
      <c r="A36" s="221">
        <v>23</v>
      </c>
      <c r="B36" s="222" t="s">
        <v>208</v>
      </c>
      <c r="C36" s="223" t="s">
        <v>207</v>
      </c>
      <c r="D36" s="224" t="s">
        <v>187</v>
      </c>
      <c r="E36" s="260"/>
      <c r="F36" s="260"/>
      <c r="G36" s="262"/>
      <c r="H36" s="262">
        <v>619000</v>
      </c>
      <c r="I36" s="262"/>
      <c r="J36" s="262"/>
      <c r="K36" s="262"/>
      <c r="L36" s="262"/>
      <c r="M36" s="262"/>
      <c r="N36" s="262"/>
      <c r="O36" s="262"/>
      <c r="P36" s="262"/>
      <c r="Q36" s="253">
        <f t="shared" si="0"/>
        <v>619000</v>
      </c>
      <c r="R36" s="255">
        <f t="shared" si="1"/>
        <v>7.8500333368072255</v>
      </c>
    </row>
    <row r="37" spans="1:18" ht="27.75" customHeight="1" x14ac:dyDescent="0.25">
      <c r="A37" s="221">
        <v>24</v>
      </c>
      <c r="B37" s="222" t="s">
        <v>217</v>
      </c>
      <c r="C37" s="223" t="s">
        <v>210</v>
      </c>
      <c r="D37" s="224" t="s">
        <v>187</v>
      </c>
      <c r="E37" s="260">
        <v>315700</v>
      </c>
      <c r="F37" s="260"/>
      <c r="G37" s="262"/>
      <c r="H37" s="262">
        <v>625200</v>
      </c>
      <c r="I37" s="262"/>
      <c r="J37" s="262"/>
      <c r="K37" s="262"/>
      <c r="L37" s="262"/>
      <c r="M37" s="262"/>
      <c r="N37" s="262"/>
      <c r="O37" s="262"/>
      <c r="P37" s="262"/>
      <c r="Q37" s="253">
        <f t="shared" si="0"/>
        <v>940900</v>
      </c>
      <c r="R37" s="255">
        <f t="shared" si="1"/>
        <v>11.932304307919093</v>
      </c>
    </row>
    <row r="38" spans="1:18" ht="24.95" customHeight="1" x14ac:dyDescent="0.25">
      <c r="A38" s="221">
        <v>25</v>
      </c>
      <c r="B38" s="222" t="s">
        <v>211</v>
      </c>
      <c r="C38" s="223" t="s">
        <v>212</v>
      </c>
      <c r="D38" s="224" t="s">
        <v>187</v>
      </c>
      <c r="E38" s="260"/>
      <c r="F38" s="260"/>
      <c r="G38" s="262"/>
      <c r="H38" s="262"/>
      <c r="I38" s="262"/>
      <c r="J38" s="262"/>
      <c r="K38" s="262"/>
      <c r="L38" s="262"/>
      <c r="M38" s="262"/>
      <c r="N38" s="262"/>
      <c r="O38" s="262"/>
      <c r="P38" s="262"/>
      <c r="Q38" s="253">
        <f t="shared" si="0"/>
        <v>0</v>
      </c>
      <c r="R38" s="255">
        <f t="shared" si="1"/>
        <v>0</v>
      </c>
    </row>
    <row r="39" spans="1:18" ht="24.95" customHeight="1" x14ac:dyDescent="0.25">
      <c r="A39" s="221">
        <v>26</v>
      </c>
      <c r="B39" s="222" t="s">
        <v>213</v>
      </c>
      <c r="C39" s="223" t="s">
        <v>209</v>
      </c>
      <c r="D39" s="224" t="s">
        <v>187</v>
      </c>
      <c r="E39" s="260"/>
      <c r="F39" s="260"/>
      <c r="G39" s="262"/>
      <c r="H39" s="262">
        <v>619000</v>
      </c>
      <c r="I39" s="262"/>
      <c r="J39" s="262"/>
      <c r="K39" s="262"/>
      <c r="L39" s="262"/>
      <c r="M39" s="262"/>
      <c r="N39" s="262"/>
      <c r="O39" s="262"/>
      <c r="P39" s="262"/>
      <c r="Q39" s="253">
        <f t="shared" si="0"/>
        <v>619000</v>
      </c>
      <c r="R39" s="255">
        <f t="shared" si="1"/>
        <v>7.8500333368072255</v>
      </c>
    </row>
    <row r="40" spans="1:18" ht="24.95" customHeight="1" x14ac:dyDescent="0.25">
      <c r="A40" s="221">
        <v>27</v>
      </c>
      <c r="B40" s="222" t="s">
        <v>1486</v>
      </c>
      <c r="C40" s="223" t="s">
        <v>207</v>
      </c>
      <c r="D40" s="224" t="s">
        <v>187</v>
      </c>
      <c r="E40" s="260"/>
      <c r="F40" s="260">
        <v>631400</v>
      </c>
      <c r="G40" s="262"/>
      <c r="H40" s="262">
        <v>1085700</v>
      </c>
      <c r="I40" s="262"/>
      <c r="J40" s="262"/>
      <c r="K40" s="262"/>
      <c r="L40" s="262"/>
      <c r="M40" s="262"/>
      <c r="N40" s="262"/>
      <c r="O40" s="262"/>
      <c r="P40" s="262"/>
      <c r="Q40" s="253">
        <f t="shared" si="0"/>
        <v>1717100</v>
      </c>
      <c r="R40" s="255">
        <f t="shared" si="1"/>
        <v>21.775916385511611</v>
      </c>
    </row>
    <row r="41" spans="1:18" ht="24.95" customHeight="1" x14ac:dyDescent="0.25">
      <c r="A41" s="221">
        <v>28</v>
      </c>
      <c r="B41" s="225" t="s">
        <v>214</v>
      </c>
      <c r="C41" s="234" t="s">
        <v>1458</v>
      </c>
      <c r="D41" s="237" t="s">
        <v>187</v>
      </c>
      <c r="E41" s="260"/>
      <c r="F41" s="260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53">
        <f t="shared" si="0"/>
        <v>0</v>
      </c>
      <c r="R41" s="255">
        <f t="shared" si="1"/>
        <v>0</v>
      </c>
    </row>
    <row r="42" spans="1:18" ht="24.95" customHeight="1" x14ac:dyDescent="0.25">
      <c r="A42" s="221">
        <v>29</v>
      </c>
      <c r="B42" s="222" t="s">
        <v>215</v>
      </c>
      <c r="C42" s="223" t="s">
        <v>216</v>
      </c>
      <c r="D42" s="224" t="s">
        <v>187</v>
      </c>
      <c r="E42" s="260"/>
      <c r="F42" s="260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53">
        <f t="shared" si="0"/>
        <v>0</v>
      </c>
      <c r="R42" s="255">
        <f t="shared" si="1"/>
        <v>0</v>
      </c>
    </row>
    <row r="43" spans="1:18" ht="24.95" customHeight="1" x14ac:dyDescent="0.25">
      <c r="A43" s="221">
        <v>30</v>
      </c>
      <c r="B43" s="222" t="s">
        <v>327</v>
      </c>
      <c r="C43" s="223" t="s">
        <v>218</v>
      </c>
      <c r="D43" s="224" t="s">
        <v>187</v>
      </c>
      <c r="E43" s="260">
        <v>368695</v>
      </c>
      <c r="F43" s="260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53">
        <f t="shared" si="0"/>
        <v>368695</v>
      </c>
      <c r="R43" s="255">
        <f t="shared" si="1"/>
        <v>4.6757157368564455</v>
      </c>
    </row>
    <row r="44" spans="1:18" ht="24.95" customHeight="1" x14ac:dyDescent="0.25">
      <c r="A44" s="221">
        <v>31</v>
      </c>
      <c r="B44" s="222" t="s">
        <v>219</v>
      </c>
      <c r="C44" s="223" t="s">
        <v>220</v>
      </c>
      <c r="D44" s="224" t="s">
        <v>187</v>
      </c>
      <c r="E44" s="260"/>
      <c r="F44" s="260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53">
        <f t="shared" si="0"/>
        <v>0</v>
      </c>
      <c r="R44" s="255">
        <f t="shared" si="1"/>
        <v>0</v>
      </c>
    </row>
    <row r="45" spans="1:18" ht="24.95" customHeight="1" x14ac:dyDescent="0.25">
      <c r="A45" s="221">
        <v>32</v>
      </c>
      <c r="B45" s="222" t="s">
        <v>199</v>
      </c>
      <c r="C45" s="223" t="s">
        <v>220</v>
      </c>
      <c r="D45" s="224" t="s">
        <v>187</v>
      </c>
      <c r="E45" s="260"/>
      <c r="F45" s="260"/>
      <c r="G45" s="262">
        <v>364100</v>
      </c>
      <c r="H45" s="262"/>
      <c r="I45" s="262"/>
      <c r="J45" s="262"/>
      <c r="K45" s="262"/>
      <c r="L45" s="262"/>
      <c r="M45" s="262"/>
      <c r="N45" s="262"/>
      <c r="O45" s="262"/>
      <c r="P45" s="262"/>
      <c r="Q45" s="253">
        <f t="shared" si="0"/>
        <v>364100</v>
      </c>
      <c r="R45" s="255">
        <f t="shared" si="1"/>
        <v>4.617442872264153</v>
      </c>
    </row>
    <row r="46" spans="1:18" ht="24.95" customHeight="1" x14ac:dyDescent="0.25">
      <c r="A46" s="221">
        <v>33</v>
      </c>
      <c r="B46" s="222" t="s">
        <v>222</v>
      </c>
      <c r="C46" s="223" t="s">
        <v>221</v>
      </c>
      <c r="D46" s="224" t="s">
        <v>187</v>
      </c>
      <c r="E46" s="260"/>
      <c r="F46" s="260"/>
      <c r="G46" s="262"/>
      <c r="H46" s="262">
        <v>1284800</v>
      </c>
      <c r="I46" s="262"/>
      <c r="J46" s="262"/>
      <c r="K46" s="262"/>
      <c r="L46" s="262"/>
      <c r="M46" s="262"/>
      <c r="N46" s="262"/>
      <c r="O46" s="262"/>
      <c r="P46" s="262"/>
      <c r="Q46" s="253">
        <f t="shared" si="0"/>
        <v>1284800</v>
      </c>
      <c r="R46" s="255">
        <f t="shared" si="1"/>
        <v>16.293574848352058</v>
      </c>
    </row>
    <row r="47" spans="1:18" ht="24.95" customHeight="1" x14ac:dyDescent="0.25">
      <c r="A47" s="221">
        <v>34</v>
      </c>
      <c r="B47" s="222" t="s">
        <v>162</v>
      </c>
      <c r="C47" s="223" t="s">
        <v>221</v>
      </c>
      <c r="D47" s="224" t="s">
        <v>187</v>
      </c>
      <c r="E47" s="260"/>
      <c r="F47" s="260"/>
      <c r="G47" s="262"/>
      <c r="H47" s="262"/>
      <c r="I47" s="262"/>
      <c r="J47" s="262"/>
      <c r="K47" s="262"/>
      <c r="L47" s="262"/>
      <c r="M47" s="262"/>
      <c r="N47" s="262"/>
      <c r="O47" s="262"/>
      <c r="P47" s="262"/>
      <c r="Q47" s="253">
        <f t="shared" si="0"/>
        <v>0</v>
      </c>
      <c r="R47" s="255">
        <f t="shared" si="1"/>
        <v>0</v>
      </c>
    </row>
    <row r="48" spans="1:18" ht="24.95" customHeight="1" x14ac:dyDescent="0.25">
      <c r="A48" s="221">
        <v>35</v>
      </c>
      <c r="B48" s="222" t="s">
        <v>375</v>
      </c>
      <c r="C48" s="223" t="s">
        <v>221</v>
      </c>
      <c r="D48" s="224" t="s">
        <v>187</v>
      </c>
      <c r="E48" s="260"/>
      <c r="F48" s="260"/>
      <c r="G48" s="262"/>
      <c r="H48" s="262"/>
      <c r="I48" s="262"/>
      <c r="J48" s="262"/>
      <c r="K48" s="262"/>
      <c r="L48" s="262"/>
      <c r="M48" s="262"/>
      <c r="N48" s="262"/>
      <c r="O48" s="262"/>
      <c r="P48" s="262"/>
      <c r="Q48" s="253">
        <f t="shared" si="0"/>
        <v>0</v>
      </c>
      <c r="R48" s="255">
        <f t="shared" si="1"/>
        <v>0</v>
      </c>
    </row>
    <row r="49" spans="1:18" ht="24.95" customHeight="1" x14ac:dyDescent="0.25">
      <c r="A49" s="221">
        <v>36</v>
      </c>
      <c r="B49" s="222" t="s">
        <v>260</v>
      </c>
      <c r="C49" s="223" t="s">
        <v>221</v>
      </c>
      <c r="D49" s="224" t="s">
        <v>187</v>
      </c>
      <c r="E49" s="260"/>
      <c r="F49" s="260"/>
      <c r="G49" s="262">
        <v>177123</v>
      </c>
      <c r="H49" s="262"/>
      <c r="I49" s="262"/>
      <c r="J49" s="262"/>
      <c r="K49" s="262"/>
      <c r="L49" s="262"/>
      <c r="M49" s="262"/>
      <c r="N49" s="262"/>
      <c r="O49" s="262"/>
      <c r="P49" s="262"/>
      <c r="Q49" s="253">
        <f t="shared" si="0"/>
        <v>177123</v>
      </c>
      <c r="R49" s="255">
        <f t="shared" si="1"/>
        <v>2.2462382144027564</v>
      </c>
    </row>
    <row r="50" spans="1:18" ht="24.95" customHeight="1" x14ac:dyDescent="0.25">
      <c r="A50" s="221">
        <v>37</v>
      </c>
      <c r="B50" s="227" t="s">
        <v>330</v>
      </c>
      <c r="C50" s="223" t="s">
        <v>1460</v>
      </c>
      <c r="D50" s="224" t="s">
        <v>187</v>
      </c>
      <c r="E50" s="260">
        <v>315700</v>
      </c>
      <c r="F50" s="260"/>
      <c r="G50" s="262"/>
      <c r="H50" s="262"/>
      <c r="I50" s="262"/>
      <c r="J50" s="262"/>
      <c r="K50" s="262"/>
      <c r="L50" s="262"/>
      <c r="M50" s="262"/>
      <c r="N50" s="262"/>
      <c r="O50" s="262"/>
      <c r="P50" s="262"/>
      <c r="Q50" s="253">
        <f t="shared" si="0"/>
        <v>315700</v>
      </c>
      <c r="R50" s="255">
        <f t="shared" si="1"/>
        <v>4.0036438197577402</v>
      </c>
    </row>
    <row r="51" spans="1:18" ht="24.95" customHeight="1" x14ac:dyDescent="0.25">
      <c r="A51" s="221">
        <v>38</v>
      </c>
      <c r="B51" s="228" t="s">
        <v>224</v>
      </c>
      <c r="C51" s="234" t="s">
        <v>1461</v>
      </c>
      <c r="D51" s="237" t="s">
        <v>187</v>
      </c>
      <c r="E51" s="260"/>
      <c r="F51" s="260"/>
      <c r="G51" s="262"/>
      <c r="H51" s="262">
        <v>3848237</v>
      </c>
      <c r="I51" s="262"/>
      <c r="J51" s="262"/>
      <c r="K51" s="262"/>
      <c r="L51" s="262"/>
      <c r="M51" s="262"/>
      <c r="N51" s="262"/>
      <c r="O51" s="262"/>
      <c r="P51" s="262"/>
      <c r="Q51" s="253">
        <f t="shared" si="0"/>
        <v>3848237</v>
      </c>
      <c r="R51" s="255">
        <f t="shared" si="1"/>
        <v>48.802566620250445</v>
      </c>
    </row>
    <row r="52" spans="1:18" ht="24.95" customHeight="1" x14ac:dyDescent="0.25">
      <c r="A52" s="221">
        <v>39</v>
      </c>
      <c r="B52" s="222" t="s">
        <v>225</v>
      </c>
      <c r="C52" s="223" t="s">
        <v>226</v>
      </c>
      <c r="D52" s="224" t="s">
        <v>187</v>
      </c>
      <c r="E52" s="260"/>
      <c r="F52" s="260">
        <v>949900</v>
      </c>
      <c r="G52" s="262"/>
      <c r="H52" s="262">
        <v>3848237</v>
      </c>
      <c r="I52" s="262"/>
      <c r="J52" s="262"/>
      <c r="K52" s="262"/>
      <c r="L52" s="262"/>
      <c r="M52" s="262"/>
      <c r="N52" s="262"/>
      <c r="O52" s="262"/>
      <c r="P52" s="262"/>
      <c r="Q52" s="253">
        <f t="shared" si="0"/>
        <v>4798137</v>
      </c>
      <c r="R52" s="255">
        <f t="shared" si="1"/>
        <v>60.849007115619081</v>
      </c>
    </row>
    <row r="53" spans="1:18" ht="24.95" customHeight="1" x14ac:dyDescent="0.25">
      <c r="A53" s="221">
        <v>40</v>
      </c>
      <c r="B53" s="222" t="s">
        <v>228</v>
      </c>
      <c r="C53" s="223" t="s">
        <v>226</v>
      </c>
      <c r="D53" s="224" t="s">
        <v>187</v>
      </c>
      <c r="E53" s="260"/>
      <c r="F53" s="260"/>
      <c r="G53" s="262"/>
      <c r="H53" s="262">
        <v>3848237</v>
      </c>
      <c r="I53" s="262"/>
      <c r="J53" s="262"/>
      <c r="K53" s="262"/>
      <c r="L53" s="262"/>
      <c r="M53" s="262"/>
      <c r="N53" s="262"/>
      <c r="O53" s="262"/>
      <c r="P53" s="262"/>
      <c r="Q53" s="253">
        <f t="shared" si="0"/>
        <v>3848237</v>
      </c>
      <c r="R53" s="255">
        <f t="shared" si="1"/>
        <v>48.802566620250445</v>
      </c>
    </row>
    <row r="54" spans="1:18" ht="24.95" customHeight="1" x14ac:dyDescent="0.25">
      <c r="A54" s="221">
        <v>41</v>
      </c>
      <c r="B54" s="222" t="s">
        <v>229</v>
      </c>
      <c r="C54" s="223" t="s">
        <v>230</v>
      </c>
      <c r="D54" s="224" t="s">
        <v>187</v>
      </c>
      <c r="E54" s="260"/>
      <c r="F54" s="260"/>
      <c r="G54" s="262"/>
      <c r="H54" s="262">
        <v>3848237</v>
      </c>
      <c r="I54" s="262"/>
      <c r="J54" s="262"/>
      <c r="K54" s="262"/>
      <c r="L54" s="262"/>
      <c r="M54" s="262"/>
      <c r="N54" s="262"/>
      <c r="O54" s="262"/>
      <c r="P54" s="262"/>
      <c r="Q54" s="253">
        <f t="shared" si="0"/>
        <v>3848237</v>
      </c>
      <c r="R54" s="255">
        <f t="shared" si="1"/>
        <v>48.802566620250445</v>
      </c>
    </row>
    <row r="55" spans="1:18" ht="24.95" customHeight="1" x14ac:dyDescent="0.25">
      <c r="A55" s="221">
        <v>42</v>
      </c>
      <c r="B55" s="222" t="s">
        <v>231</v>
      </c>
      <c r="C55" s="223" t="s">
        <v>232</v>
      </c>
      <c r="D55" s="224" t="s">
        <v>187</v>
      </c>
      <c r="E55" s="260"/>
      <c r="F55" s="260"/>
      <c r="G55" s="262"/>
      <c r="H55" s="262">
        <v>3848237</v>
      </c>
      <c r="I55" s="262"/>
      <c r="J55" s="262"/>
      <c r="K55" s="262"/>
      <c r="L55" s="262"/>
      <c r="M55" s="262"/>
      <c r="N55" s="262"/>
      <c r="O55" s="262"/>
      <c r="P55" s="262"/>
      <c r="Q55" s="253">
        <f t="shared" si="0"/>
        <v>3848237</v>
      </c>
      <c r="R55" s="255">
        <f t="shared" si="1"/>
        <v>48.802566620250445</v>
      </c>
    </row>
    <row r="56" spans="1:18" ht="24.95" customHeight="1" x14ac:dyDescent="0.25">
      <c r="A56" s="221">
        <v>43</v>
      </c>
      <c r="B56" s="227" t="s">
        <v>233</v>
      </c>
      <c r="C56" s="223" t="s">
        <v>226</v>
      </c>
      <c r="D56" s="224" t="s">
        <v>187</v>
      </c>
      <c r="E56" s="260"/>
      <c r="F56" s="260"/>
      <c r="G56" s="262"/>
      <c r="H56" s="262">
        <v>3848237</v>
      </c>
      <c r="I56" s="262"/>
      <c r="J56" s="262"/>
      <c r="K56" s="262"/>
      <c r="L56" s="262"/>
      <c r="M56" s="262"/>
      <c r="N56" s="262"/>
      <c r="O56" s="262"/>
      <c r="P56" s="262"/>
      <c r="Q56" s="253">
        <f t="shared" si="0"/>
        <v>3848237</v>
      </c>
      <c r="R56" s="255">
        <f t="shared" si="1"/>
        <v>48.802566620250445</v>
      </c>
    </row>
    <row r="57" spans="1:18" ht="24.95" customHeight="1" x14ac:dyDescent="0.25">
      <c r="A57" s="221">
        <v>44</v>
      </c>
      <c r="B57" s="222" t="s">
        <v>234</v>
      </c>
      <c r="C57" s="223" t="s">
        <v>226</v>
      </c>
      <c r="D57" s="224" t="s">
        <v>187</v>
      </c>
      <c r="E57" s="260"/>
      <c r="F57" s="260"/>
      <c r="G57" s="262"/>
      <c r="H57" s="262"/>
      <c r="I57" s="262"/>
      <c r="J57" s="262"/>
      <c r="K57" s="262"/>
      <c r="L57" s="262"/>
      <c r="M57" s="262"/>
      <c r="N57" s="262"/>
      <c r="O57" s="262"/>
      <c r="P57" s="262"/>
      <c r="Q57" s="253">
        <f t="shared" si="0"/>
        <v>0</v>
      </c>
      <c r="R57" s="255">
        <f t="shared" si="1"/>
        <v>0</v>
      </c>
    </row>
    <row r="58" spans="1:18" ht="24.95" customHeight="1" x14ac:dyDescent="0.25">
      <c r="A58" s="221">
        <v>45</v>
      </c>
      <c r="B58" s="222" t="s">
        <v>235</v>
      </c>
      <c r="C58" s="223" t="s">
        <v>226</v>
      </c>
      <c r="D58" s="224" t="s">
        <v>187</v>
      </c>
      <c r="E58" s="260"/>
      <c r="F58" s="260">
        <v>1531000</v>
      </c>
      <c r="G58" s="262"/>
      <c r="H58" s="262">
        <v>3848237</v>
      </c>
      <c r="I58" s="262">
        <v>583830</v>
      </c>
      <c r="J58" s="262"/>
      <c r="K58" s="262"/>
      <c r="L58" s="262"/>
      <c r="M58" s="262"/>
      <c r="N58" s="262"/>
      <c r="O58" s="262"/>
      <c r="P58" s="262"/>
      <c r="Q58" s="253">
        <f t="shared" si="0"/>
        <v>5963067</v>
      </c>
      <c r="R58" s="255">
        <f t="shared" si="1"/>
        <v>75.622414765129321</v>
      </c>
    </row>
    <row r="59" spans="1:18" ht="24.95" customHeight="1" x14ac:dyDescent="0.25">
      <c r="A59" s="221">
        <v>46</v>
      </c>
      <c r="B59" s="222" t="s">
        <v>227</v>
      </c>
      <c r="C59" s="223" t="s">
        <v>226</v>
      </c>
      <c r="D59" s="224" t="s">
        <v>187</v>
      </c>
      <c r="E59" s="260"/>
      <c r="F59" s="260"/>
      <c r="G59" s="262"/>
      <c r="H59" s="262">
        <v>3848237</v>
      </c>
      <c r="I59" s="262">
        <v>427410</v>
      </c>
      <c r="J59" s="262"/>
      <c r="K59" s="262"/>
      <c r="L59" s="262"/>
      <c r="M59" s="262"/>
      <c r="N59" s="262"/>
      <c r="O59" s="262"/>
      <c r="P59" s="262"/>
      <c r="Q59" s="253">
        <f t="shared" si="0"/>
        <v>4275647</v>
      </c>
      <c r="R59" s="255">
        <f t="shared" si="1"/>
        <v>54.222894162229082</v>
      </c>
    </row>
    <row r="60" spans="1:18" ht="24.95" customHeight="1" x14ac:dyDescent="0.25">
      <c r="A60" s="221">
        <v>47</v>
      </c>
      <c r="B60" s="222" t="s">
        <v>194</v>
      </c>
      <c r="C60" s="223" t="s">
        <v>1462</v>
      </c>
      <c r="D60" s="224" t="s">
        <v>187</v>
      </c>
      <c r="E60" s="260"/>
      <c r="F60" s="260"/>
      <c r="G60" s="262"/>
      <c r="H60" s="262">
        <v>3848237</v>
      </c>
      <c r="I60" s="262"/>
      <c r="J60" s="262"/>
      <c r="K60" s="262"/>
      <c r="L60" s="262"/>
      <c r="M60" s="262"/>
      <c r="N60" s="262"/>
      <c r="O60" s="262"/>
      <c r="P60" s="262"/>
      <c r="Q60" s="253">
        <f t="shared" si="0"/>
        <v>3848237</v>
      </c>
      <c r="R60" s="255">
        <f t="shared" si="1"/>
        <v>48.802566620250445</v>
      </c>
    </row>
    <row r="61" spans="1:18" ht="24.95" customHeight="1" x14ac:dyDescent="0.25">
      <c r="A61" s="221">
        <v>48</v>
      </c>
      <c r="B61" s="222" t="s">
        <v>236</v>
      </c>
      <c r="C61" s="223" t="s">
        <v>237</v>
      </c>
      <c r="D61" s="224" t="s">
        <v>187</v>
      </c>
      <c r="E61" s="260">
        <v>48400</v>
      </c>
      <c r="F61" s="260"/>
      <c r="G61" s="262"/>
      <c r="H61" s="262">
        <v>3848237</v>
      </c>
      <c r="I61" s="262"/>
      <c r="J61" s="262"/>
      <c r="K61" s="262"/>
      <c r="L61" s="262"/>
      <c r="M61" s="262"/>
      <c r="N61" s="262"/>
      <c r="O61" s="262"/>
      <c r="P61" s="262"/>
      <c r="Q61" s="253">
        <f t="shared" si="0"/>
        <v>3896637</v>
      </c>
      <c r="R61" s="255">
        <f t="shared" si="1"/>
        <v>49.416365672756861</v>
      </c>
    </row>
    <row r="62" spans="1:18" ht="24.95" customHeight="1" x14ac:dyDescent="0.25">
      <c r="A62" s="221">
        <v>49</v>
      </c>
      <c r="B62" s="228" t="s">
        <v>239</v>
      </c>
      <c r="C62" s="234" t="s">
        <v>240</v>
      </c>
      <c r="D62" s="237" t="s">
        <v>78</v>
      </c>
      <c r="E62" s="260">
        <v>615615</v>
      </c>
      <c r="F62" s="260">
        <v>348723</v>
      </c>
      <c r="G62" s="262">
        <v>354246</v>
      </c>
      <c r="H62" s="262">
        <v>177123</v>
      </c>
      <c r="I62" s="262">
        <v>928323</v>
      </c>
      <c r="J62" s="262"/>
      <c r="K62" s="262"/>
      <c r="L62" s="262"/>
      <c r="M62" s="262"/>
      <c r="N62" s="262"/>
      <c r="O62" s="262"/>
      <c r="P62" s="262"/>
      <c r="Q62" s="253">
        <f t="shared" si="0"/>
        <v>2424030</v>
      </c>
      <c r="R62" s="255">
        <f t="shared" si="1"/>
        <v>30.741060273700839</v>
      </c>
    </row>
    <row r="63" spans="1:18" ht="24.95" customHeight="1" x14ac:dyDescent="0.25">
      <c r="A63" s="221">
        <v>50</v>
      </c>
      <c r="B63" s="229" t="s">
        <v>278</v>
      </c>
      <c r="C63" s="223" t="s">
        <v>242</v>
      </c>
      <c r="D63" s="224" t="s">
        <v>78</v>
      </c>
      <c r="E63" s="260"/>
      <c r="F63" s="260">
        <v>177123</v>
      </c>
      <c r="G63" s="262">
        <v>254246</v>
      </c>
      <c r="H63" s="262"/>
      <c r="I63" s="262"/>
      <c r="J63" s="262"/>
      <c r="K63" s="262"/>
      <c r="L63" s="262"/>
      <c r="M63" s="262"/>
      <c r="N63" s="262"/>
      <c r="O63" s="262"/>
      <c r="P63" s="262"/>
      <c r="Q63" s="253">
        <f t="shared" si="0"/>
        <v>431369</v>
      </c>
      <c r="R63" s="255">
        <f t="shared" si="1"/>
        <v>5.470534782657829</v>
      </c>
    </row>
    <row r="64" spans="1:18" ht="24.95" customHeight="1" x14ac:dyDescent="0.25">
      <c r="A64" s="221">
        <v>51</v>
      </c>
      <c r="B64" s="227" t="s">
        <v>241</v>
      </c>
      <c r="C64" s="223" t="s">
        <v>242</v>
      </c>
      <c r="D64" s="224" t="s">
        <v>78</v>
      </c>
      <c r="E64" s="260"/>
      <c r="F64" s="260">
        <v>177123</v>
      </c>
      <c r="G64" s="262"/>
      <c r="H64" s="262"/>
      <c r="I64" s="262">
        <v>177123</v>
      </c>
      <c r="J64" s="262"/>
      <c r="K64" s="262"/>
      <c r="L64" s="262"/>
      <c r="M64" s="262"/>
      <c r="N64" s="262"/>
      <c r="O64" s="262"/>
      <c r="P64" s="262"/>
      <c r="Q64" s="253">
        <f t="shared" si="0"/>
        <v>354246</v>
      </c>
      <c r="R64" s="255">
        <f t="shared" si="1"/>
        <v>4.4924764288055128</v>
      </c>
    </row>
    <row r="65" spans="1:18" ht="24.95" customHeight="1" x14ac:dyDescent="0.25">
      <c r="A65" s="221">
        <v>52</v>
      </c>
      <c r="B65" s="227" t="s">
        <v>243</v>
      </c>
      <c r="C65" s="223" t="s">
        <v>247</v>
      </c>
      <c r="D65" s="224" t="s">
        <v>78</v>
      </c>
      <c r="E65" s="260">
        <v>354246</v>
      </c>
      <c r="F65" s="260">
        <v>177123</v>
      </c>
      <c r="G65" s="262">
        <v>177123</v>
      </c>
      <c r="H65" s="262"/>
      <c r="I65" s="262"/>
      <c r="J65" s="262"/>
      <c r="K65" s="262"/>
      <c r="L65" s="262"/>
      <c r="M65" s="262"/>
      <c r="N65" s="262"/>
      <c r="O65" s="262"/>
      <c r="P65" s="262"/>
      <c r="Q65" s="253">
        <f t="shared" si="0"/>
        <v>708492</v>
      </c>
      <c r="R65" s="255">
        <f t="shared" si="1"/>
        <v>8.9849528576110256</v>
      </c>
    </row>
    <row r="66" spans="1:18" ht="24.95" customHeight="1" x14ac:dyDescent="0.25">
      <c r="A66" s="221">
        <v>53</v>
      </c>
      <c r="B66" s="222" t="s">
        <v>246</v>
      </c>
      <c r="C66" s="223" t="s">
        <v>247</v>
      </c>
      <c r="D66" s="224" t="s">
        <v>78</v>
      </c>
      <c r="E66" s="260">
        <v>354246</v>
      </c>
      <c r="F66" s="260">
        <v>177123</v>
      </c>
      <c r="G66" s="262">
        <v>0</v>
      </c>
      <c r="H66" s="262">
        <v>177123</v>
      </c>
      <c r="I66" s="262">
        <v>177123</v>
      </c>
      <c r="J66" s="262"/>
      <c r="K66" s="262"/>
      <c r="L66" s="262"/>
      <c r="M66" s="262"/>
      <c r="N66" s="262"/>
      <c r="O66" s="262"/>
      <c r="P66" s="262"/>
      <c r="Q66" s="253">
        <f t="shared" si="0"/>
        <v>885615</v>
      </c>
      <c r="R66" s="255">
        <f t="shared" si="1"/>
        <v>11.231191072013782</v>
      </c>
    </row>
    <row r="67" spans="1:18" ht="24.95" customHeight="1" x14ac:dyDescent="0.25">
      <c r="A67" s="221">
        <v>54</v>
      </c>
      <c r="B67" s="227" t="s">
        <v>256</v>
      </c>
      <c r="C67" s="223" t="s">
        <v>247</v>
      </c>
      <c r="D67" s="224" t="s">
        <v>78</v>
      </c>
      <c r="E67" s="260"/>
      <c r="F67" s="260">
        <v>177123</v>
      </c>
      <c r="G67" s="262">
        <v>354246</v>
      </c>
      <c r="H67" s="262"/>
      <c r="I67" s="262"/>
      <c r="J67" s="262"/>
      <c r="K67" s="262"/>
      <c r="L67" s="262"/>
      <c r="M67" s="262"/>
      <c r="N67" s="262"/>
      <c r="O67" s="262"/>
      <c r="P67" s="262"/>
      <c r="Q67" s="253">
        <f t="shared" si="0"/>
        <v>531369</v>
      </c>
      <c r="R67" s="255">
        <f t="shared" si="1"/>
        <v>6.7387146432082696</v>
      </c>
    </row>
    <row r="68" spans="1:18" ht="24.95" customHeight="1" x14ac:dyDescent="0.25">
      <c r="A68" s="221">
        <v>55</v>
      </c>
      <c r="B68" s="227" t="s">
        <v>265</v>
      </c>
      <c r="C68" s="223" t="s">
        <v>247</v>
      </c>
      <c r="D68" s="224" t="s">
        <v>78</v>
      </c>
      <c r="E68" s="260">
        <v>177123</v>
      </c>
      <c r="F68" s="260">
        <v>177123</v>
      </c>
      <c r="G68" s="262">
        <v>354246</v>
      </c>
      <c r="H68" s="262"/>
      <c r="I68" s="262">
        <v>177123</v>
      </c>
      <c r="J68" s="262"/>
      <c r="K68" s="262"/>
      <c r="L68" s="262"/>
      <c r="M68" s="262"/>
      <c r="N68" s="262"/>
      <c r="O68" s="262"/>
      <c r="P68" s="262"/>
      <c r="Q68" s="253">
        <f t="shared" si="0"/>
        <v>885615</v>
      </c>
      <c r="R68" s="255">
        <f t="shared" si="1"/>
        <v>11.231191072013782</v>
      </c>
    </row>
    <row r="69" spans="1:18" ht="24.95" customHeight="1" x14ac:dyDescent="0.25">
      <c r="A69" s="221">
        <v>56</v>
      </c>
      <c r="B69" s="227" t="s">
        <v>244</v>
      </c>
      <c r="C69" s="223" t="s">
        <v>247</v>
      </c>
      <c r="D69" s="224" t="s">
        <v>78</v>
      </c>
      <c r="E69" s="260">
        <v>177123</v>
      </c>
      <c r="F69" s="260">
        <v>177123</v>
      </c>
      <c r="G69" s="262">
        <v>354246</v>
      </c>
      <c r="H69" s="262">
        <v>177123</v>
      </c>
      <c r="I69" s="262">
        <v>177123</v>
      </c>
      <c r="J69" s="262"/>
      <c r="K69" s="262"/>
      <c r="L69" s="262"/>
      <c r="M69" s="262"/>
      <c r="N69" s="262"/>
      <c r="O69" s="262"/>
      <c r="P69" s="262"/>
      <c r="Q69" s="253">
        <f t="shared" ref="Q69:Q130" si="2">SUM(E69:P69)</f>
        <v>1062738</v>
      </c>
      <c r="R69" s="255">
        <f t="shared" si="1"/>
        <v>13.477429286416539</v>
      </c>
    </row>
    <row r="70" spans="1:18" ht="24.95" customHeight="1" x14ac:dyDescent="0.25">
      <c r="A70" s="221">
        <v>57</v>
      </c>
      <c r="B70" s="227" t="s">
        <v>245</v>
      </c>
      <c r="C70" s="223" t="s">
        <v>247</v>
      </c>
      <c r="D70" s="224" t="s">
        <v>78</v>
      </c>
      <c r="E70" s="260"/>
      <c r="F70" s="260">
        <v>331451</v>
      </c>
      <c r="G70" s="262">
        <v>0</v>
      </c>
      <c r="H70" s="262">
        <v>177123</v>
      </c>
      <c r="I70" s="262"/>
      <c r="J70" s="262"/>
      <c r="K70" s="262"/>
      <c r="L70" s="262"/>
      <c r="M70" s="262"/>
      <c r="N70" s="262"/>
      <c r="O70" s="262"/>
      <c r="P70" s="262"/>
      <c r="Q70" s="253">
        <f t="shared" si="2"/>
        <v>508574</v>
      </c>
      <c r="R70" s="255">
        <f t="shared" si="1"/>
        <v>6.4496330439957967</v>
      </c>
    </row>
    <row r="71" spans="1:18" ht="24.95" customHeight="1" x14ac:dyDescent="0.25">
      <c r="A71" s="221">
        <v>58</v>
      </c>
      <c r="B71" s="222" t="s">
        <v>1444</v>
      </c>
      <c r="C71" s="223" t="s">
        <v>247</v>
      </c>
      <c r="D71" s="224" t="s">
        <v>78</v>
      </c>
      <c r="E71" s="260"/>
      <c r="F71" s="260"/>
      <c r="G71" s="262">
        <v>0</v>
      </c>
      <c r="H71" s="262"/>
      <c r="I71" s="262">
        <v>177123</v>
      </c>
      <c r="J71" s="262"/>
      <c r="K71" s="262"/>
      <c r="L71" s="262"/>
      <c r="M71" s="262"/>
      <c r="N71" s="262"/>
      <c r="O71" s="262"/>
      <c r="P71" s="262"/>
      <c r="Q71" s="253">
        <f t="shared" si="2"/>
        <v>177123</v>
      </c>
      <c r="R71" s="255">
        <f t="shared" si="1"/>
        <v>2.2462382144027564</v>
      </c>
    </row>
    <row r="72" spans="1:18" ht="24.95" customHeight="1" x14ac:dyDescent="0.25">
      <c r="A72" s="221">
        <v>59</v>
      </c>
      <c r="B72" s="230" t="s">
        <v>252</v>
      </c>
      <c r="C72" s="223" t="s">
        <v>247</v>
      </c>
      <c r="D72" s="224" t="s">
        <v>78</v>
      </c>
      <c r="E72" s="260">
        <v>354246</v>
      </c>
      <c r="F72" s="260">
        <v>177123</v>
      </c>
      <c r="G72" s="262">
        <v>354246</v>
      </c>
      <c r="H72" s="262"/>
      <c r="I72" s="262"/>
      <c r="J72" s="262"/>
      <c r="K72" s="262"/>
      <c r="L72" s="262"/>
      <c r="M72" s="262"/>
      <c r="N72" s="262"/>
      <c r="O72" s="262"/>
      <c r="P72" s="262"/>
      <c r="Q72" s="253">
        <f t="shared" si="2"/>
        <v>885615</v>
      </c>
      <c r="R72" s="255">
        <f t="shared" si="1"/>
        <v>11.231191072013782</v>
      </c>
    </row>
    <row r="73" spans="1:18" ht="24.95" customHeight="1" x14ac:dyDescent="0.25">
      <c r="A73" s="221">
        <v>60</v>
      </c>
      <c r="B73" s="222" t="s">
        <v>261</v>
      </c>
      <c r="C73" s="223" t="s">
        <v>248</v>
      </c>
      <c r="D73" s="224" t="s">
        <v>78</v>
      </c>
      <c r="E73" s="260"/>
      <c r="F73" s="260"/>
      <c r="G73" s="262"/>
      <c r="H73" s="262"/>
      <c r="I73" s="262"/>
      <c r="J73" s="262"/>
      <c r="K73" s="262"/>
      <c r="L73" s="262"/>
      <c r="M73" s="262"/>
      <c r="N73" s="262"/>
      <c r="O73" s="262"/>
      <c r="P73" s="262"/>
      <c r="Q73" s="253">
        <f t="shared" si="2"/>
        <v>0</v>
      </c>
      <c r="R73" s="255">
        <f t="shared" si="1"/>
        <v>0</v>
      </c>
    </row>
    <row r="74" spans="1:18" ht="24.95" customHeight="1" x14ac:dyDescent="0.25">
      <c r="A74" s="221">
        <v>61</v>
      </c>
      <c r="B74" s="222" t="s">
        <v>372</v>
      </c>
      <c r="C74" s="223" t="s">
        <v>353</v>
      </c>
      <c r="D74" s="224" t="s">
        <v>78</v>
      </c>
      <c r="E74" s="260"/>
      <c r="F74" s="260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53">
        <f t="shared" si="2"/>
        <v>0</v>
      </c>
      <c r="R74" s="255">
        <f t="shared" si="1"/>
        <v>0</v>
      </c>
    </row>
    <row r="75" spans="1:18" ht="24.95" customHeight="1" x14ac:dyDescent="0.25">
      <c r="A75" s="221">
        <v>62</v>
      </c>
      <c r="B75" s="222" t="s">
        <v>373</v>
      </c>
      <c r="C75" s="223" t="s">
        <v>353</v>
      </c>
      <c r="D75" s="224" t="s">
        <v>78</v>
      </c>
      <c r="E75" s="260">
        <v>829146</v>
      </c>
      <c r="F75" s="260"/>
      <c r="G75" s="262">
        <v>354246</v>
      </c>
      <c r="H75" s="262">
        <v>177123</v>
      </c>
      <c r="I75" s="262">
        <v>177123</v>
      </c>
      <c r="J75" s="262"/>
      <c r="K75" s="262"/>
      <c r="L75" s="262"/>
      <c r="M75" s="262"/>
      <c r="N75" s="262"/>
      <c r="O75" s="262"/>
      <c r="P75" s="262"/>
      <c r="Q75" s="253">
        <f t="shared" si="2"/>
        <v>1537638</v>
      </c>
      <c r="R75" s="255">
        <f t="shared" si="1"/>
        <v>19.500015444170579</v>
      </c>
    </row>
    <row r="76" spans="1:18" ht="24.95" customHeight="1" x14ac:dyDescent="0.25">
      <c r="A76" s="221">
        <v>63</v>
      </c>
      <c r="B76" s="222" t="s">
        <v>374</v>
      </c>
      <c r="C76" s="223" t="s">
        <v>353</v>
      </c>
      <c r="D76" s="224" t="s">
        <v>78</v>
      </c>
      <c r="E76" s="260"/>
      <c r="F76" s="260">
        <v>492823</v>
      </c>
      <c r="G76" s="262">
        <v>531369</v>
      </c>
      <c r="H76" s="262">
        <v>177123</v>
      </c>
      <c r="I76" s="262">
        <v>177123</v>
      </c>
      <c r="J76" s="262"/>
      <c r="K76" s="262"/>
      <c r="L76" s="262"/>
      <c r="M76" s="262"/>
      <c r="N76" s="262"/>
      <c r="O76" s="262"/>
      <c r="P76" s="262"/>
      <c r="Q76" s="253">
        <f t="shared" si="2"/>
        <v>1378438</v>
      </c>
      <c r="R76" s="255">
        <f t="shared" si="1"/>
        <v>17.481073106174279</v>
      </c>
    </row>
    <row r="77" spans="1:18" ht="24.95" customHeight="1" x14ac:dyDescent="0.25">
      <c r="A77" s="221">
        <v>64</v>
      </c>
      <c r="B77" s="222" t="s">
        <v>385</v>
      </c>
      <c r="C77" s="223" t="s">
        <v>353</v>
      </c>
      <c r="D77" s="224" t="s">
        <v>78</v>
      </c>
      <c r="E77" s="260">
        <v>996973</v>
      </c>
      <c r="F77" s="260">
        <v>177123</v>
      </c>
      <c r="G77" s="262">
        <v>531369</v>
      </c>
      <c r="H77" s="262">
        <v>388100</v>
      </c>
      <c r="I77" s="262">
        <v>177123</v>
      </c>
      <c r="J77" s="262"/>
      <c r="K77" s="262"/>
      <c r="L77" s="262"/>
      <c r="M77" s="262"/>
      <c r="N77" s="262"/>
      <c r="O77" s="262"/>
      <c r="P77" s="262"/>
      <c r="Q77" s="253">
        <f t="shared" si="2"/>
        <v>2270688</v>
      </c>
      <c r="R77" s="255">
        <f t="shared" si="1"/>
        <v>28.796407911935585</v>
      </c>
    </row>
    <row r="78" spans="1:18" ht="24.95" customHeight="1" x14ac:dyDescent="0.25">
      <c r="A78" s="221">
        <v>65</v>
      </c>
      <c r="B78" s="222" t="s">
        <v>392</v>
      </c>
      <c r="C78" s="223" t="s">
        <v>353</v>
      </c>
      <c r="D78" s="224" t="s">
        <v>78</v>
      </c>
      <c r="E78" s="260">
        <v>545818</v>
      </c>
      <c r="F78" s="260">
        <v>354246</v>
      </c>
      <c r="G78" s="262"/>
      <c r="H78" s="262"/>
      <c r="I78" s="262"/>
      <c r="J78" s="262"/>
      <c r="K78" s="262"/>
      <c r="L78" s="262"/>
      <c r="M78" s="262"/>
      <c r="N78" s="262"/>
      <c r="O78" s="262"/>
      <c r="P78" s="262"/>
      <c r="Q78" s="253">
        <f t="shared" si="2"/>
        <v>900064</v>
      </c>
      <c r="R78" s="255">
        <f t="shared" si="1"/>
        <v>11.414430380064715</v>
      </c>
    </row>
    <row r="79" spans="1:18" ht="24.95" customHeight="1" x14ac:dyDescent="0.25">
      <c r="A79" s="221">
        <v>66</v>
      </c>
      <c r="B79" s="222" t="s">
        <v>378</v>
      </c>
      <c r="C79" s="223" t="s">
        <v>353</v>
      </c>
      <c r="D79" s="224" t="s">
        <v>78</v>
      </c>
      <c r="E79" s="260">
        <v>177123</v>
      </c>
      <c r="F79" s="260">
        <v>1213923</v>
      </c>
      <c r="G79" s="262">
        <v>354246</v>
      </c>
      <c r="H79" s="262"/>
      <c r="I79" s="262"/>
      <c r="J79" s="262"/>
      <c r="K79" s="262"/>
      <c r="L79" s="262"/>
      <c r="M79" s="262"/>
      <c r="N79" s="262"/>
      <c r="O79" s="262"/>
      <c r="P79" s="262"/>
      <c r="Q79" s="253">
        <f t="shared" si="2"/>
        <v>1745292</v>
      </c>
      <c r="R79" s="255">
        <f t="shared" ref="R79:R140" si="3">Q79/$T$4*100</f>
        <v>22.133441651797991</v>
      </c>
    </row>
    <row r="80" spans="1:18" ht="24.95" customHeight="1" x14ac:dyDescent="0.25">
      <c r="A80" s="221">
        <v>67</v>
      </c>
      <c r="B80" s="225" t="s">
        <v>290</v>
      </c>
      <c r="C80" s="234" t="s">
        <v>240</v>
      </c>
      <c r="D80" s="237" t="s">
        <v>1463</v>
      </c>
      <c r="E80" s="260">
        <v>965858</v>
      </c>
      <c r="F80" s="260">
        <v>555943</v>
      </c>
      <c r="G80" s="262">
        <v>391296</v>
      </c>
      <c r="H80" s="262">
        <v>218212</v>
      </c>
      <c r="I80" s="262"/>
      <c r="J80" s="262"/>
      <c r="K80" s="262"/>
      <c r="L80" s="262"/>
      <c r="M80" s="262"/>
      <c r="N80" s="262"/>
      <c r="O80" s="262"/>
      <c r="P80" s="262"/>
      <c r="Q80" s="253">
        <f t="shared" si="2"/>
        <v>2131309</v>
      </c>
      <c r="R80" s="255">
        <f t="shared" si="3"/>
        <v>27.028831504098981</v>
      </c>
    </row>
    <row r="81" spans="1:18" ht="24.95" customHeight="1" x14ac:dyDescent="0.25">
      <c r="A81" s="221">
        <v>68</v>
      </c>
      <c r="B81" s="227" t="s">
        <v>262</v>
      </c>
      <c r="C81" s="223" t="s">
        <v>242</v>
      </c>
      <c r="D81" s="224" t="s">
        <v>1463</v>
      </c>
      <c r="E81" s="260">
        <v>965858</v>
      </c>
      <c r="F81" s="260">
        <v>555943</v>
      </c>
      <c r="G81" s="262">
        <v>391296</v>
      </c>
      <c r="H81" s="262">
        <v>218206</v>
      </c>
      <c r="I81" s="262"/>
      <c r="J81" s="262"/>
      <c r="K81" s="262"/>
      <c r="L81" s="262"/>
      <c r="M81" s="262"/>
      <c r="N81" s="262"/>
      <c r="O81" s="262"/>
      <c r="P81" s="262"/>
      <c r="Q81" s="253">
        <f t="shared" si="2"/>
        <v>2131303</v>
      </c>
      <c r="R81" s="255">
        <f t="shared" si="3"/>
        <v>27.028755413307348</v>
      </c>
    </row>
    <row r="82" spans="1:18" ht="24.95" customHeight="1" x14ac:dyDescent="0.25">
      <c r="A82" s="221">
        <v>69</v>
      </c>
      <c r="B82" s="227" t="s">
        <v>255</v>
      </c>
      <c r="C82" s="223" t="s">
        <v>242</v>
      </c>
      <c r="D82" s="224" t="s">
        <v>1463</v>
      </c>
      <c r="E82" s="260">
        <v>965858</v>
      </c>
      <c r="F82" s="260">
        <v>555943</v>
      </c>
      <c r="G82" s="262">
        <v>391296</v>
      </c>
      <c r="H82" s="262">
        <v>218206</v>
      </c>
      <c r="I82" s="262"/>
      <c r="J82" s="262"/>
      <c r="K82" s="262"/>
      <c r="L82" s="262"/>
      <c r="M82" s="262"/>
      <c r="N82" s="262"/>
      <c r="O82" s="262"/>
      <c r="P82" s="262"/>
      <c r="Q82" s="253">
        <f t="shared" si="2"/>
        <v>2131303</v>
      </c>
      <c r="R82" s="255">
        <f t="shared" si="3"/>
        <v>27.028755413307348</v>
      </c>
    </row>
    <row r="83" spans="1:18" ht="24.95" customHeight="1" x14ac:dyDescent="0.25">
      <c r="A83" s="221">
        <v>70</v>
      </c>
      <c r="B83" s="227" t="s">
        <v>275</v>
      </c>
      <c r="C83" s="223" t="s">
        <v>247</v>
      </c>
      <c r="D83" s="224" t="s">
        <v>1463</v>
      </c>
      <c r="E83" s="260">
        <v>965858</v>
      </c>
      <c r="F83" s="260">
        <v>555943</v>
      </c>
      <c r="G83" s="262">
        <v>391296</v>
      </c>
      <c r="H83" s="262">
        <v>218206</v>
      </c>
      <c r="I83" s="262"/>
      <c r="J83" s="262"/>
      <c r="K83" s="262"/>
      <c r="L83" s="262"/>
      <c r="M83" s="262"/>
      <c r="N83" s="262"/>
      <c r="O83" s="262"/>
      <c r="P83" s="262"/>
      <c r="Q83" s="253">
        <f t="shared" si="2"/>
        <v>2131303</v>
      </c>
      <c r="R83" s="255">
        <f t="shared" si="3"/>
        <v>27.028755413307348</v>
      </c>
    </row>
    <row r="84" spans="1:18" ht="24.95" customHeight="1" x14ac:dyDescent="0.25">
      <c r="A84" s="221">
        <v>71</v>
      </c>
      <c r="B84" s="222" t="s">
        <v>263</v>
      </c>
      <c r="C84" s="223" t="s">
        <v>247</v>
      </c>
      <c r="D84" s="224" t="s">
        <v>1463</v>
      </c>
      <c r="E84" s="260">
        <v>965858</v>
      </c>
      <c r="F84" s="260">
        <v>555943</v>
      </c>
      <c r="G84" s="262">
        <v>391296</v>
      </c>
      <c r="H84" s="262">
        <v>218206</v>
      </c>
      <c r="I84" s="262"/>
      <c r="J84" s="262"/>
      <c r="K84" s="262"/>
      <c r="L84" s="262"/>
      <c r="M84" s="262"/>
      <c r="N84" s="262"/>
      <c r="O84" s="262"/>
      <c r="P84" s="262"/>
      <c r="Q84" s="253">
        <f t="shared" si="2"/>
        <v>2131303</v>
      </c>
      <c r="R84" s="255">
        <f t="shared" si="3"/>
        <v>27.028755413307348</v>
      </c>
    </row>
    <row r="85" spans="1:18" ht="24.95" customHeight="1" x14ac:dyDescent="0.25">
      <c r="A85" s="221">
        <v>72</v>
      </c>
      <c r="B85" s="227" t="s">
        <v>264</v>
      </c>
      <c r="C85" s="223" t="s">
        <v>247</v>
      </c>
      <c r="D85" s="224" t="s">
        <v>1463</v>
      </c>
      <c r="E85" s="260">
        <v>965858</v>
      </c>
      <c r="F85" s="260">
        <v>555943</v>
      </c>
      <c r="G85" s="262">
        <v>391296</v>
      </c>
      <c r="H85" s="262">
        <v>218206</v>
      </c>
      <c r="I85" s="262"/>
      <c r="J85" s="262"/>
      <c r="K85" s="262"/>
      <c r="L85" s="262"/>
      <c r="M85" s="262"/>
      <c r="N85" s="262"/>
      <c r="O85" s="262"/>
      <c r="P85" s="262"/>
      <c r="Q85" s="253">
        <f t="shared" si="2"/>
        <v>2131303</v>
      </c>
      <c r="R85" s="255">
        <f t="shared" si="3"/>
        <v>27.028755413307348</v>
      </c>
    </row>
    <row r="86" spans="1:18" ht="24.95" customHeight="1" x14ac:dyDescent="0.25">
      <c r="A86" s="221">
        <v>73</v>
      </c>
      <c r="B86" s="222" t="s">
        <v>364</v>
      </c>
      <c r="C86" s="223" t="s">
        <v>247</v>
      </c>
      <c r="D86" s="224" t="s">
        <v>1463</v>
      </c>
      <c r="E86" s="260">
        <v>965858</v>
      </c>
      <c r="F86" s="260">
        <v>555943</v>
      </c>
      <c r="G86" s="262">
        <v>391296</v>
      </c>
      <c r="H86" s="262">
        <v>218206</v>
      </c>
      <c r="I86" s="262"/>
      <c r="J86" s="262"/>
      <c r="K86" s="262"/>
      <c r="L86" s="262"/>
      <c r="M86" s="262"/>
      <c r="N86" s="262"/>
      <c r="O86" s="262"/>
      <c r="P86" s="262"/>
      <c r="Q86" s="253">
        <f t="shared" si="2"/>
        <v>2131303</v>
      </c>
      <c r="R86" s="255">
        <f t="shared" si="3"/>
        <v>27.028755413307348</v>
      </c>
    </row>
    <row r="87" spans="1:18" ht="24.95" customHeight="1" x14ac:dyDescent="0.25">
      <c r="A87" s="221">
        <v>74</v>
      </c>
      <c r="B87" s="227" t="s">
        <v>257</v>
      </c>
      <c r="C87" s="223" t="s">
        <v>247</v>
      </c>
      <c r="D87" s="224" t="s">
        <v>1463</v>
      </c>
      <c r="E87" s="260">
        <v>965858</v>
      </c>
      <c r="F87" s="260">
        <v>555943</v>
      </c>
      <c r="G87" s="262">
        <v>391296</v>
      </c>
      <c r="H87" s="262">
        <v>218206</v>
      </c>
      <c r="I87" s="262"/>
      <c r="J87" s="262"/>
      <c r="K87" s="262"/>
      <c r="L87" s="262"/>
      <c r="M87" s="262"/>
      <c r="N87" s="262"/>
      <c r="O87" s="262"/>
      <c r="P87" s="262"/>
      <c r="Q87" s="253">
        <f t="shared" si="2"/>
        <v>2131303</v>
      </c>
      <c r="R87" s="255">
        <f t="shared" si="3"/>
        <v>27.028755413307348</v>
      </c>
    </row>
    <row r="88" spans="1:18" ht="24.95" customHeight="1" x14ac:dyDescent="0.25">
      <c r="A88" s="221">
        <v>75</v>
      </c>
      <c r="B88" s="222" t="s">
        <v>259</v>
      </c>
      <c r="C88" s="223" t="s">
        <v>247</v>
      </c>
      <c r="D88" s="224" t="s">
        <v>1463</v>
      </c>
      <c r="E88" s="260">
        <v>1065073</v>
      </c>
      <c r="F88" s="260">
        <v>354246</v>
      </c>
      <c r="G88" s="262"/>
      <c r="H88" s="262"/>
      <c r="I88" s="262"/>
      <c r="J88" s="262"/>
      <c r="K88" s="262"/>
      <c r="L88" s="262"/>
      <c r="M88" s="262"/>
      <c r="N88" s="262"/>
      <c r="O88" s="262"/>
      <c r="P88" s="262"/>
      <c r="Q88" s="253">
        <f t="shared" si="2"/>
        <v>1419319</v>
      </c>
      <c r="R88" s="255">
        <f t="shared" si="3"/>
        <v>17.999517714965904</v>
      </c>
    </row>
    <row r="89" spans="1:18" ht="24.95" customHeight="1" x14ac:dyDescent="0.25">
      <c r="A89" s="221">
        <v>76</v>
      </c>
      <c r="B89" s="222" t="s">
        <v>267</v>
      </c>
      <c r="C89" s="223" t="s">
        <v>248</v>
      </c>
      <c r="D89" s="224" t="s">
        <v>1463</v>
      </c>
      <c r="E89" s="260"/>
      <c r="F89" s="260"/>
      <c r="G89" s="262">
        <v>445200</v>
      </c>
      <c r="H89" s="262"/>
      <c r="I89" s="262">
        <v>388100</v>
      </c>
      <c r="J89" s="262"/>
      <c r="K89" s="262"/>
      <c r="L89" s="262"/>
      <c r="M89" s="262"/>
      <c r="N89" s="262"/>
      <c r="O89" s="262"/>
      <c r="P89" s="262"/>
      <c r="Q89" s="253">
        <f t="shared" si="2"/>
        <v>833300</v>
      </c>
      <c r="R89" s="255">
        <f t="shared" si="3"/>
        <v>10.567742777966819</v>
      </c>
    </row>
    <row r="90" spans="1:18" ht="24.95" customHeight="1" x14ac:dyDescent="0.25">
      <c r="A90" s="221">
        <v>77</v>
      </c>
      <c r="B90" s="222" t="s">
        <v>269</v>
      </c>
      <c r="C90" s="223" t="s">
        <v>248</v>
      </c>
      <c r="D90" s="224" t="s">
        <v>1463</v>
      </c>
      <c r="E90" s="260">
        <v>48400</v>
      </c>
      <c r="F90" s="260">
        <v>354246</v>
      </c>
      <c r="G90" s="262"/>
      <c r="H90" s="262"/>
      <c r="I90" s="262"/>
      <c r="J90" s="262"/>
      <c r="K90" s="262"/>
      <c r="L90" s="262"/>
      <c r="M90" s="262"/>
      <c r="N90" s="262"/>
      <c r="O90" s="262"/>
      <c r="P90" s="262"/>
      <c r="Q90" s="253">
        <f t="shared" si="2"/>
        <v>402646</v>
      </c>
      <c r="R90" s="255">
        <f t="shared" si="3"/>
        <v>5.1062754813119264</v>
      </c>
    </row>
    <row r="91" spans="1:18" ht="24.95" customHeight="1" x14ac:dyDescent="0.25">
      <c r="A91" s="221">
        <v>78</v>
      </c>
      <c r="B91" s="222" t="s">
        <v>270</v>
      </c>
      <c r="C91" s="223" t="s">
        <v>248</v>
      </c>
      <c r="D91" s="224" t="s">
        <v>1463</v>
      </c>
      <c r="E91" s="260"/>
      <c r="F91" s="260"/>
      <c r="G91" s="262"/>
      <c r="H91" s="262"/>
      <c r="I91" s="262"/>
      <c r="J91" s="262"/>
      <c r="K91" s="262"/>
      <c r="L91" s="262"/>
      <c r="M91" s="262"/>
      <c r="N91" s="262"/>
      <c r="O91" s="262"/>
      <c r="P91" s="262"/>
      <c r="Q91" s="253">
        <f t="shared" si="2"/>
        <v>0</v>
      </c>
      <c r="R91" s="255">
        <f t="shared" si="3"/>
        <v>0</v>
      </c>
    </row>
    <row r="92" spans="1:18" ht="24.95" customHeight="1" x14ac:dyDescent="0.25">
      <c r="A92" s="221">
        <v>79</v>
      </c>
      <c r="B92" s="222" t="s">
        <v>324</v>
      </c>
      <c r="C92" s="223" t="s">
        <v>248</v>
      </c>
      <c r="D92" s="224" t="s">
        <v>1463</v>
      </c>
      <c r="E92" s="260"/>
      <c r="F92" s="260">
        <v>96800</v>
      </c>
      <c r="G92" s="262"/>
      <c r="H92" s="262"/>
      <c r="I92" s="262"/>
      <c r="J92" s="262"/>
      <c r="K92" s="262"/>
      <c r="L92" s="262"/>
      <c r="M92" s="262"/>
      <c r="N92" s="262"/>
      <c r="O92" s="262"/>
      <c r="P92" s="262"/>
      <c r="Q92" s="253">
        <f t="shared" si="2"/>
        <v>96800</v>
      </c>
      <c r="R92" s="255">
        <f t="shared" si="3"/>
        <v>1.2275981050128262</v>
      </c>
    </row>
    <row r="93" spans="1:18" ht="24.95" customHeight="1" x14ac:dyDescent="0.25">
      <c r="A93" s="221">
        <v>80</v>
      </c>
      <c r="B93" s="229" t="s">
        <v>266</v>
      </c>
      <c r="C93" s="223" t="s">
        <v>248</v>
      </c>
      <c r="D93" s="224" t="s">
        <v>1463</v>
      </c>
      <c r="E93" s="260"/>
      <c r="F93" s="260">
        <v>388100</v>
      </c>
      <c r="G93" s="262"/>
      <c r="H93" s="262"/>
      <c r="I93" s="262"/>
      <c r="J93" s="262"/>
      <c r="K93" s="262"/>
      <c r="L93" s="262"/>
      <c r="M93" s="262"/>
      <c r="N93" s="262"/>
      <c r="O93" s="262"/>
      <c r="P93" s="262"/>
      <c r="Q93" s="253">
        <f t="shared" si="2"/>
        <v>388100</v>
      </c>
      <c r="R93" s="255">
        <f t="shared" si="3"/>
        <v>4.9218060387962588</v>
      </c>
    </row>
    <row r="94" spans="1:18" ht="24.95" customHeight="1" x14ac:dyDescent="0.25">
      <c r="A94" s="221">
        <v>81</v>
      </c>
      <c r="B94" s="230" t="s">
        <v>307</v>
      </c>
      <c r="C94" s="223" t="s">
        <v>253</v>
      </c>
      <c r="D94" s="224" t="s">
        <v>1463</v>
      </c>
      <c r="E94" s="260"/>
      <c r="F94" s="260"/>
      <c r="G94" s="262">
        <v>646500</v>
      </c>
      <c r="H94" s="262"/>
      <c r="I94" s="262">
        <v>474900</v>
      </c>
      <c r="J94" s="262"/>
      <c r="K94" s="262"/>
      <c r="L94" s="262"/>
      <c r="M94" s="262"/>
      <c r="N94" s="262"/>
      <c r="O94" s="262"/>
      <c r="P94" s="262"/>
      <c r="Q94" s="253">
        <f t="shared" si="2"/>
        <v>1121400</v>
      </c>
      <c r="R94" s="255">
        <f t="shared" si="3"/>
        <v>14.221368956212638</v>
      </c>
    </row>
    <row r="95" spans="1:18" ht="24.95" customHeight="1" x14ac:dyDescent="0.25">
      <c r="A95" s="221">
        <v>82</v>
      </c>
      <c r="B95" s="222" t="s">
        <v>380</v>
      </c>
      <c r="C95" s="223" t="s">
        <v>353</v>
      </c>
      <c r="D95" s="224" t="s">
        <v>1463</v>
      </c>
      <c r="E95" s="260">
        <v>965858</v>
      </c>
      <c r="F95" s="260">
        <v>555943</v>
      </c>
      <c r="G95" s="262">
        <v>391296</v>
      </c>
      <c r="H95" s="262">
        <v>218206</v>
      </c>
      <c r="I95" s="262">
        <v>881220</v>
      </c>
      <c r="J95" s="262"/>
      <c r="K95" s="262"/>
      <c r="L95" s="262"/>
      <c r="M95" s="262"/>
      <c r="N95" s="262"/>
      <c r="O95" s="262"/>
      <c r="P95" s="262"/>
      <c r="Q95" s="253">
        <f>SUM(E95:P95)</f>
        <v>3012523</v>
      </c>
      <c r="R95" s="255">
        <f t="shared" si="3"/>
        <v>38.204209980449946</v>
      </c>
    </row>
    <row r="96" spans="1:18" ht="24.95" customHeight="1" x14ac:dyDescent="0.25">
      <c r="A96" s="221">
        <v>83</v>
      </c>
      <c r="B96" s="222" t="s">
        <v>381</v>
      </c>
      <c r="C96" s="223" t="s">
        <v>353</v>
      </c>
      <c r="D96" s="224" t="s">
        <v>1463</v>
      </c>
      <c r="E96" s="260">
        <v>965858</v>
      </c>
      <c r="F96" s="260">
        <v>555943</v>
      </c>
      <c r="G96" s="262">
        <v>391296</v>
      </c>
      <c r="H96" s="262">
        <v>218206</v>
      </c>
      <c r="I96" s="262"/>
      <c r="J96" s="262"/>
      <c r="K96" s="262"/>
      <c r="L96" s="262"/>
      <c r="M96" s="262"/>
      <c r="N96" s="262"/>
      <c r="O96" s="262"/>
      <c r="P96" s="262"/>
      <c r="Q96" s="253">
        <f t="shared" si="2"/>
        <v>2131303</v>
      </c>
      <c r="R96" s="255">
        <f t="shared" si="3"/>
        <v>27.028755413307348</v>
      </c>
    </row>
    <row r="97" spans="1:18" ht="24.95" customHeight="1" x14ac:dyDescent="0.25">
      <c r="A97" s="221">
        <v>84</v>
      </c>
      <c r="B97" s="227" t="s">
        <v>361</v>
      </c>
      <c r="C97" s="223" t="s">
        <v>353</v>
      </c>
      <c r="D97" s="224" t="s">
        <v>1463</v>
      </c>
      <c r="E97" s="260">
        <v>965858</v>
      </c>
      <c r="F97" s="260">
        <v>555943</v>
      </c>
      <c r="G97" s="262">
        <v>391296</v>
      </c>
      <c r="H97" s="262">
        <v>218206</v>
      </c>
      <c r="I97" s="262">
        <v>938220</v>
      </c>
      <c r="J97" s="262"/>
      <c r="K97" s="262"/>
      <c r="L97" s="262"/>
      <c r="M97" s="262"/>
      <c r="N97" s="262"/>
      <c r="O97" s="262"/>
      <c r="P97" s="262"/>
      <c r="Q97" s="253">
        <f t="shared" si="2"/>
        <v>3069523</v>
      </c>
      <c r="R97" s="255">
        <f t="shared" si="3"/>
        <v>38.927072500963696</v>
      </c>
    </row>
    <row r="98" spans="1:18" ht="24.95" customHeight="1" x14ac:dyDescent="0.25">
      <c r="A98" s="221">
        <v>85</v>
      </c>
      <c r="B98" s="222" t="s">
        <v>377</v>
      </c>
      <c r="C98" s="223" t="s">
        <v>353</v>
      </c>
      <c r="D98" s="224" t="s">
        <v>1463</v>
      </c>
      <c r="E98" s="260">
        <v>965858</v>
      </c>
      <c r="F98" s="260">
        <v>555943</v>
      </c>
      <c r="G98" s="262">
        <v>391296</v>
      </c>
      <c r="H98" s="262">
        <v>218206</v>
      </c>
      <c r="I98" s="262">
        <v>583830</v>
      </c>
      <c r="J98" s="262"/>
      <c r="K98" s="262"/>
      <c r="L98" s="262"/>
      <c r="M98" s="262"/>
      <c r="N98" s="262"/>
      <c r="O98" s="262"/>
      <c r="P98" s="262"/>
      <c r="Q98" s="253">
        <f t="shared" si="2"/>
        <v>2715133</v>
      </c>
      <c r="R98" s="255">
        <f t="shared" si="3"/>
        <v>34.432769893158991</v>
      </c>
    </row>
    <row r="99" spans="1:18" ht="24.95" customHeight="1" x14ac:dyDescent="0.25">
      <c r="A99" s="221">
        <v>86</v>
      </c>
      <c r="B99" s="222" t="s">
        <v>376</v>
      </c>
      <c r="C99" s="223" t="s">
        <v>353</v>
      </c>
      <c r="D99" s="224" t="s">
        <v>1463</v>
      </c>
      <c r="E99" s="260">
        <v>965858</v>
      </c>
      <c r="F99" s="260">
        <v>555943</v>
      </c>
      <c r="G99" s="262">
        <v>391296</v>
      </c>
      <c r="H99" s="262">
        <v>218206</v>
      </c>
      <c r="I99" s="262"/>
      <c r="J99" s="262"/>
      <c r="K99" s="262"/>
      <c r="L99" s="262"/>
      <c r="M99" s="262"/>
      <c r="N99" s="262"/>
      <c r="O99" s="262"/>
      <c r="P99" s="262"/>
      <c r="Q99" s="253">
        <f t="shared" si="2"/>
        <v>2131303</v>
      </c>
      <c r="R99" s="255">
        <f t="shared" si="3"/>
        <v>27.028755413307348</v>
      </c>
    </row>
    <row r="100" spans="1:18" ht="24.95" customHeight="1" x14ac:dyDescent="0.25">
      <c r="A100" s="221">
        <v>87</v>
      </c>
      <c r="B100" s="225" t="s">
        <v>277</v>
      </c>
      <c r="C100" s="234" t="s">
        <v>240</v>
      </c>
      <c r="D100" s="237" t="s">
        <v>126</v>
      </c>
      <c r="E100" s="260"/>
      <c r="F100" s="260"/>
      <c r="G100" s="262"/>
      <c r="H100" s="262"/>
      <c r="I100" s="262"/>
      <c r="J100" s="262"/>
      <c r="K100" s="262"/>
      <c r="L100" s="262"/>
      <c r="M100" s="262"/>
      <c r="N100" s="262"/>
      <c r="O100" s="262"/>
      <c r="P100" s="262"/>
      <c r="Q100" s="253">
        <f t="shared" si="2"/>
        <v>0</v>
      </c>
      <c r="R100" s="255">
        <f t="shared" si="3"/>
        <v>0</v>
      </c>
    </row>
    <row r="101" spans="1:18" ht="24.95" customHeight="1" x14ac:dyDescent="0.25">
      <c r="A101" s="221">
        <v>88</v>
      </c>
      <c r="B101" s="229" t="s">
        <v>302</v>
      </c>
      <c r="C101" s="223" t="s">
        <v>242</v>
      </c>
      <c r="D101" s="224" t="s">
        <v>126</v>
      </c>
      <c r="E101" s="260"/>
      <c r="F101" s="260"/>
      <c r="G101" s="262"/>
      <c r="H101" s="262">
        <v>686515</v>
      </c>
      <c r="I101" s="262">
        <v>4856400</v>
      </c>
      <c r="J101" s="262"/>
      <c r="K101" s="262"/>
      <c r="L101" s="262"/>
      <c r="M101" s="262"/>
      <c r="N101" s="262"/>
      <c r="O101" s="262"/>
      <c r="P101" s="262"/>
      <c r="Q101" s="253">
        <f t="shared" si="2"/>
        <v>5542915</v>
      </c>
      <c r="R101" s="255">
        <f t="shared" si="3"/>
        <v>70.294131717429437</v>
      </c>
    </row>
    <row r="102" spans="1:18" ht="24.95" customHeight="1" x14ac:dyDescent="0.25">
      <c r="A102" s="221">
        <v>89</v>
      </c>
      <c r="B102" s="222" t="s">
        <v>271</v>
      </c>
      <c r="C102" s="223" t="s">
        <v>242</v>
      </c>
      <c r="D102" s="224" t="s">
        <v>126</v>
      </c>
      <c r="E102" s="260">
        <v>388100</v>
      </c>
      <c r="F102" s="260"/>
      <c r="G102" s="262"/>
      <c r="H102" s="262">
        <v>354246</v>
      </c>
      <c r="I102" s="262">
        <v>354246</v>
      </c>
      <c r="J102" s="262"/>
      <c r="K102" s="262"/>
      <c r="L102" s="262"/>
      <c r="M102" s="262"/>
      <c r="N102" s="262"/>
      <c r="O102" s="262"/>
      <c r="P102" s="262"/>
      <c r="Q102" s="253">
        <f t="shared" si="2"/>
        <v>1096592</v>
      </c>
      <c r="R102" s="255">
        <f t="shared" si="3"/>
        <v>13.906758896407284</v>
      </c>
    </row>
    <row r="103" spans="1:18" ht="24.95" customHeight="1" x14ac:dyDescent="0.25">
      <c r="A103" s="221">
        <v>90</v>
      </c>
      <c r="B103" s="227" t="s">
        <v>272</v>
      </c>
      <c r="C103" s="223" t="s">
        <v>242</v>
      </c>
      <c r="D103" s="224" t="s">
        <v>126</v>
      </c>
      <c r="E103" s="260">
        <v>451155</v>
      </c>
      <c r="F103" s="260">
        <v>388100</v>
      </c>
      <c r="G103" s="262"/>
      <c r="H103" s="262"/>
      <c r="I103" s="262">
        <v>177123</v>
      </c>
      <c r="J103" s="262"/>
      <c r="K103" s="262"/>
      <c r="L103" s="262"/>
      <c r="M103" s="262"/>
      <c r="N103" s="262"/>
      <c r="O103" s="262"/>
      <c r="P103" s="262"/>
      <c r="Q103" s="253">
        <f t="shared" si="2"/>
        <v>1016378</v>
      </c>
      <c r="R103" s="255">
        <f t="shared" si="3"/>
        <v>12.889501103065355</v>
      </c>
    </row>
    <row r="104" spans="1:18" ht="24.95" customHeight="1" x14ac:dyDescent="0.25">
      <c r="A104" s="221">
        <v>91</v>
      </c>
      <c r="B104" s="227" t="s">
        <v>273</v>
      </c>
      <c r="C104" s="223" t="s">
        <v>247</v>
      </c>
      <c r="D104" s="224" t="s">
        <v>126</v>
      </c>
      <c r="E104" s="260"/>
      <c r="F104" s="260"/>
      <c r="G104" s="262"/>
      <c r="H104" s="262">
        <v>708492</v>
      </c>
      <c r="I104" s="262">
        <v>880659</v>
      </c>
      <c r="J104" s="262"/>
      <c r="K104" s="262"/>
      <c r="L104" s="262"/>
      <c r="M104" s="262"/>
      <c r="N104" s="262"/>
      <c r="O104" s="262"/>
      <c r="P104" s="262"/>
      <c r="Q104" s="253">
        <f t="shared" si="2"/>
        <v>1589151</v>
      </c>
      <c r="R104" s="255">
        <f t="shared" si="3"/>
        <v>20.153292935735927</v>
      </c>
    </row>
    <row r="105" spans="1:18" ht="24.95" customHeight="1" x14ac:dyDescent="0.25">
      <c r="A105" s="221">
        <v>92</v>
      </c>
      <c r="B105" s="227" t="s">
        <v>279</v>
      </c>
      <c r="C105" s="223" t="s">
        <v>247</v>
      </c>
      <c r="D105" s="224" t="s">
        <v>126</v>
      </c>
      <c r="E105" s="260"/>
      <c r="F105" s="260">
        <v>354246</v>
      </c>
      <c r="G105" s="262"/>
      <c r="H105" s="262"/>
      <c r="I105" s="262">
        <v>354246</v>
      </c>
      <c r="J105" s="262"/>
      <c r="K105" s="262"/>
      <c r="L105" s="262"/>
      <c r="M105" s="262"/>
      <c r="N105" s="262"/>
      <c r="O105" s="262"/>
      <c r="P105" s="262"/>
      <c r="Q105" s="253">
        <f t="shared" si="2"/>
        <v>708492</v>
      </c>
      <c r="R105" s="255">
        <f t="shared" si="3"/>
        <v>8.9849528576110256</v>
      </c>
    </row>
    <row r="106" spans="1:18" ht="24.95" customHeight="1" x14ac:dyDescent="0.25">
      <c r="A106" s="221">
        <v>93</v>
      </c>
      <c r="B106" s="227" t="s">
        <v>280</v>
      </c>
      <c r="C106" s="223" t="s">
        <v>247</v>
      </c>
      <c r="D106" s="224" t="s">
        <v>126</v>
      </c>
      <c r="E106" s="260"/>
      <c r="F106" s="260"/>
      <c r="G106" s="262"/>
      <c r="H106" s="262"/>
      <c r="I106" s="262"/>
      <c r="J106" s="262"/>
      <c r="K106" s="262"/>
      <c r="L106" s="262"/>
      <c r="M106" s="262"/>
      <c r="N106" s="262"/>
      <c r="O106" s="262"/>
      <c r="P106" s="262"/>
      <c r="Q106" s="253">
        <f t="shared" si="2"/>
        <v>0</v>
      </c>
      <c r="R106" s="255">
        <f t="shared" si="3"/>
        <v>0</v>
      </c>
    </row>
    <row r="107" spans="1:18" ht="24.95" customHeight="1" x14ac:dyDescent="0.25">
      <c r="A107" s="221">
        <v>94</v>
      </c>
      <c r="B107" s="222" t="s">
        <v>281</v>
      </c>
      <c r="C107" s="223" t="s">
        <v>247</v>
      </c>
      <c r="D107" s="224" t="s">
        <v>126</v>
      </c>
      <c r="E107" s="260"/>
      <c r="F107" s="260"/>
      <c r="G107" s="262"/>
      <c r="H107" s="262"/>
      <c r="I107" s="262">
        <v>349290</v>
      </c>
      <c r="J107" s="262"/>
      <c r="K107" s="262"/>
      <c r="L107" s="262"/>
      <c r="M107" s="262"/>
      <c r="N107" s="262"/>
      <c r="O107" s="262"/>
      <c r="P107" s="262"/>
      <c r="Q107" s="253">
        <f t="shared" si="2"/>
        <v>349290</v>
      </c>
      <c r="R107" s="255">
        <f t="shared" si="3"/>
        <v>4.4296254349166331</v>
      </c>
    </row>
    <row r="108" spans="1:18" ht="24.95" customHeight="1" x14ac:dyDescent="0.25">
      <c r="A108" s="221">
        <v>95</v>
      </c>
      <c r="B108" s="222" t="s">
        <v>274</v>
      </c>
      <c r="C108" s="223" t="s">
        <v>247</v>
      </c>
      <c r="D108" s="224" t="s">
        <v>126</v>
      </c>
      <c r="E108" s="260"/>
      <c r="F108" s="260">
        <v>1091900</v>
      </c>
      <c r="G108" s="262"/>
      <c r="H108" s="262">
        <v>177123</v>
      </c>
      <c r="I108" s="262">
        <v>5210646</v>
      </c>
      <c r="J108" s="262"/>
      <c r="K108" s="262"/>
      <c r="L108" s="262"/>
      <c r="M108" s="262"/>
      <c r="N108" s="262"/>
      <c r="O108" s="262"/>
      <c r="P108" s="262"/>
      <c r="Q108" s="253">
        <f t="shared" si="2"/>
        <v>6479669</v>
      </c>
      <c r="R108" s="255">
        <f t="shared" si="3"/>
        <v>82.173857288330112</v>
      </c>
    </row>
    <row r="109" spans="1:18" ht="24.95" customHeight="1" x14ac:dyDescent="0.25">
      <c r="A109" s="221">
        <v>96</v>
      </c>
      <c r="B109" s="227" t="s">
        <v>282</v>
      </c>
      <c r="C109" s="223" t="s">
        <v>247</v>
      </c>
      <c r="D109" s="224" t="s">
        <v>126</v>
      </c>
      <c r="E109" s="260">
        <v>299915</v>
      </c>
      <c r="F109" s="260"/>
      <c r="G109" s="262"/>
      <c r="H109" s="262">
        <v>177123</v>
      </c>
      <c r="I109" s="262"/>
      <c r="J109" s="262"/>
      <c r="K109" s="262"/>
      <c r="L109" s="262"/>
      <c r="M109" s="262"/>
      <c r="N109" s="262"/>
      <c r="O109" s="262"/>
      <c r="P109" s="262"/>
      <c r="Q109" s="253">
        <f t="shared" si="2"/>
        <v>477038</v>
      </c>
      <c r="R109" s="255">
        <f t="shared" si="3"/>
        <v>6.0496998431726094</v>
      </c>
    </row>
    <row r="110" spans="1:18" ht="24.95" customHeight="1" x14ac:dyDescent="0.25">
      <c r="A110" s="221">
        <v>97</v>
      </c>
      <c r="B110" s="230" t="s">
        <v>284</v>
      </c>
      <c r="C110" s="223" t="s">
        <v>248</v>
      </c>
      <c r="D110" s="224" t="s">
        <v>126</v>
      </c>
      <c r="E110" s="260"/>
      <c r="F110" s="260"/>
      <c r="G110" s="262"/>
      <c r="H110" s="262"/>
      <c r="I110" s="262"/>
      <c r="J110" s="262"/>
      <c r="K110" s="262"/>
      <c r="L110" s="262"/>
      <c r="M110" s="262"/>
      <c r="N110" s="262"/>
      <c r="O110" s="262"/>
      <c r="P110" s="262"/>
      <c r="Q110" s="253">
        <f t="shared" si="2"/>
        <v>0</v>
      </c>
      <c r="R110" s="255">
        <f t="shared" si="3"/>
        <v>0</v>
      </c>
    </row>
    <row r="111" spans="1:18" ht="24.95" customHeight="1" x14ac:dyDescent="0.25">
      <c r="A111" s="221">
        <v>98</v>
      </c>
      <c r="B111" s="227" t="s">
        <v>348</v>
      </c>
      <c r="C111" s="223" t="s">
        <v>248</v>
      </c>
      <c r="D111" s="224" t="s">
        <v>126</v>
      </c>
      <c r="E111" s="260"/>
      <c r="F111" s="260"/>
      <c r="G111" s="262"/>
      <c r="H111" s="262"/>
      <c r="I111" s="262"/>
      <c r="J111" s="262"/>
      <c r="K111" s="262"/>
      <c r="L111" s="262"/>
      <c r="M111" s="262"/>
      <c r="N111" s="262"/>
      <c r="O111" s="262"/>
      <c r="P111" s="262"/>
      <c r="Q111" s="253">
        <f t="shared" si="2"/>
        <v>0</v>
      </c>
      <c r="R111" s="255">
        <f t="shared" si="3"/>
        <v>0</v>
      </c>
    </row>
    <row r="112" spans="1:18" ht="24.95" customHeight="1" x14ac:dyDescent="0.25">
      <c r="A112" s="221">
        <v>99</v>
      </c>
      <c r="B112" s="222" t="s">
        <v>251</v>
      </c>
      <c r="C112" s="223" t="s">
        <v>248</v>
      </c>
      <c r="D112" s="224" t="s">
        <v>126</v>
      </c>
      <c r="E112" s="260"/>
      <c r="F112" s="260"/>
      <c r="G112" s="262"/>
      <c r="H112" s="262"/>
      <c r="I112" s="262"/>
      <c r="J112" s="262"/>
      <c r="K112" s="262"/>
      <c r="L112" s="262"/>
      <c r="M112" s="262"/>
      <c r="N112" s="262"/>
      <c r="O112" s="262"/>
      <c r="P112" s="262"/>
      <c r="Q112" s="253">
        <f t="shared" si="2"/>
        <v>0</v>
      </c>
      <c r="R112" s="255">
        <f t="shared" si="3"/>
        <v>0</v>
      </c>
    </row>
    <row r="113" spans="1:18" ht="24.95" customHeight="1" x14ac:dyDescent="0.25">
      <c r="A113" s="221">
        <v>100</v>
      </c>
      <c r="B113" s="222" t="s">
        <v>286</v>
      </c>
      <c r="C113" s="223" t="s">
        <v>248</v>
      </c>
      <c r="D113" s="224" t="s">
        <v>126</v>
      </c>
      <c r="E113" s="260">
        <v>368695</v>
      </c>
      <c r="F113" s="260"/>
      <c r="G113" s="262"/>
      <c r="H113" s="262"/>
      <c r="I113" s="262"/>
      <c r="J113" s="262"/>
      <c r="K113" s="262"/>
      <c r="L113" s="262"/>
      <c r="M113" s="262"/>
      <c r="N113" s="262"/>
      <c r="O113" s="262"/>
      <c r="P113" s="262"/>
      <c r="Q113" s="253">
        <f t="shared" si="2"/>
        <v>368695</v>
      </c>
      <c r="R113" s="255">
        <f t="shared" si="3"/>
        <v>4.6757157368564455</v>
      </c>
    </row>
    <row r="114" spans="1:18" ht="24.95" customHeight="1" x14ac:dyDescent="0.25">
      <c r="A114" s="221">
        <v>101</v>
      </c>
      <c r="B114" s="222" t="s">
        <v>382</v>
      </c>
      <c r="C114" s="223" t="s">
        <v>353</v>
      </c>
      <c r="D114" s="224" t="s">
        <v>126</v>
      </c>
      <c r="E114" s="260"/>
      <c r="F114" s="260"/>
      <c r="G114" s="262"/>
      <c r="H114" s="262"/>
      <c r="I114" s="262">
        <v>2227527</v>
      </c>
      <c r="J114" s="262"/>
      <c r="K114" s="262"/>
      <c r="L114" s="262"/>
      <c r="M114" s="262"/>
      <c r="N114" s="262"/>
      <c r="O114" s="262"/>
      <c r="P114" s="262"/>
      <c r="Q114" s="253">
        <f t="shared" si="2"/>
        <v>2227527</v>
      </c>
      <c r="R114" s="255">
        <f t="shared" si="3"/>
        <v>28.249048802323408</v>
      </c>
    </row>
    <row r="115" spans="1:18" ht="24.95" customHeight="1" x14ac:dyDescent="0.25">
      <c r="A115" s="221">
        <v>102</v>
      </c>
      <c r="B115" s="222" t="s">
        <v>384</v>
      </c>
      <c r="C115" s="223" t="s">
        <v>353</v>
      </c>
      <c r="D115" s="224" t="s">
        <v>126</v>
      </c>
      <c r="E115" s="260"/>
      <c r="F115" s="260">
        <v>2833968</v>
      </c>
      <c r="G115" s="262"/>
      <c r="H115" s="262">
        <v>708492</v>
      </c>
      <c r="I115" s="262">
        <v>2656845</v>
      </c>
      <c r="J115" s="262"/>
      <c r="K115" s="262"/>
      <c r="L115" s="262"/>
      <c r="M115" s="262"/>
      <c r="N115" s="262"/>
      <c r="O115" s="262"/>
      <c r="P115" s="262"/>
      <c r="Q115" s="253">
        <f t="shared" si="2"/>
        <v>6199305</v>
      </c>
      <c r="R115" s="255">
        <f t="shared" si="3"/>
        <v>78.618337504096473</v>
      </c>
    </row>
    <row r="116" spans="1:18" ht="24.95" customHeight="1" x14ac:dyDescent="0.25">
      <c r="A116" s="221">
        <v>103</v>
      </c>
      <c r="B116" s="222" t="s">
        <v>386</v>
      </c>
      <c r="C116" s="223" t="s">
        <v>353</v>
      </c>
      <c r="D116" s="224" t="s">
        <v>126</v>
      </c>
      <c r="E116" s="260"/>
      <c r="F116" s="260">
        <v>388100</v>
      </c>
      <c r="G116" s="262">
        <v>177123</v>
      </c>
      <c r="H116" s="262"/>
      <c r="I116" s="262"/>
      <c r="J116" s="262"/>
      <c r="K116" s="262"/>
      <c r="L116" s="262"/>
      <c r="M116" s="262"/>
      <c r="N116" s="262"/>
      <c r="O116" s="262"/>
      <c r="P116" s="262"/>
      <c r="Q116" s="253">
        <f t="shared" si="2"/>
        <v>565223</v>
      </c>
      <c r="R116" s="255">
        <f t="shared" si="3"/>
        <v>7.1680442531990156</v>
      </c>
    </row>
    <row r="117" spans="1:18" ht="24.95" customHeight="1" x14ac:dyDescent="0.25">
      <c r="A117" s="221">
        <v>104</v>
      </c>
      <c r="B117" s="222" t="s">
        <v>387</v>
      </c>
      <c r="C117" s="223" t="s">
        <v>353</v>
      </c>
      <c r="D117" s="224" t="s">
        <v>126</v>
      </c>
      <c r="E117" s="260"/>
      <c r="F117" s="260">
        <v>6376428</v>
      </c>
      <c r="G117" s="262"/>
      <c r="H117" s="262">
        <v>531369</v>
      </c>
      <c r="I117" s="262">
        <v>1239861</v>
      </c>
      <c r="J117" s="262"/>
      <c r="K117" s="262"/>
      <c r="L117" s="262"/>
      <c r="M117" s="262"/>
      <c r="N117" s="262"/>
      <c r="O117" s="262"/>
      <c r="P117" s="262"/>
      <c r="Q117" s="253">
        <f t="shared" si="2"/>
        <v>8147658</v>
      </c>
      <c r="R117" s="255">
        <f t="shared" si="3"/>
        <v>103.3269578625268</v>
      </c>
    </row>
    <row r="118" spans="1:18" ht="24.95" customHeight="1" x14ac:dyDescent="0.25">
      <c r="A118" s="221">
        <v>105</v>
      </c>
      <c r="B118" s="222" t="s">
        <v>276</v>
      </c>
      <c r="C118" s="223" t="s">
        <v>353</v>
      </c>
      <c r="D118" s="224" t="s">
        <v>126</v>
      </c>
      <c r="E118" s="260"/>
      <c r="F118" s="260">
        <v>3011091</v>
      </c>
      <c r="G118" s="262"/>
      <c r="H118" s="262">
        <v>354246</v>
      </c>
      <c r="I118" s="262">
        <v>1062738</v>
      </c>
      <c r="J118" s="262"/>
      <c r="K118" s="262"/>
      <c r="L118" s="262"/>
      <c r="M118" s="262"/>
      <c r="N118" s="262"/>
      <c r="O118" s="262"/>
      <c r="P118" s="262"/>
      <c r="Q118" s="253">
        <f t="shared" si="2"/>
        <v>4428075</v>
      </c>
      <c r="R118" s="255">
        <f t="shared" si="3"/>
        <v>56.155955360068909</v>
      </c>
    </row>
    <row r="119" spans="1:18" ht="24.95" customHeight="1" x14ac:dyDescent="0.25">
      <c r="A119" s="221">
        <v>106</v>
      </c>
      <c r="B119" s="222" t="s">
        <v>383</v>
      </c>
      <c r="C119" s="223" t="s">
        <v>353</v>
      </c>
      <c r="D119" s="224" t="s">
        <v>126</v>
      </c>
      <c r="E119" s="260"/>
      <c r="F119" s="260">
        <v>3188214</v>
      </c>
      <c r="G119" s="262"/>
      <c r="H119" s="262">
        <v>949900</v>
      </c>
      <c r="I119" s="262">
        <v>4166286</v>
      </c>
      <c r="J119" s="262"/>
      <c r="K119" s="262"/>
      <c r="L119" s="262"/>
      <c r="M119" s="262"/>
      <c r="N119" s="262"/>
      <c r="O119" s="262"/>
      <c r="P119" s="262"/>
      <c r="Q119" s="253">
        <f t="shared" si="2"/>
        <v>8304400</v>
      </c>
      <c r="R119" s="255">
        <f t="shared" si="3"/>
        <v>105.31472833955075</v>
      </c>
    </row>
    <row r="120" spans="1:18" ht="24.95" customHeight="1" x14ac:dyDescent="0.25">
      <c r="A120" s="221">
        <v>107</v>
      </c>
      <c r="B120" s="225" t="s">
        <v>41</v>
      </c>
      <c r="C120" s="234" t="s">
        <v>240</v>
      </c>
      <c r="D120" s="237" t="s">
        <v>124</v>
      </c>
      <c r="E120" s="260"/>
      <c r="F120" s="260"/>
      <c r="G120" s="262"/>
      <c r="H120" s="262"/>
      <c r="I120" s="262"/>
      <c r="J120" s="262"/>
      <c r="K120" s="262"/>
      <c r="L120" s="262"/>
      <c r="M120" s="262"/>
      <c r="N120" s="262"/>
      <c r="O120" s="262"/>
      <c r="P120" s="262"/>
      <c r="Q120" s="253">
        <f t="shared" si="2"/>
        <v>0</v>
      </c>
      <c r="R120" s="255">
        <f t="shared" si="3"/>
        <v>0</v>
      </c>
    </row>
    <row r="121" spans="1:18" ht="24.95" customHeight="1" x14ac:dyDescent="0.25">
      <c r="A121" s="221">
        <v>108</v>
      </c>
      <c r="B121" s="222" t="s">
        <v>318</v>
      </c>
      <c r="C121" s="223" t="s">
        <v>242</v>
      </c>
      <c r="D121" s="224" t="s">
        <v>124</v>
      </c>
      <c r="E121" s="260">
        <v>1135389</v>
      </c>
      <c r="F121" s="260"/>
      <c r="G121" s="262"/>
      <c r="H121" s="262"/>
      <c r="I121" s="262"/>
      <c r="J121" s="262"/>
      <c r="K121" s="262"/>
      <c r="L121" s="262"/>
      <c r="M121" s="262"/>
      <c r="N121" s="262"/>
      <c r="O121" s="262"/>
      <c r="P121" s="262"/>
      <c r="Q121" s="253">
        <f t="shared" si="2"/>
        <v>1135389</v>
      </c>
      <c r="R121" s="255">
        <f t="shared" si="3"/>
        <v>14.398774636905037</v>
      </c>
    </row>
    <row r="122" spans="1:18" ht="24.95" customHeight="1" x14ac:dyDescent="0.25">
      <c r="A122" s="221">
        <v>109</v>
      </c>
      <c r="B122" s="222" t="s">
        <v>291</v>
      </c>
      <c r="C122" s="223" t="s">
        <v>292</v>
      </c>
      <c r="D122" s="224" t="s">
        <v>124</v>
      </c>
      <c r="E122" s="260">
        <v>1489635</v>
      </c>
      <c r="F122" s="260">
        <v>177123</v>
      </c>
      <c r="G122" s="262"/>
      <c r="H122" s="262"/>
      <c r="I122" s="262"/>
      <c r="J122" s="262"/>
      <c r="K122" s="262"/>
      <c r="L122" s="262"/>
      <c r="M122" s="262"/>
      <c r="N122" s="262"/>
      <c r="O122" s="262"/>
      <c r="P122" s="262"/>
      <c r="Q122" s="253">
        <f t="shared" si="2"/>
        <v>1666758</v>
      </c>
      <c r="R122" s="255">
        <f t="shared" si="3"/>
        <v>21.137489280113307</v>
      </c>
    </row>
    <row r="123" spans="1:18" ht="24.95" customHeight="1" x14ac:dyDescent="0.25">
      <c r="A123" s="221">
        <v>110</v>
      </c>
      <c r="B123" s="222" t="s">
        <v>294</v>
      </c>
      <c r="C123" s="223" t="s">
        <v>247</v>
      </c>
      <c r="D123" s="224" t="s">
        <v>124</v>
      </c>
      <c r="E123" s="260">
        <v>1135389</v>
      </c>
      <c r="F123" s="260"/>
      <c r="G123" s="262"/>
      <c r="H123" s="262"/>
      <c r="I123" s="262"/>
      <c r="J123" s="262"/>
      <c r="K123" s="262"/>
      <c r="L123" s="262"/>
      <c r="M123" s="262"/>
      <c r="N123" s="262"/>
      <c r="O123" s="262"/>
      <c r="P123" s="262"/>
      <c r="Q123" s="253">
        <f t="shared" si="2"/>
        <v>1135389</v>
      </c>
      <c r="R123" s="255">
        <f t="shared" si="3"/>
        <v>14.398774636905037</v>
      </c>
    </row>
    <row r="124" spans="1:18" ht="24.95" customHeight="1" x14ac:dyDescent="0.25">
      <c r="A124" s="221">
        <v>111</v>
      </c>
      <c r="B124" s="229" t="s">
        <v>362</v>
      </c>
      <c r="C124" s="223" t="s">
        <v>247</v>
      </c>
      <c r="D124" s="224" t="s">
        <v>124</v>
      </c>
      <c r="E124" s="260">
        <v>1555389</v>
      </c>
      <c r="F124" s="260"/>
      <c r="G124" s="262"/>
      <c r="H124" s="262"/>
      <c r="I124" s="262"/>
      <c r="J124" s="262"/>
      <c r="K124" s="262"/>
      <c r="L124" s="262"/>
      <c r="M124" s="262"/>
      <c r="N124" s="262"/>
      <c r="O124" s="262"/>
      <c r="P124" s="262"/>
      <c r="Q124" s="253">
        <f t="shared" si="2"/>
        <v>1555389</v>
      </c>
      <c r="R124" s="255">
        <f t="shared" si="3"/>
        <v>19.725130051216887</v>
      </c>
    </row>
    <row r="125" spans="1:18" ht="24.95" customHeight="1" x14ac:dyDescent="0.25">
      <c r="A125" s="221">
        <v>112</v>
      </c>
      <c r="B125" s="222" t="s">
        <v>303</v>
      </c>
      <c r="C125" s="223" t="s">
        <v>247</v>
      </c>
      <c r="D125" s="224" t="s">
        <v>124</v>
      </c>
      <c r="E125" s="260">
        <v>1135389</v>
      </c>
      <c r="F125" s="260"/>
      <c r="G125" s="262"/>
      <c r="H125" s="262"/>
      <c r="I125" s="262"/>
      <c r="J125" s="262"/>
      <c r="K125" s="262"/>
      <c r="L125" s="262"/>
      <c r="M125" s="262"/>
      <c r="N125" s="262"/>
      <c r="O125" s="262"/>
      <c r="P125" s="262"/>
      <c r="Q125" s="253">
        <f t="shared" si="2"/>
        <v>1135389</v>
      </c>
      <c r="R125" s="255">
        <f t="shared" si="3"/>
        <v>14.398774636905037</v>
      </c>
    </row>
    <row r="126" spans="1:18" ht="24.95" customHeight="1" x14ac:dyDescent="0.25">
      <c r="A126" s="221">
        <v>113</v>
      </c>
      <c r="B126" s="222" t="s">
        <v>304</v>
      </c>
      <c r="C126" s="223" t="s">
        <v>247</v>
      </c>
      <c r="D126" s="224" t="s">
        <v>124</v>
      </c>
      <c r="E126" s="260">
        <v>1135389</v>
      </c>
      <c r="F126" s="260"/>
      <c r="G126" s="262"/>
      <c r="H126" s="262"/>
      <c r="I126" s="262"/>
      <c r="J126" s="262"/>
      <c r="K126" s="262"/>
      <c r="L126" s="262"/>
      <c r="M126" s="262"/>
      <c r="N126" s="262"/>
      <c r="O126" s="262"/>
      <c r="P126" s="262"/>
      <c r="Q126" s="253">
        <f t="shared" si="2"/>
        <v>1135389</v>
      </c>
      <c r="R126" s="255">
        <f t="shared" si="3"/>
        <v>14.398774636905037</v>
      </c>
    </row>
    <row r="127" spans="1:18" ht="24.95" customHeight="1" x14ac:dyDescent="0.25">
      <c r="A127" s="221">
        <v>114</v>
      </c>
      <c r="B127" s="222" t="s">
        <v>163</v>
      </c>
      <c r="C127" s="223" t="s">
        <v>247</v>
      </c>
      <c r="D127" s="224" t="s">
        <v>124</v>
      </c>
      <c r="E127" s="260">
        <v>1135389</v>
      </c>
      <c r="F127" s="260"/>
      <c r="G127" s="262">
        <v>177123</v>
      </c>
      <c r="H127" s="262"/>
      <c r="I127" s="262"/>
      <c r="J127" s="262"/>
      <c r="K127" s="262"/>
      <c r="L127" s="262"/>
      <c r="M127" s="262"/>
      <c r="N127" s="262"/>
      <c r="O127" s="262"/>
      <c r="P127" s="262"/>
      <c r="Q127" s="253">
        <f t="shared" si="2"/>
        <v>1312512</v>
      </c>
      <c r="R127" s="255">
        <f t="shared" si="3"/>
        <v>16.645012851307794</v>
      </c>
    </row>
    <row r="128" spans="1:18" ht="24.95" customHeight="1" x14ac:dyDescent="0.25">
      <c r="A128" s="221">
        <v>115</v>
      </c>
      <c r="B128" s="222" t="s">
        <v>311</v>
      </c>
      <c r="C128" s="223" t="s">
        <v>247</v>
      </c>
      <c r="D128" s="224" t="s">
        <v>124</v>
      </c>
      <c r="E128" s="260">
        <v>1135389</v>
      </c>
      <c r="F128" s="260">
        <v>315700</v>
      </c>
      <c r="G128" s="262"/>
      <c r="H128" s="262"/>
      <c r="I128" s="262"/>
      <c r="J128" s="262"/>
      <c r="K128" s="262"/>
      <c r="L128" s="262"/>
      <c r="M128" s="262"/>
      <c r="N128" s="262"/>
      <c r="O128" s="262"/>
      <c r="P128" s="262"/>
      <c r="Q128" s="253">
        <f t="shared" si="2"/>
        <v>1451089</v>
      </c>
      <c r="R128" s="255">
        <f t="shared" si="3"/>
        <v>18.40241845666278</v>
      </c>
    </row>
    <row r="129" spans="1:18" ht="24.95" customHeight="1" x14ac:dyDescent="0.25">
      <c r="A129" s="221">
        <v>116</v>
      </c>
      <c r="B129" s="227" t="s">
        <v>359</v>
      </c>
      <c r="C129" s="223" t="s">
        <v>247</v>
      </c>
      <c r="D129" s="224" t="s">
        <v>124</v>
      </c>
      <c r="E129" s="260">
        <v>1135389</v>
      </c>
      <c r="F129" s="260"/>
      <c r="G129" s="262"/>
      <c r="H129" s="262"/>
      <c r="I129" s="262"/>
      <c r="J129" s="262"/>
      <c r="K129" s="262"/>
      <c r="L129" s="262"/>
      <c r="M129" s="262"/>
      <c r="N129" s="262"/>
      <c r="O129" s="262"/>
      <c r="P129" s="262"/>
      <c r="Q129" s="253">
        <f t="shared" si="2"/>
        <v>1135389</v>
      </c>
      <c r="R129" s="255">
        <f t="shared" si="3"/>
        <v>14.398774636905037</v>
      </c>
    </row>
    <row r="130" spans="1:18" ht="24.95" customHeight="1" x14ac:dyDescent="0.25">
      <c r="A130" s="221">
        <v>117</v>
      </c>
      <c r="B130" s="229" t="s">
        <v>305</v>
      </c>
      <c r="C130" s="223" t="s">
        <v>247</v>
      </c>
      <c r="D130" s="231" t="s">
        <v>124</v>
      </c>
      <c r="E130" s="260">
        <v>1135389</v>
      </c>
      <c r="F130" s="260"/>
      <c r="G130" s="262"/>
      <c r="H130" s="262"/>
      <c r="I130" s="262"/>
      <c r="J130" s="262"/>
      <c r="K130" s="262"/>
      <c r="L130" s="262"/>
      <c r="M130" s="262"/>
      <c r="N130" s="262"/>
      <c r="O130" s="262"/>
      <c r="P130" s="262"/>
      <c r="Q130" s="253">
        <f t="shared" si="2"/>
        <v>1135389</v>
      </c>
      <c r="R130" s="255">
        <f t="shared" si="3"/>
        <v>14.398774636905037</v>
      </c>
    </row>
    <row r="131" spans="1:18" ht="24.95" customHeight="1" x14ac:dyDescent="0.25">
      <c r="A131" s="221">
        <v>118</v>
      </c>
      <c r="B131" s="222" t="s">
        <v>299</v>
      </c>
      <c r="C131" s="223" t="s">
        <v>248</v>
      </c>
      <c r="D131" s="231" t="s">
        <v>124</v>
      </c>
      <c r="E131" s="260">
        <v>1135389</v>
      </c>
      <c r="F131" s="260">
        <v>1265600</v>
      </c>
      <c r="G131" s="262"/>
      <c r="H131" s="262"/>
      <c r="I131" s="262"/>
      <c r="J131" s="262"/>
      <c r="K131" s="262"/>
      <c r="L131" s="262"/>
      <c r="M131" s="262"/>
      <c r="N131" s="262"/>
      <c r="O131" s="262"/>
      <c r="P131" s="262"/>
      <c r="Q131" s="253">
        <f t="shared" ref="Q131:Q194" si="4">SUM(E131:P131)</f>
        <v>2400989</v>
      </c>
      <c r="R131" s="255">
        <f t="shared" si="3"/>
        <v>30.448858952031411</v>
      </c>
    </row>
    <row r="132" spans="1:18" ht="24.95" customHeight="1" x14ac:dyDescent="0.25">
      <c r="A132" s="221">
        <v>119</v>
      </c>
      <c r="B132" s="222" t="s">
        <v>306</v>
      </c>
      <c r="C132" s="223" t="s">
        <v>248</v>
      </c>
      <c r="D132" s="224" t="s">
        <v>124</v>
      </c>
      <c r="E132" s="260">
        <v>2035134</v>
      </c>
      <c r="F132" s="260"/>
      <c r="G132" s="262"/>
      <c r="H132" s="262"/>
      <c r="I132" s="262"/>
      <c r="J132" s="262"/>
      <c r="K132" s="262"/>
      <c r="L132" s="262"/>
      <c r="M132" s="262"/>
      <c r="N132" s="262"/>
      <c r="O132" s="262"/>
      <c r="P132" s="262"/>
      <c r="Q132" s="253">
        <f t="shared" si="4"/>
        <v>2035134</v>
      </c>
      <c r="R132" s="255">
        <f t="shared" si="3"/>
        <v>25.809159523214596</v>
      </c>
    </row>
    <row r="133" spans="1:18" ht="24.95" customHeight="1" x14ac:dyDescent="0.25">
      <c r="A133" s="221">
        <v>120</v>
      </c>
      <c r="B133" s="222" t="s">
        <v>391</v>
      </c>
      <c r="C133" s="223" t="s">
        <v>353</v>
      </c>
      <c r="D133" s="224" t="s">
        <v>124</v>
      </c>
      <c r="E133" s="260">
        <v>1766789</v>
      </c>
      <c r="F133" s="260"/>
      <c r="G133" s="262"/>
      <c r="H133" s="262"/>
      <c r="I133" s="262"/>
      <c r="J133" s="262"/>
      <c r="K133" s="262"/>
      <c r="L133" s="262"/>
      <c r="M133" s="262"/>
      <c r="N133" s="262"/>
      <c r="O133" s="262"/>
      <c r="P133" s="262"/>
      <c r="Q133" s="253">
        <f t="shared" si="4"/>
        <v>1766789</v>
      </c>
      <c r="R133" s="255">
        <f t="shared" si="3"/>
        <v>22.406062276420517</v>
      </c>
    </row>
    <row r="134" spans="1:18" ht="24.95" customHeight="1" x14ac:dyDescent="0.25">
      <c r="A134" s="221">
        <v>121</v>
      </c>
      <c r="B134" s="222" t="s">
        <v>393</v>
      </c>
      <c r="C134" s="223" t="s">
        <v>353</v>
      </c>
      <c r="D134" s="224" t="s">
        <v>124</v>
      </c>
      <c r="E134" s="260">
        <v>1504082</v>
      </c>
      <c r="F134" s="260">
        <v>354246</v>
      </c>
      <c r="G134" s="262"/>
      <c r="H134" s="262"/>
      <c r="I134" s="262"/>
      <c r="J134" s="262"/>
      <c r="K134" s="262"/>
      <c r="L134" s="262"/>
      <c r="M134" s="262"/>
      <c r="N134" s="262"/>
      <c r="O134" s="262"/>
      <c r="P134" s="262"/>
      <c r="Q134" s="253">
        <f t="shared" si="4"/>
        <v>1858328</v>
      </c>
      <c r="R134" s="255">
        <f t="shared" si="3"/>
        <v>23.566941438969785</v>
      </c>
    </row>
    <row r="135" spans="1:18" ht="24.95" customHeight="1" x14ac:dyDescent="0.25">
      <c r="A135" s="221">
        <v>122</v>
      </c>
      <c r="B135" s="222" t="s">
        <v>379</v>
      </c>
      <c r="C135" s="223" t="s">
        <v>353</v>
      </c>
      <c r="D135" s="224" t="s">
        <v>124</v>
      </c>
      <c r="E135" s="260">
        <v>1135389</v>
      </c>
      <c r="F135" s="260">
        <v>1634200</v>
      </c>
      <c r="G135" s="262"/>
      <c r="H135" s="262"/>
      <c r="I135" s="262">
        <v>1279800</v>
      </c>
      <c r="J135" s="262"/>
      <c r="K135" s="262"/>
      <c r="L135" s="262"/>
      <c r="M135" s="262"/>
      <c r="N135" s="262"/>
      <c r="O135" s="262"/>
      <c r="P135" s="262"/>
      <c r="Q135" s="253">
        <f t="shared" si="4"/>
        <v>4049389</v>
      </c>
      <c r="R135" s="255">
        <f t="shared" si="3"/>
        <v>51.353535773344873</v>
      </c>
    </row>
    <row r="136" spans="1:18" ht="24.95" customHeight="1" x14ac:dyDescent="0.25">
      <c r="A136" s="221">
        <v>123</v>
      </c>
      <c r="B136" s="222" t="s">
        <v>390</v>
      </c>
      <c r="C136" s="223" t="s">
        <v>353</v>
      </c>
      <c r="D136" s="224" t="s">
        <v>124</v>
      </c>
      <c r="E136" s="260">
        <v>1312512</v>
      </c>
      <c r="F136" s="260">
        <v>531369</v>
      </c>
      <c r="G136" s="262"/>
      <c r="H136" s="262"/>
      <c r="I136" s="262"/>
      <c r="J136" s="262"/>
      <c r="K136" s="262"/>
      <c r="L136" s="262"/>
      <c r="M136" s="262"/>
      <c r="N136" s="262"/>
      <c r="O136" s="262"/>
      <c r="P136" s="262"/>
      <c r="Q136" s="253">
        <f t="shared" si="4"/>
        <v>1843881</v>
      </c>
      <c r="R136" s="255">
        <f t="shared" si="3"/>
        <v>23.383727494516066</v>
      </c>
    </row>
    <row r="137" spans="1:18" ht="24.95" customHeight="1" x14ac:dyDescent="0.25">
      <c r="A137" s="221">
        <v>124</v>
      </c>
      <c r="B137" s="222" t="s">
        <v>394</v>
      </c>
      <c r="C137" s="223" t="s">
        <v>353</v>
      </c>
      <c r="D137" s="224" t="s">
        <v>124</v>
      </c>
      <c r="E137" s="260">
        <v>1135389</v>
      </c>
      <c r="F137" s="260"/>
      <c r="G137" s="262"/>
      <c r="H137" s="262"/>
      <c r="I137" s="262"/>
      <c r="J137" s="262"/>
      <c r="K137" s="262"/>
      <c r="L137" s="262"/>
      <c r="M137" s="262"/>
      <c r="N137" s="262"/>
      <c r="O137" s="262"/>
      <c r="P137" s="262"/>
      <c r="Q137" s="253">
        <f t="shared" si="4"/>
        <v>1135389</v>
      </c>
      <c r="R137" s="255">
        <f t="shared" si="3"/>
        <v>14.398774636905037</v>
      </c>
    </row>
    <row r="138" spans="1:18" ht="24.95" customHeight="1" x14ac:dyDescent="0.25">
      <c r="A138" s="221">
        <v>125</v>
      </c>
      <c r="B138" s="228" t="s">
        <v>309</v>
      </c>
      <c r="C138" s="234" t="s">
        <v>240</v>
      </c>
      <c r="D138" s="237" t="s">
        <v>156</v>
      </c>
      <c r="E138" s="260">
        <v>2143510</v>
      </c>
      <c r="F138" s="260"/>
      <c r="G138" s="262"/>
      <c r="H138" s="262">
        <v>1129146</v>
      </c>
      <c r="I138" s="262">
        <v>1409039</v>
      </c>
      <c r="J138" s="262"/>
      <c r="K138" s="262"/>
      <c r="L138" s="262"/>
      <c r="M138" s="262"/>
      <c r="N138" s="262"/>
      <c r="O138" s="262"/>
      <c r="P138" s="262"/>
      <c r="Q138" s="253">
        <f t="shared" si="4"/>
        <v>4681695</v>
      </c>
      <c r="R138" s="255">
        <f t="shared" si="3"/>
        <v>59.372313122396939</v>
      </c>
    </row>
    <row r="139" spans="1:18" ht="24.95" customHeight="1" x14ac:dyDescent="0.25">
      <c r="A139" s="221">
        <v>126</v>
      </c>
      <c r="B139" s="227" t="s">
        <v>310</v>
      </c>
      <c r="C139" s="223" t="s">
        <v>242</v>
      </c>
      <c r="D139" s="224" t="s">
        <v>156</v>
      </c>
      <c r="E139" s="260">
        <v>1542876</v>
      </c>
      <c r="F139" s="260">
        <v>177123</v>
      </c>
      <c r="G139" s="262">
        <v>370723</v>
      </c>
      <c r="H139" s="262">
        <v>454246</v>
      </c>
      <c r="I139" s="262">
        <v>671649</v>
      </c>
      <c r="J139" s="262"/>
      <c r="K139" s="262"/>
      <c r="L139" s="262"/>
      <c r="M139" s="262"/>
      <c r="N139" s="262"/>
      <c r="O139" s="262"/>
      <c r="P139" s="262"/>
      <c r="Q139" s="253">
        <f t="shared" si="4"/>
        <v>3216617</v>
      </c>
      <c r="R139" s="255">
        <f t="shared" si="3"/>
        <v>40.792488985041757</v>
      </c>
    </row>
    <row r="140" spans="1:18" ht="24.95" customHeight="1" x14ac:dyDescent="0.25">
      <c r="A140" s="221">
        <v>127</v>
      </c>
      <c r="B140" s="227" t="s">
        <v>319</v>
      </c>
      <c r="C140" s="223" t="s">
        <v>242</v>
      </c>
      <c r="D140" s="224" t="s">
        <v>156</v>
      </c>
      <c r="E140" s="260">
        <v>908492</v>
      </c>
      <c r="F140" s="260">
        <v>96800</v>
      </c>
      <c r="G140" s="262">
        <v>48400</v>
      </c>
      <c r="H140" s="262">
        <v>1301315</v>
      </c>
      <c r="I140" s="262">
        <v>671649</v>
      </c>
      <c r="J140" s="262"/>
      <c r="K140" s="262"/>
      <c r="L140" s="262"/>
      <c r="M140" s="262"/>
      <c r="N140" s="262"/>
      <c r="O140" s="262"/>
      <c r="P140" s="262"/>
      <c r="Q140" s="253">
        <f t="shared" si="4"/>
        <v>3026656</v>
      </c>
      <c r="R140" s="255">
        <f t="shared" si="3"/>
        <v>38.383441840141536</v>
      </c>
    </row>
    <row r="141" spans="1:18" ht="24.95" customHeight="1" x14ac:dyDescent="0.25">
      <c r="A141" s="221">
        <v>128</v>
      </c>
      <c r="B141" s="222" t="s">
        <v>312</v>
      </c>
      <c r="C141" s="223" t="s">
        <v>247</v>
      </c>
      <c r="D141" s="224" t="s">
        <v>156</v>
      </c>
      <c r="E141" s="260">
        <v>829146</v>
      </c>
      <c r="F141" s="260">
        <v>177123</v>
      </c>
      <c r="G141" s="262"/>
      <c r="H141" s="262">
        <v>277123</v>
      </c>
      <c r="I141" s="262">
        <v>1456410</v>
      </c>
      <c r="J141" s="262"/>
      <c r="K141" s="262"/>
      <c r="L141" s="262"/>
      <c r="M141" s="262"/>
      <c r="N141" s="262"/>
      <c r="O141" s="262"/>
      <c r="P141" s="262"/>
      <c r="Q141" s="253">
        <f t="shared" si="4"/>
        <v>2739802</v>
      </c>
      <c r="R141" s="255">
        <f t="shared" ref="R141:R204" si="5">Q141/$T$4*100</f>
        <v>34.745617182958178</v>
      </c>
    </row>
    <row r="142" spans="1:18" ht="24.95" customHeight="1" x14ac:dyDescent="0.25">
      <c r="A142" s="221">
        <v>129</v>
      </c>
      <c r="B142" s="222" t="s">
        <v>313</v>
      </c>
      <c r="C142" s="223" t="s">
        <v>247</v>
      </c>
      <c r="D142" s="224" t="s">
        <v>156</v>
      </c>
      <c r="E142" s="260">
        <v>665223</v>
      </c>
      <c r="F142" s="260">
        <v>624919</v>
      </c>
      <c r="G142" s="262"/>
      <c r="H142" s="262">
        <v>884353</v>
      </c>
      <c r="I142" s="262">
        <v>494526</v>
      </c>
      <c r="J142" s="262"/>
      <c r="K142" s="262"/>
      <c r="L142" s="262"/>
      <c r="M142" s="262"/>
      <c r="N142" s="262"/>
      <c r="O142" s="262"/>
      <c r="P142" s="262"/>
      <c r="Q142" s="253">
        <f t="shared" si="4"/>
        <v>2669021</v>
      </c>
      <c r="R142" s="255">
        <f t="shared" si="5"/>
        <v>33.847986795861971</v>
      </c>
    </row>
    <row r="143" spans="1:18" ht="24.95" customHeight="1" x14ac:dyDescent="0.25">
      <c r="A143" s="221">
        <v>130</v>
      </c>
      <c r="B143" s="227" t="s">
        <v>322</v>
      </c>
      <c r="C143" s="223" t="s">
        <v>247</v>
      </c>
      <c r="D143" s="224" t="s">
        <v>156</v>
      </c>
      <c r="E143" s="260">
        <v>1031369</v>
      </c>
      <c r="F143" s="260">
        <v>652023</v>
      </c>
      <c r="G143" s="262"/>
      <c r="H143" s="262">
        <v>277123</v>
      </c>
      <c r="I143" s="262">
        <v>671649</v>
      </c>
      <c r="J143" s="262"/>
      <c r="K143" s="262"/>
      <c r="L143" s="262"/>
      <c r="M143" s="262"/>
      <c r="N143" s="262"/>
      <c r="O143" s="262"/>
      <c r="P143" s="262"/>
      <c r="Q143" s="253">
        <f t="shared" si="4"/>
        <v>2632164</v>
      </c>
      <c r="R143" s="255">
        <f t="shared" si="5"/>
        <v>33.380573744658889</v>
      </c>
    </row>
    <row r="144" spans="1:18" ht="24.95" customHeight="1" x14ac:dyDescent="0.25">
      <c r="A144" s="221">
        <v>131</v>
      </c>
      <c r="B144" s="227" t="s">
        <v>320</v>
      </c>
      <c r="C144" s="223" t="s">
        <v>247</v>
      </c>
      <c r="D144" s="224" t="s">
        <v>156</v>
      </c>
      <c r="E144" s="260">
        <v>954246</v>
      </c>
      <c r="F144" s="260">
        <v>225523</v>
      </c>
      <c r="G144" s="262">
        <v>48400</v>
      </c>
      <c r="H144" s="262">
        <v>654246</v>
      </c>
      <c r="I144" s="262">
        <v>955779</v>
      </c>
      <c r="J144" s="262"/>
      <c r="K144" s="262"/>
      <c r="L144" s="262"/>
      <c r="M144" s="262"/>
      <c r="N144" s="262"/>
      <c r="O144" s="262"/>
      <c r="P144" s="262"/>
      <c r="Q144" s="253">
        <f t="shared" si="4"/>
        <v>2838194</v>
      </c>
      <c r="R144" s="255">
        <f t="shared" si="5"/>
        <v>35.993404711350962</v>
      </c>
    </row>
    <row r="145" spans="1:18" ht="24.95" customHeight="1" x14ac:dyDescent="0.25">
      <c r="A145" s="221">
        <v>132</v>
      </c>
      <c r="B145" s="222" t="s">
        <v>293</v>
      </c>
      <c r="C145" s="223" t="s">
        <v>247</v>
      </c>
      <c r="D145" s="224" t="s">
        <v>156</v>
      </c>
      <c r="E145" s="260">
        <v>777123</v>
      </c>
      <c r="F145" s="260">
        <v>225523</v>
      </c>
      <c r="G145" s="262"/>
      <c r="H145" s="262">
        <v>1442448</v>
      </c>
      <c r="I145" s="262">
        <v>671649</v>
      </c>
      <c r="J145" s="262"/>
      <c r="K145" s="262"/>
      <c r="L145" s="262"/>
      <c r="M145" s="262"/>
      <c r="N145" s="262"/>
      <c r="O145" s="262"/>
      <c r="P145" s="262"/>
      <c r="Q145" s="253">
        <f t="shared" si="4"/>
        <v>3116743</v>
      </c>
      <c r="R145" s="255">
        <f t="shared" si="5"/>
        <v>39.525907031115608</v>
      </c>
    </row>
    <row r="146" spans="1:18" ht="24.95" customHeight="1" x14ac:dyDescent="0.25">
      <c r="A146" s="221">
        <v>133</v>
      </c>
      <c r="B146" s="222" t="s">
        <v>325</v>
      </c>
      <c r="C146" s="223" t="s">
        <v>247</v>
      </c>
      <c r="D146" s="224" t="s">
        <v>156</v>
      </c>
      <c r="E146" s="260">
        <v>579769</v>
      </c>
      <c r="F146" s="260">
        <v>492823</v>
      </c>
      <c r="G146" s="262"/>
      <c r="H146" s="262">
        <v>985646</v>
      </c>
      <c r="I146" s="262">
        <v>284130</v>
      </c>
      <c r="J146" s="262"/>
      <c r="K146" s="262"/>
      <c r="L146" s="262"/>
      <c r="M146" s="262"/>
      <c r="N146" s="262"/>
      <c r="O146" s="262"/>
      <c r="P146" s="262"/>
      <c r="Q146" s="253">
        <f t="shared" si="4"/>
        <v>2342368</v>
      </c>
      <c r="R146" s="255">
        <f t="shared" si="5"/>
        <v>29.705439235978137</v>
      </c>
    </row>
    <row r="147" spans="1:18" ht="24.95" customHeight="1" x14ac:dyDescent="0.25">
      <c r="A147" s="221">
        <v>134</v>
      </c>
      <c r="B147" s="232" t="s">
        <v>300</v>
      </c>
      <c r="C147" s="223" t="s">
        <v>253</v>
      </c>
      <c r="D147" s="224" t="s">
        <v>156</v>
      </c>
      <c r="E147" s="260">
        <v>225523</v>
      </c>
      <c r="F147" s="260">
        <v>315700</v>
      </c>
      <c r="G147" s="262"/>
      <c r="H147" s="262">
        <v>407230</v>
      </c>
      <c r="I147" s="262">
        <v>677123</v>
      </c>
      <c r="J147" s="262"/>
      <c r="K147" s="262"/>
      <c r="L147" s="262"/>
      <c r="M147" s="262"/>
      <c r="N147" s="262"/>
      <c r="O147" s="262"/>
      <c r="P147" s="262"/>
      <c r="Q147" s="253">
        <f t="shared" si="4"/>
        <v>1625576</v>
      </c>
      <c r="R147" s="255">
        <f t="shared" si="5"/>
        <v>20.615227449941425</v>
      </c>
    </row>
    <row r="148" spans="1:18" ht="24.95" customHeight="1" x14ac:dyDescent="0.25">
      <c r="A148" s="221">
        <v>135</v>
      </c>
      <c r="B148" s="222" t="s">
        <v>298</v>
      </c>
      <c r="C148" s="223" t="s">
        <v>248</v>
      </c>
      <c r="D148" s="224" t="s">
        <v>156</v>
      </c>
      <c r="E148" s="260">
        <v>937817</v>
      </c>
      <c r="F148" s="260"/>
      <c r="G148" s="262"/>
      <c r="H148" s="262"/>
      <c r="I148" s="262"/>
      <c r="J148" s="262"/>
      <c r="K148" s="262"/>
      <c r="L148" s="262"/>
      <c r="M148" s="262"/>
      <c r="N148" s="262"/>
      <c r="O148" s="262"/>
      <c r="P148" s="262"/>
      <c r="Q148" s="253">
        <f t="shared" si="4"/>
        <v>937817</v>
      </c>
      <c r="R148" s="255">
        <f t="shared" si="5"/>
        <v>11.893206322818322</v>
      </c>
    </row>
    <row r="149" spans="1:18" ht="24.95" customHeight="1" x14ac:dyDescent="0.25">
      <c r="A149" s="221">
        <v>136</v>
      </c>
      <c r="B149" s="222" t="s">
        <v>296</v>
      </c>
      <c r="C149" s="223" t="s">
        <v>248</v>
      </c>
      <c r="D149" s="224" t="s">
        <v>156</v>
      </c>
      <c r="E149" s="260">
        <v>1000000</v>
      </c>
      <c r="F149" s="260"/>
      <c r="G149" s="262"/>
      <c r="H149" s="262">
        <v>354246</v>
      </c>
      <c r="I149" s="262">
        <v>177123</v>
      </c>
      <c r="J149" s="262"/>
      <c r="K149" s="262"/>
      <c r="L149" s="262"/>
      <c r="M149" s="262"/>
      <c r="N149" s="262"/>
      <c r="O149" s="262"/>
      <c r="P149" s="262"/>
      <c r="Q149" s="253">
        <f t="shared" si="4"/>
        <v>1531369</v>
      </c>
      <c r="R149" s="255">
        <f t="shared" si="5"/>
        <v>19.420513248712673</v>
      </c>
    </row>
    <row r="150" spans="1:18" ht="24.95" customHeight="1" x14ac:dyDescent="0.25">
      <c r="A150" s="221">
        <v>137</v>
      </c>
      <c r="B150" s="222" t="s">
        <v>297</v>
      </c>
      <c r="C150" s="223" t="s">
        <v>248</v>
      </c>
      <c r="D150" s="224" t="s">
        <v>156</v>
      </c>
      <c r="E150" s="260">
        <v>1000000</v>
      </c>
      <c r="F150" s="260"/>
      <c r="G150" s="262"/>
      <c r="H150" s="262"/>
      <c r="I150" s="262">
        <v>177123</v>
      </c>
      <c r="J150" s="262"/>
      <c r="K150" s="262"/>
      <c r="L150" s="262"/>
      <c r="M150" s="262"/>
      <c r="N150" s="262"/>
      <c r="O150" s="262"/>
      <c r="P150" s="262"/>
      <c r="Q150" s="253">
        <f t="shared" si="4"/>
        <v>1177123</v>
      </c>
      <c r="R150" s="255">
        <f t="shared" si="5"/>
        <v>14.92803681990716</v>
      </c>
    </row>
    <row r="151" spans="1:18" ht="24.95" customHeight="1" x14ac:dyDescent="0.25">
      <c r="A151" s="221">
        <v>138</v>
      </c>
      <c r="B151" s="222" t="s">
        <v>268</v>
      </c>
      <c r="C151" s="223" t="s">
        <v>248</v>
      </c>
      <c r="D151" s="224" t="s">
        <v>156</v>
      </c>
      <c r="E151" s="260">
        <v>309500</v>
      </c>
      <c r="F151" s="260">
        <v>445200</v>
      </c>
      <c r="G151" s="262"/>
      <c r="H151" s="262"/>
      <c r="I151" s="262">
        <v>177123</v>
      </c>
      <c r="J151" s="262"/>
      <c r="K151" s="262"/>
      <c r="L151" s="262"/>
      <c r="M151" s="262"/>
      <c r="N151" s="262"/>
      <c r="O151" s="262"/>
      <c r="P151" s="262"/>
      <c r="Q151" s="253">
        <f t="shared" si="4"/>
        <v>931823</v>
      </c>
      <c r="R151" s="255">
        <f t="shared" si="5"/>
        <v>11.817191621976928</v>
      </c>
    </row>
    <row r="152" spans="1:18" ht="24.95" customHeight="1" x14ac:dyDescent="0.25">
      <c r="A152" s="221">
        <v>139</v>
      </c>
      <c r="B152" s="222" t="s">
        <v>288</v>
      </c>
      <c r="C152" s="223" t="s">
        <v>248</v>
      </c>
      <c r="D152" s="224" t="s">
        <v>156</v>
      </c>
      <c r="E152" s="260"/>
      <c r="F152" s="260">
        <v>1091500</v>
      </c>
      <c r="G152" s="262"/>
      <c r="H152" s="262">
        <v>388100</v>
      </c>
      <c r="I152" s="262">
        <v>177123</v>
      </c>
      <c r="J152" s="262"/>
      <c r="K152" s="262"/>
      <c r="L152" s="262"/>
      <c r="M152" s="262"/>
      <c r="N152" s="262"/>
      <c r="O152" s="262"/>
      <c r="P152" s="262"/>
      <c r="Q152" s="253">
        <f t="shared" si="4"/>
        <v>1656723</v>
      </c>
      <c r="R152" s="255">
        <f t="shared" si="5"/>
        <v>21.010227431107069</v>
      </c>
    </row>
    <row r="153" spans="1:18" ht="24.95" customHeight="1" x14ac:dyDescent="0.25">
      <c r="A153" s="221">
        <v>140</v>
      </c>
      <c r="B153" s="222" t="s">
        <v>314</v>
      </c>
      <c r="C153" s="223" t="s">
        <v>248</v>
      </c>
      <c r="D153" s="224" t="s">
        <v>156</v>
      </c>
      <c r="E153" s="260">
        <v>1000000</v>
      </c>
      <c r="F153" s="260"/>
      <c r="G153" s="262"/>
      <c r="H153" s="262"/>
      <c r="I153" s="262">
        <v>177123</v>
      </c>
      <c r="J153" s="262"/>
      <c r="K153" s="262"/>
      <c r="L153" s="262"/>
      <c r="M153" s="262"/>
      <c r="N153" s="262"/>
      <c r="O153" s="262"/>
      <c r="P153" s="262"/>
      <c r="Q153" s="253">
        <f t="shared" si="4"/>
        <v>1177123</v>
      </c>
      <c r="R153" s="255">
        <f t="shared" si="5"/>
        <v>14.92803681990716</v>
      </c>
    </row>
    <row r="154" spans="1:18" ht="24.95" customHeight="1" x14ac:dyDescent="0.25">
      <c r="A154" s="221">
        <v>141</v>
      </c>
      <c r="B154" s="222" t="s">
        <v>315</v>
      </c>
      <c r="C154" s="223" t="s">
        <v>248</v>
      </c>
      <c r="D154" s="224" t="s">
        <v>156</v>
      </c>
      <c r="E154" s="260"/>
      <c r="F154" s="260">
        <v>196600</v>
      </c>
      <c r="G154" s="262"/>
      <c r="H154" s="262">
        <v>177123</v>
      </c>
      <c r="I154" s="262">
        <v>177123</v>
      </c>
      <c r="J154" s="262"/>
      <c r="K154" s="262"/>
      <c r="L154" s="262"/>
      <c r="M154" s="262"/>
      <c r="N154" s="262"/>
      <c r="O154" s="262"/>
      <c r="P154" s="262"/>
      <c r="Q154" s="253">
        <f t="shared" si="4"/>
        <v>550846</v>
      </c>
      <c r="R154" s="255">
        <f t="shared" si="5"/>
        <v>6.9857180346476779</v>
      </c>
    </row>
    <row r="155" spans="1:18" ht="24.95" customHeight="1" x14ac:dyDescent="0.25">
      <c r="A155" s="221">
        <v>142</v>
      </c>
      <c r="B155" s="229" t="s">
        <v>317</v>
      </c>
      <c r="C155" s="223" t="s">
        <v>248</v>
      </c>
      <c r="D155" s="224" t="s">
        <v>156</v>
      </c>
      <c r="E155" s="260">
        <v>500000</v>
      </c>
      <c r="F155" s="260"/>
      <c r="G155" s="262"/>
      <c r="H155" s="262"/>
      <c r="I155" s="262">
        <v>875703</v>
      </c>
      <c r="J155" s="262"/>
      <c r="K155" s="262"/>
      <c r="L155" s="262"/>
      <c r="M155" s="262"/>
      <c r="N155" s="262"/>
      <c r="O155" s="262"/>
      <c r="P155" s="262"/>
      <c r="Q155" s="253">
        <f t="shared" si="4"/>
        <v>1375703</v>
      </c>
      <c r="R155" s="255">
        <f t="shared" si="5"/>
        <v>17.446388386988225</v>
      </c>
    </row>
    <row r="156" spans="1:18" ht="24.95" customHeight="1" x14ac:dyDescent="0.25">
      <c r="A156" s="221">
        <v>143</v>
      </c>
      <c r="B156" s="230" t="s">
        <v>283</v>
      </c>
      <c r="C156" s="223" t="s">
        <v>248</v>
      </c>
      <c r="D156" s="224" t="s">
        <v>156</v>
      </c>
      <c r="E156" s="260"/>
      <c r="F156" s="260">
        <v>315700</v>
      </c>
      <c r="G156" s="262"/>
      <c r="H156" s="262">
        <v>829146</v>
      </c>
      <c r="I156" s="262">
        <v>810543</v>
      </c>
      <c r="J156" s="262"/>
      <c r="K156" s="262"/>
      <c r="L156" s="262"/>
      <c r="M156" s="262"/>
      <c r="N156" s="262"/>
      <c r="O156" s="262"/>
      <c r="P156" s="262"/>
      <c r="Q156" s="253">
        <f t="shared" si="4"/>
        <v>1955389</v>
      </c>
      <c r="R156" s="255">
        <f t="shared" si="5"/>
        <v>24.797849493418649</v>
      </c>
    </row>
    <row r="157" spans="1:18" ht="24.95" customHeight="1" x14ac:dyDescent="0.25">
      <c r="A157" s="221">
        <v>144</v>
      </c>
      <c r="B157" s="222" t="s">
        <v>326</v>
      </c>
      <c r="C157" s="223" t="s">
        <v>248</v>
      </c>
      <c r="D157" s="224" t="s">
        <v>156</v>
      </c>
      <c r="E157" s="260"/>
      <c r="F157" s="260">
        <v>1070400</v>
      </c>
      <c r="G157" s="262">
        <v>776200</v>
      </c>
      <c r="H157" s="262"/>
      <c r="I157" s="262">
        <v>349290</v>
      </c>
      <c r="J157" s="262"/>
      <c r="K157" s="262"/>
      <c r="L157" s="262"/>
      <c r="M157" s="262"/>
      <c r="N157" s="262"/>
      <c r="O157" s="262"/>
      <c r="P157" s="262"/>
      <c r="Q157" s="253">
        <f t="shared" si="4"/>
        <v>2195890</v>
      </c>
      <c r="R157" s="255">
        <f t="shared" si="5"/>
        <v>27.847834739841065</v>
      </c>
    </row>
    <row r="158" spans="1:18" ht="24.95" customHeight="1" x14ac:dyDescent="0.25">
      <c r="A158" s="221">
        <v>145</v>
      </c>
      <c r="B158" s="222" t="s">
        <v>388</v>
      </c>
      <c r="C158" s="223" t="s">
        <v>353</v>
      </c>
      <c r="D158" s="224" t="s">
        <v>156</v>
      </c>
      <c r="E158" s="260">
        <v>1736030</v>
      </c>
      <c r="F158" s="260">
        <v>1013300</v>
      </c>
      <c r="G158" s="262"/>
      <c r="H158" s="262">
        <v>531369</v>
      </c>
      <c r="I158" s="262">
        <v>354246</v>
      </c>
      <c r="J158" s="262"/>
      <c r="K158" s="262"/>
      <c r="L158" s="262"/>
      <c r="M158" s="262"/>
      <c r="N158" s="262"/>
      <c r="O158" s="262"/>
      <c r="P158" s="262"/>
      <c r="Q158" s="253">
        <f t="shared" si="4"/>
        <v>3634945</v>
      </c>
      <c r="R158" s="255">
        <f t="shared" si="5"/>
        <v>46.0976404320852</v>
      </c>
    </row>
    <row r="159" spans="1:18" ht="24.95" customHeight="1" x14ac:dyDescent="0.25">
      <c r="A159" s="221">
        <v>146</v>
      </c>
      <c r="B159" s="222" t="s">
        <v>389</v>
      </c>
      <c r="C159" s="223" t="s">
        <v>353</v>
      </c>
      <c r="D159" s="224" t="s">
        <v>156</v>
      </c>
      <c r="E159" s="260">
        <v>1222941</v>
      </c>
      <c r="F159" s="260"/>
      <c r="G159" s="262"/>
      <c r="H159" s="262">
        <v>177123</v>
      </c>
      <c r="I159" s="262">
        <v>177123</v>
      </c>
      <c r="J159" s="262"/>
      <c r="K159" s="262"/>
      <c r="L159" s="262"/>
      <c r="M159" s="262"/>
      <c r="N159" s="262"/>
      <c r="O159" s="262"/>
      <c r="P159" s="262"/>
      <c r="Q159" s="253">
        <f t="shared" si="4"/>
        <v>1577187</v>
      </c>
      <c r="R159" s="255">
        <f t="shared" si="5"/>
        <v>20.001567897219672</v>
      </c>
    </row>
    <row r="160" spans="1:18" ht="24.95" customHeight="1" x14ac:dyDescent="0.25">
      <c r="A160" s="221">
        <v>147</v>
      </c>
      <c r="B160" s="222" t="s">
        <v>395</v>
      </c>
      <c r="C160" s="223" t="s">
        <v>353</v>
      </c>
      <c r="D160" s="224" t="s">
        <v>156</v>
      </c>
      <c r="E160" s="260">
        <v>177123</v>
      </c>
      <c r="F160" s="260">
        <v>315700</v>
      </c>
      <c r="G160" s="262">
        <v>419148</v>
      </c>
      <c r="H160" s="262">
        <v>354246</v>
      </c>
      <c r="I160" s="262">
        <v>461253</v>
      </c>
      <c r="J160" s="262"/>
      <c r="K160" s="262"/>
      <c r="L160" s="262"/>
      <c r="M160" s="262"/>
      <c r="N160" s="262"/>
      <c r="O160" s="262"/>
      <c r="P160" s="262"/>
      <c r="Q160" s="253">
        <f t="shared" si="4"/>
        <v>1727470</v>
      </c>
      <c r="R160" s="255">
        <f t="shared" si="5"/>
        <v>21.90742663705069</v>
      </c>
    </row>
    <row r="161" spans="1:18" ht="24.95" customHeight="1" x14ac:dyDescent="0.25">
      <c r="A161" s="221">
        <v>148</v>
      </c>
      <c r="B161" s="222" t="s">
        <v>164</v>
      </c>
      <c r="C161" s="223" t="s">
        <v>353</v>
      </c>
      <c r="D161" s="224" t="s">
        <v>156</v>
      </c>
      <c r="E161" s="260">
        <v>1754540</v>
      </c>
      <c r="F161" s="260"/>
      <c r="G161" s="262"/>
      <c r="H161" s="262"/>
      <c r="I161" s="262">
        <v>1159833</v>
      </c>
      <c r="J161" s="262"/>
      <c r="K161" s="262"/>
      <c r="L161" s="262"/>
      <c r="M161" s="262"/>
      <c r="N161" s="262"/>
      <c r="O161" s="262"/>
      <c r="P161" s="262"/>
      <c r="Q161" s="253">
        <f t="shared" si="4"/>
        <v>2914373</v>
      </c>
      <c r="R161" s="255">
        <f t="shared" si="5"/>
        <v>36.959491447319678</v>
      </c>
    </row>
    <row r="162" spans="1:18" ht="24.95" customHeight="1" x14ac:dyDescent="0.25">
      <c r="A162" s="221">
        <v>149</v>
      </c>
      <c r="B162" s="222" t="s">
        <v>254</v>
      </c>
      <c r="C162" s="226" t="s">
        <v>1459</v>
      </c>
      <c r="D162" s="224" t="s">
        <v>156</v>
      </c>
      <c r="E162" s="260"/>
      <c r="F162" s="260">
        <v>354246</v>
      </c>
      <c r="G162" s="262">
        <v>177123</v>
      </c>
      <c r="H162" s="262">
        <v>354246</v>
      </c>
      <c r="I162" s="262"/>
      <c r="J162" s="262"/>
      <c r="K162" s="262"/>
      <c r="L162" s="262"/>
      <c r="M162" s="262"/>
      <c r="N162" s="262"/>
      <c r="O162" s="262"/>
      <c r="P162" s="262"/>
      <c r="Q162" s="253">
        <f t="shared" si="4"/>
        <v>885615</v>
      </c>
      <c r="R162" s="255">
        <f t="shared" si="5"/>
        <v>11.231191072013782</v>
      </c>
    </row>
    <row r="163" spans="1:18" ht="24.95" customHeight="1" x14ac:dyDescent="0.25">
      <c r="A163" s="221">
        <v>150</v>
      </c>
      <c r="B163" s="222" t="s">
        <v>289</v>
      </c>
      <c r="C163" s="226"/>
      <c r="D163" s="224" t="s">
        <v>156</v>
      </c>
      <c r="E163" s="260">
        <v>951155</v>
      </c>
      <c r="F163" s="260"/>
      <c r="G163" s="262"/>
      <c r="H163" s="262"/>
      <c r="I163" s="262">
        <v>177123</v>
      </c>
      <c r="J163" s="262"/>
      <c r="K163" s="262"/>
      <c r="L163" s="262"/>
      <c r="M163" s="262"/>
      <c r="N163" s="262"/>
      <c r="O163" s="262"/>
      <c r="P163" s="262"/>
      <c r="Q163" s="253">
        <f t="shared" si="4"/>
        <v>1128278</v>
      </c>
      <c r="R163" s="255">
        <f t="shared" si="5"/>
        <v>14.308594367021296</v>
      </c>
    </row>
    <row r="164" spans="1:18" ht="24.95" customHeight="1" x14ac:dyDescent="0.25">
      <c r="A164" s="221">
        <v>151</v>
      </c>
      <c r="B164" s="225" t="s">
        <v>95</v>
      </c>
      <c r="C164" s="223" t="s">
        <v>240</v>
      </c>
      <c r="D164" s="224" t="s">
        <v>870</v>
      </c>
      <c r="E164" s="260"/>
      <c r="F164" s="260"/>
      <c r="G164" s="262"/>
      <c r="H164" s="262">
        <v>565548</v>
      </c>
      <c r="I164" s="262"/>
      <c r="J164" s="262"/>
      <c r="K164" s="262"/>
      <c r="L164" s="262"/>
      <c r="M164" s="262"/>
      <c r="N164" s="262"/>
      <c r="O164" s="262"/>
      <c r="P164" s="262"/>
      <c r="Q164" s="253">
        <f t="shared" si="4"/>
        <v>565548</v>
      </c>
      <c r="R164" s="255">
        <f t="shared" si="5"/>
        <v>7.1721658377458049</v>
      </c>
    </row>
    <row r="165" spans="1:18" ht="24.95" customHeight="1" x14ac:dyDescent="0.25">
      <c r="A165" s="221">
        <v>152</v>
      </c>
      <c r="B165" s="222" t="s">
        <v>328</v>
      </c>
      <c r="C165" s="223" t="s">
        <v>242</v>
      </c>
      <c r="D165" s="224" t="s">
        <v>870</v>
      </c>
      <c r="E165" s="260"/>
      <c r="F165" s="260"/>
      <c r="G165" s="262"/>
      <c r="H165" s="262">
        <v>394605</v>
      </c>
      <c r="I165" s="262"/>
      <c r="J165" s="262"/>
      <c r="K165" s="262"/>
      <c r="L165" s="262"/>
      <c r="M165" s="262"/>
      <c r="N165" s="262"/>
      <c r="O165" s="262"/>
      <c r="P165" s="262"/>
      <c r="Q165" s="253">
        <f t="shared" si="4"/>
        <v>394605</v>
      </c>
      <c r="R165" s="255">
        <f t="shared" si="5"/>
        <v>5.0043011387250651</v>
      </c>
    </row>
    <row r="166" spans="1:18" ht="24.95" customHeight="1" x14ac:dyDescent="0.25">
      <c r="A166" s="221">
        <v>153</v>
      </c>
      <c r="B166" s="222" t="s">
        <v>333</v>
      </c>
      <c r="C166" s="223" t="s">
        <v>242</v>
      </c>
      <c r="D166" s="224" t="s">
        <v>870</v>
      </c>
      <c r="E166" s="260"/>
      <c r="F166" s="260"/>
      <c r="G166" s="262"/>
      <c r="H166" s="262"/>
      <c r="I166" s="262"/>
      <c r="J166" s="262"/>
      <c r="K166" s="262"/>
      <c r="L166" s="262"/>
      <c r="M166" s="262"/>
      <c r="N166" s="262"/>
      <c r="O166" s="262"/>
      <c r="P166" s="262"/>
      <c r="Q166" s="253">
        <f t="shared" si="4"/>
        <v>0</v>
      </c>
      <c r="R166" s="255">
        <f t="shared" si="5"/>
        <v>0</v>
      </c>
    </row>
    <row r="167" spans="1:18" ht="24.95" customHeight="1" x14ac:dyDescent="0.25">
      <c r="A167" s="221">
        <v>154</v>
      </c>
      <c r="B167" s="229" t="s">
        <v>329</v>
      </c>
      <c r="C167" s="223" t="s">
        <v>247</v>
      </c>
      <c r="D167" s="224" t="s">
        <v>870</v>
      </c>
      <c r="E167" s="260"/>
      <c r="F167" s="260"/>
      <c r="G167" s="262"/>
      <c r="H167" s="262">
        <v>64505</v>
      </c>
      <c r="I167" s="262"/>
      <c r="J167" s="262"/>
      <c r="K167" s="262"/>
      <c r="L167" s="262"/>
      <c r="M167" s="262"/>
      <c r="N167" s="262"/>
      <c r="O167" s="262"/>
      <c r="P167" s="262"/>
      <c r="Q167" s="253">
        <f t="shared" si="4"/>
        <v>64505</v>
      </c>
      <c r="R167" s="255">
        <f t="shared" si="5"/>
        <v>0.81803941904806143</v>
      </c>
    </row>
    <row r="168" spans="1:18" ht="24.95" customHeight="1" x14ac:dyDescent="0.25">
      <c r="A168" s="221">
        <v>155</v>
      </c>
      <c r="B168" s="230" t="s">
        <v>341</v>
      </c>
      <c r="C168" s="223" t="s">
        <v>247</v>
      </c>
      <c r="D168" s="224" t="s">
        <v>870</v>
      </c>
      <c r="E168" s="260"/>
      <c r="F168" s="260"/>
      <c r="G168" s="262"/>
      <c r="H168" s="262"/>
      <c r="I168" s="262"/>
      <c r="J168" s="262"/>
      <c r="K168" s="262"/>
      <c r="L168" s="262"/>
      <c r="M168" s="262"/>
      <c r="N168" s="262"/>
      <c r="O168" s="262"/>
      <c r="P168" s="262"/>
      <c r="Q168" s="253">
        <f t="shared" si="4"/>
        <v>0</v>
      </c>
      <c r="R168" s="255">
        <f t="shared" si="5"/>
        <v>0</v>
      </c>
    </row>
    <row r="169" spans="1:18" ht="24.95" customHeight="1" x14ac:dyDescent="0.25">
      <c r="A169" s="221">
        <v>156</v>
      </c>
      <c r="B169" s="222" t="s">
        <v>343</v>
      </c>
      <c r="C169" s="223" t="s">
        <v>247</v>
      </c>
      <c r="D169" s="224" t="s">
        <v>870</v>
      </c>
      <c r="E169" s="260"/>
      <c r="F169" s="260"/>
      <c r="G169" s="262"/>
      <c r="H169" s="262">
        <v>64505</v>
      </c>
      <c r="I169" s="262"/>
      <c r="J169" s="262"/>
      <c r="K169" s="262"/>
      <c r="L169" s="262"/>
      <c r="M169" s="262"/>
      <c r="N169" s="262"/>
      <c r="O169" s="262"/>
      <c r="P169" s="262"/>
      <c r="Q169" s="253">
        <f t="shared" si="4"/>
        <v>64505</v>
      </c>
      <c r="R169" s="255">
        <f t="shared" si="5"/>
        <v>0.81803941904806143</v>
      </c>
    </row>
    <row r="170" spans="1:18" ht="24.95" customHeight="1" x14ac:dyDescent="0.25">
      <c r="A170" s="221">
        <v>157</v>
      </c>
      <c r="B170" s="222" t="s">
        <v>250</v>
      </c>
      <c r="C170" s="223" t="s">
        <v>247</v>
      </c>
      <c r="D170" s="224" t="s">
        <v>870</v>
      </c>
      <c r="E170" s="260"/>
      <c r="F170" s="260"/>
      <c r="G170" s="262"/>
      <c r="H170" s="262"/>
      <c r="I170" s="262"/>
      <c r="J170" s="262"/>
      <c r="K170" s="262"/>
      <c r="L170" s="262"/>
      <c r="M170" s="262"/>
      <c r="N170" s="262"/>
      <c r="O170" s="262"/>
      <c r="P170" s="262"/>
      <c r="Q170" s="253">
        <f t="shared" si="4"/>
        <v>0</v>
      </c>
      <c r="R170" s="255">
        <f t="shared" si="5"/>
        <v>0</v>
      </c>
    </row>
    <row r="171" spans="1:18" ht="24.95" customHeight="1" x14ac:dyDescent="0.25">
      <c r="A171" s="221">
        <v>158</v>
      </c>
      <c r="B171" s="227" t="s">
        <v>347</v>
      </c>
      <c r="C171" s="223" t="s">
        <v>247</v>
      </c>
      <c r="D171" s="224" t="s">
        <v>870</v>
      </c>
      <c r="E171" s="260"/>
      <c r="F171" s="260"/>
      <c r="G171" s="262"/>
      <c r="H171" s="262"/>
      <c r="I171" s="262"/>
      <c r="J171" s="262"/>
      <c r="K171" s="262"/>
      <c r="L171" s="262"/>
      <c r="M171" s="262"/>
      <c r="N171" s="262"/>
      <c r="O171" s="262"/>
      <c r="P171" s="262"/>
      <c r="Q171" s="253">
        <f t="shared" si="4"/>
        <v>0</v>
      </c>
      <c r="R171" s="255">
        <f t="shared" si="5"/>
        <v>0</v>
      </c>
    </row>
    <row r="172" spans="1:18" ht="24.95" customHeight="1" x14ac:dyDescent="0.25">
      <c r="A172" s="221">
        <v>159</v>
      </c>
      <c r="B172" s="222" t="s">
        <v>331</v>
      </c>
      <c r="C172" s="223" t="s">
        <v>332</v>
      </c>
      <c r="D172" s="224" t="s">
        <v>870</v>
      </c>
      <c r="E172" s="260"/>
      <c r="F172" s="260"/>
      <c r="G172" s="262"/>
      <c r="H172" s="262"/>
      <c r="I172" s="262"/>
      <c r="J172" s="262"/>
      <c r="K172" s="262"/>
      <c r="L172" s="262"/>
      <c r="M172" s="262"/>
      <c r="N172" s="262"/>
      <c r="O172" s="262"/>
      <c r="P172" s="262"/>
      <c r="Q172" s="253">
        <f t="shared" si="4"/>
        <v>0</v>
      </c>
      <c r="R172" s="255">
        <f t="shared" si="5"/>
        <v>0</v>
      </c>
    </row>
    <row r="173" spans="1:18" ht="24.95" customHeight="1" x14ac:dyDescent="0.25">
      <c r="A173" s="221">
        <v>160</v>
      </c>
      <c r="B173" s="222" t="s">
        <v>334</v>
      </c>
      <c r="C173" s="223" t="s">
        <v>332</v>
      </c>
      <c r="D173" s="224" t="s">
        <v>870</v>
      </c>
      <c r="E173" s="260"/>
      <c r="F173" s="260"/>
      <c r="G173" s="262"/>
      <c r="H173" s="262"/>
      <c r="I173" s="262"/>
      <c r="J173" s="262"/>
      <c r="K173" s="262"/>
      <c r="L173" s="262"/>
      <c r="M173" s="262"/>
      <c r="N173" s="262"/>
      <c r="O173" s="262"/>
      <c r="P173" s="262"/>
      <c r="Q173" s="253">
        <f t="shared" si="4"/>
        <v>0</v>
      </c>
      <c r="R173" s="255">
        <f t="shared" si="5"/>
        <v>0</v>
      </c>
    </row>
    <row r="174" spans="1:18" ht="24.95" customHeight="1" x14ac:dyDescent="0.25">
      <c r="A174" s="221">
        <v>161</v>
      </c>
      <c r="B174" s="222" t="s">
        <v>335</v>
      </c>
      <c r="C174" s="223" t="s">
        <v>332</v>
      </c>
      <c r="D174" s="224" t="s">
        <v>870</v>
      </c>
      <c r="E174" s="260"/>
      <c r="F174" s="260"/>
      <c r="G174" s="262"/>
      <c r="H174" s="262"/>
      <c r="I174" s="262"/>
      <c r="J174" s="262"/>
      <c r="K174" s="262"/>
      <c r="L174" s="262"/>
      <c r="M174" s="262"/>
      <c r="N174" s="262"/>
      <c r="O174" s="262"/>
      <c r="P174" s="262"/>
      <c r="Q174" s="253">
        <f t="shared" si="4"/>
        <v>0</v>
      </c>
      <c r="R174" s="255">
        <f t="shared" si="5"/>
        <v>0</v>
      </c>
    </row>
    <row r="175" spans="1:18" ht="24.95" customHeight="1" x14ac:dyDescent="0.25">
      <c r="A175" s="221">
        <v>162</v>
      </c>
      <c r="B175" s="233" t="s">
        <v>336</v>
      </c>
      <c r="C175" s="223" t="s">
        <v>332</v>
      </c>
      <c r="D175" s="224" t="s">
        <v>870</v>
      </c>
      <c r="E175" s="260"/>
      <c r="F175" s="260"/>
      <c r="G175" s="262"/>
      <c r="H175" s="262"/>
      <c r="I175" s="262"/>
      <c r="J175" s="262"/>
      <c r="K175" s="262"/>
      <c r="L175" s="262"/>
      <c r="M175" s="262"/>
      <c r="N175" s="262"/>
      <c r="O175" s="262"/>
      <c r="P175" s="262"/>
      <c r="Q175" s="253">
        <f t="shared" si="4"/>
        <v>0</v>
      </c>
      <c r="R175" s="255">
        <f t="shared" si="5"/>
        <v>0</v>
      </c>
    </row>
    <row r="176" spans="1:18" ht="24.95" customHeight="1" x14ac:dyDescent="0.25">
      <c r="A176" s="221">
        <v>163</v>
      </c>
      <c r="B176" s="233" t="s">
        <v>344</v>
      </c>
      <c r="C176" s="223" t="s">
        <v>332</v>
      </c>
      <c r="D176" s="224" t="s">
        <v>870</v>
      </c>
      <c r="E176" s="260">
        <v>631400</v>
      </c>
      <c r="F176" s="260">
        <v>474900</v>
      </c>
      <c r="G176" s="262">
        <v>631400</v>
      </c>
      <c r="H176" s="262"/>
      <c r="I176" s="262"/>
      <c r="J176" s="262"/>
      <c r="K176" s="262"/>
      <c r="L176" s="262"/>
      <c r="M176" s="262"/>
      <c r="N176" s="262"/>
      <c r="O176" s="262"/>
      <c r="P176" s="262"/>
      <c r="Q176" s="253">
        <f t="shared" si="4"/>
        <v>1737700</v>
      </c>
      <c r="R176" s="255">
        <f t="shared" si="5"/>
        <v>22.037161436785002</v>
      </c>
    </row>
    <row r="177" spans="1:18" ht="24.95" customHeight="1" x14ac:dyDescent="0.25">
      <c r="A177" s="221">
        <v>164</v>
      </c>
      <c r="B177" s="222" t="s">
        <v>339</v>
      </c>
      <c r="C177" s="223" t="s">
        <v>338</v>
      </c>
      <c r="D177" s="224" t="s">
        <v>870</v>
      </c>
      <c r="E177" s="260"/>
      <c r="F177" s="260"/>
      <c r="G177" s="262"/>
      <c r="H177" s="262"/>
      <c r="I177" s="262"/>
      <c r="J177" s="262"/>
      <c r="K177" s="262"/>
      <c r="L177" s="262"/>
      <c r="M177" s="262"/>
      <c r="N177" s="262"/>
      <c r="O177" s="262"/>
      <c r="P177" s="262"/>
      <c r="Q177" s="253">
        <f t="shared" si="4"/>
        <v>0</v>
      </c>
      <c r="R177" s="255">
        <f t="shared" si="5"/>
        <v>0</v>
      </c>
    </row>
    <row r="178" spans="1:18" ht="24.95" customHeight="1" x14ac:dyDescent="0.25">
      <c r="A178" s="221">
        <v>165</v>
      </c>
      <c r="B178" s="222" t="s">
        <v>342</v>
      </c>
      <c r="C178" s="223" t="s">
        <v>338</v>
      </c>
      <c r="D178" s="224" t="s">
        <v>870</v>
      </c>
      <c r="E178" s="260"/>
      <c r="F178" s="260"/>
      <c r="G178" s="262"/>
      <c r="H178" s="262"/>
      <c r="I178" s="262"/>
      <c r="J178" s="262"/>
      <c r="K178" s="262"/>
      <c r="L178" s="262"/>
      <c r="M178" s="262"/>
      <c r="N178" s="262"/>
      <c r="O178" s="262"/>
      <c r="P178" s="262"/>
      <c r="Q178" s="253">
        <f t="shared" si="4"/>
        <v>0</v>
      </c>
      <c r="R178" s="255">
        <f t="shared" si="5"/>
        <v>0</v>
      </c>
    </row>
    <row r="179" spans="1:18" ht="24.95" customHeight="1" x14ac:dyDescent="0.25">
      <c r="A179" s="221">
        <v>166</v>
      </c>
      <c r="B179" s="222" t="s">
        <v>125</v>
      </c>
      <c r="C179" s="223" t="s">
        <v>338</v>
      </c>
      <c r="D179" s="224" t="s">
        <v>870</v>
      </c>
      <c r="E179" s="260"/>
      <c r="F179" s="260"/>
      <c r="G179" s="262"/>
      <c r="H179" s="262"/>
      <c r="I179" s="262"/>
      <c r="J179" s="262"/>
      <c r="K179" s="262"/>
      <c r="L179" s="262"/>
      <c r="M179" s="262"/>
      <c r="N179" s="262"/>
      <c r="O179" s="262"/>
      <c r="P179" s="262"/>
      <c r="Q179" s="253">
        <f t="shared" si="4"/>
        <v>0</v>
      </c>
      <c r="R179" s="255">
        <f t="shared" si="5"/>
        <v>0</v>
      </c>
    </row>
    <row r="180" spans="1:18" ht="24.95" customHeight="1" x14ac:dyDescent="0.25">
      <c r="A180" s="221">
        <v>167</v>
      </c>
      <c r="B180" s="222" t="s">
        <v>337</v>
      </c>
      <c r="C180" s="223" t="s">
        <v>338</v>
      </c>
      <c r="D180" s="224" t="s">
        <v>870</v>
      </c>
      <c r="E180" s="260"/>
      <c r="F180" s="260"/>
      <c r="G180" s="262"/>
      <c r="H180" s="262"/>
      <c r="I180" s="262"/>
      <c r="J180" s="262"/>
      <c r="K180" s="262"/>
      <c r="L180" s="262"/>
      <c r="M180" s="262"/>
      <c r="N180" s="262"/>
      <c r="O180" s="262"/>
      <c r="P180" s="262"/>
      <c r="Q180" s="253">
        <f t="shared" si="4"/>
        <v>0</v>
      </c>
      <c r="R180" s="255">
        <f t="shared" si="5"/>
        <v>0</v>
      </c>
    </row>
    <row r="181" spans="1:18" ht="24.95" customHeight="1" x14ac:dyDescent="0.25">
      <c r="A181" s="221">
        <v>168</v>
      </c>
      <c r="B181" s="222" t="s">
        <v>345</v>
      </c>
      <c r="C181" s="223" t="s">
        <v>248</v>
      </c>
      <c r="D181" s="224" t="s">
        <v>870</v>
      </c>
      <c r="E181" s="260"/>
      <c r="F181" s="260"/>
      <c r="G181" s="262"/>
      <c r="H181" s="262"/>
      <c r="I181" s="262">
        <v>177123</v>
      </c>
      <c r="J181" s="262"/>
      <c r="K181" s="262"/>
      <c r="L181" s="262"/>
      <c r="M181" s="262"/>
      <c r="N181" s="262"/>
      <c r="O181" s="262"/>
      <c r="P181" s="262"/>
      <c r="Q181" s="253">
        <f t="shared" si="4"/>
        <v>177123</v>
      </c>
      <c r="R181" s="255">
        <f t="shared" si="5"/>
        <v>2.2462382144027564</v>
      </c>
    </row>
    <row r="182" spans="1:18" ht="24.95" customHeight="1" x14ac:dyDescent="0.25">
      <c r="A182" s="221">
        <v>169</v>
      </c>
      <c r="B182" s="222" t="s">
        <v>249</v>
      </c>
      <c r="C182" s="223" t="s">
        <v>248</v>
      </c>
      <c r="D182" s="224" t="s">
        <v>870</v>
      </c>
      <c r="E182" s="260"/>
      <c r="F182" s="260"/>
      <c r="G182" s="262"/>
      <c r="H182" s="262"/>
      <c r="I182" s="262"/>
      <c r="J182" s="262"/>
      <c r="K182" s="262"/>
      <c r="L182" s="262"/>
      <c r="M182" s="262"/>
      <c r="N182" s="262"/>
      <c r="O182" s="262"/>
      <c r="P182" s="262"/>
      <c r="Q182" s="253">
        <f t="shared" si="4"/>
        <v>0</v>
      </c>
      <c r="R182" s="255">
        <f t="shared" si="5"/>
        <v>0</v>
      </c>
    </row>
    <row r="183" spans="1:18" ht="24.95" customHeight="1" x14ac:dyDescent="0.25">
      <c r="A183" s="221">
        <v>170</v>
      </c>
      <c r="B183" s="222" t="s">
        <v>346</v>
      </c>
      <c r="C183" s="223" t="s">
        <v>248</v>
      </c>
      <c r="D183" s="224" t="s">
        <v>870</v>
      </c>
      <c r="E183" s="260"/>
      <c r="F183" s="260"/>
      <c r="G183" s="262"/>
      <c r="H183" s="262"/>
      <c r="I183" s="262"/>
      <c r="J183" s="262"/>
      <c r="K183" s="262"/>
      <c r="L183" s="262"/>
      <c r="M183" s="262"/>
      <c r="N183" s="262"/>
      <c r="O183" s="262"/>
      <c r="P183" s="262"/>
      <c r="Q183" s="253">
        <f t="shared" si="4"/>
        <v>0</v>
      </c>
      <c r="R183" s="255">
        <f t="shared" si="5"/>
        <v>0</v>
      </c>
    </row>
    <row r="184" spans="1:18" ht="24.95" customHeight="1" x14ac:dyDescent="0.25">
      <c r="A184" s="221">
        <v>171</v>
      </c>
      <c r="B184" s="227" t="s">
        <v>370</v>
      </c>
      <c r="C184" s="223" t="s">
        <v>248</v>
      </c>
      <c r="D184" s="224" t="s">
        <v>870</v>
      </c>
      <c r="E184" s="260"/>
      <c r="F184" s="260"/>
      <c r="G184" s="262"/>
      <c r="H184" s="262"/>
      <c r="I184" s="262"/>
      <c r="J184" s="262"/>
      <c r="K184" s="262"/>
      <c r="L184" s="262"/>
      <c r="M184" s="262"/>
      <c r="N184" s="262"/>
      <c r="O184" s="262"/>
      <c r="P184" s="262"/>
      <c r="Q184" s="253">
        <f t="shared" si="4"/>
        <v>0</v>
      </c>
      <c r="R184" s="255">
        <f t="shared" si="5"/>
        <v>0</v>
      </c>
    </row>
    <row r="185" spans="1:18" ht="24.95" customHeight="1" x14ac:dyDescent="0.25">
      <c r="A185" s="221">
        <v>172</v>
      </c>
      <c r="B185" s="222" t="s">
        <v>396</v>
      </c>
      <c r="C185" s="223" t="s">
        <v>248</v>
      </c>
      <c r="D185" s="224" t="s">
        <v>870</v>
      </c>
      <c r="E185" s="260"/>
      <c r="F185" s="260"/>
      <c r="G185" s="262">
        <v>48400</v>
      </c>
      <c r="H185" s="262">
        <v>177123</v>
      </c>
      <c r="I185" s="262"/>
      <c r="J185" s="262"/>
      <c r="K185" s="262"/>
      <c r="L185" s="262"/>
      <c r="M185" s="262"/>
      <c r="N185" s="262"/>
      <c r="O185" s="262"/>
      <c r="P185" s="262"/>
      <c r="Q185" s="253">
        <f t="shared" si="4"/>
        <v>225523</v>
      </c>
      <c r="R185" s="255">
        <f t="shared" si="5"/>
        <v>2.8600372669091696</v>
      </c>
    </row>
    <row r="186" spans="1:18" ht="24.95" customHeight="1" x14ac:dyDescent="0.25">
      <c r="A186" s="221">
        <v>173</v>
      </c>
      <c r="B186" s="222" t="s">
        <v>295</v>
      </c>
      <c r="C186" s="223" t="s">
        <v>248</v>
      </c>
      <c r="D186" s="224" t="s">
        <v>870</v>
      </c>
      <c r="E186" s="260"/>
      <c r="F186" s="260"/>
      <c r="G186" s="262"/>
      <c r="H186" s="262"/>
      <c r="I186" s="262"/>
      <c r="J186" s="262"/>
      <c r="K186" s="262"/>
      <c r="L186" s="262"/>
      <c r="M186" s="262"/>
      <c r="N186" s="262"/>
      <c r="O186" s="262"/>
      <c r="P186" s="262"/>
      <c r="Q186" s="253">
        <f t="shared" si="4"/>
        <v>0</v>
      </c>
      <c r="R186" s="255">
        <f t="shared" si="5"/>
        <v>0</v>
      </c>
    </row>
    <row r="187" spans="1:18" ht="24.95" customHeight="1" x14ac:dyDescent="0.25">
      <c r="A187" s="221">
        <v>174</v>
      </c>
      <c r="B187" s="222" t="s">
        <v>316</v>
      </c>
      <c r="C187" s="223" t="s">
        <v>248</v>
      </c>
      <c r="D187" s="224" t="s">
        <v>870</v>
      </c>
      <c r="E187" s="260"/>
      <c r="F187" s="260"/>
      <c r="G187" s="262"/>
      <c r="H187" s="262">
        <v>315700</v>
      </c>
      <c r="I187" s="262">
        <v>568260</v>
      </c>
      <c r="J187" s="262"/>
      <c r="K187" s="262"/>
      <c r="L187" s="262"/>
      <c r="M187" s="262"/>
      <c r="N187" s="262"/>
      <c r="O187" s="262"/>
      <c r="P187" s="262"/>
      <c r="Q187" s="253">
        <f t="shared" si="4"/>
        <v>883960</v>
      </c>
      <c r="R187" s="255">
        <f t="shared" si="5"/>
        <v>11.210202695321673</v>
      </c>
    </row>
    <row r="188" spans="1:18" ht="24.95" customHeight="1" x14ac:dyDescent="0.25">
      <c r="A188" s="221">
        <v>175</v>
      </c>
      <c r="B188" s="227" t="s">
        <v>349</v>
      </c>
      <c r="C188" s="223" t="s">
        <v>248</v>
      </c>
      <c r="D188" s="224" t="s">
        <v>870</v>
      </c>
      <c r="E188" s="260"/>
      <c r="F188" s="260"/>
      <c r="G188" s="262"/>
      <c r="H188" s="262"/>
      <c r="I188" s="262"/>
      <c r="J188" s="262"/>
      <c r="K188" s="262"/>
      <c r="L188" s="262"/>
      <c r="M188" s="262"/>
      <c r="N188" s="262"/>
      <c r="O188" s="262"/>
      <c r="P188" s="262"/>
      <c r="Q188" s="253">
        <f t="shared" si="4"/>
        <v>0</v>
      </c>
      <c r="R188" s="255">
        <f t="shared" si="5"/>
        <v>0</v>
      </c>
    </row>
    <row r="189" spans="1:18" ht="24.95" customHeight="1" x14ac:dyDescent="0.25">
      <c r="A189" s="221">
        <v>176</v>
      </c>
      <c r="B189" s="222" t="s">
        <v>350</v>
      </c>
      <c r="C189" s="223" t="s">
        <v>248</v>
      </c>
      <c r="D189" s="224" t="s">
        <v>870</v>
      </c>
      <c r="E189" s="260"/>
      <c r="F189" s="260"/>
      <c r="G189" s="262"/>
      <c r="H189" s="262"/>
      <c r="I189" s="262"/>
      <c r="J189" s="262"/>
      <c r="K189" s="262"/>
      <c r="L189" s="262"/>
      <c r="M189" s="262"/>
      <c r="N189" s="262"/>
      <c r="O189" s="262"/>
      <c r="P189" s="262"/>
      <c r="Q189" s="253">
        <f t="shared" si="4"/>
        <v>0</v>
      </c>
      <c r="R189" s="255">
        <f t="shared" si="5"/>
        <v>0</v>
      </c>
    </row>
    <row r="190" spans="1:18" ht="24.95" customHeight="1" x14ac:dyDescent="0.25">
      <c r="A190" s="221">
        <v>177</v>
      </c>
      <c r="B190" s="222" t="s">
        <v>351</v>
      </c>
      <c r="C190" s="223" t="s">
        <v>248</v>
      </c>
      <c r="D190" s="224" t="s">
        <v>870</v>
      </c>
      <c r="E190" s="260"/>
      <c r="F190" s="260"/>
      <c r="G190" s="262"/>
      <c r="H190" s="262"/>
      <c r="I190" s="262"/>
      <c r="J190" s="262"/>
      <c r="K190" s="262"/>
      <c r="L190" s="262"/>
      <c r="M190" s="262"/>
      <c r="N190" s="262"/>
      <c r="O190" s="262"/>
      <c r="P190" s="262"/>
      <c r="Q190" s="253">
        <f t="shared" si="4"/>
        <v>0</v>
      </c>
      <c r="R190" s="255">
        <f t="shared" si="5"/>
        <v>0</v>
      </c>
    </row>
    <row r="191" spans="1:18" ht="24.95" customHeight="1" x14ac:dyDescent="0.25">
      <c r="A191" s="221">
        <v>178</v>
      </c>
      <c r="B191" s="222" t="s">
        <v>285</v>
      </c>
      <c r="C191" s="223" t="s">
        <v>248</v>
      </c>
      <c r="D191" s="224" t="s">
        <v>870</v>
      </c>
      <c r="E191" s="260"/>
      <c r="F191" s="260"/>
      <c r="G191" s="262"/>
      <c r="H191" s="262">
        <v>703800</v>
      </c>
      <c r="I191" s="262">
        <v>568260</v>
      </c>
      <c r="J191" s="262"/>
      <c r="K191" s="262"/>
      <c r="L191" s="262"/>
      <c r="M191" s="262"/>
      <c r="N191" s="262"/>
      <c r="O191" s="262"/>
      <c r="P191" s="262"/>
      <c r="Q191" s="253">
        <f t="shared" si="4"/>
        <v>1272060</v>
      </c>
      <c r="R191" s="255">
        <f t="shared" si="5"/>
        <v>16.132008734117932</v>
      </c>
    </row>
    <row r="192" spans="1:18" ht="24.95" customHeight="1" x14ac:dyDescent="0.25">
      <c r="A192" s="221">
        <v>179</v>
      </c>
      <c r="B192" s="222" t="s">
        <v>371</v>
      </c>
      <c r="C192" s="223" t="s">
        <v>248</v>
      </c>
      <c r="D192" s="224" t="s">
        <v>870</v>
      </c>
      <c r="E192" s="260">
        <v>445200</v>
      </c>
      <c r="F192" s="260">
        <v>877500</v>
      </c>
      <c r="G192" s="262">
        <v>776200</v>
      </c>
      <c r="H192" s="262"/>
      <c r="I192" s="262"/>
      <c r="J192" s="262"/>
      <c r="K192" s="262"/>
      <c r="L192" s="262"/>
      <c r="M192" s="262"/>
      <c r="N192" s="262"/>
      <c r="O192" s="262"/>
      <c r="P192" s="262"/>
      <c r="Q192" s="253">
        <f t="shared" si="4"/>
        <v>2098900</v>
      </c>
      <c r="R192" s="255">
        <f t="shared" si="5"/>
        <v>26.617827093093194</v>
      </c>
    </row>
    <row r="193" spans="1:18" ht="24.95" customHeight="1" x14ac:dyDescent="0.25">
      <c r="A193" s="221">
        <v>180</v>
      </c>
      <c r="B193" s="222" t="s">
        <v>340</v>
      </c>
      <c r="C193" s="223" t="s">
        <v>221</v>
      </c>
      <c r="D193" s="224" t="s">
        <v>870</v>
      </c>
      <c r="E193" s="260"/>
      <c r="F193" s="260"/>
      <c r="G193" s="262"/>
      <c r="H193" s="262"/>
      <c r="I193" s="262"/>
      <c r="J193" s="262"/>
      <c r="K193" s="262"/>
      <c r="L193" s="262"/>
      <c r="M193" s="262"/>
      <c r="N193" s="262"/>
      <c r="O193" s="262"/>
      <c r="P193" s="262"/>
      <c r="Q193" s="253">
        <f t="shared" si="4"/>
        <v>0</v>
      </c>
      <c r="R193" s="255">
        <f t="shared" si="5"/>
        <v>0</v>
      </c>
    </row>
    <row r="194" spans="1:18" ht="24.95" customHeight="1" x14ac:dyDescent="0.25">
      <c r="A194" s="221">
        <v>181</v>
      </c>
      <c r="B194" s="222" t="s">
        <v>308</v>
      </c>
      <c r="C194" s="223" t="s">
        <v>248</v>
      </c>
      <c r="D194" s="224" t="s">
        <v>870</v>
      </c>
      <c r="E194" s="260"/>
      <c r="F194" s="260"/>
      <c r="G194" s="262"/>
      <c r="H194" s="262"/>
      <c r="I194" s="262"/>
      <c r="J194" s="262"/>
      <c r="K194" s="262"/>
      <c r="L194" s="262"/>
      <c r="M194" s="262"/>
      <c r="N194" s="262"/>
      <c r="O194" s="262"/>
      <c r="P194" s="262"/>
      <c r="Q194" s="253">
        <f t="shared" si="4"/>
        <v>0</v>
      </c>
      <c r="R194" s="255">
        <f t="shared" si="5"/>
        <v>0</v>
      </c>
    </row>
    <row r="195" spans="1:18" ht="24.95" customHeight="1" x14ac:dyDescent="0.25">
      <c r="A195" s="221">
        <v>182</v>
      </c>
      <c r="B195" s="230" t="s">
        <v>352</v>
      </c>
      <c r="C195" s="223" t="s">
        <v>253</v>
      </c>
      <c r="D195" s="224" t="s">
        <v>870</v>
      </c>
      <c r="E195" s="260"/>
      <c r="F195" s="260"/>
      <c r="G195" s="262"/>
      <c r="H195" s="262"/>
      <c r="I195" s="262"/>
      <c r="J195" s="262"/>
      <c r="K195" s="262"/>
      <c r="L195" s="262"/>
      <c r="M195" s="262"/>
      <c r="N195" s="262"/>
      <c r="O195" s="262"/>
      <c r="P195" s="262"/>
      <c r="Q195" s="253">
        <f t="shared" ref="Q195:Q214" si="6">SUM(E195:P195)</f>
        <v>0</v>
      </c>
      <c r="R195" s="255">
        <f t="shared" si="5"/>
        <v>0</v>
      </c>
    </row>
    <row r="196" spans="1:18" ht="24.95" customHeight="1" x14ac:dyDescent="0.25">
      <c r="A196" s="221">
        <v>183</v>
      </c>
      <c r="B196" s="227" t="s">
        <v>397</v>
      </c>
      <c r="C196" s="223" t="s">
        <v>353</v>
      </c>
      <c r="D196" s="224" t="s">
        <v>870</v>
      </c>
      <c r="E196" s="260"/>
      <c r="F196" s="260"/>
      <c r="G196" s="262"/>
      <c r="H196" s="262"/>
      <c r="I196" s="262">
        <v>375600</v>
      </c>
      <c r="J196" s="262"/>
      <c r="K196" s="262"/>
      <c r="L196" s="262"/>
      <c r="M196" s="262"/>
      <c r="N196" s="262"/>
      <c r="O196" s="262"/>
      <c r="P196" s="262"/>
      <c r="Q196" s="253">
        <f t="shared" si="6"/>
        <v>375600</v>
      </c>
      <c r="R196" s="255">
        <f t="shared" si="5"/>
        <v>4.7632835562274538</v>
      </c>
    </row>
    <row r="197" spans="1:18" ht="24.95" customHeight="1" x14ac:dyDescent="0.25">
      <c r="A197" s="221">
        <v>184</v>
      </c>
      <c r="B197" s="228" t="s">
        <v>354</v>
      </c>
      <c r="C197" s="234" t="s">
        <v>1464</v>
      </c>
      <c r="D197" s="237" t="s">
        <v>1465</v>
      </c>
      <c r="E197" s="260">
        <v>1185790</v>
      </c>
      <c r="F197" s="260"/>
      <c r="G197" s="262"/>
      <c r="H197" s="262">
        <v>631400</v>
      </c>
      <c r="I197" s="262">
        <v>1189460</v>
      </c>
      <c r="J197" s="262"/>
      <c r="K197" s="262"/>
      <c r="L197" s="262"/>
      <c r="M197" s="262"/>
      <c r="N197" s="262"/>
      <c r="O197" s="262"/>
      <c r="P197" s="262"/>
      <c r="Q197" s="253">
        <f t="shared" si="6"/>
        <v>3006650</v>
      </c>
      <c r="R197" s="255">
        <f t="shared" si="5"/>
        <v>38.12972977723981</v>
      </c>
    </row>
    <row r="198" spans="1:18" ht="24.95" customHeight="1" x14ac:dyDescent="0.25">
      <c r="A198" s="221">
        <v>185</v>
      </c>
      <c r="B198" s="227" t="s">
        <v>357</v>
      </c>
      <c r="C198" s="223" t="s">
        <v>1466</v>
      </c>
      <c r="D198" s="224" t="s">
        <v>1465</v>
      </c>
      <c r="E198" s="260"/>
      <c r="F198" s="260"/>
      <c r="G198" s="262">
        <v>177123</v>
      </c>
      <c r="H198" s="262">
        <v>1412292</v>
      </c>
      <c r="I198" s="262"/>
      <c r="J198" s="262"/>
      <c r="K198" s="262"/>
      <c r="L198" s="262"/>
      <c r="M198" s="262"/>
      <c r="N198" s="262"/>
      <c r="O198" s="262"/>
      <c r="P198" s="262"/>
      <c r="Q198" s="253">
        <f t="shared" si="6"/>
        <v>1589415</v>
      </c>
      <c r="R198" s="255">
        <f t="shared" si="5"/>
        <v>20.156640930567782</v>
      </c>
    </row>
    <row r="199" spans="1:18" ht="24.95" customHeight="1" x14ac:dyDescent="0.25">
      <c r="A199" s="221">
        <v>186</v>
      </c>
      <c r="B199" s="230" t="s">
        <v>368</v>
      </c>
      <c r="C199" s="223" t="s">
        <v>1466</v>
      </c>
      <c r="D199" s="224" t="s">
        <v>1465</v>
      </c>
      <c r="E199" s="260">
        <v>3376220</v>
      </c>
      <c r="F199" s="260"/>
      <c r="G199" s="262"/>
      <c r="H199" s="262">
        <v>790600</v>
      </c>
      <c r="I199" s="262">
        <v>684810</v>
      </c>
      <c r="J199" s="262"/>
      <c r="K199" s="262"/>
      <c r="L199" s="262"/>
      <c r="M199" s="262"/>
      <c r="N199" s="262"/>
      <c r="O199" s="262"/>
      <c r="P199" s="262"/>
      <c r="Q199" s="253">
        <f t="shared" si="6"/>
        <v>4851630</v>
      </c>
      <c r="R199" s="255">
        <f t="shared" si="5"/>
        <v>61.527394568423318</v>
      </c>
    </row>
    <row r="200" spans="1:18" ht="24.95" customHeight="1" x14ac:dyDescent="0.25">
      <c r="A200" s="221">
        <v>187</v>
      </c>
      <c r="B200" s="227" t="s">
        <v>355</v>
      </c>
      <c r="C200" s="223" t="s">
        <v>356</v>
      </c>
      <c r="D200" s="224" t="s">
        <v>1465</v>
      </c>
      <c r="E200" s="260">
        <v>354246</v>
      </c>
      <c r="F200" s="260"/>
      <c r="G200" s="262"/>
      <c r="H200" s="262">
        <v>451046</v>
      </c>
      <c r="I200" s="262"/>
      <c r="J200" s="262"/>
      <c r="K200" s="262"/>
      <c r="L200" s="262"/>
      <c r="M200" s="262"/>
      <c r="N200" s="262"/>
      <c r="O200" s="262"/>
      <c r="P200" s="262"/>
      <c r="Q200" s="253">
        <f t="shared" si="6"/>
        <v>805292</v>
      </c>
      <c r="R200" s="255">
        <f t="shared" si="5"/>
        <v>10.212550962623853</v>
      </c>
    </row>
    <row r="201" spans="1:18" ht="24.95" customHeight="1" x14ac:dyDescent="0.25">
      <c r="A201" s="221">
        <v>188</v>
      </c>
      <c r="B201" s="222" t="s">
        <v>321</v>
      </c>
      <c r="C201" s="223" t="s">
        <v>356</v>
      </c>
      <c r="D201" s="224" t="s">
        <v>1465</v>
      </c>
      <c r="E201" s="260"/>
      <c r="F201" s="260"/>
      <c r="G201" s="262"/>
      <c r="H201" s="262">
        <v>315700</v>
      </c>
      <c r="I201" s="262"/>
      <c r="J201" s="262"/>
      <c r="K201" s="262"/>
      <c r="L201" s="262"/>
      <c r="M201" s="262"/>
      <c r="N201" s="262"/>
      <c r="O201" s="262"/>
      <c r="P201" s="262"/>
      <c r="Q201" s="253">
        <f t="shared" si="6"/>
        <v>315700</v>
      </c>
      <c r="R201" s="255">
        <f t="shared" si="5"/>
        <v>4.0036438197577402</v>
      </c>
    </row>
    <row r="202" spans="1:18" ht="24.95" customHeight="1" x14ac:dyDescent="0.25">
      <c r="A202" s="221">
        <v>189</v>
      </c>
      <c r="B202" s="227" t="s">
        <v>358</v>
      </c>
      <c r="C202" s="223" t="s">
        <v>247</v>
      </c>
      <c r="D202" s="224" t="s">
        <v>1465</v>
      </c>
      <c r="E202" s="260"/>
      <c r="F202" s="260"/>
      <c r="G202" s="262"/>
      <c r="H202" s="262">
        <v>531369</v>
      </c>
      <c r="I202" s="262"/>
      <c r="J202" s="262"/>
      <c r="K202" s="262"/>
      <c r="L202" s="262"/>
      <c r="M202" s="262"/>
      <c r="N202" s="262"/>
      <c r="O202" s="262"/>
      <c r="P202" s="262"/>
      <c r="Q202" s="253">
        <f t="shared" si="6"/>
        <v>531369</v>
      </c>
      <c r="R202" s="255">
        <f t="shared" si="5"/>
        <v>6.7387146432082696</v>
      </c>
    </row>
    <row r="203" spans="1:18" ht="24.95" customHeight="1" x14ac:dyDescent="0.25">
      <c r="A203" s="221">
        <v>190</v>
      </c>
      <c r="B203" s="227" t="s">
        <v>363</v>
      </c>
      <c r="C203" s="223" t="s">
        <v>247</v>
      </c>
      <c r="D203" s="224" t="s">
        <v>1465</v>
      </c>
      <c r="E203" s="260"/>
      <c r="F203" s="260"/>
      <c r="G203" s="262"/>
      <c r="H203" s="262">
        <v>315700</v>
      </c>
      <c r="I203" s="262"/>
      <c r="J203" s="262"/>
      <c r="K203" s="262"/>
      <c r="L203" s="262"/>
      <c r="M203" s="262"/>
      <c r="N203" s="262"/>
      <c r="O203" s="262"/>
      <c r="P203" s="262"/>
      <c r="Q203" s="253">
        <f t="shared" si="6"/>
        <v>315700</v>
      </c>
      <c r="R203" s="255">
        <f t="shared" si="5"/>
        <v>4.0036438197577402</v>
      </c>
    </row>
    <row r="204" spans="1:18" ht="24.95" customHeight="1" x14ac:dyDescent="0.25">
      <c r="A204" s="221">
        <v>191</v>
      </c>
      <c r="B204" s="222" t="s">
        <v>86</v>
      </c>
      <c r="C204" s="223" t="s">
        <v>247</v>
      </c>
      <c r="D204" s="224" t="s">
        <v>1465</v>
      </c>
      <c r="E204" s="260">
        <v>315700</v>
      </c>
      <c r="F204" s="260">
        <v>388100</v>
      </c>
      <c r="G204" s="262"/>
      <c r="H204" s="262">
        <v>354246</v>
      </c>
      <c r="I204" s="262">
        <v>703536</v>
      </c>
      <c r="J204" s="262"/>
      <c r="K204" s="262"/>
      <c r="L204" s="262"/>
      <c r="M204" s="262"/>
      <c r="N204" s="262"/>
      <c r="O204" s="262"/>
      <c r="P204" s="262"/>
      <c r="Q204" s="253">
        <f t="shared" si="6"/>
        <v>1761582</v>
      </c>
      <c r="R204" s="255">
        <f t="shared" si="5"/>
        <v>22.340028151081658</v>
      </c>
    </row>
    <row r="205" spans="1:18" ht="24.95" customHeight="1" x14ac:dyDescent="0.25">
      <c r="A205" s="221">
        <v>192</v>
      </c>
      <c r="B205" s="227" t="s">
        <v>360</v>
      </c>
      <c r="C205" s="223" t="s">
        <v>247</v>
      </c>
      <c r="D205" s="224" t="s">
        <v>1465</v>
      </c>
      <c r="E205" s="260">
        <v>631400</v>
      </c>
      <c r="F205" s="260"/>
      <c r="G205" s="262"/>
      <c r="H205" s="262"/>
      <c r="I205" s="262"/>
      <c r="J205" s="262"/>
      <c r="K205" s="262"/>
      <c r="L205" s="262"/>
      <c r="M205" s="262"/>
      <c r="N205" s="262"/>
      <c r="O205" s="262"/>
      <c r="P205" s="262"/>
      <c r="Q205" s="253">
        <f t="shared" si="6"/>
        <v>631400</v>
      </c>
      <c r="R205" s="255">
        <f t="shared" ref="R205:R214" si="7">Q205/$T$4*100</f>
        <v>8.0072876395154804</v>
      </c>
    </row>
    <row r="206" spans="1:18" ht="24.95" customHeight="1" x14ac:dyDescent="0.25">
      <c r="A206" s="221">
        <v>193</v>
      </c>
      <c r="B206" s="229" t="s">
        <v>223</v>
      </c>
      <c r="C206" s="223" t="s">
        <v>247</v>
      </c>
      <c r="D206" s="224" t="s">
        <v>1465</v>
      </c>
      <c r="E206" s="260">
        <v>915530</v>
      </c>
      <c r="F206" s="260">
        <v>1262800</v>
      </c>
      <c r="G206" s="262"/>
      <c r="H206" s="262"/>
      <c r="I206" s="262"/>
      <c r="J206" s="262"/>
      <c r="K206" s="262"/>
      <c r="L206" s="262"/>
      <c r="M206" s="262"/>
      <c r="N206" s="262"/>
      <c r="O206" s="262"/>
      <c r="P206" s="262"/>
      <c r="Q206" s="253">
        <f t="shared" si="6"/>
        <v>2178330</v>
      </c>
      <c r="R206" s="255">
        <f t="shared" si="7"/>
        <v>27.625142356328407</v>
      </c>
    </row>
    <row r="207" spans="1:18" ht="24.95" customHeight="1" x14ac:dyDescent="0.25">
      <c r="A207" s="221">
        <v>194</v>
      </c>
      <c r="B207" s="230" t="s">
        <v>365</v>
      </c>
      <c r="C207" s="223" t="s">
        <v>1467</v>
      </c>
      <c r="D207" s="224" t="s">
        <v>1465</v>
      </c>
      <c r="E207" s="260"/>
      <c r="F207" s="260"/>
      <c r="G207" s="262"/>
      <c r="H207" s="262">
        <v>177123</v>
      </c>
      <c r="I207" s="262"/>
      <c r="J207" s="262"/>
      <c r="K207" s="262"/>
      <c r="L207" s="262"/>
      <c r="M207" s="262"/>
      <c r="N207" s="262"/>
      <c r="O207" s="262"/>
      <c r="P207" s="262"/>
      <c r="Q207" s="253">
        <f t="shared" si="6"/>
        <v>177123</v>
      </c>
      <c r="R207" s="255">
        <f t="shared" si="7"/>
        <v>2.2462382144027564</v>
      </c>
    </row>
    <row r="208" spans="1:18" ht="24.95" customHeight="1" x14ac:dyDescent="0.25">
      <c r="A208" s="221">
        <v>195</v>
      </c>
      <c r="B208" s="230" t="s">
        <v>366</v>
      </c>
      <c r="C208" s="223" t="s">
        <v>1467</v>
      </c>
      <c r="D208" s="224" t="s">
        <v>1465</v>
      </c>
      <c r="E208" s="260"/>
      <c r="F208" s="260"/>
      <c r="G208" s="262"/>
      <c r="H208" s="262">
        <v>48400</v>
      </c>
      <c r="I208" s="262"/>
      <c r="J208" s="262"/>
      <c r="K208" s="262"/>
      <c r="L208" s="262"/>
      <c r="M208" s="262"/>
      <c r="N208" s="262"/>
      <c r="O208" s="262"/>
      <c r="P208" s="262"/>
      <c r="Q208" s="253">
        <f t="shared" si="6"/>
        <v>48400</v>
      </c>
      <c r="R208" s="255">
        <f t="shared" si="7"/>
        <v>0.61379905250641309</v>
      </c>
    </row>
    <row r="209" spans="1:18" ht="24.95" customHeight="1" x14ac:dyDescent="0.25">
      <c r="A209" s="221">
        <v>196</v>
      </c>
      <c r="B209" s="230" t="s">
        <v>367</v>
      </c>
      <c r="C209" s="223" t="s">
        <v>1467</v>
      </c>
      <c r="D209" s="224" t="s">
        <v>1465</v>
      </c>
      <c r="E209" s="260"/>
      <c r="F209" s="260"/>
      <c r="G209" s="262"/>
      <c r="H209" s="262">
        <v>315700</v>
      </c>
      <c r="I209" s="262"/>
      <c r="J209" s="262"/>
      <c r="K209" s="262"/>
      <c r="L209" s="262"/>
      <c r="M209" s="262"/>
      <c r="N209" s="262"/>
      <c r="O209" s="262"/>
      <c r="P209" s="262"/>
      <c r="Q209" s="253">
        <f t="shared" si="6"/>
        <v>315700</v>
      </c>
      <c r="R209" s="255">
        <f t="shared" si="7"/>
        <v>4.0036438197577402</v>
      </c>
    </row>
    <row r="210" spans="1:18" ht="24.95" customHeight="1" x14ac:dyDescent="0.25">
      <c r="A210" s="221">
        <v>197</v>
      </c>
      <c r="B210" s="230" t="s">
        <v>323</v>
      </c>
      <c r="C210" s="223" t="s">
        <v>1468</v>
      </c>
      <c r="D210" s="224" t="s">
        <v>1465</v>
      </c>
      <c r="E210" s="260">
        <v>1652920</v>
      </c>
      <c r="F210" s="260">
        <v>315700</v>
      </c>
      <c r="G210" s="262"/>
      <c r="H210" s="262"/>
      <c r="I210" s="262">
        <v>1154950</v>
      </c>
      <c r="J210" s="262"/>
      <c r="K210" s="262"/>
      <c r="L210" s="262"/>
      <c r="M210" s="262"/>
      <c r="N210" s="262"/>
      <c r="O210" s="262"/>
      <c r="P210" s="262"/>
      <c r="Q210" s="253">
        <f t="shared" si="6"/>
        <v>3123570</v>
      </c>
      <c r="R210" s="255">
        <f t="shared" si="7"/>
        <v>39.61248567019539</v>
      </c>
    </row>
    <row r="211" spans="1:18" ht="24.95" customHeight="1" x14ac:dyDescent="0.25">
      <c r="A211" s="221">
        <v>198</v>
      </c>
      <c r="B211" s="230" t="s">
        <v>258</v>
      </c>
      <c r="C211" s="223" t="s">
        <v>1468</v>
      </c>
      <c r="D211" s="224" t="s">
        <v>1465</v>
      </c>
      <c r="E211" s="260">
        <v>996355</v>
      </c>
      <c r="F211" s="260"/>
      <c r="G211" s="262"/>
      <c r="H211" s="262">
        <v>152400</v>
      </c>
      <c r="I211" s="262">
        <v>284130</v>
      </c>
      <c r="J211" s="262"/>
      <c r="K211" s="262"/>
      <c r="L211" s="262"/>
      <c r="M211" s="262"/>
      <c r="N211" s="262"/>
      <c r="O211" s="262"/>
      <c r="P211" s="262"/>
      <c r="Q211" s="253">
        <f t="shared" si="6"/>
        <v>1432885</v>
      </c>
      <c r="R211" s="255">
        <f t="shared" si="7"/>
        <v>18.171558994848176</v>
      </c>
    </row>
    <row r="212" spans="1:18" ht="24.95" customHeight="1" x14ac:dyDescent="0.25">
      <c r="A212" s="221">
        <v>199</v>
      </c>
      <c r="B212" s="230" t="s">
        <v>369</v>
      </c>
      <c r="C212" s="223" t="s">
        <v>1468</v>
      </c>
      <c r="D212" s="224" t="s">
        <v>1465</v>
      </c>
      <c r="E212" s="260">
        <v>899745</v>
      </c>
      <c r="F212" s="260">
        <v>315700</v>
      </c>
      <c r="G212" s="262"/>
      <c r="H212" s="262">
        <v>631400</v>
      </c>
      <c r="I212" s="262">
        <v>1423080</v>
      </c>
      <c r="J212" s="262"/>
      <c r="K212" s="262"/>
      <c r="L212" s="262"/>
      <c r="M212" s="262"/>
      <c r="N212" s="262"/>
      <c r="O212" s="262"/>
      <c r="P212" s="262"/>
      <c r="Q212" s="253">
        <f t="shared" si="6"/>
        <v>3269925</v>
      </c>
      <c r="R212" s="255">
        <f t="shared" si="7"/>
        <v>41.468530305103982</v>
      </c>
    </row>
    <row r="213" spans="1:18" ht="24.95" customHeight="1" x14ac:dyDescent="0.25">
      <c r="A213" s="221">
        <v>200</v>
      </c>
      <c r="B213" s="230" t="s">
        <v>287</v>
      </c>
      <c r="C213" s="223" t="s">
        <v>1468</v>
      </c>
      <c r="D213" s="224" t="s">
        <v>1465</v>
      </c>
      <c r="E213" s="260"/>
      <c r="F213" s="260"/>
      <c r="G213" s="262"/>
      <c r="H213" s="262"/>
      <c r="I213" s="262"/>
      <c r="J213" s="262"/>
      <c r="K213" s="262"/>
      <c r="L213" s="262"/>
      <c r="M213" s="262"/>
      <c r="N213" s="262"/>
      <c r="O213" s="262"/>
      <c r="P213" s="262"/>
      <c r="Q213" s="253">
        <f t="shared" si="6"/>
        <v>0</v>
      </c>
      <c r="R213" s="255">
        <f t="shared" si="7"/>
        <v>0</v>
      </c>
    </row>
    <row r="214" spans="1:18" ht="24.95" customHeight="1" x14ac:dyDescent="0.25">
      <c r="A214" s="221">
        <v>201</v>
      </c>
      <c r="B214" s="230" t="s">
        <v>1487</v>
      </c>
      <c r="C214" s="223"/>
      <c r="D214" s="224"/>
      <c r="E214" s="260"/>
      <c r="F214" s="260"/>
      <c r="G214" s="262"/>
      <c r="H214" s="262"/>
      <c r="I214" s="262">
        <v>349290</v>
      </c>
      <c r="J214" s="262"/>
      <c r="K214" s="262"/>
      <c r="L214" s="262"/>
      <c r="M214" s="262"/>
      <c r="N214" s="262"/>
      <c r="O214" s="262"/>
      <c r="P214" s="262"/>
      <c r="Q214" s="253">
        <f t="shared" si="6"/>
        <v>349290</v>
      </c>
      <c r="R214" s="255">
        <f t="shared" si="7"/>
        <v>4.4296254349166331</v>
      </c>
    </row>
    <row r="215" spans="1:18" ht="24.95" customHeight="1" x14ac:dyDescent="0.25">
      <c r="A215" s="221">
        <v>202</v>
      </c>
      <c r="B215" s="230"/>
      <c r="C215" s="223"/>
      <c r="D215" s="224"/>
      <c r="E215" s="260"/>
      <c r="F215" s="260"/>
      <c r="G215" s="262"/>
      <c r="H215" s="262"/>
      <c r="I215" s="262"/>
      <c r="J215" s="262"/>
      <c r="K215" s="262"/>
      <c r="L215" s="262"/>
      <c r="M215" s="262"/>
      <c r="N215" s="262"/>
      <c r="O215" s="262"/>
      <c r="P215" s="262"/>
      <c r="Q215" s="253"/>
      <c r="R215" s="255"/>
    </row>
    <row r="216" spans="1:18" ht="24.95" customHeight="1" x14ac:dyDescent="0.25">
      <c r="A216" s="221">
        <v>203</v>
      </c>
      <c r="B216" s="230"/>
      <c r="C216" s="223"/>
      <c r="D216" s="224"/>
      <c r="E216" s="260"/>
      <c r="F216" s="260"/>
      <c r="G216" s="262"/>
      <c r="H216" s="262"/>
      <c r="I216" s="262"/>
      <c r="J216" s="262"/>
      <c r="K216" s="262"/>
      <c r="L216" s="262"/>
      <c r="M216" s="262"/>
      <c r="N216" s="262"/>
      <c r="O216" s="262"/>
      <c r="P216" s="262"/>
      <c r="Q216" s="253"/>
      <c r="R216" s="255"/>
    </row>
    <row r="217" spans="1:18" ht="24.95" customHeight="1" x14ac:dyDescent="0.25">
      <c r="A217" s="221">
        <v>204</v>
      </c>
      <c r="B217" s="230"/>
      <c r="C217" s="223"/>
      <c r="D217" s="224"/>
      <c r="E217" s="260"/>
      <c r="F217" s="260"/>
      <c r="G217" s="262"/>
      <c r="H217" s="262"/>
      <c r="I217" s="262"/>
      <c r="J217" s="262"/>
      <c r="K217" s="262"/>
      <c r="L217" s="262"/>
      <c r="M217" s="262"/>
      <c r="N217" s="262"/>
      <c r="O217" s="262"/>
      <c r="P217" s="262"/>
      <c r="Q217" s="253"/>
      <c r="R217" s="255"/>
    </row>
    <row r="218" spans="1:18" ht="24.95" customHeight="1" x14ac:dyDescent="0.25">
      <c r="A218" s="221">
        <v>205</v>
      </c>
      <c r="B218" s="230"/>
      <c r="C218" s="223"/>
      <c r="D218" s="224"/>
      <c r="E218" s="260"/>
      <c r="F218" s="260"/>
      <c r="G218" s="262"/>
      <c r="H218" s="262"/>
      <c r="I218" s="262"/>
      <c r="J218" s="262"/>
      <c r="K218" s="262"/>
      <c r="L218" s="262"/>
      <c r="M218" s="262"/>
      <c r="N218" s="262"/>
      <c r="O218" s="262"/>
      <c r="P218" s="262"/>
      <c r="Q218" s="253"/>
      <c r="R218" s="255"/>
    </row>
    <row r="219" spans="1:18" ht="24.95" customHeight="1" x14ac:dyDescent="0.25">
      <c r="A219" s="221">
        <v>206</v>
      </c>
      <c r="B219" s="230"/>
      <c r="C219" s="223"/>
      <c r="D219" s="224"/>
      <c r="E219" s="260"/>
      <c r="F219" s="260"/>
      <c r="G219" s="262"/>
      <c r="H219" s="262"/>
      <c r="I219" s="262"/>
      <c r="J219" s="262"/>
      <c r="K219" s="262"/>
      <c r="L219" s="262"/>
      <c r="M219" s="262"/>
      <c r="N219" s="262"/>
      <c r="O219" s="262"/>
      <c r="P219" s="262"/>
      <c r="Q219" s="253"/>
      <c r="R219" s="255"/>
    </row>
    <row r="220" spans="1:18" ht="24.95" customHeight="1" x14ac:dyDescent="0.25">
      <c r="A220" s="221">
        <v>208</v>
      </c>
      <c r="B220" s="230"/>
      <c r="C220" s="223"/>
      <c r="D220" s="224"/>
      <c r="E220" s="260"/>
      <c r="F220" s="260"/>
      <c r="G220" s="262"/>
      <c r="H220" s="262"/>
      <c r="I220" s="262"/>
      <c r="J220" s="262"/>
      <c r="K220" s="262"/>
      <c r="L220" s="262"/>
      <c r="M220" s="262"/>
      <c r="N220" s="262"/>
      <c r="O220" s="262"/>
      <c r="P220" s="262"/>
      <c r="Q220" s="253"/>
      <c r="R220" s="255"/>
    </row>
    <row r="221" spans="1:18" ht="24.95" customHeight="1" x14ac:dyDescent="0.25">
      <c r="A221" s="221">
        <v>209</v>
      </c>
      <c r="B221" s="230"/>
      <c r="C221" s="223"/>
      <c r="D221" s="224"/>
      <c r="E221" s="260"/>
      <c r="F221" s="260"/>
      <c r="G221" s="262"/>
      <c r="H221" s="262"/>
      <c r="I221" s="262"/>
      <c r="J221" s="262"/>
      <c r="K221" s="262"/>
      <c r="L221" s="262"/>
      <c r="M221" s="262"/>
      <c r="N221" s="262"/>
      <c r="O221" s="262"/>
      <c r="P221" s="262"/>
      <c r="Q221" s="253"/>
      <c r="R221" s="255"/>
    </row>
    <row r="222" spans="1:18" ht="24.95" customHeight="1" x14ac:dyDescent="0.25">
      <c r="A222" s="221">
        <v>210</v>
      </c>
      <c r="B222" s="230"/>
      <c r="C222" s="223"/>
      <c r="D222" s="224"/>
      <c r="E222" s="260"/>
      <c r="F222" s="260"/>
      <c r="G222" s="262"/>
      <c r="H222" s="262"/>
      <c r="I222" s="262"/>
      <c r="J222" s="262"/>
      <c r="K222" s="262"/>
      <c r="L222" s="262"/>
      <c r="M222" s="262"/>
      <c r="N222" s="262"/>
      <c r="O222" s="262"/>
      <c r="P222" s="262"/>
      <c r="Q222" s="253"/>
      <c r="R222" s="255"/>
    </row>
    <row r="223" spans="1:18" ht="24.95" customHeight="1" x14ac:dyDescent="0.25">
      <c r="A223" s="221">
        <v>211</v>
      </c>
      <c r="B223" s="230"/>
      <c r="C223" s="223"/>
      <c r="D223" s="224"/>
      <c r="E223" s="260"/>
      <c r="F223" s="260"/>
      <c r="G223" s="262"/>
      <c r="H223" s="262"/>
      <c r="I223" s="262"/>
      <c r="J223" s="262"/>
      <c r="K223" s="262"/>
      <c r="L223" s="262"/>
      <c r="M223" s="262"/>
      <c r="N223" s="262"/>
      <c r="O223" s="262"/>
      <c r="P223" s="262"/>
      <c r="Q223" s="253"/>
      <c r="R223" s="255"/>
    </row>
    <row r="224" spans="1:18" ht="24.95" customHeight="1" x14ac:dyDescent="0.25">
      <c r="A224" s="221">
        <v>212</v>
      </c>
      <c r="B224" s="230"/>
      <c r="C224" s="223"/>
      <c r="D224" s="224"/>
      <c r="E224" s="260"/>
      <c r="F224" s="260"/>
      <c r="G224" s="262"/>
      <c r="H224" s="262"/>
      <c r="I224" s="262"/>
      <c r="J224" s="262"/>
      <c r="K224" s="262"/>
      <c r="L224" s="262"/>
      <c r="M224" s="262"/>
      <c r="N224" s="262"/>
      <c r="O224" s="262"/>
      <c r="P224" s="262"/>
      <c r="Q224" s="253"/>
      <c r="R224" s="255"/>
    </row>
    <row r="225" spans="1:18" ht="24.95" customHeight="1" x14ac:dyDescent="0.25">
      <c r="A225" s="221">
        <v>213</v>
      </c>
      <c r="B225" s="230"/>
      <c r="C225" s="223"/>
      <c r="D225" s="224"/>
      <c r="E225" s="260"/>
      <c r="F225" s="260"/>
      <c r="G225" s="262"/>
      <c r="H225" s="262"/>
      <c r="I225" s="262"/>
      <c r="J225" s="262"/>
      <c r="K225" s="262"/>
      <c r="L225" s="262"/>
      <c r="M225" s="262"/>
      <c r="N225" s="262"/>
      <c r="O225" s="262"/>
      <c r="P225" s="262"/>
      <c r="Q225" s="253"/>
      <c r="R225" s="255"/>
    </row>
    <row r="226" spans="1:18" ht="15" customHeight="1" x14ac:dyDescent="0.25">
      <c r="A226" s="221">
        <v>214</v>
      </c>
    </row>
    <row r="227" spans="1:18" ht="15" customHeight="1" x14ac:dyDescent="0.25">
      <c r="A227" s="221">
        <v>215</v>
      </c>
    </row>
    <row r="228" spans="1:18" ht="15" customHeight="1" x14ac:dyDescent="0.25">
      <c r="A228" s="221">
        <v>216</v>
      </c>
    </row>
    <row r="229" spans="1:18" ht="15" customHeight="1" x14ac:dyDescent="0.25">
      <c r="A229" s="221">
        <v>217</v>
      </c>
      <c r="E229" s="252">
        <f>2836684/13</f>
        <v>218206.46153846153</v>
      </c>
    </row>
  </sheetData>
  <autoFilter ref="A13:E213"/>
  <mergeCells count="11">
    <mergeCell ref="B12:D12"/>
    <mergeCell ref="A3:D3"/>
    <mergeCell ref="B5:D5"/>
    <mergeCell ref="B4:D4"/>
    <mergeCell ref="B6:D6"/>
    <mergeCell ref="B7:D7"/>
    <mergeCell ref="A1:D2"/>
    <mergeCell ref="B8:D8"/>
    <mergeCell ref="B9:D9"/>
    <mergeCell ref="B10:D10"/>
    <mergeCell ref="B11:D1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8"/>
  <sheetViews>
    <sheetView workbookViewId="0">
      <selection activeCell="C3" sqref="C3"/>
    </sheetView>
  </sheetViews>
  <sheetFormatPr defaultRowHeight="15" x14ac:dyDescent="0.25"/>
  <cols>
    <col min="1" max="1" width="23.140625" customWidth="1"/>
    <col min="2" max="8" width="11.42578125" style="263" bestFit="1" customWidth="1"/>
    <col min="9" max="9" width="12.7109375" customWidth="1"/>
    <col min="11" max="11" width="19.28515625" customWidth="1"/>
    <col min="12" max="12" width="18.140625" customWidth="1"/>
    <col min="13" max="13" width="12.7109375" style="263" bestFit="1" customWidth="1"/>
  </cols>
  <sheetData>
    <row r="2" spans="1:13" x14ac:dyDescent="0.25">
      <c r="A2" t="s">
        <v>1478</v>
      </c>
      <c r="I2" t="s">
        <v>1484</v>
      </c>
    </row>
    <row r="3" spans="1:13" s="246" customFormat="1" ht="24.95" customHeight="1" x14ac:dyDescent="0.3">
      <c r="A3" s="247" t="s">
        <v>1442</v>
      </c>
      <c r="B3" s="264">
        <v>681034</v>
      </c>
      <c r="C3" s="264">
        <v>1000000</v>
      </c>
      <c r="D3" s="264"/>
      <c r="E3" s="264"/>
      <c r="F3" s="264"/>
      <c r="G3" s="264"/>
      <c r="H3" s="264"/>
      <c r="I3" s="265">
        <f>B3+C3+D3+E3+F3+G3+H3</f>
        <v>1681034</v>
      </c>
      <c r="K3" s="246" t="s">
        <v>1479</v>
      </c>
      <c r="L3" s="246" t="s">
        <v>1453</v>
      </c>
      <c r="M3" s="264">
        <v>681034</v>
      </c>
    </row>
    <row r="4" spans="1:13" s="246" customFormat="1" ht="24.95" customHeight="1" x14ac:dyDescent="0.3">
      <c r="A4" s="247" t="s">
        <v>191</v>
      </c>
      <c r="B4" s="264"/>
      <c r="C4" s="264">
        <v>1000000</v>
      </c>
      <c r="D4" s="264"/>
      <c r="E4" s="264"/>
      <c r="F4" s="264"/>
      <c r="G4" s="264"/>
      <c r="H4" s="264"/>
      <c r="I4" s="265">
        <f t="shared" ref="I4:I18" si="0">B4+C4+D4+E4+F4+G4+H4</f>
        <v>1000000</v>
      </c>
      <c r="K4" s="246" t="s">
        <v>1482</v>
      </c>
      <c r="L4" s="246" t="s">
        <v>1454</v>
      </c>
      <c r="M4" s="264">
        <v>7184252</v>
      </c>
    </row>
    <row r="5" spans="1:13" s="246" customFormat="1" ht="24.95" customHeight="1" x14ac:dyDescent="0.3">
      <c r="A5" s="247" t="s">
        <v>192</v>
      </c>
      <c r="B5" s="264">
        <v>870137</v>
      </c>
      <c r="C5" s="264">
        <v>1000000</v>
      </c>
      <c r="D5" s="264"/>
      <c r="E5" s="264"/>
      <c r="F5" s="264"/>
      <c r="G5" s="264"/>
      <c r="H5" s="264"/>
      <c r="I5" s="265">
        <f t="shared" si="0"/>
        <v>1870137</v>
      </c>
      <c r="K5" s="246" t="s">
        <v>1483</v>
      </c>
      <c r="L5" s="246" t="s">
        <v>14</v>
      </c>
      <c r="M5" s="264">
        <v>4733434</v>
      </c>
    </row>
    <row r="6" spans="1:13" s="246" customFormat="1" ht="24.95" customHeight="1" x14ac:dyDescent="0.3">
      <c r="A6" s="247" t="s">
        <v>1452</v>
      </c>
      <c r="B6" s="264">
        <v>870137</v>
      </c>
      <c r="C6" s="264">
        <v>2938534</v>
      </c>
      <c r="D6" s="264"/>
      <c r="E6" s="264"/>
      <c r="F6" s="264"/>
      <c r="G6" s="264"/>
      <c r="H6" s="264"/>
      <c r="I6" s="265">
        <f t="shared" si="0"/>
        <v>3808671</v>
      </c>
      <c r="K6" s="246" t="s">
        <v>1485</v>
      </c>
      <c r="L6" s="246" t="s">
        <v>15</v>
      </c>
      <c r="M6" s="264">
        <v>12938534</v>
      </c>
    </row>
    <row r="7" spans="1:13" s="246" customFormat="1" ht="24.95" customHeight="1" x14ac:dyDescent="0.3">
      <c r="A7" s="247" t="s">
        <v>77</v>
      </c>
      <c r="B7" s="264">
        <v>870137</v>
      </c>
      <c r="C7" s="264">
        <v>1000000</v>
      </c>
      <c r="D7" s="264"/>
      <c r="E7" s="264"/>
      <c r="F7" s="264"/>
      <c r="G7" s="264"/>
      <c r="H7" s="264"/>
      <c r="I7" s="265">
        <f t="shared" si="0"/>
        <v>1870137</v>
      </c>
      <c r="M7" s="264"/>
    </row>
    <row r="8" spans="1:13" s="246" customFormat="1" ht="24.95" customHeight="1" x14ac:dyDescent="0.3">
      <c r="A8" s="247" t="s">
        <v>198</v>
      </c>
      <c r="B8" s="264"/>
      <c r="C8" s="264">
        <v>1000000</v>
      </c>
      <c r="D8" s="264"/>
      <c r="E8" s="264"/>
      <c r="F8" s="264"/>
      <c r="G8" s="264"/>
      <c r="H8" s="264"/>
      <c r="I8" s="265">
        <f t="shared" si="0"/>
        <v>1000000</v>
      </c>
      <c r="M8" s="264"/>
    </row>
    <row r="9" spans="1:13" s="246" customFormat="1" ht="24.95" customHeight="1" x14ac:dyDescent="0.3">
      <c r="A9" s="247" t="s">
        <v>1472</v>
      </c>
      <c r="B9" s="264"/>
      <c r="C9" s="264">
        <v>1000000</v>
      </c>
      <c r="D9" s="264"/>
      <c r="E9" s="264"/>
      <c r="F9" s="264"/>
      <c r="G9" s="264"/>
      <c r="H9" s="264"/>
      <c r="I9" s="265">
        <f t="shared" si="0"/>
        <v>1000000</v>
      </c>
      <c r="M9" s="264"/>
    </row>
    <row r="10" spans="1:13" s="246" customFormat="1" ht="24.95" customHeight="1" x14ac:dyDescent="0.3">
      <c r="A10" s="247" t="s">
        <v>1445</v>
      </c>
      <c r="B10" s="264"/>
      <c r="C10" s="264">
        <v>1000000</v>
      </c>
      <c r="D10" s="264"/>
      <c r="E10" s="264"/>
      <c r="F10" s="264"/>
      <c r="G10" s="264"/>
      <c r="H10" s="264"/>
      <c r="I10" s="265">
        <f t="shared" si="0"/>
        <v>1000000</v>
      </c>
      <c r="M10" s="264"/>
    </row>
    <row r="11" spans="1:13" s="246" customFormat="1" ht="24.95" customHeight="1" x14ac:dyDescent="0.3">
      <c r="A11" s="247" t="s">
        <v>201</v>
      </c>
      <c r="B11" s="264">
        <v>1851852</v>
      </c>
      <c r="C11" s="264">
        <v>4733434</v>
      </c>
      <c r="D11" s="264"/>
      <c r="E11" s="264"/>
      <c r="F11" s="264"/>
      <c r="G11" s="264"/>
      <c r="H11" s="264"/>
      <c r="I11" s="265">
        <f t="shared" si="0"/>
        <v>6585286</v>
      </c>
      <c r="M11" s="264"/>
    </row>
    <row r="12" spans="1:13" s="246" customFormat="1" ht="24.95" customHeight="1" x14ac:dyDescent="0.3">
      <c r="A12" s="247" t="s">
        <v>238</v>
      </c>
      <c r="B12" s="264"/>
      <c r="C12" s="264">
        <v>1000000</v>
      </c>
      <c r="D12" s="264"/>
      <c r="E12" s="264"/>
      <c r="F12" s="264"/>
      <c r="G12" s="264"/>
      <c r="H12" s="264"/>
      <c r="I12" s="265">
        <f t="shared" si="0"/>
        <v>1000000</v>
      </c>
      <c r="M12" s="264"/>
    </row>
    <row r="13" spans="1:13" s="246" customFormat="1" ht="24.95" customHeight="1" x14ac:dyDescent="0.3">
      <c r="A13" s="247" t="s">
        <v>101</v>
      </c>
      <c r="B13" s="264"/>
      <c r="C13" s="264">
        <v>1000000</v>
      </c>
      <c r="D13" s="264"/>
      <c r="E13" s="264"/>
      <c r="F13" s="264"/>
      <c r="G13" s="264"/>
      <c r="H13" s="264"/>
      <c r="I13" s="265">
        <f t="shared" si="0"/>
        <v>1000000</v>
      </c>
      <c r="M13" s="264"/>
    </row>
    <row r="14" spans="1:13" s="246" customFormat="1" ht="24.95" customHeight="1" x14ac:dyDescent="0.3">
      <c r="A14" s="247" t="s">
        <v>202</v>
      </c>
      <c r="B14" s="264">
        <v>870137</v>
      </c>
      <c r="C14" s="264">
        <v>1000000</v>
      </c>
      <c r="D14" s="264"/>
      <c r="E14" s="264"/>
      <c r="F14" s="264"/>
      <c r="G14" s="264"/>
      <c r="H14" s="264"/>
      <c r="I14" s="265">
        <f t="shared" si="0"/>
        <v>1870137</v>
      </c>
      <c r="M14" s="264"/>
    </row>
    <row r="15" spans="1:13" s="246" customFormat="1" ht="24.95" customHeight="1" x14ac:dyDescent="0.3">
      <c r="A15" s="247" t="s">
        <v>195</v>
      </c>
      <c r="B15" s="264">
        <v>1851852</v>
      </c>
      <c r="C15" s="264"/>
      <c r="D15" s="264"/>
      <c r="E15" s="264"/>
      <c r="F15" s="264"/>
      <c r="G15" s="264"/>
      <c r="H15" s="264"/>
      <c r="I15" s="265">
        <f t="shared" si="0"/>
        <v>1851852</v>
      </c>
      <c r="M15" s="264"/>
    </row>
    <row r="16" spans="1:13" s="246" customFormat="1" ht="24.95" customHeight="1" x14ac:dyDescent="0.3">
      <c r="A16" s="247" t="s">
        <v>197</v>
      </c>
      <c r="B16" s="264"/>
      <c r="C16" s="264"/>
      <c r="D16" s="264"/>
      <c r="E16" s="264"/>
      <c r="F16" s="264"/>
      <c r="G16" s="264"/>
      <c r="H16" s="264"/>
      <c r="I16" s="265">
        <f t="shared" si="0"/>
        <v>0</v>
      </c>
      <c r="M16" s="264"/>
    </row>
    <row r="17" spans="1:13" s="246" customFormat="1" ht="24.95" customHeight="1" x14ac:dyDescent="0.3">
      <c r="A17" s="247" t="s">
        <v>200</v>
      </c>
      <c r="B17" s="264"/>
      <c r="C17" s="264"/>
      <c r="D17" s="264"/>
      <c r="E17" s="264"/>
      <c r="F17" s="264"/>
      <c r="G17" s="264"/>
      <c r="H17" s="264"/>
      <c r="I17" s="265">
        <f t="shared" si="0"/>
        <v>0</v>
      </c>
      <c r="M17" s="264"/>
    </row>
    <row r="18" spans="1:13" ht="24.95" customHeight="1" x14ac:dyDescent="0.3">
      <c r="A18" s="222" t="s">
        <v>301</v>
      </c>
      <c r="I18" s="265">
        <f t="shared" si="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DS bình chỉnh</vt:lpstr>
      <vt:lpstr>ban cu Nhung</vt:lpstr>
      <vt:lpstr>Thư</vt:lpstr>
      <vt:lpstr>XN</vt:lpstr>
      <vt:lpstr>BPKD</vt:lpstr>
      <vt:lpstr>Thư!Print_Area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Win10Pro</cp:lastModifiedBy>
  <cp:lastPrinted>2026-01-06T04:50:18Z</cp:lastPrinted>
  <dcterms:created xsi:type="dcterms:W3CDTF">2022-06-12T12:02:41Z</dcterms:created>
  <dcterms:modified xsi:type="dcterms:W3CDTF">2026-06-01T01:37:16Z</dcterms:modified>
</cp:coreProperties>
</file>
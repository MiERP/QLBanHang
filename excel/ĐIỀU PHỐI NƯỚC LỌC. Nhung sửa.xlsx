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Agentic-AI\Doing\QLBanHang-main\QLBanHang\excel\"/>
    </mc:Choice>
  </mc:AlternateContent>
  <xr:revisionPtr revIDLastSave="0" documentId="13_ncr:1_{F7AC4317-771A-4CD8-9400-478464774E9B}" xr6:coauthVersionLast="47" xr6:coauthVersionMax="47" xr10:uidLastSave="{00000000-0000-0000-0000-000000000000}"/>
  <bookViews>
    <workbookView xWindow="-108" yWindow="-108" windowWidth="23256" windowHeight="12576" xr2:uid="{210A6082-5B63-4E89-8AC1-863EFE0EA49A}"/>
  </bookViews>
  <sheets>
    <sheet name="XUẤT" sheetId="1" r:id="rId1"/>
    <sheet name="CBCNV" sheetId="2" r:id="rId2"/>
    <sheet name="TỒN" sheetId="3" r:id="rId3"/>
    <sheet name="ĐIÈU PHỐI" sheetId="4" r:id="rId4"/>
    <sheet name="Vận chuyển" sheetId="5" r:id="rId5"/>
    <sheet name="Đơn giá" sheetId="6" r:id="rId6"/>
    <sheet name="TỒN TỔNG" sheetId="13" r:id="rId7"/>
    <sheet name="TỒN KHO HUẾ" sheetId="8" r:id="rId8"/>
    <sheet name="TỒN KHO TĂNG ÁP" sheetId="9" r:id="rId9"/>
    <sheet name="tồn xe" sheetId="10" r:id="rId10"/>
    <sheet name="Tồn kho văn phòng" sheetId="12" r:id="rId11"/>
    <sheet name="TỒN KHO HÀ LẦM" sheetId="14" r:id="rId12"/>
    <sheet name="nhập từ CP" sheetId="11" r:id="rId13"/>
  </sheets>
  <externalReferences>
    <externalReference r:id="rId14"/>
  </externalReferences>
  <definedNames>
    <definedName name="_xlnm._FilterDatabase" localSheetId="1" hidden="1">CBCNV!$A$6:$T$200</definedName>
    <definedName name="_xlnm._FilterDatabase" localSheetId="7" hidden="1">'TỒN KHO HUẾ'!$A$2:$AL$2</definedName>
    <definedName name="_xlnm._FilterDatabase" localSheetId="0" hidden="1">XUẤT!$A$3:$AE$149</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X144" i="1" l="1"/>
  <c r="Y144" i="1" s="1"/>
  <c r="W144" i="1"/>
  <c r="AB144" i="1" s="1"/>
  <c r="AC144" i="1" s="1"/>
  <c r="I144" i="1"/>
  <c r="X143" i="1"/>
  <c r="Y143" i="1" s="1"/>
  <c r="W143" i="1"/>
  <c r="AB143" i="1" s="1"/>
  <c r="AC143" i="1" s="1"/>
  <c r="I143" i="1"/>
  <c r="X142" i="1"/>
  <c r="Y142" i="1" s="1"/>
  <c r="W142" i="1"/>
  <c r="AB142" i="1" s="1"/>
  <c r="AC142" i="1" s="1"/>
  <c r="I142" i="1"/>
  <c r="Y141" i="1"/>
  <c r="W141" i="1"/>
  <c r="AB141" i="1" s="1"/>
  <c r="AC141" i="1" s="1"/>
  <c r="I141" i="1"/>
  <c r="X140" i="1"/>
  <c r="Y140" i="1" s="1"/>
  <c r="W140" i="1"/>
  <c r="AB140" i="1" s="1"/>
  <c r="AC140" i="1" s="1"/>
  <c r="I140" i="1"/>
  <c r="X139" i="1"/>
  <c r="Y139" i="1" s="1"/>
  <c r="W139" i="1"/>
  <c r="AB139" i="1" s="1"/>
  <c r="AC139" i="1" s="1"/>
  <c r="I139" i="1"/>
  <c r="X138" i="1"/>
  <c r="Y138" i="1" s="1"/>
  <c r="W138" i="1"/>
  <c r="AB138" i="1" s="1"/>
  <c r="AC138" i="1" s="1"/>
  <c r="I138" i="1"/>
  <c r="Y137" i="1"/>
  <c r="W137" i="1"/>
  <c r="AB137" i="1" s="1"/>
  <c r="AC137" i="1" s="1"/>
  <c r="I137" i="1"/>
  <c r="X136" i="1"/>
  <c r="Y136" i="1" s="1"/>
  <c r="W136" i="1"/>
  <c r="AB136" i="1" s="1"/>
  <c r="AC136" i="1" s="1"/>
  <c r="I136" i="1"/>
  <c r="Y135" i="1"/>
  <c r="W135" i="1"/>
  <c r="AB135" i="1" s="1"/>
  <c r="AC135" i="1" s="1"/>
  <c r="I135" i="1"/>
  <c r="Y134" i="1"/>
  <c r="W134" i="1"/>
  <c r="AB134" i="1" s="1"/>
  <c r="AC134" i="1" s="1"/>
  <c r="I134" i="1"/>
  <c r="X133" i="1"/>
  <c r="Y133" i="1" s="1"/>
  <c r="W133" i="1"/>
  <c r="AB133" i="1" s="1"/>
  <c r="AC133" i="1" s="1"/>
  <c r="I133" i="1"/>
  <c r="X132" i="1"/>
  <c r="Y132" i="1" s="1"/>
  <c r="W132" i="1"/>
  <c r="AB132" i="1" s="1"/>
  <c r="AC132" i="1" s="1"/>
  <c r="I132" i="1"/>
  <c r="Y131" i="1"/>
  <c r="W131" i="1"/>
  <c r="AB131" i="1" s="1"/>
  <c r="AC131" i="1" s="1"/>
  <c r="I131" i="1"/>
  <c r="Y130" i="1"/>
  <c r="W130" i="1"/>
  <c r="AB130" i="1" s="1"/>
  <c r="AC130" i="1" s="1"/>
  <c r="I130" i="1"/>
  <c r="Y129" i="1"/>
  <c r="W129" i="1"/>
  <c r="AB129" i="1" s="1"/>
  <c r="AC129" i="1" s="1"/>
  <c r="I129" i="1"/>
  <c r="W128" i="1"/>
  <c r="I128" i="1"/>
  <c r="W127" i="1"/>
  <c r="AB127" i="1" s="1"/>
  <c r="I127" i="1"/>
  <c r="Y126" i="1"/>
  <c r="W126" i="1"/>
  <c r="AB126" i="1" s="1"/>
  <c r="AC126" i="1" s="1"/>
  <c r="I126" i="1"/>
  <c r="Y125" i="1"/>
  <c r="W125" i="1"/>
  <c r="AB125" i="1" s="1"/>
  <c r="AC125" i="1" s="1"/>
  <c r="I125" i="1"/>
  <c r="Y124" i="1"/>
  <c r="W124" i="1"/>
  <c r="AB124" i="1" s="1"/>
  <c r="AC124" i="1" s="1"/>
  <c r="I124" i="1"/>
  <c r="Y123" i="1"/>
  <c r="W123" i="1"/>
  <c r="AB123" i="1" s="1"/>
  <c r="AC123" i="1" s="1"/>
  <c r="I123" i="1"/>
  <c r="W122" i="1"/>
  <c r="AB122" i="1" s="1"/>
  <c r="AC122" i="1" s="1"/>
  <c r="I122" i="1"/>
  <c r="Y121" i="1"/>
  <c r="W121" i="1"/>
  <c r="AB121" i="1" s="1"/>
  <c r="AC121" i="1" s="1"/>
  <c r="I121" i="1"/>
  <c r="AB120" i="1"/>
  <c r="AC120" i="1" s="1"/>
  <c r="Y120" i="1"/>
  <c r="W120" i="1"/>
  <c r="I120" i="1"/>
  <c r="X119" i="1"/>
  <c r="W119" i="1"/>
  <c r="AB119" i="1" s="1"/>
  <c r="AC119" i="1" s="1"/>
  <c r="I119" i="1"/>
  <c r="Y118" i="1"/>
  <c r="W118" i="1"/>
  <c r="AB118" i="1" s="1"/>
  <c r="AC118" i="1" s="1"/>
  <c r="I118" i="1"/>
  <c r="W117" i="1"/>
  <c r="AB117" i="1" s="1"/>
  <c r="AC117" i="1" s="1"/>
  <c r="I117" i="1"/>
  <c r="Y116" i="1"/>
  <c r="W116" i="1"/>
  <c r="AB116" i="1" s="1"/>
  <c r="AC116" i="1" s="1"/>
  <c r="I116" i="1"/>
  <c r="Y115" i="1"/>
  <c r="W115" i="1"/>
  <c r="AB115" i="1" s="1"/>
  <c r="AC115" i="1" s="1"/>
  <c r="I115" i="1"/>
  <c r="Y114" i="1"/>
  <c r="W114" i="1"/>
  <c r="AB114" i="1" s="1"/>
  <c r="AC114" i="1" s="1"/>
  <c r="I114" i="1"/>
  <c r="W113" i="1"/>
  <c r="AB113" i="1" s="1"/>
  <c r="AC113" i="1" s="1"/>
  <c r="I113" i="1"/>
  <c r="Y112" i="1"/>
  <c r="W112" i="1"/>
  <c r="AB112" i="1" s="1"/>
  <c r="AC112" i="1" s="1"/>
  <c r="I112" i="1"/>
  <c r="Y111" i="1"/>
  <c r="W111" i="1"/>
  <c r="AB111" i="1" s="1"/>
  <c r="AC111" i="1" s="1"/>
  <c r="I111" i="1"/>
  <c r="Y110" i="1"/>
  <c r="W110" i="1"/>
  <c r="AB110" i="1" s="1"/>
  <c r="AC110" i="1" s="1"/>
  <c r="I110" i="1"/>
  <c r="W109" i="1"/>
  <c r="AB109" i="1" s="1"/>
  <c r="AC109" i="1" s="1"/>
  <c r="I109" i="1"/>
  <c r="Y108" i="1"/>
  <c r="W108" i="1"/>
  <c r="AB108" i="1" s="1"/>
  <c r="AC108" i="1" s="1"/>
  <c r="I108" i="1"/>
  <c r="Y107" i="1"/>
  <c r="W107" i="1"/>
  <c r="AB107" i="1" s="1"/>
  <c r="AC107" i="1" s="1"/>
  <c r="I107" i="1"/>
  <c r="Y106" i="1"/>
  <c r="W106" i="1"/>
  <c r="AB106" i="1" s="1"/>
  <c r="AC106" i="1" s="1"/>
  <c r="I106" i="1"/>
  <c r="Y105" i="1"/>
  <c r="W105" i="1"/>
  <c r="AB105" i="1" s="1"/>
  <c r="AC105" i="1" s="1"/>
  <c r="I105" i="1"/>
  <c r="Y104" i="1"/>
  <c r="W104" i="1"/>
  <c r="AB104" i="1" s="1"/>
  <c r="AC104" i="1" s="1"/>
  <c r="I104" i="1"/>
  <c r="Y103" i="1"/>
  <c r="W103" i="1"/>
  <c r="AB103" i="1" s="1"/>
  <c r="AC103" i="1" s="1"/>
  <c r="I103" i="1"/>
  <c r="Y102" i="1"/>
  <c r="W102" i="1"/>
  <c r="AB102" i="1" s="1"/>
  <c r="AC102" i="1" s="1"/>
  <c r="I102" i="1"/>
  <c r="Y101" i="1"/>
  <c r="W101" i="1"/>
  <c r="AB101" i="1" s="1"/>
  <c r="AC101" i="1" s="1"/>
  <c r="I101" i="1"/>
  <c r="X100" i="1"/>
  <c r="Y100" i="1" s="1"/>
  <c r="W100" i="1"/>
  <c r="AB100" i="1" s="1"/>
  <c r="AC100" i="1" s="1"/>
  <c r="I100" i="1"/>
  <c r="X99" i="1"/>
  <c r="Y99" i="1" s="1"/>
  <c r="W99" i="1"/>
  <c r="AB99" i="1" s="1"/>
  <c r="AC99" i="1" s="1"/>
  <c r="I99" i="1"/>
  <c r="X98" i="1"/>
  <c r="Y98" i="1" s="1"/>
  <c r="W98" i="1"/>
  <c r="AB98" i="1" s="1"/>
  <c r="AC98" i="1" s="1"/>
  <c r="I98" i="1"/>
  <c r="AB97" i="1"/>
  <c r="AC97" i="1" s="1"/>
  <c r="X97" i="1"/>
  <c r="Y97" i="1" s="1"/>
  <c r="W97" i="1"/>
  <c r="I97" i="1"/>
  <c r="X96" i="1"/>
  <c r="Y96" i="1" s="1"/>
  <c r="W96" i="1"/>
  <c r="AB96" i="1" s="1"/>
  <c r="AC96" i="1" s="1"/>
  <c r="I96" i="1"/>
  <c r="X95" i="1"/>
  <c r="Y95" i="1" s="1"/>
  <c r="W95" i="1"/>
  <c r="AB95" i="1" s="1"/>
  <c r="AC95" i="1" s="1"/>
  <c r="I95" i="1"/>
  <c r="X94" i="1"/>
  <c r="Y94" i="1" s="1"/>
  <c r="W94" i="1"/>
  <c r="AB94" i="1" s="1"/>
  <c r="AC94" i="1" s="1"/>
  <c r="I94" i="1"/>
  <c r="X93" i="1"/>
  <c r="Y93" i="1" s="1"/>
  <c r="W93" i="1"/>
  <c r="AB93" i="1" s="1"/>
  <c r="AC93" i="1" s="1"/>
  <c r="I93" i="1"/>
  <c r="Y92" i="1"/>
  <c r="X92" i="1"/>
  <c r="W92" i="1"/>
  <c r="AB92" i="1" s="1"/>
  <c r="AC92" i="1" s="1"/>
  <c r="I92" i="1"/>
  <c r="X91" i="1"/>
  <c r="Y91" i="1" s="1"/>
  <c r="W91" i="1"/>
  <c r="AB91" i="1" s="1"/>
  <c r="AC91" i="1" s="1"/>
  <c r="I91" i="1"/>
  <c r="X90" i="1"/>
  <c r="Y90" i="1" s="1"/>
  <c r="W90" i="1"/>
  <c r="AB90" i="1" s="1"/>
  <c r="AC90" i="1" s="1"/>
  <c r="I90" i="1"/>
  <c r="X89" i="1"/>
  <c r="Y89" i="1" s="1"/>
  <c r="W89" i="1"/>
  <c r="AB89" i="1" s="1"/>
  <c r="AC89" i="1" s="1"/>
  <c r="I89" i="1"/>
  <c r="Y88" i="1"/>
  <c r="W88" i="1"/>
  <c r="AB88" i="1" s="1"/>
  <c r="AC88" i="1" s="1"/>
  <c r="I88" i="1"/>
  <c r="X87" i="1"/>
  <c r="Y87" i="1" s="1"/>
  <c r="W87" i="1"/>
  <c r="AB87" i="1" s="1"/>
  <c r="AC87" i="1" s="1"/>
  <c r="I87" i="1"/>
  <c r="X86" i="1"/>
  <c r="Y86" i="1" s="1"/>
  <c r="W86" i="1"/>
  <c r="AB86" i="1" s="1"/>
  <c r="AC86" i="1" s="1"/>
  <c r="I86" i="1"/>
  <c r="X85" i="1"/>
  <c r="Y85" i="1" s="1"/>
  <c r="W85" i="1"/>
  <c r="AB85" i="1" s="1"/>
  <c r="AC85" i="1" s="1"/>
  <c r="I85" i="1"/>
  <c r="X84" i="1"/>
  <c r="Y84" i="1" s="1"/>
  <c r="W84" i="1"/>
  <c r="AB84" i="1" s="1"/>
  <c r="AC84" i="1" s="1"/>
  <c r="I84" i="1"/>
  <c r="AB83" i="1"/>
  <c r="AC83" i="1" s="1"/>
  <c r="X83" i="1"/>
  <c r="Y83" i="1" s="1"/>
  <c r="W83" i="1"/>
  <c r="I83" i="1"/>
  <c r="X82" i="1"/>
  <c r="Y82" i="1" s="1"/>
  <c r="W82" i="1"/>
  <c r="AB82" i="1" s="1"/>
  <c r="AC82" i="1" s="1"/>
  <c r="I82" i="1"/>
  <c r="Y81" i="1"/>
  <c r="W81" i="1"/>
  <c r="AB81" i="1" s="1"/>
  <c r="AC81" i="1" s="1"/>
  <c r="I81" i="1"/>
  <c r="X80" i="1"/>
  <c r="Y80" i="1" s="1"/>
  <c r="W80" i="1"/>
  <c r="AB80" i="1" s="1"/>
  <c r="AC80" i="1" s="1"/>
  <c r="I80" i="1"/>
  <c r="X79" i="1"/>
  <c r="Y79" i="1" s="1"/>
  <c r="W79" i="1"/>
  <c r="AB79" i="1" s="1"/>
  <c r="AC79" i="1" s="1"/>
  <c r="I79" i="1"/>
  <c r="AB78" i="1"/>
  <c r="AC78" i="1" s="1"/>
  <c r="X78" i="1"/>
  <c r="Y78" i="1" s="1"/>
  <c r="W78" i="1"/>
  <c r="I78" i="1"/>
  <c r="Y77" i="1"/>
  <c r="X77" i="1"/>
  <c r="W77" i="1"/>
  <c r="AB77" i="1" s="1"/>
  <c r="AC77" i="1" s="1"/>
  <c r="I77" i="1"/>
  <c r="X76" i="1"/>
  <c r="Y76" i="1" s="1"/>
  <c r="W76" i="1"/>
  <c r="AB76" i="1" s="1"/>
  <c r="AC76" i="1" s="1"/>
  <c r="I76" i="1"/>
  <c r="X75" i="1"/>
  <c r="Y75" i="1" s="1"/>
  <c r="W75" i="1"/>
  <c r="AB75" i="1" s="1"/>
  <c r="AC75" i="1" s="1"/>
  <c r="I75" i="1"/>
  <c r="Y74" i="1"/>
  <c r="W74" i="1"/>
  <c r="AB74" i="1" s="1"/>
  <c r="AC74" i="1" s="1"/>
  <c r="Y73" i="1"/>
  <c r="W73" i="1"/>
  <c r="AB73" i="1" s="1"/>
  <c r="AC73" i="1" s="1"/>
  <c r="I73" i="1"/>
  <c r="X72" i="1"/>
  <c r="Y72" i="1" s="1"/>
  <c r="W72" i="1"/>
  <c r="AB72" i="1" s="1"/>
  <c r="AC72" i="1" s="1"/>
  <c r="I72" i="1"/>
  <c r="Y71" i="1"/>
  <c r="W71" i="1"/>
  <c r="AB71" i="1" s="1"/>
  <c r="AC71" i="1" s="1"/>
  <c r="I71" i="1"/>
  <c r="X70" i="1"/>
  <c r="Y70" i="1" s="1"/>
  <c r="W70" i="1"/>
  <c r="AB70" i="1" s="1"/>
  <c r="AC70" i="1" s="1"/>
  <c r="I70" i="1"/>
  <c r="X69" i="1"/>
  <c r="Y69" i="1" s="1"/>
  <c r="W69" i="1"/>
  <c r="AB69" i="1" s="1"/>
  <c r="AC69" i="1" s="1"/>
  <c r="I69" i="1"/>
  <c r="X68" i="1"/>
  <c r="Y68" i="1" s="1"/>
  <c r="W68" i="1"/>
  <c r="AB68" i="1" s="1"/>
  <c r="AC68" i="1" s="1"/>
  <c r="I68" i="1"/>
  <c r="X67" i="1"/>
  <c r="Y67" i="1" s="1"/>
  <c r="W67" i="1"/>
  <c r="AB67" i="1" s="1"/>
  <c r="AC67" i="1" s="1"/>
  <c r="I67" i="1"/>
  <c r="X66" i="1"/>
  <c r="Y66" i="1" s="1"/>
  <c r="W66" i="1"/>
  <c r="AB66" i="1" s="1"/>
  <c r="AC66" i="1" s="1"/>
  <c r="I66" i="1"/>
  <c r="X65" i="1"/>
  <c r="Y65" i="1" s="1"/>
  <c r="W65" i="1"/>
  <c r="AB65" i="1" s="1"/>
  <c r="AC65" i="1" s="1"/>
  <c r="I65" i="1"/>
  <c r="AB64" i="1"/>
  <c r="AC64" i="1" s="1"/>
  <c r="X64" i="1"/>
  <c r="Y64" i="1" s="1"/>
  <c r="W64" i="1"/>
  <c r="I64" i="1"/>
  <c r="X63" i="1"/>
  <c r="Y63" i="1" s="1"/>
  <c r="W63" i="1"/>
  <c r="AB63" i="1" s="1"/>
  <c r="AC63" i="1" s="1"/>
  <c r="I63" i="1"/>
  <c r="X62" i="1"/>
  <c r="Y62" i="1" s="1"/>
  <c r="W62" i="1"/>
  <c r="AB62" i="1" s="1"/>
  <c r="AC62" i="1" s="1"/>
  <c r="I62" i="1"/>
  <c r="X61" i="1"/>
  <c r="Y61" i="1" s="1"/>
  <c r="W61" i="1"/>
  <c r="AB61" i="1" s="1"/>
  <c r="AC61" i="1" s="1"/>
  <c r="I61" i="1"/>
  <c r="AB60" i="1"/>
  <c r="AC60" i="1" s="1"/>
  <c r="X60" i="1"/>
  <c r="Y60" i="1" s="1"/>
  <c r="W60" i="1"/>
  <c r="I60" i="1"/>
  <c r="X59" i="1"/>
  <c r="Y59" i="1" s="1"/>
  <c r="W59" i="1"/>
  <c r="AB59" i="1" s="1"/>
  <c r="AC59" i="1" s="1"/>
  <c r="I59" i="1"/>
  <c r="X58" i="1"/>
  <c r="Y58" i="1" s="1"/>
  <c r="W58" i="1"/>
  <c r="AB58" i="1" s="1"/>
  <c r="AC58" i="1" s="1"/>
  <c r="I58" i="1"/>
  <c r="X57" i="1"/>
  <c r="Y57" i="1" s="1"/>
  <c r="W57" i="1"/>
  <c r="AB57" i="1" s="1"/>
  <c r="AC57" i="1" s="1"/>
  <c r="I57" i="1"/>
  <c r="Y56" i="1"/>
  <c r="W56" i="1"/>
  <c r="AB56" i="1" s="1"/>
  <c r="AC56" i="1" s="1"/>
  <c r="I56" i="1"/>
  <c r="X55" i="1"/>
  <c r="Y55" i="1" s="1"/>
  <c r="W55" i="1"/>
  <c r="AB55" i="1" s="1"/>
  <c r="AC55" i="1" s="1"/>
  <c r="I55" i="1"/>
  <c r="X54" i="1"/>
  <c r="Y54" i="1" s="1"/>
  <c r="W54" i="1"/>
  <c r="AB54" i="1" s="1"/>
  <c r="AC54" i="1" s="1"/>
  <c r="I54" i="1"/>
  <c r="X53" i="1"/>
  <c r="Y53" i="1" s="1"/>
  <c r="W53" i="1"/>
  <c r="AB53" i="1" s="1"/>
  <c r="AC53" i="1" s="1"/>
  <c r="X52" i="1"/>
  <c r="Y52" i="1" s="1"/>
  <c r="W52" i="1"/>
  <c r="AB52" i="1" s="1"/>
  <c r="AC52" i="1" s="1"/>
  <c r="I52" i="1"/>
  <c r="X51" i="1"/>
  <c r="Y51" i="1" s="1"/>
  <c r="W51" i="1"/>
  <c r="AB51" i="1" s="1"/>
  <c r="AC51" i="1" s="1"/>
  <c r="I51" i="1"/>
  <c r="X50" i="1"/>
  <c r="Y50" i="1" s="1"/>
  <c r="W50" i="1"/>
  <c r="AB50" i="1" s="1"/>
  <c r="AC50" i="1" s="1"/>
  <c r="I50" i="1"/>
  <c r="X49" i="1"/>
  <c r="Y49" i="1" s="1"/>
  <c r="W49" i="1"/>
  <c r="AB49" i="1" s="1"/>
  <c r="AC49" i="1" s="1"/>
  <c r="X48" i="1"/>
  <c r="Y48" i="1" s="1"/>
  <c r="W48" i="1"/>
  <c r="AB48" i="1" s="1"/>
  <c r="AC48" i="1" s="1"/>
  <c r="I48" i="1"/>
  <c r="Y47" i="1"/>
  <c r="X47" i="1"/>
  <c r="W47" i="1"/>
  <c r="AB47" i="1" s="1"/>
  <c r="AC47" i="1" s="1"/>
  <c r="I47" i="1"/>
  <c r="X46" i="1"/>
  <c r="Y46" i="1" s="1"/>
  <c r="W46" i="1"/>
  <c r="AB46" i="1" s="1"/>
  <c r="AC46" i="1" s="1"/>
  <c r="I46" i="1"/>
  <c r="Y45" i="1"/>
  <c r="X45" i="1"/>
  <c r="W45" i="1"/>
  <c r="AB45" i="1" s="1"/>
  <c r="AC45" i="1" s="1"/>
  <c r="I45" i="1"/>
  <c r="X44" i="1"/>
  <c r="Y44" i="1" s="1"/>
  <c r="W44" i="1"/>
  <c r="AB44" i="1" s="1"/>
  <c r="AC44" i="1" s="1"/>
  <c r="I44" i="1"/>
  <c r="Y43" i="1"/>
  <c r="X43" i="1"/>
  <c r="W43" i="1"/>
  <c r="AB43" i="1" s="1"/>
  <c r="AC43" i="1" s="1"/>
  <c r="I43" i="1"/>
  <c r="X42" i="1"/>
  <c r="Y42" i="1" s="1"/>
  <c r="W42" i="1"/>
  <c r="AB42" i="1" s="1"/>
  <c r="AC42" i="1" s="1"/>
  <c r="I42" i="1"/>
  <c r="X41" i="1"/>
  <c r="Y41" i="1" s="1"/>
  <c r="W41" i="1"/>
  <c r="AB41" i="1" s="1"/>
  <c r="AC41" i="1" s="1"/>
  <c r="I41" i="1"/>
  <c r="Y40" i="1"/>
  <c r="W40" i="1"/>
  <c r="AB40" i="1" s="1"/>
  <c r="AC40" i="1" s="1"/>
  <c r="Y39" i="1"/>
  <c r="W39" i="1"/>
  <c r="AB39" i="1" s="1"/>
  <c r="AC39" i="1" s="1"/>
  <c r="I39" i="1"/>
  <c r="X38" i="1"/>
  <c r="Y38" i="1" s="1"/>
  <c r="W38" i="1"/>
  <c r="AB38" i="1" s="1"/>
  <c r="AC38" i="1" s="1"/>
  <c r="I38" i="1"/>
  <c r="X37" i="1"/>
  <c r="Y37" i="1" s="1"/>
  <c r="W37" i="1"/>
  <c r="AB37" i="1" s="1"/>
  <c r="AC37" i="1" s="1"/>
  <c r="I37" i="1"/>
  <c r="Y36" i="1"/>
  <c r="W36" i="1"/>
  <c r="AB36" i="1" s="1"/>
  <c r="AC36" i="1" s="1"/>
  <c r="AB35" i="1"/>
  <c r="AC35" i="1" s="1"/>
  <c r="X35" i="1"/>
  <c r="Y35" i="1" s="1"/>
  <c r="W35" i="1"/>
  <c r="I35" i="1"/>
  <c r="X34" i="1"/>
  <c r="Y34" i="1" s="1"/>
  <c r="W34" i="1"/>
  <c r="AB34" i="1" s="1"/>
  <c r="AC34" i="1" s="1"/>
  <c r="I34" i="1"/>
  <c r="X33" i="1"/>
  <c r="Y33" i="1" s="1"/>
  <c r="W33" i="1"/>
  <c r="AB33" i="1" s="1"/>
  <c r="AC33" i="1" s="1"/>
  <c r="I33" i="1"/>
  <c r="X32" i="1"/>
  <c r="Y32" i="1" s="1"/>
  <c r="W32" i="1"/>
  <c r="AB32" i="1" s="1"/>
  <c r="AC32" i="1" s="1"/>
  <c r="I32" i="1"/>
  <c r="AB31" i="1"/>
  <c r="AC31" i="1" s="1"/>
  <c r="X31" i="1"/>
  <c r="Y31" i="1" s="1"/>
  <c r="W31" i="1"/>
  <c r="I31" i="1"/>
  <c r="X30" i="1"/>
  <c r="Y30" i="1" s="1"/>
  <c r="W30" i="1"/>
  <c r="AB30" i="1" s="1"/>
  <c r="AC30" i="1" s="1"/>
  <c r="I30" i="1"/>
  <c r="X29" i="1"/>
  <c r="Y29" i="1" s="1"/>
  <c r="W29" i="1"/>
  <c r="AB29" i="1" s="1"/>
  <c r="AC29" i="1" s="1"/>
  <c r="I29" i="1"/>
  <c r="X28" i="1"/>
  <c r="Y28" i="1" s="1"/>
  <c r="W28" i="1"/>
  <c r="AB28" i="1" s="1"/>
  <c r="AC28" i="1" s="1"/>
  <c r="I28" i="1"/>
  <c r="X27" i="1"/>
  <c r="Y27" i="1" s="1"/>
  <c r="W27" i="1"/>
  <c r="AB27" i="1" s="1"/>
  <c r="AC27" i="1" s="1"/>
  <c r="I27" i="1"/>
  <c r="X26" i="1"/>
  <c r="Y26" i="1" s="1"/>
  <c r="W26" i="1"/>
  <c r="AB26" i="1" s="1"/>
  <c r="AC26" i="1" s="1"/>
  <c r="I26" i="1"/>
  <c r="X25" i="1"/>
  <c r="Y25" i="1" s="1"/>
  <c r="W25" i="1"/>
  <c r="AB25" i="1" s="1"/>
  <c r="AC25" i="1" s="1"/>
  <c r="I25" i="1"/>
  <c r="X24" i="1"/>
  <c r="Y24" i="1" s="1"/>
  <c r="W24" i="1"/>
  <c r="AB24" i="1" s="1"/>
  <c r="AC24" i="1" s="1"/>
  <c r="X23" i="1"/>
  <c r="Y23" i="1" s="1"/>
  <c r="W23" i="1"/>
  <c r="AB23" i="1" s="1"/>
  <c r="AC23" i="1" s="1"/>
  <c r="X22" i="1"/>
  <c r="Y22" i="1" s="1"/>
  <c r="W22" i="1"/>
  <c r="AB22" i="1" s="1"/>
  <c r="AC22" i="1" s="1"/>
  <c r="X21" i="1"/>
  <c r="Y21" i="1" s="1"/>
  <c r="W21" i="1"/>
  <c r="AB21" i="1" s="1"/>
  <c r="AC21" i="1" s="1"/>
  <c r="X20" i="1"/>
  <c r="Y20" i="1" s="1"/>
  <c r="W20" i="1"/>
  <c r="AB20" i="1" s="1"/>
  <c r="AC20" i="1" s="1"/>
  <c r="X19" i="1"/>
  <c r="Y19" i="1" s="1"/>
  <c r="W19" i="1"/>
  <c r="AB19" i="1" s="1"/>
  <c r="AC19" i="1" s="1"/>
  <c r="X18" i="1"/>
  <c r="Y18" i="1" s="1"/>
  <c r="W18" i="1"/>
  <c r="AB18" i="1" s="1"/>
  <c r="AC18" i="1" s="1"/>
  <c r="X17" i="1"/>
  <c r="Y17" i="1" s="1"/>
  <c r="W17" i="1"/>
  <c r="AB17" i="1" s="1"/>
  <c r="AC17" i="1" s="1"/>
  <c r="X16" i="1"/>
  <c r="Y16" i="1" s="1"/>
  <c r="W16" i="1"/>
  <c r="AB16" i="1" s="1"/>
  <c r="AC16" i="1" s="1"/>
  <c r="X15" i="1"/>
  <c r="Y15" i="1" s="1"/>
  <c r="W15" i="1"/>
  <c r="AB15" i="1" s="1"/>
  <c r="AC15" i="1" s="1"/>
  <c r="Y14" i="1"/>
  <c r="W14" i="1"/>
  <c r="AB14" i="1" s="1"/>
  <c r="AC14" i="1" s="1"/>
  <c r="Y13" i="1"/>
  <c r="W13" i="1"/>
  <c r="AB13" i="1" s="1"/>
  <c r="AC13" i="1" s="1"/>
  <c r="X12" i="1"/>
  <c r="Y12" i="1" s="1"/>
  <c r="W12" i="1"/>
  <c r="AB12" i="1" s="1"/>
  <c r="AC12" i="1" s="1"/>
  <c r="X11" i="1"/>
  <c r="Y11" i="1" s="1"/>
  <c r="W11" i="1"/>
  <c r="AB11" i="1" s="1"/>
  <c r="AC11" i="1" s="1"/>
  <c r="X10" i="1"/>
  <c r="Y10" i="1" s="1"/>
  <c r="W10" i="1"/>
  <c r="AB10" i="1" s="1"/>
  <c r="AC10" i="1" s="1"/>
  <c r="X9" i="1"/>
  <c r="Y9" i="1" s="1"/>
  <c r="W9" i="1"/>
  <c r="AB9" i="1" s="1"/>
  <c r="AC9" i="1" s="1"/>
  <c r="X8" i="1"/>
  <c r="Y8" i="1" s="1"/>
  <c r="W8" i="1"/>
  <c r="AB8" i="1" s="1"/>
  <c r="AC8" i="1" s="1"/>
  <c r="X7" i="1"/>
  <c r="Y7" i="1" s="1"/>
  <c r="W7" i="1"/>
  <c r="AB7" i="1" s="1"/>
  <c r="AC7" i="1" s="1"/>
  <c r="X6" i="1"/>
  <c r="Y6" i="1" s="1"/>
  <c r="W6" i="1"/>
  <c r="AB6" i="1" s="1"/>
  <c r="AC6" i="1" s="1"/>
  <c r="Y113" i="1" l="1"/>
  <c r="X122" i="1"/>
  <c r="Y122" i="1" s="1"/>
  <c r="P149" i="1" l="1"/>
  <c r="V156" i="1"/>
  <c r="Q156" i="1"/>
  <c r="R156" i="1"/>
  <c r="S156" i="1"/>
  <c r="T156" i="1"/>
  <c r="U156" i="1"/>
  <c r="P156" i="1"/>
  <c r="P155" i="1"/>
  <c r="P157" i="1"/>
  <c r="Q157" i="1"/>
  <c r="R157" i="1"/>
  <c r="S157" i="1"/>
  <c r="T157" i="1"/>
  <c r="U157" i="1"/>
  <c r="V157" i="1"/>
  <c r="V155" i="1"/>
  <c r="V154" i="1"/>
  <c r="V153" i="1"/>
  <c r="V152" i="1"/>
  <c r="Q152" i="1"/>
  <c r="R152" i="1"/>
  <c r="S152" i="1"/>
  <c r="T152" i="1"/>
  <c r="U152" i="1"/>
  <c r="Q153" i="1"/>
  <c r="R153" i="1"/>
  <c r="S153" i="1"/>
  <c r="T153" i="1"/>
  <c r="U153" i="1"/>
  <c r="Q154" i="1"/>
  <c r="R154" i="1"/>
  <c r="S154" i="1"/>
  <c r="T154" i="1"/>
  <c r="U154" i="1"/>
  <c r="Q155" i="1"/>
  <c r="R155" i="1"/>
  <c r="S155" i="1"/>
  <c r="T155" i="1"/>
  <c r="U155" i="1"/>
  <c r="P154" i="1"/>
  <c r="P153" i="1"/>
  <c r="P152" i="1"/>
  <c r="Q149" i="1"/>
  <c r="R149" i="1"/>
  <c r="S149" i="1"/>
  <c r="T149" i="1"/>
  <c r="U149" i="1"/>
  <c r="V149" i="1"/>
  <c r="H36" i="13"/>
  <c r="F35" i="13"/>
  <c r="D34" i="13"/>
  <c r="T14" i="8"/>
  <c r="F33" i="13" s="1"/>
  <c r="H12" i="11"/>
  <c r="K14" i="9"/>
  <c r="T14" i="9"/>
  <c r="F34" i="13" s="1"/>
  <c r="C14" i="9"/>
  <c r="E26" i="2"/>
  <c r="F26" i="2" s="1"/>
  <c r="G26" i="2"/>
  <c r="H26" i="2" s="1"/>
  <c r="I26" i="2"/>
  <c r="J26" i="2" s="1"/>
  <c r="K26" i="2"/>
  <c r="L26" i="2" s="1"/>
  <c r="M26" i="2"/>
  <c r="N26" i="2" s="1"/>
  <c r="O26" i="2"/>
  <c r="P26" i="2" s="1"/>
  <c r="U158" i="1" l="1"/>
  <c r="T158" i="1"/>
  <c r="S158" i="1"/>
  <c r="V158" i="1"/>
  <c r="R158" i="1"/>
  <c r="P158" i="1"/>
  <c r="Q158" i="1"/>
  <c r="W158" i="1" l="1"/>
  <c r="D43" i="5"/>
  <c r="E43" i="5" s="1"/>
  <c r="H31" i="13" l="1"/>
  <c r="F30" i="13"/>
  <c r="D29" i="13"/>
  <c r="T13" i="9"/>
  <c r="F29" i="13" s="1"/>
  <c r="C13" i="9"/>
  <c r="T13" i="8"/>
  <c r="F28" i="13" s="1"/>
  <c r="D8" i="5" l="1"/>
  <c r="D9" i="5"/>
  <c r="D11" i="5"/>
  <c r="D14" i="5"/>
  <c r="D19" i="5"/>
  <c r="D21" i="5"/>
  <c r="M12" i="8"/>
  <c r="H12" i="8"/>
  <c r="D37" i="5"/>
  <c r="E37" i="5" s="1"/>
  <c r="F25" i="13"/>
  <c r="D24" i="13"/>
  <c r="T12" i="8"/>
  <c r="F23" i="13" s="1"/>
  <c r="T12" i="9"/>
  <c r="F24" i="13" s="1"/>
  <c r="C12" i="9"/>
  <c r="D32" i="5" l="1"/>
  <c r="E32" i="5" s="1"/>
  <c r="W145" i="1" l="1"/>
  <c r="AB145" i="1" s="1"/>
  <c r="AC145" i="1" s="1"/>
  <c r="W146" i="1"/>
  <c r="AB146" i="1" s="1"/>
  <c r="AC146" i="1" s="1"/>
  <c r="W147" i="1"/>
  <c r="AB147" i="1" s="1"/>
  <c r="AC147" i="1" s="1"/>
  <c r="D42" i="5" l="1"/>
  <c r="E42" i="5" s="1"/>
  <c r="M7" i="10"/>
  <c r="P11" i="8"/>
  <c r="H21" i="13"/>
  <c r="F20" i="13"/>
  <c r="D19" i="13"/>
  <c r="T11" i="9"/>
  <c r="F19" i="13" s="1"/>
  <c r="C11" i="9"/>
  <c r="T11" i="8"/>
  <c r="F18" i="13" s="1"/>
  <c r="I5" i="10"/>
  <c r="T10" i="8"/>
  <c r="F13" i="13" s="1"/>
  <c r="P9" i="9"/>
  <c r="P10" i="9"/>
  <c r="E17" i="13"/>
  <c r="H16" i="13"/>
  <c r="F15" i="13"/>
  <c r="D14" i="13"/>
  <c r="S7" i="14"/>
  <c r="D8" i="14" s="1"/>
  <c r="S8" i="14" s="1"/>
  <c r="T7" i="14"/>
  <c r="E8" i="14" s="1"/>
  <c r="T8" i="14" s="1"/>
  <c r="U7" i="14"/>
  <c r="F8" i="14" s="1"/>
  <c r="U8" i="14" s="1"/>
  <c r="V7" i="14"/>
  <c r="G8" i="14" s="1"/>
  <c r="V8" i="14" s="1"/>
  <c r="R7" i="14"/>
  <c r="C8" i="14" s="1"/>
  <c r="R8" i="14" s="1"/>
  <c r="AL67" i="14"/>
  <c r="AL68" i="14" s="1"/>
  <c r="AK67" i="14"/>
  <c r="AJ67" i="14"/>
  <c r="AI67" i="14"/>
  <c r="AH67" i="14"/>
  <c r="AG67" i="14"/>
  <c r="AG68" i="14" s="1"/>
  <c r="AF67" i="14"/>
  <c r="AF68" i="14" s="1"/>
  <c r="AE67" i="14"/>
  <c r="AE68" i="14" s="1"/>
  <c r="AD67" i="14"/>
  <c r="AD68" i="14" s="1"/>
  <c r="AC67" i="14"/>
  <c r="AC68" i="14" s="1"/>
  <c r="AB67" i="14"/>
  <c r="AB68" i="14" s="1"/>
  <c r="AA67" i="14"/>
  <c r="AA68" i="14" s="1"/>
  <c r="P5" i="14"/>
  <c r="V4" i="14"/>
  <c r="G5" i="14" s="1"/>
  <c r="V5" i="14" s="1"/>
  <c r="G6" i="14" s="1"/>
  <c r="V6" i="14" s="1"/>
  <c r="U4" i="14"/>
  <c r="F5" i="14" s="1"/>
  <c r="U5" i="14" s="1"/>
  <c r="F6" i="14" s="1"/>
  <c r="U6" i="14" s="1"/>
  <c r="S4" i="14"/>
  <c r="D5" i="14" s="1"/>
  <c r="S5" i="14" s="1"/>
  <c r="D6" i="14" s="1"/>
  <c r="S6" i="14" s="1"/>
  <c r="R4" i="14"/>
  <c r="V3" i="14"/>
  <c r="U3" i="14"/>
  <c r="S3" i="14"/>
  <c r="R3" i="14"/>
  <c r="AH68" i="14" l="1"/>
  <c r="D22" i="13"/>
  <c r="D32" i="13"/>
  <c r="C9" i="14"/>
  <c r="R9" i="14" s="1"/>
  <c r="H22" i="13"/>
  <c r="H32" i="13"/>
  <c r="G9" i="14"/>
  <c r="V9" i="14" s="1"/>
  <c r="G22" i="13"/>
  <c r="F9" i="14"/>
  <c r="U9" i="14" s="1"/>
  <c r="G32" i="13"/>
  <c r="F22" i="13"/>
  <c r="E9" i="14"/>
  <c r="T9" i="14" s="1"/>
  <c r="F32" i="13"/>
  <c r="E22" i="13"/>
  <c r="D9" i="14"/>
  <c r="S9" i="14" s="1"/>
  <c r="E32" i="13"/>
  <c r="D17" i="13"/>
  <c r="G17" i="13"/>
  <c r="F17" i="13"/>
  <c r="H17" i="13"/>
  <c r="AJ68" i="14"/>
  <c r="AI68" i="14"/>
  <c r="AK68" i="14"/>
  <c r="C5" i="14"/>
  <c r="R5" i="14" s="1"/>
  <c r="C6" i="14" s="1"/>
  <c r="R6" i="14" s="1"/>
  <c r="E10" i="14" l="1"/>
  <c r="T10" i="14" s="1"/>
  <c r="E11" i="14" s="1"/>
  <c r="T11" i="14" s="1"/>
  <c r="F37" i="13" s="1"/>
  <c r="F27" i="13"/>
  <c r="F10" i="14"/>
  <c r="U10" i="14" s="1"/>
  <c r="F11" i="14" s="1"/>
  <c r="U11" i="14" s="1"/>
  <c r="G37" i="13" s="1"/>
  <c r="G27" i="13"/>
  <c r="C10" i="14"/>
  <c r="R10" i="14" s="1"/>
  <c r="C11" i="14" s="1"/>
  <c r="R11" i="14" s="1"/>
  <c r="D37" i="13" s="1"/>
  <c r="D27" i="13"/>
  <c r="G10" i="14"/>
  <c r="V10" i="14" s="1"/>
  <c r="G11" i="14" s="1"/>
  <c r="V11" i="14" s="1"/>
  <c r="H37" i="13" s="1"/>
  <c r="H27" i="13"/>
  <c r="D10" i="14"/>
  <c r="S10" i="14" s="1"/>
  <c r="D11" i="14" s="1"/>
  <c r="S11" i="14" s="1"/>
  <c r="E37" i="13" s="1"/>
  <c r="E27" i="13"/>
  <c r="T10" i="9"/>
  <c r="F14" i="13" s="1"/>
  <c r="C10" i="9"/>
  <c r="P8" i="12"/>
  <c r="M5" i="10"/>
  <c r="Q5" i="10" s="1"/>
  <c r="H12" i="13"/>
  <c r="F11" i="13"/>
  <c r="D10" i="13"/>
  <c r="T9" i="8"/>
  <c r="F9" i="13" s="1"/>
  <c r="O4" i="10"/>
  <c r="P4" i="10"/>
  <c r="Q4" i="10"/>
  <c r="R4" i="10"/>
  <c r="O5" i="10"/>
  <c r="C6" i="10" s="1"/>
  <c r="O6" i="10" s="1"/>
  <c r="P5" i="10"/>
  <c r="D6" i="10" s="1"/>
  <c r="P6" i="10" s="1"/>
  <c r="R5" i="10"/>
  <c r="F6" i="10" s="1"/>
  <c r="R6" i="10" s="1"/>
  <c r="T9" i="9"/>
  <c r="F10" i="13" s="1"/>
  <c r="C9" i="9"/>
  <c r="F8" i="13"/>
  <c r="D7" i="13"/>
  <c r="T8" i="9"/>
  <c r="F7" i="13" s="1"/>
  <c r="C8" i="9"/>
  <c r="T8" i="8"/>
  <c r="F6" i="13" s="1"/>
  <c r="F5" i="13"/>
  <c r="D4" i="13"/>
  <c r="F7" i="10" l="1"/>
  <c r="R7" i="10" s="1"/>
  <c r="G16" i="13"/>
  <c r="G12" i="13"/>
  <c r="D16" i="13"/>
  <c r="C7" i="10"/>
  <c r="O7" i="10" s="1"/>
  <c r="E16" i="13"/>
  <c r="D7" i="10"/>
  <c r="P7" i="10" s="1"/>
  <c r="E12" i="13"/>
  <c r="D12" i="13"/>
  <c r="F12" i="13"/>
  <c r="E6" i="10"/>
  <c r="Q6" i="10" s="1"/>
  <c r="T7" i="9"/>
  <c r="F4" i="13" s="1"/>
  <c r="T7" i="8"/>
  <c r="F3" i="13" s="1"/>
  <c r="P5" i="12"/>
  <c r="F8" i="10" l="1"/>
  <c r="R8" i="10" s="1"/>
  <c r="F9" i="10" s="1"/>
  <c r="R9" i="10" s="1"/>
  <c r="G21" i="13"/>
  <c r="D8" i="10"/>
  <c r="P8" i="10" s="1"/>
  <c r="D9" i="10" s="1"/>
  <c r="P9" i="10" s="1"/>
  <c r="E21" i="13"/>
  <c r="C8" i="10"/>
  <c r="O8" i="10" s="1"/>
  <c r="C9" i="10" s="1"/>
  <c r="O9" i="10" s="1"/>
  <c r="D21" i="13"/>
  <c r="D12" i="5"/>
  <c r="F16" i="13"/>
  <c r="E7" i="10"/>
  <c r="Q7" i="10" s="1"/>
  <c r="P5" i="1"/>
  <c r="T6" i="8"/>
  <c r="T5" i="8"/>
  <c r="T4" i="8"/>
  <c r="R4" i="12"/>
  <c r="C5" i="12" s="1"/>
  <c r="R5" i="12" s="1"/>
  <c r="C6" i="12" s="1"/>
  <c r="R6" i="12" s="1"/>
  <c r="S4" i="12"/>
  <c r="D5" i="12" s="1"/>
  <c r="S5" i="12" s="1"/>
  <c r="D6" i="12" s="1"/>
  <c r="S6" i="12" s="1"/>
  <c r="U4" i="12"/>
  <c r="F5" i="12" s="1"/>
  <c r="V4" i="12"/>
  <c r="G5" i="12" s="1"/>
  <c r="V5" i="12" s="1"/>
  <c r="G6" i="12" s="1"/>
  <c r="V6" i="12" s="1"/>
  <c r="AL69" i="12"/>
  <c r="AL70" i="12" s="1"/>
  <c r="AK69" i="12"/>
  <c r="AJ69" i="12"/>
  <c r="AI69" i="12"/>
  <c r="AH69" i="12"/>
  <c r="AG69" i="12"/>
  <c r="AG70" i="12" s="1"/>
  <c r="AF69" i="12"/>
  <c r="AF70" i="12" s="1"/>
  <c r="AE69" i="12"/>
  <c r="AE70" i="12" s="1"/>
  <c r="AD69" i="12"/>
  <c r="AD70" i="12" s="1"/>
  <c r="AC69" i="12"/>
  <c r="AC70" i="12" s="1"/>
  <c r="AB69" i="12"/>
  <c r="AB70" i="12" s="1"/>
  <c r="AA69" i="12"/>
  <c r="AA70" i="12" s="1"/>
  <c r="V3" i="12"/>
  <c r="U3" i="12"/>
  <c r="S3" i="12"/>
  <c r="R3" i="12"/>
  <c r="T6" i="9"/>
  <c r="E21" i="5"/>
  <c r="M5" i="9"/>
  <c r="AB70" i="9"/>
  <c r="AC70" i="9"/>
  <c r="AD70" i="9"/>
  <c r="AE70" i="9"/>
  <c r="AF70" i="9"/>
  <c r="AG70" i="9"/>
  <c r="AH70" i="9"/>
  <c r="AI70" i="9"/>
  <c r="AJ70" i="9"/>
  <c r="AK70" i="9"/>
  <c r="AL70" i="9"/>
  <c r="AA70" i="9"/>
  <c r="K4" i="9"/>
  <c r="G31" i="13" l="1"/>
  <c r="F10" i="10"/>
  <c r="R10" i="10" s="1"/>
  <c r="G36" i="13" s="1"/>
  <c r="D31" i="13"/>
  <c r="C10" i="10"/>
  <c r="O10" i="10" s="1"/>
  <c r="D36" i="13" s="1"/>
  <c r="E31" i="13"/>
  <c r="D10" i="10"/>
  <c r="P10" i="10" s="1"/>
  <c r="E36" i="13" s="1"/>
  <c r="F21" i="13"/>
  <c r="E8" i="10"/>
  <c r="Q8" i="10" s="1"/>
  <c r="E9" i="10" s="1"/>
  <c r="Q9" i="10" s="1"/>
  <c r="H5" i="13"/>
  <c r="G7" i="12"/>
  <c r="V7" i="12" s="1"/>
  <c r="E5" i="13"/>
  <c r="D7" i="12"/>
  <c r="S7" i="12" s="1"/>
  <c r="C7" i="12"/>
  <c r="R7" i="12" s="1"/>
  <c r="C8" i="12" s="1"/>
  <c r="R8" i="12" s="1"/>
  <c r="D5" i="13"/>
  <c r="AI70" i="12"/>
  <c r="AH70" i="12"/>
  <c r="AJ70" i="12"/>
  <c r="U5" i="12"/>
  <c r="F6" i="12" s="1"/>
  <c r="U6" i="12" s="1"/>
  <c r="AK70" i="12"/>
  <c r="T5" i="9"/>
  <c r="T4" i="9"/>
  <c r="F31" i="13" l="1"/>
  <c r="E10" i="10"/>
  <c r="Q10" i="10" s="1"/>
  <c r="F36" i="13" s="1"/>
  <c r="C9" i="12"/>
  <c r="R9" i="12" s="1"/>
  <c r="D11" i="13"/>
  <c r="H8" i="13"/>
  <c r="G8" i="12"/>
  <c r="V8" i="12" s="1"/>
  <c r="E8" i="13"/>
  <c r="D8" i="12"/>
  <c r="S8" i="12" s="1"/>
  <c r="D8" i="13"/>
  <c r="F7" i="12"/>
  <c r="U7" i="12" s="1"/>
  <c r="G5" i="13"/>
  <c r="I145" i="1"/>
  <c r="I146" i="1"/>
  <c r="I147" i="1"/>
  <c r="I148" i="1"/>
  <c r="G149" i="1"/>
  <c r="O8" i="2"/>
  <c r="O9" i="2"/>
  <c r="O10" i="2"/>
  <c r="O11" i="2"/>
  <c r="O12" i="2"/>
  <c r="O13" i="2"/>
  <c r="O14" i="2"/>
  <c r="O15" i="2"/>
  <c r="O16" i="2"/>
  <c r="O17" i="2"/>
  <c r="O18" i="2"/>
  <c r="P18" i="2" s="1"/>
  <c r="O19" i="2"/>
  <c r="O20" i="2"/>
  <c r="O21" i="2"/>
  <c r="O22" i="2"/>
  <c r="O23" i="2"/>
  <c r="O24" i="2"/>
  <c r="O25"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7" i="2"/>
  <c r="M8" i="2"/>
  <c r="M9" i="2"/>
  <c r="M10" i="2"/>
  <c r="M11" i="2"/>
  <c r="M12" i="2"/>
  <c r="M13" i="2"/>
  <c r="M14" i="2"/>
  <c r="M15" i="2"/>
  <c r="M16" i="2"/>
  <c r="M17" i="2"/>
  <c r="M18" i="2"/>
  <c r="M19" i="2"/>
  <c r="M20" i="2"/>
  <c r="M21" i="2"/>
  <c r="M22" i="2"/>
  <c r="M23" i="2"/>
  <c r="M24" i="2"/>
  <c r="M25"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7" i="2"/>
  <c r="U5" i="1"/>
  <c r="T5" i="1"/>
  <c r="S5" i="1"/>
  <c r="R5" i="1"/>
  <c r="Q5" i="1"/>
  <c r="K8" i="2"/>
  <c r="K9" i="2"/>
  <c r="K10" i="2"/>
  <c r="K11" i="2"/>
  <c r="K12" i="2"/>
  <c r="K13" i="2"/>
  <c r="K14" i="2"/>
  <c r="K15" i="2"/>
  <c r="K16" i="2"/>
  <c r="K17" i="2"/>
  <c r="K18" i="2"/>
  <c r="K19" i="2"/>
  <c r="K20" i="2"/>
  <c r="K21" i="2"/>
  <c r="K22" i="2"/>
  <c r="K23" i="2"/>
  <c r="K24" i="2"/>
  <c r="K25"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7" i="2"/>
  <c r="I8" i="2"/>
  <c r="I9" i="2"/>
  <c r="I10" i="2"/>
  <c r="I11" i="2"/>
  <c r="I12" i="2"/>
  <c r="I13" i="2"/>
  <c r="I14" i="2"/>
  <c r="I15" i="2"/>
  <c r="I16" i="2"/>
  <c r="I17" i="2"/>
  <c r="I18" i="2"/>
  <c r="I19" i="2"/>
  <c r="I20" i="2"/>
  <c r="I21" i="2"/>
  <c r="I22" i="2"/>
  <c r="I23" i="2"/>
  <c r="I24" i="2"/>
  <c r="I25"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7" i="2"/>
  <c r="W148" i="1"/>
  <c r="AB148" i="1" s="1"/>
  <c r="AC148" i="1" s="1"/>
  <c r="X145" i="1"/>
  <c r="Y145" i="1" s="1"/>
  <c r="X146" i="1"/>
  <c r="Y146" i="1" s="1"/>
  <c r="X147" i="1"/>
  <c r="Y147" i="1" s="1"/>
  <c r="X148" i="1"/>
  <c r="Y148" i="1" s="1"/>
  <c r="G7" i="2"/>
  <c r="G8" i="2"/>
  <c r="G9" i="2"/>
  <c r="G10" i="2"/>
  <c r="G11" i="2"/>
  <c r="G12" i="2"/>
  <c r="G13" i="2"/>
  <c r="G14" i="2"/>
  <c r="G15" i="2"/>
  <c r="G16" i="2"/>
  <c r="G17" i="2"/>
  <c r="G18" i="2"/>
  <c r="G19" i="2"/>
  <c r="G20" i="2"/>
  <c r="G21" i="2"/>
  <c r="G22" i="2"/>
  <c r="G23" i="2"/>
  <c r="G24" i="2"/>
  <c r="G25" i="2"/>
  <c r="G27" i="2"/>
  <c r="G28" i="2"/>
  <c r="G29" i="2"/>
  <c r="G30" i="2"/>
  <c r="G31" i="2"/>
  <c r="G32" i="2"/>
  <c r="G33"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34" i="2"/>
  <c r="E85" i="2"/>
  <c r="E57" i="2"/>
  <c r="AH69" i="10"/>
  <c r="AH70" i="10" s="1"/>
  <c r="AG69" i="10"/>
  <c r="AG70" i="10" s="1"/>
  <c r="AF69" i="10"/>
  <c r="AF70" i="10" s="1"/>
  <c r="AE69" i="10"/>
  <c r="AE70" i="10" s="1"/>
  <c r="AD69" i="10"/>
  <c r="AD70" i="10" s="1"/>
  <c r="AC69" i="10"/>
  <c r="AC70" i="10" s="1"/>
  <c r="AB69" i="10"/>
  <c r="AB70" i="10" s="1"/>
  <c r="AA69" i="10"/>
  <c r="AA70" i="10" s="1"/>
  <c r="Z69" i="10"/>
  <c r="Z70" i="10" s="1"/>
  <c r="Y69" i="10"/>
  <c r="Y70" i="10" s="1"/>
  <c r="X69" i="10"/>
  <c r="X70" i="10" s="1"/>
  <c r="W69" i="10"/>
  <c r="W70" i="10" s="1"/>
  <c r="AA71" i="9"/>
  <c r="AL71" i="9"/>
  <c r="AG71" i="9"/>
  <c r="AF71" i="9"/>
  <c r="AE71" i="9"/>
  <c r="AD71" i="9"/>
  <c r="AC71" i="9"/>
  <c r="AB71" i="9"/>
  <c r="D41" i="5" l="1"/>
  <c r="E41" i="5" s="1"/>
  <c r="D40" i="5"/>
  <c r="E40" i="5" s="1"/>
  <c r="D39" i="5"/>
  <c r="E39" i="5" s="1"/>
  <c r="D7" i="5"/>
  <c r="D34" i="5"/>
  <c r="E34" i="5" s="1"/>
  <c r="D38" i="5"/>
  <c r="E38" i="5" s="1"/>
  <c r="D33" i="5"/>
  <c r="E33" i="5" s="1"/>
  <c r="D20" i="5"/>
  <c r="D17" i="5"/>
  <c r="D18" i="5"/>
  <c r="D16" i="5"/>
  <c r="D6" i="5"/>
  <c r="D31" i="5"/>
  <c r="E31" i="5" s="1"/>
  <c r="D36" i="5"/>
  <c r="E36" i="5" s="1"/>
  <c r="D35" i="5"/>
  <c r="E35" i="5" s="1"/>
  <c r="D30" i="5"/>
  <c r="E30" i="5" s="1"/>
  <c r="D10" i="5"/>
  <c r="D29" i="5"/>
  <c r="E29" i="5" s="1"/>
  <c r="D13" i="5"/>
  <c r="D28" i="5"/>
  <c r="E28" i="5" s="1"/>
  <c r="D27" i="5"/>
  <c r="E27" i="5" s="1"/>
  <c r="D26" i="5"/>
  <c r="E26" i="5" s="1"/>
  <c r="D24" i="5"/>
  <c r="E24" i="5" s="1"/>
  <c r="D23" i="5"/>
  <c r="E23" i="5" s="1"/>
  <c r="D22" i="5"/>
  <c r="E22" i="5" s="1"/>
  <c r="D15" i="5"/>
  <c r="V5" i="1"/>
  <c r="D15" i="13"/>
  <c r="C10" i="12"/>
  <c r="R10" i="12" s="1"/>
  <c r="G8" i="13"/>
  <c r="F8" i="12"/>
  <c r="U8" i="12" s="1"/>
  <c r="D9" i="12"/>
  <c r="S9" i="12" s="1"/>
  <c r="E11" i="13"/>
  <c r="G9" i="12"/>
  <c r="V9" i="12" s="1"/>
  <c r="H11" i="13"/>
  <c r="W5" i="1"/>
  <c r="K4" i="2"/>
  <c r="K5" i="2" s="1"/>
  <c r="K4" i="8"/>
  <c r="P4" i="8"/>
  <c r="R4" i="8"/>
  <c r="S4" i="8"/>
  <c r="V4" i="8"/>
  <c r="AL103" i="8"/>
  <c r="AL104" i="8" s="1"/>
  <c r="AK103" i="8"/>
  <c r="AJ103" i="8"/>
  <c r="AI103" i="8"/>
  <c r="AH103" i="8"/>
  <c r="AG103" i="8"/>
  <c r="AG104" i="8" s="1"/>
  <c r="AF103" i="8"/>
  <c r="AF104" i="8" s="1"/>
  <c r="AE103" i="8"/>
  <c r="AE104" i="8" s="1"/>
  <c r="AD103" i="8"/>
  <c r="AD104" i="8" s="1"/>
  <c r="AC103" i="8"/>
  <c r="AC104" i="8" s="1"/>
  <c r="AB103" i="8"/>
  <c r="AB104" i="8" s="1"/>
  <c r="AA103" i="8"/>
  <c r="AA104" i="8" s="1"/>
  <c r="D5" i="5" l="1"/>
  <c r="W149" i="1"/>
  <c r="D25" i="5"/>
  <c r="E25" i="5" s="1"/>
  <c r="AB5" i="1"/>
  <c r="AC5" i="1"/>
  <c r="C11" i="12"/>
  <c r="R11" i="12" s="1"/>
  <c r="D20" i="13"/>
  <c r="Y149" i="1"/>
  <c r="G10" i="12"/>
  <c r="V10" i="12" s="1"/>
  <c r="H15" i="13"/>
  <c r="E15" i="13"/>
  <c r="D10" i="12"/>
  <c r="S10" i="12" s="1"/>
  <c r="G11" i="13"/>
  <c r="F9" i="12"/>
  <c r="U9" i="12" s="1"/>
  <c r="U4" i="8"/>
  <c r="F5" i="8" s="1"/>
  <c r="U5" i="8" s="1"/>
  <c r="J22" i="2"/>
  <c r="D5" i="8"/>
  <c r="O3" i="10"/>
  <c r="R3" i="10"/>
  <c r="P3" i="10"/>
  <c r="Q3" i="10"/>
  <c r="G5" i="8"/>
  <c r="C5" i="8"/>
  <c r="R5" i="8" s="1"/>
  <c r="N4" i="9"/>
  <c r="R4" i="9"/>
  <c r="C5" i="9" s="1"/>
  <c r="Q4" i="9"/>
  <c r="V4" i="9" s="1"/>
  <c r="G5" i="9" s="1"/>
  <c r="V5" i="9" s="1"/>
  <c r="P4" i="9"/>
  <c r="E20" i="5"/>
  <c r="E19" i="5"/>
  <c r="E18" i="5"/>
  <c r="E17" i="5"/>
  <c r="E16" i="5"/>
  <c r="E15" i="5"/>
  <c r="E14" i="5"/>
  <c r="E13" i="5"/>
  <c r="E12" i="5"/>
  <c r="E11" i="5"/>
  <c r="E10" i="5"/>
  <c r="E9" i="5"/>
  <c r="E8" i="5"/>
  <c r="E7" i="5"/>
  <c r="E6" i="5"/>
  <c r="M10" i="4"/>
  <c r="M9" i="4"/>
  <c r="M8" i="4"/>
  <c r="M7" i="4"/>
  <c r="M6" i="4"/>
  <c r="M5" i="4"/>
  <c r="M4" i="4"/>
  <c r="W36" i="3"/>
  <c r="V36" i="3"/>
  <c r="U36" i="3"/>
  <c r="T36" i="3"/>
  <c r="S36" i="3"/>
  <c r="R36" i="3"/>
  <c r="Q36" i="3"/>
  <c r="I36" i="3"/>
  <c r="H36" i="3"/>
  <c r="G36" i="3"/>
  <c r="F36" i="3"/>
  <c r="E36" i="3"/>
  <c r="D36" i="3"/>
  <c r="C36" i="3"/>
  <c r="M12" i="3"/>
  <c r="K12" i="3"/>
  <c r="O11" i="3"/>
  <c r="N11" i="3"/>
  <c r="M11" i="3"/>
  <c r="L11" i="3"/>
  <c r="K11" i="3"/>
  <c r="J11" i="3"/>
  <c r="O10" i="3"/>
  <c r="N10" i="3"/>
  <c r="M10" i="3"/>
  <c r="L10" i="3"/>
  <c r="K10" i="3"/>
  <c r="J10" i="3"/>
  <c r="O9" i="3"/>
  <c r="N9" i="3"/>
  <c r="M9" i="3"/>
  <c r="L9" i="3"/>
  <c r="K9" i="3"/>
  <c r="J9" i="3"/>
  <c r="O8" i="3"/>
  <c r="N8" i="3"/>
  <c r="M8" i="3"/>
  <c r="L8" i="3"/>
  <c r="K8" i="3"/>
  <c r="J8" i="3"/>
  <c r="O7" i="3"/>
  <c r="N7" i="3"/>
  <c r="M7" i="3"/>
  <c r="L7" i="3"/>
  <c r="K7" i="3"/>
  <c r="J7" i="3"/>
  <c r="O6" i="3"/>
  <c r="N6" i="3"/>
  <c r="M6" i="3"/>
  <c r="L6" i="3"/>
  <c r="K6" i="3"/>
  <c r="J6" i="3"/>
  <c r="P200" i="2"/>
  <c r="N200" i="2"/>
  <c r="L200" i="2"/>
  <c r="E200" i="2"/>
  <c r="F200" i="2" s="1"/>
  <c r="J200" i="2"/>
  <c r="H200" i="2"/>
  <c r="P199" i="2"/>
  <c r="N199" i="2"/>
  <c r="L199" i="2"/>
  <c r="E199" i="2"/>
  <c r="F199" i="2" s="1"/>
  <c r="J199" i="2"/>
  <c r="H199" i="2"/>
  <c r="P198" i="2"/>
  <c r="N198" i="2"/>
  <c r="L198" i="2"/>
  <c r="E198" i="2"/>
  <c r="F198" i="2" s="1"/>
  <c r="J198" i="2"/>
  <c r="H198" i="2"/>
  <c r="P197" i="2"/>
  <c r="N197" i="2"/>
  <c r="L197" i="2"/>
  <c r="E197" i="2"/>
  <c r="F197" i="2" s="1"/>
  <c r="J197" i="2"/>
  <c r="H197" i="2"/>
  <c r="P196" i="2"/>
  <c r="N196" i="2"/>
  <c r="L196" i="2"/>
  <c r="E196" i="2"/>
  <c r="F196" i="2" s="1"/>
  <c r="J196" i="2"/>
  <c r="H196" i="2"/>
  <c r="P195" i="2"/>
  <c r="N195" i="2"/>
  <c r="L195" i="2"/>
  <c r="E195" i="2"/>
  <c r="F195" i="2" s="1"/>
  <c r="J195" i="2"/>
  <c r="H195" i="2"/>
  <c r="P194" i="2"/>
  <c r="N194" i="2"/>
  <c r="L194" i="2"/>
  <c r="E194" i="2"/>
  <c r="F194" i="2" s="1"/>
  <c r="J194" i="2"/>
  <c r="H194" i="2"/>
  <c r="P193" i="2"/>
  <c r="N193" i="2"/>
  <c r="L193" i="2"/>
  <c r="E193" i="2"/>
  <c r="F193" i="2" s="1"/>
  <c r="J193" i="2"/>
  <c r="H193" i="2"/>
  <c r="P192" i="2"/>
  <c r="N192" i="2"/>
  <c r="L192" i="2"/>
  <c r="E192" i="2"/>
  <c r="F192" i="2" s="1"/>
  <c r="J192" i="2"/>
  <c r="H192" i="2"/>
  <c r="P191" i="2"/>
  <c r="N191" i="2"/>
  <c r="L191" i="2"/>
  <c r="E191" i="2"/>
  <c r="F191" i="2" s="1"/>
  <c r="J191" i="2"/>
  <c r="H191" i="2"/>
  <c r="P190" i="2"/>
  <c r="N190" i="2"/>
  <c r="L190" i="2"/>
  <c r="E190" i="2"/>
  <c r="F190" i="2" s="1"/>
  <c r="J190" i="2"/>
  <c r="H190" i="2"/>
  <c r="P189" i="2"/>
  <c r="N189" i="2"/>
  <c r="L189" i="2"/>
  <c r="E189" i="2"/>
  <c r="F189" i="2" s="1"/>
  <c r="J189" i="2"/>
  <c r="H189" i="2"/>
  <c r="P188" i="2"/>
  <c r="N188" i="2"/>
  <c r="L188" i="2"/>
  <c r="E188" i="2"/>
  <c r="F188" i="2" s="1"/>
  <c r="J188" i="2"/>
  <c r="H188" i="2"/>
  <c r="P187" i="2"/>
  <c r="N187" i="2"/>
  <c r="L187" i="2"/>
  <c r="E187" i="2"/>
  <c r="F187" i="2" s="1"/>
  <c r="J187" i="2"/>
  <c r="H187" i="2"/>
  <c r="P186" i="2"/>
  <c r="N186" i="2"/>
  <c r="L186" i="2"/>
  <c r="E186" i="2"/>
  <c r="F186" i="2" s="1"/>
  <c r="J186" i="2"/>
  <c r="H186" i="2"/>
  <c r="P185" i="2"/>
  <c r="N185" i="2"/>
  <c r="L185" i="2"/>
  <c r="E185" i="2"/>
  <c r="F185" i="2" s="1"/>
  <c r="J185" i="2"/>
  <c r="H185" i="2"/>
  <c r="P184" i="2"/>
  <c r="N184" i="2"/>
  <c r="L184" i="2"/>
  <c r="E184" i="2"/>
  <c r="F184" i="2" s="1"/>
  <c r="J184" i="2"/>
  <c r="H184" i="2"/>
  <c r="P183" i="2"/>
  <c r="N183" i="2"/>
  <c r="L183" i="2"/>
  <c r="E183" i="2"/>
  <c r="F183" i="2" s="1"/>
  <c r="J183" i="2"/>
  <c r="H183" i="2"/>
  <c r="P182" i="2"/>
  <c r="N182" i="2"/>
  <c r="L182" i="2"/>
  <c r="E182" i="2"/>
  <c r="F182" i="2" s="1"/>
  <c r="J182" i="2"/>
  <c r="H182" i="2"/>
  <c r="P181" i="2"/>
  <c r="N181" i="2"/>
  <c r="L181" i="2"/>
  <c r="E181" i="2"/>
  <c r="F181" i="2" s="1"/>
  <c r="J181" i="2"/>
  <c r="H181" i="2"/>
  <c r="P180" i="2"/>
  <c r="N180" i="2"/>
  <c r="L180" i="2"/>
  <c r="E180" i="2"/>
  <c r="F180" i="2" s="1"/>
  <c r="J180" i="2"/>
  <c r="H180" i="2"/>
  <c r="P179" i="2"/>
  <c r="N179" i="2"/>
  <c r="L179" i="2"/>
  <c r="E179" i="2"/>
  <c r="F179" i="2" s="1"/>
  <c r="J179" i="2"/>
  <c r="H179" i="2"/>
  <c r="P178" i="2"/>
  <c r="N178" i="2"/>
  <c r="L178" i="2"/>
  <c r="E178" i="2"/>
  <c r="F178" i="2" s="1"/>
  <c r="J178" i="2"/>
  <c r="H178" i="2"/>
  <c r="P177" i="2"/>
  <c r="N177" i="2"/>
  <c r="L177" i="2"/>
  <c r="E177" i="2"/>
  <c r="F177" i="2" s="1"/>
  <c r="J177" i="2"/>
  <c r="H177" i="2"/>
  <c r="P176" i="2"/>
  <c r="N176" i="2"/>
  <c r="L176" i="2"/>
  <c r="E176" i="2"/>
  <c r="F176" i="2" s="1"/>
  <c r="J176" i="2"/>
  <c r="H176" i="2"/>
  <c r="P175" i="2"/>
  <c r="N175" i="2"/>
  <c r="L175" i="2"/>
  <c r="E175" i="2"/>
  <c r="F175" i="2" s="1"/>
  <c r="J175" i="2"/>
  <c r="H175" i="2"/>
  <c r="P174" i="2"/>
  <c r="N174" i="2"/>
  <c r="L174" i="2"/>
  <c r="E174" i="2"/>
  <c r="F174" i="2" s="1"/>
  <c r="J174" i="2"/>
  <c r="H174" i="2"/>
  <c r="P173" i="2"/>
  <c r="N173" i="2"/>
  <c r="L173" i="2"/>
  <c r="E173" i="2"/>
  <c r="F173" i="2" s="1"/>
  <c r="J173" i="2"/>
  <c r="H173" i="2"/>
  <c r="P172" i="2"/>
  <c r="N172" i="2"/>
  <c r="L172" i="2"/>
  <c r="E172" i="2"/>
  <c r="F172" i="2" s="1"/>
  <c r="J172" i="2"/>
  <c r="H172" i="2"/>
  <c r="P171" i="2"/>
  <c r="N171" i="2"/>
  <c r="L171" i="2"/>
  <c r="E171" i="2"/>
  <c r="F171" i="2" s="1"/>
  <c r="J171" i="2"/>
  <c r="H171" i="2"/>
  <c r="P170" i="2"/>
  <c r="N170" i="2"/>
  <c r="L170" i="2"/>
  <c r="E170" i="2"/>
  <c r="F170" i="2" s="1"/>
  <c r="J170" i="2"/>
  <c r="H170" i="2"/>
  <c r="P169" i="2"/>
  <c r="N169" i="2"/>
  <c r="L169" i="2"/>
  <c r="E169" i="2"/>
  <c r="F169" i="2" s="1"/>
  <c r="J169" i="2"/>
  <c r="H169" i="2"/>
  <c r="P168" i="2"/>
  <c r="N168" i="2"/>
  <c r="L168" i="2"/>
  <c r="E168" i="2"/>
  <c r="F168" i="2" s="1"/>
  <c r="J168" i="2"/>
  <c r="H168" i="2"/>
  <c r="P167" i="2"/>
  <c r="N167" i="2"/>
  <c r="L167" i="2"/>
  <c r="E167" i="2"/>
  <c r="F167" i="2" s="1"/>
  <c r="J167" i="2"/>
  <c r="H167" i="2"/>
  <c r="P166" i="2"/>
  <c r="N166" i="2"/>
  <c r="L166" i="2"/>
  <c r="E166" i="2"/>
  <c r="F166" i="2" s="1"/>
  <c r="J166" i="2"/>
  <c r="H166" i="2"/>
  <c r="P165" i="2"/>
  <c r="N165" i="2"/>
  <c r="L165" i="2"/>
  <c r="E165" i="2"/>
  <c r="F165" i="2" s="1"/>
  <c r="J165" i="2"/>
  <c r="H165" i="2"/>
  <c r="P164" i="2"/>
  <c r="N164" i="2"/>
  <c r="L164" i="2"/>
  <c r="E164" i="2"/>
  <c r="F164" i="2" s="1"/>
  <c r="J164" i="2"/>
  <c r="H164" i="2"/>
  <c r="P163" i="2"/>
  <c r="N163" i="2"/>
  <c r="L163" i="2"/>
  <c r="E163" i="2"/>
  <c r="F163" i="2" s="1"/>
  <c r="J163" i="2"/>
  <c r="H163" i="2"/>
  <c r="P162" i="2"/>
  <c r="N162" i="2"/>
  <c r="L162" i="2"/>
  <c r="E162" i="2"/>
  <c r="F162" i="2" s="1"/>
  <c r="J162" i="2"/>
  <c r="H162" i="2"/>
  <c r="P161" i="2"/>
  <c r="N161" i="2"/>
  <c r="L161" i="2"/>
  <c r="E161" i="2"/>
  <c r="F161" i="2" s="1"/>
  <c r="J161" i="2"/>
  <c r="H161" i="2"/>
  <c r="P160" i="2"/>
  <c r="N160" i="2"/>
  <c r="L160" i="2"/>
  <c r="E160" i="2"/>
  <c r="F160" i="2" s="1"/>
  <c r="J160" i="2"/>
  <c r="H160" i="2"/>
  <c r="P159" i="2"/>
  <c r="N159" i="2"/>
  <c r="L159" i="2"/>
  <c r="E159" i="2"/>
  <c r="F159" i="2" s="1"/>
  <c r="J159" i="2"/>
  <c r="H159" i="2"/>
  <c r="P158" i="2"/>
  <c r="N158" i="2"/>
  <c r="L158" i="2"/>
  <c r="E158" i="2"/>
  <c r="F158" i="2" s="1"/>
  <c r="J158" i="2"/>
  <c r="H158" i="2"/>
  <c r="P157" i="2"/>
  <c r="N157" i="2"/>
  <c r="L157" i="2"/>
  <c r="E157" i="2"/>
  <c r="F157" i="2" s="1"/>
  <c r="J157" i="2"/>
  <c r="H157" i="2"/>
  <c r="P156" i="2"/>
  <c r="N156" i="2"/>
  <c r="L156" i="2"/>
  <c r="E156" i="2"/>
  <c r="F156" i="2" s="1"/>
  <c r="J156" i="2"/>
  <c r="H156" i="2"/>
  <c r="P155" i="2"/>
  <c r="N155" i="2"/>
  <c r="L155" i="2"/>
  <c r="E155" i="2"/>
  <c r="F155" i="2" s="1"/>
  <c r="J155" i="2"/>
  <c r="H155" i="2"/>
  <c r="P154" i="2"/>
  <c r="N154" i="2"/>
  <c r="L154" i="2"/>
  <c r="E154" i="2"/>
  <c r="F154" i="2" s="1"/>
  <c r="J154" i="2"/>
  <c r="H154" i="2"/>
  <c r="P153" i="2"/>
  <c r="N153" i="2"/>
  <c r="L153" i="2"/>
  <c r="E153" i="2"/>
  <c r="F153" i="2" s="1"/>
  <c r="J153" i="2"/>
  <c r="H153" i="2"/>
  <c r="P152" i="2"/>
  <c r="N152" i="2"/>
  <c r="L152" i="2"/>
  <c r="E152" i="2"/>
  <c r="F152" i="2" s="1"/>
  <c r="J152" i="2"/>
  <c r="H152" i="2"/>
  <c r="P151" i="2"/>
  <c r="N151" i="2"/>
  <c r="L151" i="2"/>
  <c r="E151" i="2"/>
  <c r="F151" i="2" s="1"/>
  <c r="J151" i="2"/>
  <c r="H151" i="2"/>
  <c r="P150" i="2"/>
  <c r="N150" i="2"/>
  <c r="L150" i="2"/>
  <c r="E150" i="2"/>
  <c r="F150" i="2" s="1"/>
  <c r="J150" i="2"/>
  <c r="H150" i="2"/>
  <c r="P149" i="2"/>
  <c r="N149" i="2"/>
  <c r="L149" i="2"/>
  <c r="E149" i="2"/>
  <c r="F149" i="2" s="1"/>
  <c r="J149" i="2"/>
  <c r="H149" i="2"/>
  <c r="P148" i="2"/>
  <c r="N148" i="2"/>
  <c r="L148" i="2"/>
  <c r="E148" i="2"/>
  <c r="F148" i="2" s="1"/>
  <c r="J148" i="2"/>
  <c r="H148" i="2"/>
  <c r="P147" i="2"/>
  <c r="N147" i="2"/>
  <c r="L147" i="2"/>
  <c r="E147" i="2"/>
  <c r="F147" i="2" s="1"/>
  <c r="J147" i="2"/>
  <c r="H147" i="2"/>
  <c r="P146" i="2"/>
  <c r="N146" i="2"/>
  <c r="L146" i="2"/>
  <c r="E146" i="2"/>
  <c r="F146" i="2" s="1"/>
  <c r="J146" i="2"/>
  <c r="H146" i="2"/>
  <c r="P145" i="2"/>
  <c r="N145" i="2"/>
  <c r="L145" i="2"/>
  <c r="E145" i="2"/>
  <c r="F145" i="2" s="1"/>
  <c r="J145" i="2"/>
  <c r="H145" i="2"/>
  <c r="P144" i="2"/>
  <c r="N144" i="2"/>
  <c r="L144" i="2"/>
  <c r="E144" i="2"/>
  <c r="F144" i="2" s="1"/>
  <c r="J144" i="2"/>
  <c r="H144" i="2"/>
  <c r="P143" i="2"/>
  <c r="N143" i="2"/>
  <c r="L143" i="2"/>
  <c r="E143" i="2"/>
  <c r="F143" i="2" s="1"/>
  <c r="J143" i="2"/>
  <c r="H143" i="2"/>
  <c r="P142" i="2"/>
  <c r="N142" i="2"/>
  <c r="L142" i="2"/>
  <c r="E142" i="2"/>
  <c r="F142" i="2" s="1"/>
  <c r="J142" i="2"/>
  <c r="H142" i="2"/>
  <c r="P141" i="2"/>
  <c r="N141" i="2"/>
  <c r="L141" i="2"/>
  <c r="E141" i="2"/>
  <c r="F141" i="2" s="1"/>
  <c r="J141" i="2"/>
  <c r="H141" i="2"/>
  <c r="P140" i="2"/>
  <c r="N140" i="2"/>
  <c r="L140" i="2"/>
  <c r="E140" i="2"/>
  <c r="F140" i="2" s="1"/>
  <c r="J140" i="2"/>
  <c r="H140" i="2"/>
  <c r="P139" i="2"/>
  <c r="N139" i="2"/>
  <c r="L139" i="2"/>
  <c r="E139" i="2"/>
  <c r="F139" i="2" s="1"/>
  <c r="J139" i="2"/>
  <c r="H139" i="2"/>
  <c r="P138" i="2"/>
  <c r="N138" i="2"/>
  <c r="L138" i="2"/>
  <c r="E138" i="2"/>
  <c r="F138" i="2" s="1"/>
  <c r="J138" i="2"/>
  <c r="H138" i="2"/>
  <c r="P137" i="2"/>
  <c r="N137" i="2"/>
  <c r="L137" i="2"/>
  <c r="E137" i="2"/>
  <c r="F137" i="2" s="1"/>
  <c r="J137" i="2"/>
  <c r="H137" i="2"/>
  <c r="P136" i="2"/>
  <c r="N136" i="2"/>
  <c r="L136" i="2"/>
  <c r="E136" i="2"/>
  <c r="F136" i="2" s="1"/>
  <c r="J136" i="2"/>
  <c r="H136" i="2"/>
  <c r="P135" i="2"/>
  <c r="N135" i="2"/>
  <c r="L135" i="2"/>
  <c r="E135" i="2"/>
  <c r="F135" i="2" s="1"/>
  <c r="J135" i="2"/>
  <c r="H135" i="2"/>
  <c r="P134" i="2"/>
  <c r="N134" i="2"/>
  <c r="L134" i="2"/>
  <c r="E134" i="2"/>
  <c r="F134" i="2" s="1"/>
  <c r="J134" i="2"/>
  <c r="H134" i="2"/>
  <c r="P133" i="2"/>
  <c r="N133" i="2"/>
  <c r="L133" i="2"/>
  <c r="E133" i="2"/>
  <c r="F133" i="2" s="1"/>
  <c r="J133" i="2"/>
  <c r="H133" i="2"/>
  <c r="P132" i="2"/>
  <c r="N132" i="2"/>
  <c r="L132" i="2"/>
  <c r="E132" i="2"/>
  <c r="F132" i="2" s="1"/>
  <c r="J132" i="2"/>
  <c r="H132" i="2"/>
  <c r="P131" i="2"/>
  <c r="N131" i="2"/>
  <c r="L131" i="2"/>
  <c r="E131" i="2"/>
  <c r="F131" i="2" s="1"/>
  <c r="J131" i="2"/>
  <c r="H131" i="2"/>
  <c r="P130" i="2"/>
  <c r="N130" i="2"/>
  <c r="L130" i="2"/>
  <c r="E130" i="2"/>
  <c r="F130" i="2" s="1"/>
  <c r="J130" i="2"/>
  <c r="H130" i="2"/>
  <c r="P129" i="2"/>
  <c r="N129" i="2"/>
  <c r="L129" i="2"/>
  <c r="E129" i="2"/>
  <c r="F129" i="2" s="1"/>
  <c r="J129" i="2"/>
  <c r="H129" i="2"/>
  <c r="P128" i="2"/>
  <c r="N128" i="2"/>
  <c r="L128" i="2"/>
  <c r="E128" i="2"/>
  <c r="F128" i="2" s="1"/>
  <c r="J128" i="2"/>
  <c r="H128" i="2"/>
  <c r="P127" i="2"/>
  <c r="N127" i="2"/>
  <c r="L127" i="2"/>
  <c r="E127" i="2"/>
  <c r="F127" i="2" s="1"/>
  <c r="J127" i="2"/>
  <c r="H127" i="2"/>
  <c r="P126" i="2"/>
  <c r="N126" i="2"/>
  <c r="L126" i="2"/>
  <c r="E126" i="2"/>
  <c r="F126" i="2" s="1"/>
  <c r="J126" i="2"/>
  <c r="H126" i="2"/>
  <c r="P125" i="2"/>
  <c r="N125" i="2"/>
  <c r="L125" i="2"/>
  <c r="E125" i="2"/>
  <c r="F125" i="2" s="1"/>
  <c r="J125" i="2"/>
  <c r="H125" i="2"/>
  <c r="P124" i="2"/>
  <c r="N124" i="2"/>
  <c r="L124" i="2"/>
  <c r="E124" i="2"/>
  <c r="F124" i="2" s="1"/>
  <c r="J124" i="2"/>
  <c r="H124" i="2"/>
  <c r="P123" i="2"/>
  <c r="N123" i="2"/>
  <c r="L123" i="2"/>
  <c r="E123" i="2"/>
  <c r="F123" i="2" s="1"/>
  <c r="J123" i="2"/>
  <c r="H123" i="2"/>
  <c r="P122" i="2"/>
  <c r="N122" i="2"/>
  <c r="L122" i="2"/>
  <c r="E122" i="2"/>
  <c r="F122" i="2" s="1"/>
  <c r="J122" i="2"/>
  <c r="H122" i="2"/>
  <c r="P121" i="2"/>
  <c r="N121" i="2"/>
  <c r="L121" i="2"/>
  <c r="E121" i="2"/>
  <c r="F121" i="2" s="1"/>
  <c r="J121" i="2"/>
  <c r="H121" i="2"/>
  <c r="P120" i="2"/>
  <c r="N120" i="2"/>
  <c r="L120" i="2"/>
  <c r="E120" i="2"/>
  <c r="F120" i="2" s="1"/>
  <c r="J120" i="2"/>
  <c r="H120" i="2"/>
  <c r="P119" i="2"/>
  <c r="N119" i="2"/>
  <c r="L119" i="2"/>
  <c r="E119" i="2"/>
  <c r="F119" i="2" s="1"/>
  <c r="J119" i="2"/>
  <c r="H119" i="2"/>
  <c r="P118" i="2"/>
  <c r="N118" i="2"/>
  <c r="L118" i="2"/>
  <c r="E118" i="2"/>
  <c r="F118" i="2" s="1"/>
  <c r="J118" i="2"/>
  <c r="H118" i="2"/>
  <c r="P117" i="2"/>
  <c r="N117" i="2"/>
  <c r="L117" i="2"/>
  <c r="E117" i="2"/>
  <c r="F117" i="2" s="1"/>
  <c r="J117" i="2"/>
  <c r="H117" i="2"/>
  <c r="P116" i="2"/>
  <c r="N116" i="2"/>
  <c r="L116" i="2"/>
  <c r="E116" i="2"/>
  <c r="F116" i="2" s="1"/>
  <c r="J116" i="2"/>
  <c r="H116" i="2"/>
  <c r="P115" i="2"/>
  <c r="N115" i="2"/>
  <c r="L115" i="2"/>
  <c r="E115" i="2"/>
  <c r="F115" i="2" s="1"/>
  <c r="J115" i="2"/>
  <c r="H115" i="2"/>
  <c r="P114" i="2"/>
  <c r="N114" i="2"/>
  <c r="L114" i="2"/>
  <c r="E114" i="2"/>
  <c r="F114" i="2" s="1"/>
  <c r="J114" i="2"/>
  <c r="H114" i="2"/>
  <c r="P113" i="2"/>
  <c r="N113" i="2"/>
  <c r="L113" i="2"/>
  <c r="E113" i="2"/>
  <c r="F113" i="2" s="1"/>
  <c r="J113" i="2"/>
  <c r="H113" i="2"/>
  <c r="P112" i="2"/>
  <c r="N112" i="2"/>
  <c r="L112" i="2"/>
  <c r="E112" i="2"/>
  <c r="F112" i="2" s="1"/>
  <c r="J112" i="2"/>
  <c r="H112" i="2"/>
  <c r="P111" i="2"/>
  <c r="N111" i="2"/>
  <c r="L111" i="2"/>
  <c r="E111" i="2"/>
  <c r="F111" i="2" s="1"/>
  <c r="J111" i="2"/>
  <c r="H111" i="2"/>
  <c r="P110" i="2"/>
  <c r="N110" i="2"/>
  <c r="L110" i="2"/>
  <c r="E110" i="2"/>
  <c r="F110" i="2" s="1"/>
  <c r="J110" i="2"/>
  <c r="H110" i="2"/>
  <c r="P109" i="2"/>
  <c r="N109" i="2"/>
  <c r="L109" i="2"/>
  <c r="E109" i="2"/>
  <c r="F109" i="2" s="1"/>
  <c r="J109" i="2"/>
  <c r="H109" i="2"/>
  <c r="P108" i="2"/>
  <c r="N108" i="2"/>
  <c r="L108" i="2"/>
  <c r="E108" i="2"/>
  <c r="F108" i="2" s="1"/>
  <c r="J108" i="2"/>
  <c r="H108" i="2"/>
  <c r="P107" i="2"/>
  <c r="N107" i="2"/>
  <c r="L107" i="2"/>
  <c r="E107" i="2"/>
  <c r="F107" i="2" s="1"/>
  <c r="J107" i="2"/>
  <c r="H107" i="2"/>
  <c r="P106" i="2"/>
  <c r="N106" i="2"/>
  <c r="L106" i="2"/>
  <c r="E106" i="2"/>
  <c r="F106" i="2" s="1"/>
  <c r="J106" i="2"/>
  <c r="H106" i="2"/>
  <c r="P105" i="2"/>
  <c r="N105" i="2"/>
  <c r="L105" i="2"/>
  <c r="E105" i="2"/>
  <c r="F105" i="2" s="1"/>
  <c r="J105" i="2"/>
  <c r="H105" i="2"/>
  <c r="P104" i="2"/>
  <c r="N104" i="2"/>
  <c r="L104" i="2"/>
  <c r="E104" i="2"/>
  <c r="F104" i="2" s="1"/>
  <c r="J104" i="2"/>
  <c r="H104" i="2"/>
  <c r="P103" i="2"/>
  <c r="N103" i="2"/>
  <c r="L103" i="2"/>
  <c r="E103" i="2"/>
  <c r="F103" i="2" s="1"/>
  <c r="J103" i="2"/>
  <c r="H103" i="2"/>
  <c r="P102" i="2"/>
  <c r="N102" i="2"/>
  <c r="L102" i="2"/>
  <c r="E102" i="2"/>
  <c r="F102" i="2" s="1"/>
  <c r="J102" i="2"/>
  <c r="H102" i="2"/>
  <c r="P101" i="2"/>
  <c r="N101" i="2"/>
  <c r="L101" i="2"/>
  <c r="E101" i="2"/>
  <c r="F101" i="2" s="1"/>
  <c r="J101" i="2"/>
  <c r="H101" i="2"/>
  <c r="P100" i="2"/>
  <c r="N100" i="2"/>
  <c r="L100" i="2"/>
  <c r="E100" i="2"/>
  <c r="F100" i="2" s="1"/>
  <c r="J100" i="2"/>
  <c r="H100" i="2"/>
  <c r="P99" i="2"/>
  <c r="N99" i="2"/>
  <c r="L99" i="2"/>
  <c r="E99" i="2"/>
  <c r="F99" i="2" s="1"/>
  <c r="J99" i="2"/>
  <c r="H99" i="2"/>
  <c r="P98" i="2"/>
  <c r="N98" i="2"/>
  <c r="L98" i="2"/>
  <c r="E98" i="2"/>
  <c r="F98" i="2" s="1"/>
  <c r="J98" i="2"/>
  <c r="H98" i="2"/>
  <c r="P97" i="2"/>
  <c r="N97" i="2"/>
  <c r="L97" i="2"/>
  <c r="E97" i="2"/>
  <c r="F97" i="2" s="1"/>
  <c r="J97" i="2"/>
  <c r="H97" i="2"/>
  <c r="P96" i="2"/>
  <c r="N96" i="2"/>
  <c r="L96" i="2"/>
  <c r="E96" i="2"/>
  <c r="F96" i="2" s="1"/>
  <c r="J96" i="2"/>
  <c r="H96" i="2"/>
  <c r="P95" i="2"/>
  <c r="N95" i="2"/>
  <c r="L95" i="2"/>
  <c r="E95" i="2"/>
  <c r="F95" i="2" s="1"/>
  <c r="J95" i="2"/>
  <c r="H95" i="2"/>
  <c r="P94" i="2"/>
  <c r="N94" i="2"/>
  <c r="L94" i="2"/>
  <c r="E94" i="2"/>
  <c r="F94" i="2" s="1"/>
  <c r="J94" i="2"/>
  <c r="H94" i="2"/>
  <c r="P93" i="2"/>
  <c r="N93" i="2"/>
  <c r="L93" i="2"/>
  <c r="E93" i="2"/>
  <c r="F93" i="2" s="1"/>
  <c r="J93" i="2"/>
  <c r="H93" i="2"/>
  <c r="P92" i="2"/>
  <c r="N92" i="2"/>
  <c r="L92" i="2"/>
  <c r="E92" i="2"/>
  <c r="F92" i="2" s="1"/>
  <c r="J92" i="2"/>
  <c r="H92" i="2"/>
  <c r="P91" i="2"/>
  <c r="N91" i="2"/>
  <c r="L91" i="2"/>
  <c r="E91" i="2"/>
  <c r="F91" i="2" s="1"/>
  <c r="J91" i="2"/>
  <c r="H91" i="2"/>
  <c r="P90" i="2"/>
  <c r="N90" i="2"/>
  <c r="L90" i="2"/>
  <c r="E90" i="2"/>
  <c r="F90" i="2" s="1"/>
  <c r="J90" i="2"/>
  <c r="H90" i="2"/>
  <c r="P89" i="2"/>
  <c r="N89" i="2"/>
  <c r="L89" i="2"/>
  <c r="E89" i="2"/>
  <c r="F89" i="2" s="1"/>
  <c r="J89" i="2"/>
  <c r="H89" i="2"/>
  <c r="P88" i="2"/>
  <c r="N88" i="2"/>
  <c r="L88" i="2"/>
  <c r="E88" i="2"/>
  <c r="F88" i="2" s="1"/>
  <c r="J88" i="2"/>
  <c r="H88" i="2"/>
  <c r="P87" i="2"/>
  <c r="N87" i="2"/>
  <c r="L87" i="2"/>
  <c r="E87" i="2"/>
  <c r="F87" i="2" s="1"/>
  <c r="J87" i="2"/>
  <c r="H87" i="2"/>
  <c r="P86" i="2"/>
  <c r="N86" i="2"/>
  <c r="L86" i="2"/>
  <c r="E86" i="2"/>
  <c r="F86" i="2" s="1"/>
  <c r="J86" i="2"/>
  <c r="H86" i="2"/>
  <c r="P85" i="2"/>
  <c r="N85" i="2"/>
  <c r="L85" i="2"/>
  <c r="F85" i="2"/>
  <c r="J85" i="2"/>
  <c r="H85" i="2"/>
  <c r="P84" i="2"/>
  <c r="N84" i="2"/>
  <c r="L84" i="2"/>
  <c r="E84" i="2"/>
  <c r="F84" i="2" s="1"/>
  <c r="J84" i="2"/>
  <c r="H84" i="2"/>
  <c r="P83" i="2"/>
  <c r="N83" i="2"/>
  <c r="L83" i="2"/>
  <c r="E83" i="2"/>
  <c r="F83" i="2" s="1"/>
  <c r="J83" i="2"/>
  <c r="H83" i="2"/>
  <c r="P82" i="2"/>
  <c r="N82" i="2"/>
  <c r="L82" i="2"/>
  <c r="E82" i="2"/>
  <c r="F82" i="2" s="1"/>
  <c r="J82" i="2"/>
  <c r="H82" i="2"/>
  <c r="P81" i="2"/>
  <c r="N81" i="2"/>
  <c r="L81" i="2"/>
  <c r="E81" i="2"/>
  <c r="F81" i="2" s="1"/>
  <c r="J81" i="2"/>
  <c r="H81" i="2"/>
  <c r="P80" i="2"/>
  <c r="N80" i="2"/>
  <c r="L80" i="2"/>
  <c r="E80" i="2"/>
  <c r="F80" i="2" s="1"/>
  <c r="J80" i="2"/>
  <c r="H80" i="2"/>
  <c r="P79" i="2"/>
  <c r="N79" i="2"/>
  <c r="L79" i="2"/>
  <c r="E79" i="2"/>
  <c r="F79" i="2" s="1"/>
  <c r="J79" i="2"/>
  <c r="H79" i="2"/>
  <c r="P78" i="2"/>
  <c r="N78" i="2"/>
  <c r="L78" i="2"/>
  <c r="E78" i="2"/>
  <c r="F78" i="2" s="1"/>
  <c r="J78" i="2"/>
  <c r="H78" i="2"/>
  <c r="P77" i="2"/>
  <c r="N77" i="2"/>
  <c r="L77" i="2"/>
  <c r="E77" i="2"/>
  <c r="F77" i="2" s="1"/>
  <c r="J77" i="2"/>
  <c r="H77" i="2"/>
  <c r="P76" i="2"/>
  <c r="N76" i="2"/>
  <c r="L76" i="2"/>
  <c r="E76" i="2"/>
  <c r="F76" i="2" s="1"/>
  <c r="J76" i="2"/>
  <c r="H76" i="2"/>
  <c r="P75" i="2"/>
  <c r="N75" i="2"/>
  <c r="L75" i="2"/>
  <c r="E75" i="2"/>
  <c r="F75" i="2" s="1"/>
  <c r="J75" i="2"/>
  <c r="H75" i="2"/>
  <c r="P74" i="2"/>
  <c r="N74" i="2"/>
  <c r="L74" i="2"/>
  <c r="E74" i="2"/>
  <c r="F74" i="2" s="1"/>
  <c r="J74" i="2"/>
  <c r="H74" i="2"/>
  <c r="P73" i="2"/>
  <c r="N73" i="2"/>
  <c r="L73" i="2"/>
  <c r="E73" i="2"/>
  <c r="F73" i="2" s="1"/>
  <c r="J73" i="2"/>
  <c r="H73" i="2"/>
  <c r="P72" i="2"/>
  <c r="N72" i="2"/>
  <c r="L72" i="2"/>
  <c r="E72" i="2"/>
  <c r="F72" i="2" s="1"/>
  <c r="J72" i="2"/>
  <c r="H72" i="2"/>
  <c r="P71" i="2"/>
  <c r="N71" i="2"/>
  <c r="L71" i="2"/>
  <c r="E71" i="2"/>
  <c r="F71" i="2" s="1"/>
  <c r="J71" i="2"/>
  <c r="H71" i="2"/>
  <c r="P70" i="2"/>
  <c r="N70" i="2"/>
  <c r="L70" i="2"/>
  <c r="E70" i="2"/>
  <c r="F70" i="2" s="1"/>
  <c r="J70" i="2"/>
  <c r="H70" i="2"/>
  <c r="P69" i="2"/>
  <c r="N69" i="2"/>
  <c r="L69" i="2"/>
  <c r="E69" i="2"/>
  <c r="F69" i="2" s="1"/>
  <c r="J69" i="2"/>
  <c r="H69" i="2"/>
  <c r="P68" i="2"/>
  <c r="N68" i="2"/>
  <c r="L68" i="2"/>
  <c r="E68" i="2"/>
  <c r="F68" i="2" s="1"/>
  <c r="J68" i="2"/>
  <c r="H68" i="2"/>
  <c r="P67" i="2"/>
  <c r="N67" i="2"/>
  <c r="L67" i="2"/>
  <c r="E67" i="2"/>
  <c r="F67" i="2" s="1"/>
  <c r="J67" i="2"/>
  <c r="H67" i="2"/>
  <c r="P66" i="2"/>
  <c r="N66" i="2"/>
  <c r="L66" i="2"/>
  <c r="E66" i="2"/>
  <c r="F66" i="2" s="1"/>
  <c r="J66" i="2"/>
  <c r="H66" i="2"/>
  <c r="P65" i="2"/>
  <c r="N65" i="2"/>
  <c r="L65" i="2"/>
  <c r="E65" i="2"/>
  <c r="F65" i="2" s="1"/>
  <c r="J65" i="2"/>
  <c r="H65" i="2"/>
  <c r="P64" i="2"/>
  <c r="N64" i="2"/>
  <c r="L64" i="2"/>
  <c r="E64" i="2"/>
  <c r="F64" i="2" s="1"/>
  <c r="J64" i="2"/>
  <c r="H64" i="2"/>
  <c r="P63" i="2"/>
  <c r="N63" i="2"/>
  <c r="L63" i="2"/>
  <c r="E63" i="2"/>
  <c r="F63" i="2" s="1"/>
  <c r="J63" i="2"/>
  <c r="H63" i="2"/>
  <c r="P62" i="2"/>
  <c r="N62" i="2"/>
  <c r="L62" i="2"/>
  <c r="E62" i="2"/>
  <c r="F62" i="2" s="1"/>
  <c r="J62" i="2"/>
  <c r="H62" i="2"/>
  <c r="P61" i="2"/>
  <c r="N61" i="2"/>
  <c r="L61" i="2"/>
  <c r="E61" i="2"/>
  <c r="F61" i="2" s="1"/>
  <c r="J61" i="2"/>
  <c r="H61" i="2"/>
  <c r="P60" i="2"/>
  <c r="N60" i="2"/>
  <c r="L60" i="2"/>
  <c r="E60" i="2"/>
  <c r="F60" i="2" s="1"/>
  <c r="J60" i="2"/>
  <c r="H60" i="2"/>
  <c r="P59" i="2"/>
  <c r="N59" i="2"/>
  <c r="L59" i="2"/>
  <c r="E59" i="2"/>
  <c r="F59" i="2" s="1"/>
  <c r="J59" i="2"/>
  <c r="H59" i="2"/>
  <c r="P58" i="2"/>
  <c r="N58" i="2"/>
  <c r="L58" i="2"/>
  <c r="E58" i="2"/>
  <c r="F58" i="2" s="1"/>
  <c r="J58" i="2"/>
  <c r="H58" i="2"/>
  <c r="P57" i="2"/>
  <c r="N57" i="2"/>
  <c r="L57" i="2"/>
  <c r="F57" i="2"/>
  <c r="J57" i="2"/>
  <c r="H57" i="2"/>
  <c r="P56" i="2"/>
  <c r="N56" i="2"/>
  <c r="L56" i="2"/>
  <c r="E56" i="2"/>
  <c r="F56" i="2" s="1"/>
  <c r="J56" i="2"/>
  <c r="H56" i="2"/>
  <c r="P55" i="2"/>
  <c r="N55" i="2"/>
  <c r="L55" i="2"/>
  <c r="E55" i="2"/>
  <c r="F55" i="2" s="1"/>
  <c r="J55" i="2"/>
  <c r="H55" i="2"/>
  <c r="P54" i="2"/>
  <c r="N54" i="2"/>
  <c r="L54" i="2"/>
  <c r="E54" i="2"/>
  <c r="F54" i="2" s="1"/>
  <c r="J54" i="2"/>
  <c r="H54" i="2"/>
  <c r="P53" i="2"/>
  <c r="N53" i="2"/>
  <c r="L53" i="2"/>
  <c r="E53" i="2"/>
  <c r="F53" i="2" s="1"/>
  <c r="J53" i="2"/>
  <c r="H53" i="2"/>
  <c r="P52" i="2"/>
  <c r="N52" i="2"/>
  <c r="L52" i="2"/>
  <c r="E52" i="2"/>
  <c r="F52" i="2" s="1"/>
  <c r="J52" i="2"/>
  <c r="H52" i="2"/>
  <c r="P51" i="2"/>
  <c r="N51" i="2"/>
  <c r="L51" i="2"/>
  <c r="E51" i="2"/>
  <c r="F51" i="2" s="1"/>
  <c r="J51" i="2"/>
  <c r="H51" i="2"/>
  <c r="P50" i="2"/>
  <c r="N50" i="2"/>
  <c r="L50" i="2"/>
  <c r="E50" i="2"/>
  <c r="F50" i="2" s="1"/>
  <c r="J50" i="2"/>
  <c r="H50" i="2"/>
  <c r="P49" i="2"/>
  <c r="N49" i="2"/>
  <c r="L49" i="2"/>
  <c r="E49" i="2"/>
  <c r="F49" i="2" s="1"/>
  <c r="J49" i="2"/>
  <c r="H49" i="2"/>
  <c r="P48" i="2"/>
  <c r="N48" i="2"/>
  <c r="L48" i="2"/>
  <c r="E48" i="2"/>
  <c r="F48" i="2" s="1"/>
  <c r="J48" i="2"/>
  <c r="H48" i="2"/>
  <c r="P47" i="2"/>
  <c r="N47" i="2"/>
  <c r="L47" i="2"/>
  <c r="E47" i="2"/>
  <c r="F47" i="2" s="1"/>
  <c r="J47" i="2"/>
  <c r="H47" i="2"/>
  <c r="P46" i="2"/>
  <c r="N46" i="2"/>
  <c r="L46" i="2"/>
  <c r="E46" i="2"/>
  <c r="F46" i="2" s="1"/>
  <c r="J46" i="2"/>
  <c r="H46" i="2"/>
  <c r="P45" i="2"/>
  <c r="N45" i="2"/>
  <c r="L45" i="2"/>
  <c r="E45" i="2"/>
  <c r="F45" i="2" s="1"/>
  <c r="J45" i="2"/>
  <c r="H45" i="2"/>
  <c r="P44" i="2"/>
  <c r="N44" i="2"/>
  <c r="L44" i="2"/>
  <c r="E44" i="2"/>
  <c r="F44" i="2" s="1"/>
  <c r="J44" i="2"/>
  <c r="H44" i="2"/>
  <c r="P43" i="2"/>
  <c r="N43" i="2"/>
  <c r="L43" i="2"/>
  <c r="E43" i="2"/>
  <c r="F43" i="2" s="1"/>
  <c r="J43" i="2"/>
  <c r="H43" i="2"/>
  <c r="P42" i="2"/>
  <c r="N42" i="2"/>
  <c r="L42" i="2"/>
  <c r="E42" i="2"/>
  <c r="F42" i="2" s="1"/>
  <c r="J42" i="2"/>
  <c r="H42" i="2"/>
  <c r="P41" i="2"/>
  <c r="N41" i="2"/>
  <c r="L41" i="2"/>
  <c r="E41" i="2"/>
  <c r="F41" i="2" s="1"/>
  <c r="J41" i="2"/>
  <c r="H41" i="2"/>
  <c r="P40" i="2"/>
  <c r="N40" i="2"/>
  <c r="L40" i="2"/>
  <c r="E40" i="2"/>
  <c r="F40" i="2" s="1"/>
  <c r="J40" i="2"/>
  <c r="H40" i="2"/>
  <c r="P39" i="2"/>
  <c r="N39" i="2"/>
  <c r="L39" i="2"/>
  <c r="E39" i="2"/>
  <c r="F39" i="2" s="1"/>
  <c r="J39" i="2"/>
  <c r="H39" i="2"/>
  <c r="P38" i="2"/>
  <c r="N38" i="2"/>
  <c r="L38" i="2"/>
  <c r="E38" i="2"/>
  <c r="F38" i="2" s="1"/>
  <c r="J38" i="2"/>
  <c r="H38" i="2"/>
  <c r="P37" i="2"/>
  <c r="N37" i="2"/>
  <c r="L37" i="2"/>
  <c r="E37" i="2"/>
  <c r="F37" i="2" s="1"/>
  <c r="J37" i="2"/>
  <c r="H37" i="2"/>
  <c r="P36" i="2"/>
  <c r="N36" i="2"/>
  <c r="L36" i="2"/>
  <c r="E36" i="2"/>
  <c r="F36" i="2" s="1"/>
  <c r="J36" i="2"/>
  <c r="H36" i="2"/>
  <c r="P35" i="2"/>
  <c r="N35" i="2"/>
  <c r="L35" i="2"/>
  <c r="E35" i="2"/>
  <c r="F35" i="2" s="1"/>
  <c r="J35" i="2"/>
  <c r="H35" i="2"/>
  <c r="P34" i="2"/>
  <c r="N34" i="2"/>
  <c r="L34" i="2"/>
  <c r="E34" i="2"/>
  <c r="F34" i="2" s="1"/>
  <c r="J34" i="2"/>
  <c r="H34" i="2"/>
  <c r="P33" i="2"/>
  <c r="N33" i="2"/>
  <c r="L33" i="2"/>
  <c r="E33" i="2"/>
  <c r="F33" i="2" s="1"/>
  <c r="J33" i="2"/>
  <c r="H33" i="2"/>
  <c r="P32" i="2"/>
  <c r="N32" i="2"/>
  <c r="L32" i="2"/>
  <c r="E32" i="2"/>
  <c r="F32" i="2" s="1"/>
  <c r="J32" i="2"/>
  <c r="H32" i="2"/>
  <c r="P31" i="2"/>
  <c r="N31" i="2"/>
  <c r="L31" i="2"/>
  <c r="E31" i="2"/>
  <c r="F31" i="2" s="1"/>
  <c r="J31" i="2"/>
  <c r="H31" i="2"/>
  <c r="P30" i="2"/>
  <c r="N30" i="2"/>
  <c r="L30" i="2"/>
  <c r="E30" i="2"/>
  <c r="F30" i="2" s="1"/>
  <c r="J30" i="2"/>
  <c r="H30" i="2"/>
  <c r="P29" i="2"/>
  <c r="N29" i="2"/>
  <c r="L29" i="2"/>
  <c r="E29" i="2"/>
  <c r="F29" i="2" s="1"/>
  <c r="J29" i="2"/>
  <c r="H29" i="2"/>
  <c r="P28" i="2"/>
  <c r="N28" i="2"/>
  <c r="L28" i="2"/>
  <c r="E28" i="2"/>
  <c r="F28" i="2" s="1"/>
  <c r="J28" i="2"/>
  <c r="H28" i="2"/>
  <c r="P27" i="2"/>
  <c r="N27" i="2"/>
  <c r="L27" i="2"/>
  <c r="E27" i="2"/>
  <c r="F27" i="2" s="1"/>
  <c r="J27" i="2"/>
  <c r="H27" i="2"/>
  <c r="P25" i="2"/>
  <c r="N25" i="2"/>
  <c r="L25" i="2"/>
  <c r="E25" i="2"/>
  <c r="F25" i="2" s="1"/>
  <c r="J25" i="2"/>
  <c r="H25" i="2"/>
  <c r="P24" i="2"/>
  <c r="N24" i="2"/>
  <c r="L24" i="2"/>
  <c r="E24" i="2"/>
  <c r="F24" i="2" s="1"/>
  <c r="J24" i="2"/>
  <c r="H24" i="2"/>
  <c r="P23" i="2"/>
  <c r="N23" i="2"/>
  <c r="L23" i="2"/>
  <c r="E23" i="2"/>
  <c r="F23" i="2" s="1"/>
  <c r="J23" i="2"/>
  <c r="H23" i="2"/>
  <c r="P22" i="2"/>
  <c r="N22" i="2"/>
  <c r="L22" i="2"/>
  <c r="E22" i="2"/>
  <c r="F22" i="2" s="1"/>
  <c r="H22" i="2"/>
  <c r="P21" i="2"/>
  <c r="N21" i="2"/>
  <c r="L21" i="2"/>
  <c r="E21" i="2"/>
  <c r="F21" i="2" s="1"/>
  <c r="J21" i="2"/>
  <c r="H21" i="2"/>
  <c r="P20" i="2"/>
  <c r="N20" i="2"/>
  <c r="L20" i="2"/>
  <c r="E20" i="2"/>
  <c r="F20" i="2" s="1"/>
  <c r="J20" i="2"/>
  <c r="H20" i="2"/>
  <c r="P19" i="2"/>
  <c r="N19" i="2"/>
  <c r="L19" i="2"/>
  <c r="E19" i="2"/>
  <c r="F19" i="2" s="1"/>
  <c r="J19" i="2"/>
  <c r="H19" i="2"/>
  <c r="N18" i="2"/>
  <c r="L18" i="2"/>
  <c r="E18" i="2"/>
  <c r="F18" i="2" s="1"/>
  <c r="J18" i="2"/>
  <c r="H18" i="2"/>
  <c r="P17" i="2"/>
  <c r="N17" i="2"/>
  <c r="L17" i="2"/>
  <c r="E17" i="2"/>
  <c r="F17" i="2" s="1"/>
  <c r="J17" i="2"/>
  <c r="H17" i="2"/>
  <c r="P16" i="2"/>
  <c r="N16" i="2"/>
  <c r="L16" i="2"/>
  <c r="E16" i="2"/>
  <c r="F16" i="2" s="1"/>
  <c r="J16" i="2"/>
  <c r="H16" i="2"/>
  <c r="P15" i="2"/>
  <c r="N15" i="2"/>
  <c r="L15" i="2"/>
  <c r="E15" i="2"/>
  <c r="F15" i="2" s="1"/>
  <c r="J15" i="2"/>
  <c r="H15" i="2"/>
  <c r="P14" i="2"/>
  <c r="N14" i="2"/>
  <c r="L14" i="2"/>
  <c r="E14" i="2"/>
  <c r="F14" i="2" s="1"/>
  <c r="J14" i="2"/>
  <c r="H14" i="2"/>
  <c r="P13" i="2"/>
  <c r="N13" i="2"/>
  <c r="L13" i="2"/>
  <c r="E13" i="2"/>
  <c r="F13" i="2" s="1"/>
  <c r="J13" i="2"/>
  <c r="H13" i="2"/>
  <c r="P12" i="2"/>
  <c r="N12" i="2"/>
  <c r="L12" i="2"/>
  <c r="E12" i="2"/>
  <c r="F12" i="2" s="1"/>
  <c r="J12" i="2"/>
  <c r="H12" i="2"/>
  <c r="P11" i="2"/>
  <c r="N11" i="2"/>
  <c r="L11" i="2"/>
  <c r="E11" i="2"/>
  <c r="F11" i="2" s="1"/>
  <c r="J11" i="2"/>
  <c r="H11" i="2"/>
  <c r="P10" i="2"/>
  <c r="N10" i="2"/>
  <c r="L10" i="2"/>
  <c r="E10" i="2"/>
  <c r="F10" i="2" s="1"/>
  <c r="J10" i="2"/>
  <c r="H10" i="2"/>
  <c r="P9" i="2"/>
  <c r="N9" i="2"/>
  <c r="L9" i="2"/>
  <c r="E9" i="2"/>
  <c r="F9" i="2" s="1"/>
  <c r="J9" i="2"/>
  <c r="H9" i="2"/>
  <c r="P8" i="2"/>
  <c r="N8" i="2"/>
  <c r="L8" i="2"/>
  <c r="E8" i="2"/>
  <c r="F8" i="2" s="1"/>
  <c r="J8" i="2"/>
  <c r="H8" i="2"/>
  <c r="L7" i="2"/>
  <c r="E7" i="2"/>
  <c r="J7" i="2"/>
  <c r="H7" i="2"/>
  <c r="H149" i="1"/>
  <c r="J12" i="3"/>
  <c r="D44" i="5" l="1"/>
  <c r="D11" i="12"/>
  <c r="S11" i="12" s="1"/>
  <c r="E20" i="13"/>
  <c r="G11" i="12"/>
  <c r="V11" i="12" s="1"/>
  <c r="H20" i="13"/>
  <c r="D25" i="13"/>
  <c r="C12" i="12"/>
  <c r="R12" i="12" s="1"/>
  <c r="G15" i="13"/>
  <c r="F10" i="12"/>
  <c r="U10" i="12" s="1"/>
  <c r="V5" i="8"/>
  <c r="G6" i="8" s="1"/>
  <c r="V6" i="8" s="1"/>
  <c r="G7" i="8" s="1"/>
  <c r="V7" i="8" s="1"/>
  <c r="S5" i="8"/>
  <c r="D6" i="8" s="1"/>
  <c r="S6" i="8" s="1"/>
  <c r="D7" i="8" s="1"/>
  <c r="S7" i="8" s="1"/>
  <c r="F6" i="8"/>
  <c r="U6" i="8" s="1"/>
  <c r="F7" i="8" s="1"/>
  <c r="U7" i="8" s="1"/>
  <c r="AJ104" i="8"/>
  <c r="C6" i="8"/>
  <c r="R6" i="8" s="1"/>
  <c r="C7" i="8" s="1"/>
  <c r="R7" i="8" s="1"/>
  <c r="AH104" i="8"/>
  <c r="AI104" i="8"/>
  <c r="AK71" i="9"/>
  <c r="G6" i="9"/>
  <c r="V6" i="9" s="1"/>
  <c r="G7" i="9" s="1"/>
  <c r="V7" i="9" s="1"/>
  <c r="R5" i="9"/>
  <c r="C6" i="9" s="1"/>
  <c r="R6" i="9" s="1"/>
  <c r="C7" i="9" s="1"/>
  <c r="U4" i="9"/>
  <c r="F5" i="9" s="1"/>
  <c r="U5" i="9" s="1"/>
  <c r="F7" i="2"/>
  <c r="F4" i="2" s="1"/>
  <c r="E4" i="2"/>
  <c r="E5" i="2" s="1"/>
  <c r="L4" i="2"/>
  <c r="N7" i="2"/>
  <c r="N4" i="2" s="1"/>
  <c r="M4" i="2"/>
  <c r="M5" i="2" s="1"/>
  <c r="O4" i="2"/>
  <c r="O5" i="2" s="1"/>
  <c r="S4" i="9"/>
  <c r="D5" i="9" s="1"/>
  <c r="I149" i="1"/>
  <c r="L12" i="3"/>
  <c r="L13" i="3" s="1"/>
  <c r="L14" i="3" s="1"/>
  <c r="L15" i="3" s="1"/>
  <c r="L16" i="3" s="1"/>
  <c r="L17" i="3" s="1"/>
  <c r="L18" i="3" s="1"/>
  <c r="L19" i="3" s="1"/>
  <c r="L20" i="3" s="1"/>
  <c r="L21" i="3" s="1"/>
  <c r="L22" i="3" s="1"/>
  <c r="L23" i="3" s="1"/>
  <c r="L24" i="3" s="1"/>
  <c r="L25" i="3" s="1"/>
  <c r="L26" i="3" s="1"/>
  <c r="L27" i="3" s="1"/>
  <c r="L28" i="3" s="1"/>
  <c r="L29" i="3" s="1"/>
  <c r="L30" i="3" s="1"/>
  <c r="L31" i="3" s="1"/>
  <c r="L32" i="3" s="1"/>
  <c r="L33" i="3" s="1"/>
  <c r="L34" i="3" s="1"/>
  <c r="L35" i="3" s="1"/>
  <c r="P7" i="3"/>
  <c r="P9" i="3"/>
  <c r="P11" i="3"/>
  <c r="AC149" i="1"/>
  <c r="P6" i="3"/>
  <c r="H4" i="2"/>
  <c r="J4" i="2"/>
  <c r="N12" i="3"/>
  <c r="G4" i="2"/>
  <c r="G5" i="2" s="1"/>
  <c r="P7" i="2"/>
  <c r="P4" i="2" s="1"/>
  <c r="I4" i="2"/>
  <c r="I5" i="2" s="1"/>
  <c r="J13" i="3"/>
  <c r="O12" i="3"/>
  <c r="P8" i="3"/>
  <c r="P10" i="3"/>
  <c r="E5" i="5"/>
  <c r="E44" i="5" s="1"/>
  <c r="K13" i="3"/>
  <c r="K14" i="3" s="1"/>
  <c r="K15" i="3" s="1"/>
  <c r="K16" i="3" s="1"/>
  <c r="K17" i="3" s="1"/>
  <c r="K18" i="3" s="1"/>
  <c r="K19" i="3" s="1"/>
  <c r="K20" i="3" s="1"/>
  <c r="K21" i="3" s="1"/>
  <c r="K22" i="3" s="1"/>
  <c r="K23" i="3" s="1"/>
  <c r="K24" i="3" s="1"/>
  <c r="K25" i="3" s="1"/>
  <c r="K26" i="3" s="1"/>
  <c r="K27" i="3" s="1"/>
  <c r="K28" i="3" s="1"/>
  <c r="K29" i="3" s="1"/>
  <c r="K30" i="3" s="1"/>
  <c r="K31" i="3" s="1"/>
  <c r="K32" i="3" s="1"/>
  <c r="K33" i="3" s="1"/>
  <c r="K34" i="3" s="1"/>
  <c r="K35" i="3" s="1"/>
  <c r="M13" i="3"/>
  <c r="M14" i="3" s="1"/>
  <c r="M15" i="3" s="1"/>
  <c r="M16" i="3" s="1"/>
  <c r="M17" i="3" s="1"/>
  <c r="M18" i="3" s="1"/>
  <c r="M19" i="3" s="1"/>
  <c r="M20" i="3" s="1"/>
  <c r="M21" i="3" s="1"/>
  <c r="M22" i="3" s="1"/>
  <c r="M23" i="3" s="1"/>
  <c r="M24" i="3" s="1"/>
  <c r="M25" i="3" s="1"/>
  <c r="M26" i="3" s="1"/>
  <c r="M27" i="3" s="1"/>
  <c r="M28" i="3" s="1"/>
  <c r="M29" i="3" s="1"/>
  <c r="M30" i="3" s="1"/>
  <c r="M31" i="3" s="1"/>
  <c r="M32" i="3" s="1"/>
  <c r="M33" i="3" s="1"/>
  <c r="M34" i="3" s="1"/>
  <c r="M35" i="3" s="1"/>
  <c r="AK104" i="8" l="1"/>
  <c r="C13" i="12"/>
  <c r="R13" i="12" s="1"/>
  <c r="D35" i="13" s="1"/>
  <c r="D30" i="13"/>
  <c r="F11" i="12"/>
  <c r="U11" i="12" s="1"/>
  <c r="G20" i="13"/>
  <c r="H25" i="13"/>
  <c r="G12" i="12"/>
  <c r="V12" i="12" s="1"/>
  <c r="E25" i="13"/>
  <c r="D12" i="12"/>
  <c r="S12" i="12" s="1"/>
  <c r="F44" i="5"/>
  <c r="C8" i="8"/>
  <c r="R8" i="8" s="1"/>
  <c r="C9" i="8" s="1"/>
  <c r="R9" i="8" s="1"/>
  <c r="D3" i="13"/>
  <c r="D8" i="8"/>
  <c r="S8" i="8" s="1"/>
  <c r="E3" i="13"/>
  <c r="G3" i="13"/>
  <c r="F8" i="8"/>
  <c r="U8" i="8" s="1"/>
  <c r="H3" i="13"/>
  <c r="G8" i="8"/>
  <c r="V8" i="8" s="1"/>
  <c r="H4" i="13"/>
  <c r="G8" i="9"/>
  <c r="V8" i="9" s="1"/>
  <c r="AJ71" i="9"/>
  <c r="F6" i="9"/>
  <c r="U6" i="9" s="1"/>
  <c r="F7" i="9" s="1"/>
  <c r="U7" i="9" s="1"/>
  <c r="AH71" i="9"/>
  <c r="S5" i="9"/>
  <c r="D6" i="9" s="1"/>
  <c r="S6" i="9" s="1"/>
  <c r="D7" i="9" s="1"/>
  <c r="S7" i="9" s="1"/>
  <c r="K36" i="3"/>
  <c r="O13" i="3"/>
  <c r="O14" i="3" s="1"/>
  <c r="O15" i="3" s="1"/>
  <c r="O16" i="3" s="1"/>
  <c r="O17" i="3" s="1"/>
  <c r="O18" i="3" s="1"/>
  <c r="O19" i="3" s="1"/>
  <c r="O20" i="3" s="1"/>
  <c r="O21" i="3" s="1"/>
  <c r="O22" i="3" s="1"/>
  <c r="O23" i="3" s="1"/>
  <c r="O24" i="3" s="1"/>
  <c r="O25" i="3" s="1"/>
  <c r="O26" i="3" s="1"/>
  <c r="O27" i="3" s="1"/>
  <c r="O28" i="3" s="1"/>
  <c r="O29" i="3" s="1"/>
  <c r="O30" i="3" s="1"/>
  <c r="O31" i="3" s="1"/>
  <c r="O32" i="3" s="1"/>
  <c r="O33" i="3" s="1"/>
  <c r="O34" i="3" s="1"/>
  <c r="O35" i="3" s="1"/>
  <c r="J14" i="3"/>
  <c r="N13" i="3"/>
  <c r="N14" i="3" s="1"/>
  <c r="N15" i="3" s="1"/>
  <c r="N16" i="3" s="1"/>
  <c r="N17" i="3" s="1"/>
  <c r="N18" i="3" s="1"/>
  <c r="N19" i="3" s="1"/>
  <c r="N20" i="3" s="1"/>
  <c r="N21" i="3" s="1"/>
  <c r="N22" i="3" s="1"/>
  <c r="N23" i="3" s="1"/>
  <c r="N24" i="3" s="1"/>
  <c r="N25" i="3" s="1"/>
  <c r="N26" i="3" s="1"/>
  <c r="N27" i="3" s="1"/>
  <c r="N28" i="3" s="1"/>
  <c r="N29" i="3" s="1"/>
  <c r="N30" i="3" s="1"/>
  <c r="N31" i="3" s="1"/>
  <c r="N32" i="3" s="1"/>
  <c r="N33" i="3" s="1"/>
  <c r="N34" i="3" s="1"/>
  <c r="N35" i="3" s="1"/>
  <c r="L36" i="3"/>
  <c r="M36" i="3"/>
  <c r="P12" i="3"/>
  <c r="D13" i="12" l="1"/>
  <c r="S13" i="12" s="1"/>
  <c r="E35" i="13" s="1"/>
  <c r="E30" i="13"/>
  <c r="G13" i="12"/>
  <c r="V13" i="12" s="1"/>
  <c r="H35" i="13" s="1"/>
  <c r="H30" i="13"/>
  <c r="G25" i="13"/>
  <c r="F12" i="12"/>
  <c r="U12" i="12" s="1"/>
  <c r="C10" i="8"/>
  <c r="R10" i="8" s="1"/>
  <c r="D9" i="13"/>
  <c r="H7" i="13"/>
  <c r="G9" i="9"/>
  <c r="V9" i="9" s="1"/>
  <c r="H6" i="13"/>
  <c r="G9" i="8"/>
  <c r="V9" i="8" s="1"/>
  <c r="G6" i="13"/>
  <c r="F9" i="8"/>
  <c r="U9" i="8" s="1"/>
  <c r="E6" i="13"/>
  <c r="D9" i="8"/>
  <c r="S9" i="8" s="1"/>
  <c r="D6" i="13"/>
  <c r="G4" i="13"/>
  <c r="F8" i="9"/>
  <c r="U8" i="9" s="1"/>
  <c r="E4" i="13"/>
  <c r="D8" i="9"/>
  <c r="S8" i="9" s="1"/>
  <c r="AI71" i="9"/>
  <c r="P13" i="3"/>
  <c r="J15" i="3"/>
  <c r="P14" i="3"/>
  <c r="O36" i="3"/>
  <c r="N36" i="3"/>
  <c r="F13" i="12" l="1"/>
  <c r="U13" i="12" s="1"/>
  <c r="G35" i="13" s="1"/>
  <c r="G30" i="13"/>
  <c r="D10" i="8"/>
  <c r="S10" i="8" s="1"/>
  <c r="E9" i="13"/>
  <c r="G10" i="8"/>
  <c r="V10" i="8" s="1"/>
  <c r="H9" i="13"/>
  <c r="C11" i="8"/>
  <c r="R11" i="8" s="1"/>
  <c r="D13" i="13"/>
  <c r="F10" i="8"/>
  <c r="U10" i="8" s="1"/>
  <c r="G9" i="13"/>
  <c r="G10" i="9"/>
  <c r="V10" i="9" s="1"/>
  <c r="H10" i="13"/>
  <c r="G7" i="13"/>
  <c r="F9" i="9"/>
  <c r="U9" i="9" s="1"/>
  <c r="D9" i="9"/>
  <c r="S9" i="9" s="1"/>
  <c r="E7" i="13"/>
  <c r="J16" i="3"/>
  <c r="P15" i="3"/>
  <c r="D18" i="13" l="1"/>
  <c r="C12" i="8"/>
  <c r="R12" i="8" s="1"/>
  <c r="H14" i="13"/>
  <c r="G11" i="9"/>
  <c r="V11" i="9" s="1"/>
  <c r="G13" i="13"/>
  <c r="F11" i="8"/>
  <c r="U11" i="8" s="1"/>
  <c r="H13" i="13"/>
  <c r="G11" i="8"/>
  <c r="V11" i="8" s="1"/>
  <c r="E13" i="13"/>
  <c r="D11" i="8"/>
  <c r="S11" i="8" s="1"/>
  <c r="D10" i="9"/>
  <c r="S10" i="9" s="1"/>
  <c r="E10" i="13"/>
  <c r="G10" i="13"/>
  <c r="F10" i="9"/>
  <c r="U10" i="9" s="1"/>
  <c r="J17" i="3"/>
  <c r="P16" i="3"/>
  <c r="H19" i="13" l="1"/>
  <c r="G12" i="9"/>
  <c r="V12" i="9" s="1"/>
  <c r="E18" i="13"/>
  <c r="D12" i="8"/>
  <c r="S12" i="8" s="1"/>
  <c r="H18" i="13"/>
  <c r="G12" i="8"/>
  <c r="V12" i="8" s="1"/>
  <c r="D23" i="13"/>
  <c r="C13" i="8"/>
  <c r="R13" i="8" s="1"/>
  <c r="G18" i="13"/>
  <c r="F12" i="8"/>
  <c r="U12" i="8" s="1"/>
  <c r="G14" i="13"/>
  <c r="F11" i="9"/>
  <c r="U11" i="9" s="1"/>
  <c r="E14" i="13"/>
  <c r="D11" i="9"/>
  <c r="S11" i="9" s="1"/>
  <c r="P17" i="3"/>
  <c r="J18" i="3"/>
  <c r="D28" i="13" l="1"/>
  <c r="C14" i="8"/>
  <c r="R14" i="8" s="1"/>
  <c r="D33" i="13" s="1"/>
  <c r="E19" i="13"/>
  <c r="D12" i="9"/>
  <c r="S12" i="9" s="1"/>
  <c r="G13" i="9"/>
  <c r="V13" i="9" s="1"/>
  <c r="H24" i="13"/>
  <c r="G19" i="13"/>
  <c r="F12" i="9"/>
  <c r="U12" i="9" s="1"/>
  <c r="F13" i="8"/>
  <c r="U13" i="8" s="1"/>
  <c r="G23" i="13"/>
  <c r="G13" i="8"/>
  <c r="V13" i="8" s="1"/>
  <c r="H23" i="13"/>
  <c r="D13" i="8"/>
  <c r="S13" i="8" s="1"/>
  <c r="E23" i="13"/>
  <c r="J19" i="3"/>
  <c r="P18" i="3"/>
  <c r="G14" i="9" l="1"/>
  <c r="V14" i="9" s="1"/>
  <c r="H34" i="13" s="1"/>
  <c r="H29" i="13"/>
  <c r="D14" i="8"/>
  <c r="S14" i="8" s="1"/>
  <c r="E33" i="13" s="1"/>
  <c r="E28" i="13"/>
  <c r="H28" i="13"/>
  <c r="G14" i="8"/>
  <c r="V14" i="8" s="1"/>
  <c r="H33" i="13" s="1"/>
  <c r="G28" i="13"/>
  <c r="F14" i="8"/>
  <c r="U14" i="8" s="1"/>
  <c r="G33" i="13" s="1"/>
  <c r="F13" i="9"/>
  <c r="U13" i="9" s="1"/>
  <c r="G24" i="13"/>
  <c r="D13" i="9"/>
  <c r="S13" i="9" s="1"/>
  <c r="E24" i="13"/>
  <c r="J20" i="3"/>
  <c r="P19" i="3"/>
  <c r="D14" i="9" l="1"/>
  <c r="S14" i="9" s="1"/>
  <c r="E34" i="13" s="1"/>
  <c r="E29" i="13"/>
  <c r="F14" i="9"/>
  <c r="U14" i="9" s="1"/>
  <c r="G34" i="13" s="1"/>
  <c r="G29" i="13"/>
  <c r="J21" i="3"/>
  <c r="P20" i="3"/>
  <c r="J22" i="3" l="1"/>
  <c r="P21" i="3"/>
  <c r="P22" i="3" l="1"/>
  <c r="J23" i="3"/>
  <c r="J24" i="3" l="1"/>
  <c r="P23" i="3"/>
  <c r="J25" i="3" l="1"/>
  <c r="P24" i="3"/>
  <c r="J26" i="3" l="1"/>
  <c r="P25" i="3"/>
  <c r="J27" i="3" l="1"/>
  <c r="P26" i="3"/>
  <c r="J28" i="3" l="1"/>
  <c r="P27" i="3"/>
  <c r="J29" i="3" l="1"/>
  <c r="P28" i="3"/>
  <c r="P29" i="3" l="1"/>
  <c r="J30" i="3"/>
  <c r="J31" i="3" l="1"/>
  <c r="P30" i="3"/>
  <c r="J32" i="3" l="1"/>
  <c r="P31" i="3"/>
  <c r="J33" i="3" l="1"/>
  <c r="P32" i="3"/>
  <c r="J34" i="3" l="1"/>
  <c r="P33" i="3"/>
  <c r="P34" i="3" l="1"/>
  <c r="J35" i="3"/>
  <c r="P35" i="3" l="1"/>
  <c r="P36" i="3" s="1"/>
  <c r="J36" i="3"/>
</calcChain>
</file>

<file path=xl/sharedStrings.xml><?xml version="1.0" encoding="utf-8"?>
<sst xmlns="http://schemas.openxmlformats.org/spreadsheetml/2006/main" count="2709" uniqueCount="718">
  <si>
    <t>ĐIỀU PHỐI QUAROMI</t>
  </si>
  <si>
    <t>CHỈ TIÊU</t>
  </si>
  <si>
    <t>VẬN CHUYỂN</t>
  </si>
  <si>
    <t>STT</t>
  </si>
  <si>
    <t>Ngày</t>
  </si>
  <si>
    <t>Đơn hàng</t>
  </si>
  <si>
    <t>Công việc</t>
  </si>
  <si>
    <t>Số lượng</t>
  </si>
  <si>
    <t>Người thực hiện</t>
  </si>
  <si>
    <t xml:space="preserve">Hỗ Trợ (trạm QL) </t>
  </si>
  <si>
    <t>Kết quả</t>
  </si>
  <si>
    <t>Chỉ tiêu</t>
  </si>
  <si>
    <t>Sản phẩm</t>
  </si>
  <si>
    <t>Đơn giá</t>
  </si>
  <si>
    <t>Doanh thu</t>
  </si>
  <si>
    <t>Thu tiền</t>
  </si>
  <si>
    <t>Người vận chuyển</t>
  </si>
  <si>
    <t>Số tiền</t>
  </si>
  <si>
    <t>GHI CHÚ</t>
  </si>
  <si>
    <t>Hàng hóa</t>
  </si>
  <si>
    <t>Giá bán</t>
  </si>
  <si>
    <t>Vỉ</t>
  </si>
  <si>
    <t>Bình</t>
  </si>
  <si>
    <t>Cộng</t>
  </si>
  <si>
    <t>XN/CTY</t>
  </si>
  <si>
    <t>CBCNV</t>
  </si>
  <si>
    <t>Vỉ 500ml</t>
  </si>
  <si>
    <t>Vỉ 350 ml</t>
  </si>
  <si>
    <t>KM</t>
  </si>
  <si>
    <t>Vỉ 350ml</t>
  </si>
  <si>
    <t>Vận chuyển</t>
  </si>
  <si>
    <t>Phương + Huế</t>
  </si>
  <si>
    <t>Đã hoàn thành</t>
  </si>
  <si>
    <t>Xí nghiệp</t>
  </si>
  <si>
    <t>Phạm Thị Huyền</t>
  </si>
  <si>
    <t>Hộp 500ml</t>
  </si>
  <si>
    <t>Bùi Hà Thu</t>
  </si>
  <si>
    <t>Đinh Thu Huế</t>
  </si>
  <si>
    <t>Hộp 350ml</t>
  </si>
  <si>
    <t>Bình kiềm</t>
  </si>
  <si>
    <t>Bốc xếp</t>
  </si>
  <si>
    <t>Lê Thanh Xuân</t>
  </si>
  <si>
    <t>Bình RO</t>
  </si>
  <si>
    <t>Nguyễn Văn Sơn</t>
  </si>
  <si>
    <t>Vũ Thị Thúy Phương</t>
  </si>
  <si>
    <t>Công ty</t>
  </si>
  <si>
    <t>Trần Trọng Khoa</t>
  </si>
  <si>
    <t>Miền Đông</t>
  </si>
  <si>
    <t>Nguyễn Văn Hưng</t>
  </si>
  <si>
    <t>Đan Thanh</t>
  </si>
  <si>
    <t>Phạm Thị Đan Thanh</t>
  </si>
  <si>
    <t>Chế Thùy Dung</t>
  </si>
  <si>
    <t>Nguyễn Thị Ngà</t>
  </si>
  <si>
    <t>Nhà Nghỉ Hà Duy, phố Trần Cao Vân, đường sông 3, 10 vỉ 500ml, ĐT 0977 367679</t>
  </si>
  <si>
    <t>Tiểu thủ công nghiệp</t>
  </si>
  <si>
    <t>Bùi Thị Thu</t>
  </si>
  <si>
    <t>Sân pick cột 8</t>
  </si>
  <si>
    <t>Nguyễn Văn Hiếu phòng KT: đki 4 bình kiềm ship qua cửa hàng Monbay A2-01 ạ, ng nhận: Châm nhận +84964566350 - Thu tiền luôn (Quán rượu Mao Đài đối diện thư viện tỉnh)</t>
  </si>
  <si>
    <t>Nguyễn văn hiếu (kỹ thuật)</t>
  </si>
  <si>
    <t>CÔNG TY VAY</t>
  </si>
  <si>
    <t>3 vỉ to + 3 vỉ nhỏ Địa chỉ : số nhà 45, Lê Chân mới , tổ 7 khu Hồng Hà 2, ĐT: 0934639858</t>
  </si>
  <si>
    <t xml:space="preserve">Xuân </t>
  </si>
  <si>
    <t>Bãi Cháy</t>
  </si>
  <si>
    <t>Xuân</t>
  </si>
  <si>
    <t>BÃI CHÁY VAY</t>
  </si>
  <si>
    <t>Hồng Hạnh PCN: 0982835366 Phương Hiền gần chợ Loong Tổng 20+2 vỉ 350ml</t>
  </si>
  <si>
    <t>Phương + Huyền + Ly tổ DV</t>
  </si>
  <si>
    <t>Hồng Hạnh PCN</t>
  </si>
  <si>
    <t>Em Hà ở sảnh 2 chung cư sapphire. 2 vỉ 500ml, 0911898336</t>
  </si>
  <si>
    <t xml:space="preserve"> Huyền + Ly tổ DV</t>
  </si>
  <si>
    <t>Em Quỳnh ở 94 Văn Lang ( sau trường Văn Lang) 2 vỉ 500ml, ĐT 0973367844</t>
  </si>
  <si>
    <t>10+1 Vỉ bia Bà Hợi Cao Xanh</t>
  </si>
  <si>
    <t>10+1 vỉ chế biến than qn</t>
  </si>
  <si>
    <t>TT</t>
  </si>
  <si>
    <t>Họ và Tên</t>
  </si>
  <si>
    <t>Chức vụ</t>
  </si>
  <si>
    <t>Tổ/Trạm</t>
  </si>
  <si>
    <t>Thành tiền</t>
  </si>
  <si>
    <t>Trần Nam Trung</t>
  </si>
  <si>
    <t>Giám đốc</t>
  </si>
  <si>
    <t>Văn phòng</t>
  </si>
  <si>
    <t>Đỗ Văn Cảnh</t>
  </si>
  <si>
    <t>P. Giám đốc</t>
  </si>
  <si>
    <t>Phạm Quang Tâm</t>
  </si>
  <si>
    <t>P. Giám Đốc</t>
  </si>
  <si>
    <t>Vũ Thị Mai Huệ</t>
  </si>
  <si>
    <t>Phạm Phương Dung</t>
  </si>
  <si>
    <t>TBP. Kinh doanh</t>
  </si>
  <si>
    <t>Lại Thị Lan</t>
  </si>
  <si>
    <t>NV kinh doanh</t>
  </si>
  <si>
    <t>Nguyễn Huyền Thư</t>
  </si>
  <si>
    <t>Đoàn Thị Nhung</t>
  </si>
  <si>
    <t>Phạm Thị Thu (A)</t>
  </si>
  <si>
    <t>Trương Thị Hải Yến</t>
  </si>
  <si>
    <t>Lương Minh Hương</t>
  </si>
  <si>
    <t>Hoàng Hồng Nhung</t>
  </si>
  <si>
    <t>Nguyễn Phương Thảo</t>
  </si>
  <si>
    <t>Phan Hồng Hạnh</t>
  </si>
  <si>
    <t>Đỗ Thị Liễu</t>
  </si>
  <si>
    <t>CN kẹp chì</t>
  </si>
  <si>
    <t>Vũ Hữu Hoàng</t>
  </si>
  <si>
    <t>CN quản lý</t>
  </si>
  <si>
    <t>Lê Như Hùng</t>
  </si>
  <si>
    <t>NV kiểm tra</t>
  </si>
  <si>
    <t>Vũ Văn Thảo</t>
  </si>
  <si>
    <t>Trần Thị Thắm</t>
  </si>
  <si>
    <t>Kế toán chính</t>
  </si>
  <si>
    <t>NV thủ kho</t>
  </si>
  <si>
    <t>Lê Hoàng Anh</t>
  </si>
  <si>
    <t>NV kế toán</t>
  </si>
  <si>
    <t>Phạm Thị Bích Hằng</t>
  </si>
  <si>
    <t>Đỗ Thị Thu Hoàn</t>
  </si>
  <si>
    <t>Nguyễn Thị Thu Quyên</t>
  </si>
  <si>
    <t>Ngô Thị Vân Anh</t>
  </si>
  <si>
    <t>PT. Quản trị</t>
  </si>
  <si>
    <t>Nguyễn Thị Lan</t>
  </si>
  <si>
    <t>NV Đảng  - Đoàn</t>
  </si>
  <si>
    <t>Nguyễn Thị Ngọc Chung</t>
  </si>
  <si>
    <t>Thủ quỹ - HC</t>
  </si>
  <si>
    <t>Bùi Thị Diệu Linh</t>
  </si>
  <si>
    <t>NV LĐTL</t>
  </si>
  <si>
    <t>Đỗ Thị Hiền</t>
  </si>
  <si>
    <t>Phạm Thu Quỳnh</t>
  </si>
  <si>
    <t>CN tạp vụ</t>
  </si>
  <si>
    <t>Bùi Đức Hoàng</t>
  </si>
  <si>
    <t>CN Bảo vệ</t>
  </si>
  <si>
    <t>Nguyễn Thị Hằng</t>
  </si>
  <si>
    <t>Nguyễn Thị Thùy</t>
  </si>
  <si>
    <t>Đỗ Thị Vượng</t>
  </si>
  <si>
    <t>Tăng Thị Thơm</t>
  </si>
  <si>
    <t>Nguyễn Thị Huy</t>
  </si>
  <si>
    <t xml:space="preserve">CN bảo vệ </t>
  </si>
  <si>
    <t>Đặng Thanh Tùng</t>
  </si>
  <si>
    <t>CN lái xe</t>
  </si>
  <si>
    <t>Mai Anh Dũng</t>
  </si>
  <si>
    <t>TBP .Kỹ thuật</t>
  </si>
  <si>
    <t>Trịnh Thị Nhung</t>
  </si>
  <si>
    <t>NV kỹ thuật</t>
  </si>
  <si>
    <t>Bùi Văn Tình</t>
  </si>
  <si>
    <t>Khổng Thị Thu Trang</t>
  </si>
  <si>
    <t>Mạc Anh Tuấn</t>
  </si>
  <si>
    <t>NV kỹ thuật điện</t>
  </si>
  <si>
    <t>Phạm Vũ Quyền</t>
  </si>
  <si>
    <t>Bùi  Ngọc Nguyên</t>
  </si>
  <si>
    <t>NV kỹ thuật CTT</t>
  </si>
  <si>
    <t>Phạm Lan Hương</t>
  </si>
  <si>
    <t>NV kỹ thuật Vật tư</t>
  </si>
  <si>
    <t>Phạm Tuyết Dung</t>
  </si>
  <si>
    <t>Vi Đức Độ</t>
  </si>
  <si>
    <t>NV KT điện</t>
  </si>
  <si>
    <t>CN nước lọc</t>
  </si>
  <si>
    <t>Trần Ánh Nguyệt</t>
  </si>
  <si>
    <t>Nguyễn Quốc Hưng</t>
  </si>
  <si>
    <t>Trạm trưởng</t>
  </si>
  <si>
    <t>Hà Tu</t>
  </si>
  <si>
    <t>Vương Xuân Hùng</t>
  </si>
  <si>
    <t>Trạm phó</t>
  </si>
  <si>
    <t>Đào Duy Tùng</t>
  </si>
  <si>
    <t>Chu Hoài Nam</t>
  </si>
  <si>
    <t>Lê Hạnh Phúc</t>
  </si>
  <si>
    <t>Nghiêm Xuân Hải</t>
  </si>
  <si>
    <t>Nguyễn Văn Nhâm</t>
  </si>
  <si>
    <t>Nguyễn Mạnh Linh</t>
  </si>
  <si>
    <t>Hoàng Thị Mười</t>
  </si>
  <si>
    <t>CN Ghi số</t>
  </si>
  <si>
    <t>Lê Thị Thúy</t>
  </si>
  <si>
    <t>Bùi Ngọc Mai</t>
  </si>
  <si>
    <t>Nguyễn Thị Mi</t>
  </si>
  <si>
    <t>Tăng Thị Cúc</t>
  </si>
  <si>
    <t>Phạm Thị Thanh Hương</t>
  </si>
  <si>
    <t>CN VHMB</t>
  </si>
  <si>
    <t>Vũ Quốc Hiếu</t>
  </si>
  <si>
    <t>Trạm phó PT</t>
  </si>
  <si>
    <t>Cao Xanh</t>
  </si>
  <si>
    <t>Đỗ Anh Ngọc</t>
  </si>
  <si>
    <t>Trạm Phó</t>
  </si>
  <si>
    <t>Lý Ngọc Hồng</t>
  </si>
  <si>
    <t>Nguyễn Huy Toàn</t>
  </si>
  <si>
    <t>Nguyễn Huy Hoàng</t>
  </si>
  <si>
    <t>Trần Quốc Toản</t>
  </si>
  <si>
    <t>Lê Việt Anh</t>
  </si>
  <si>
    <t>Nguyễn Thế Mạnh</t>
  </si>
  <si>
    <t>Phạm Thanh Tuấn</t>
  </si>
  <si>
    <t>Lương Thị Vân Mai</t>
  </si>
  <si>
    <t>Ngô Thị Phương Thảo</t>
  </si>
  <si>
    <t xml:space="preserve">CN ghi số </t>
  </si>
  <si>
    <t>Nguyễn Thị Thu Hiền</t>
  </si>
  <si>
    <t>Trần Thị Nga</t>
  </si>
  <si>
    <t>Nguyễn Thị Thúy Hằng</t>
  </si>
  <si>
    <t>CN ghi số</t>
  </si>
  <si>
    <t>Vũ Thị Tươi</t>
  </si>
  <si>
    <t>Nguyễn Xuân Hùng</t>
  </si>
  <si>
    <t>Hạ Long</t>
  </si>
  <si>
    <t>Nguyễn Văn Tuyên</t>
  </si>
  <si>
    <t>Bùi Ngọc Đàm</t>
  </si>
  <si>
    <t>Vũ Quang Tạo</t>
  </si>
  <si>
    <t>Phạm Duy Linh</t>
  </si>
  <si>
    <t>Phạm Tiến Dũng</t>
  </si>
  <si>
    <t>Lê Anh Đức</t>
  </si>
  <si>
    <t>Bùi Minh Thái</t>
  </si>
  <si>
    <t>Nguyễn Văn Tùng</t>
  </si>
  <si>
    <t>Nguyễn Thị Chi</t>
  </si>
  <si>
    <t>Đào Thị Ngọc Anh</t>
  </si>
  <si>
    <t>Nguyễn Thị Sinh</t>
  </si>
  <si>
    <t>Đỗ Thị Thanh Hà</t>
  </si>
  <si>
    <t>Nguyễn Thị Tấm</t>
  </si>
  <si>
    <t>Bùi Phương Nhung</t>
  </si>
  <si>
    <t>Trần Lệ Hoa</t>
  </si>
  <si>
    <t>Nguyễn Thị Mai Dung</t>
  </si>
  <si>
    <t>Nguyễn Thị Hiếu</t>
  </si>
  <si>
    <t>Trần Thị Thu Huyền</t>
  </si>
  <si>
    <t>Vũ Thị Thanh Thảo</t>
  </si>
  <si>
    <t>Nguyễn Thị Ngọc Hà</t>
  </si>
  <si>
    <t xml:space="preserve">Trạm trưởng </t>
  </si>
  <si>
    <t>Hồng Gai</t>
  </si>
  <si>
    <t>Bùi Minh Quang</t>
  </si>
  <si>
    <t>Phạm Văn Dũng</t>
  </si>
  <si>
    <t>Phạm Trung Thông</t>
  </si>
  <si>
    <t>Phạm Thanh Trung</t>
  </si>
  <si>
    <t>Dư Văn Cẩm</t>
  </si>
  <si>
    <t>Nguyễn Quang Hùng</t>
  </si>
  <si>
    <t>Dương Tuấn Anh</t>
  </si>
  <si>
    <t>Hà Thị Hằng</t>
  </si>
  <si>
    <t>Bùi Thùy Dương</t>
  </si>
  <si>
    <t>Trần Thị Kim Dung</t>
  </si>
  <si>
    <t>Nguyễn Thị Hồng Phương</t>
  </si>
  <si>
    <t>Dương Thị Thu</t>
  </si>
  <si>
    <t>Bùi Thị Tuyết Vân</t>
  </si>
  <si>
    <t>Mai Thị Lụa</t>
  </si>
  <si>
    <t>Lưu Hải Yến</t>
  </si>
  <si>
    <t>Phan Thị Quý</t>
  </si>
  <si>
    <t>Nguyễn Thị Thủy (B)</t>
  </si>
  <si>
    <t>Nông Thị Hạnh</t>
  </si>
  <si>
    <t>Lê Thị Như Quỳnh</t>
  </si>
  <si>
    <t>Tô Thị Phương</t>
  </si>
  <si>
    <t>Nguyễn Thị Hiền</t>
  </si>
  <si>
    <t>Nguyễn Thị Mai Anh</t>
  </si>
  <si>
    <t>Bùi Thị Thu Minh</t>
  </si>
  <si>
    <t>Hà Lầm</t>
  </si>
  <si>
    <t>Nguyễn Quang Trung</t>
  </si>
  <si>
    <t>Nguyễn Tùng Cương</t>
  </si>
  <si>
    <t>Phạm Ngọc Thắng</t>
  </si>
  <si>
    <t>Vũ Mạnh Hùng</t>
  </si>
  <si>
    <t>Phạm Thanh Phong</t>
  </si>
  <si>
    <t>Lê Quang Dũng</t>
  </si>
  <si>
    <t>Vũ Đức Duy</t>
  </si>
  <si>
    <t>Phạm Thái Sơn</t>
  </si>
  <si>
    <t>Đinh Thị Cẩm Anh</t>
  </si>
  <si>
    <t>Mạc Thị Huyền</t>
  </si>
  <si>
    <t>Nguyễn Thị Thuỳ Liên</t>
  </si>
  <si>
    <t>Trần Thị Đan My</t>
  </si>
  <si>
    <t>Trần Thị Xuyến</t>
  </si>
  <si>
    <t>Hoàng Thị Phương</t>
  </si>
  <si>
    <t>Nguyễn Ánh Nguyệt</t>
  </si>
  <si>
    <t>Mạc Thị Thanh Tú</t>
  </si>
  <si>
    <t>Nguyễn Kim Dung</t>
  </si>
  <si>
    <t>Nguyễn Viết Tạo</t>
  </si>
  <si>
    <t>Tổ trưởng</t>
  </si>
  <si>
    <t>DV-CTT</t>
  </si>
  <si>
    <t>Lương Chí Hiếu</t>
  </si>
  <si>
    <t>Tổ phó</t>
  </si>
  <si>
    <t>Vũ Thị Đào</t>
  </si>
  <si>
    <t>CN dịch vụ</t>
  </si>
  <si>
    <t>Đặng Thu Huyền</t>
  </si>
  <si>
    <t>Mạc Văn Chung</t>
  </si>
  <si>
    <t>Dương Công Tưởng</t>
  </si>
  <si>
    <t>CN sửa chữa</t>
  </si>
  <si>
    <t>Nguyễn Thế Trọng</t>
  </si>
  <si>
    <t>Lê Xuân Thảo</t>
  </si>
  <si>
    <t>Phạm Tiến Quỳnh</t>
  </si>
  <si>
    <t>CN CTT</t>
  </si>
  <si>
    <t>Hoàng Quang Huy</t>
  </si>
  <si>
    <t>Nguyễn Thị Dung</t>
  </si>
  <si>
    <t>Nguyễn Thị Thu Hiên</t>
  </si>
  <si>
    <t>Phạm Thanh Quang</t>
  </si>
  <si>
    <t>Nguyễn Ngọc Thắng</t>
  </si>
  <si>
    <t>Đỗ Thị Huyền</t>
  </si>
  <si>
    <t>Trần Bích Ly</t>
  </si>
  <si>
    <t>Nguyễn Thanh Xuyền</t>
  </si>
  <si>
    <t>Đá Trắng</t>
  </si>
  <si>
    <t>Trần Thanh Hải</t>
  </si>
  <si>
    <t>Trương Quốc Khánh</t>
  </si>
  <si>
    <t>Phạm Đức Long</t>
  </si>
  <si>
    <t>Đỗ Thị Lan</t>
  </si>
  <si>
    <t>CN hoá nghiệm</t>
  </si>
  <si>
    <t>Nguyễn Quỳnh Nga</t>
  </si>
  <si>
    <t>CNhoá nghiệm</t>
  </si>
  <si>
    <t>Nguyễn Văn Thức</t>
  </si>
  <si>
    <t xml:space="preserve"> Trạm phó - CN hoá nghiệm</t>
  </si>
  <si>
    <t>Nguyễn Thị Ngọc Anh</t>
  </si>
  <si>
    <t>Nguyễn Thị Lan Anh</t>
  </si>
  <si>
    <t>Nguyễn T.Phương Thanh</t>
  </si>
  <si>
    <t>CN VHMB bơm 1</t>
  </si>
  <si>
    <t xml:space="preserve">Nguyễn Thị Hương </t>
  </si>
  <si>
    <t>Lê Thị Tâm</t>
  </si>
  <si>
    <t>Tô Thị Huệ</t>
  </si>
  <si>
    <t>Nguyễn Thiện Hải</t>
  </si>
  <si>
    <t>Lê Thị Lan Anh</t>
  </si>
  <si>
    <t>Hoàng Thị Dung</t>
  </si>
  <si>
    <t>Nguyễn Thị Quỳnh</t>
  </si>
  <si>
    <t>Đặng Thị Hường</t>
  </si>
  <si>
    <t>Lưu Khánh Chi</t>
  </si>
  <si>
    <t>Phạm Thị Thu (B)</t>
  </si>
  <si>
    <t>Trần Thị Gấm</t>
  </si>
  <si>
    <t>Vũ Thị Thu Vân</t>
  </si>
  <si>
    <t>Trần Thị Tuyết Lan</t>
  </si>
  <si>
    <t>Tô Thị Lan</t>
  </si>
  <si>
    <t>Phạm Thị Liên</t>
  </si>
  <si>
    <t>CN bảo vệ</t>
  </si>
  <si>
    <t>Nguyễn Đại Quân</t>
  </si>
  <si>
    <t>Nguyễn Thị Hiền Nương</t>
  </si>
  <si>
    <t>Trần Thị Trinh</t>
  </si>
  <si>
    <t>THEO DÕI NHẬP, XUẤT NƯỚC QAROMI</t>
  </si>
  <si>
    <t>Tháng 9/2026</t>
  </si>
  <si>
    <t>Nhập</t>
  </si>
  <si>
    <t>Xuất</t>
  </si>
  <si>
    <t>Tồn</t>
  </si>
  <si>
    <t>ĐIỀU PHỐI QAROMI</t>
  </si>
  <si>
    <t>Họ tên</t>
  </si>
  <si>
    <t>Địa chỉ nhà</t>
  </si>
  <si>
    <t>SĐT</t>
  </si>
  <si>
    <t>Khu vực thực hiện</t>
  </si>
  <si>
    <t>TỔ BẢO VỆ THÁNG 9</t>
  </si>
  <si>
    <t>I</t>
  </si>
  <si>
    <t>Bốc xếp, vận chuyển</t>
  </si>
  <si>
    <t>Thứ</t>
  </si>
  <si>
    <t>Tổ thị trường</t>
  </si>
  <si>
    <t>0963913555</t>
  </si>
  <si>
    <t>Cao Xanh, Hồng Gai</t>
  </si>
  <si>
    <t>Đặng Thị Huyền</t>
  </si>
  <si>
    <t>Tổ DVCTT</t>
  </si>
  <si>
    <t>Cứu Hỏa</t>
  </si>
  <si>
    <t>0966785220</t>
  </si>
  <si>
    <t>Bãi Muối</t>
  </si>
  <si>
    <t>0988168666</t>
  </si>
  <si>
    <t>Bảo vệ</t>
  </si>
  <si>
    <t>Cột 3</t>
  </si>
  <si>
    <t>0982916899</t>
  </si>
  <si>
    <t>Trăng Thị Thơm</t>
  </si>
  <si>
    <t>Hà Trung</t>
  </si>
  <si>
    <t>0365577629</t>
  </si>
  <si>
    <t>0787224668</t>
  </si>
  <si>
    <t>Hà Phong</t>
  </si>
  <si>
    <t>0379221778</t>
  </si>
  <si>
    <t>CN</t>
  </si>
  <si>
    <t>Cột 5</t>
  </si>
  <si>
    <t>0914988892</t>
  </si>
  <si>
    <t>0388573628</t>
  </si>
  <si>
    <t>Yết Kiêu</t>
  </si>
  <si>
    <t>0838980944</t>
  </si>
  <si>
    <t>0855198226</t>
  </si>
  <si>
    <t>Cột 3, cột 5</t>
  </si>
  <si>
    <t>0962672181</t>
  </si>
  <si>
    <t>Tăng áp -&gt; Hà Tu</t>
  </si>
  <si>
    <t>0915196225</t>
  </si>
  <si>
    <t>0904099383</t>
  </si>
  <si>
    <t>0982757198</t>
  </si>
  <si>
    <t>II</t>
  </si>
  <si>
    <t>Lái xe tải điện</t>
  </si>
  <si>
    <t>0934399569</t>
  </si>
  <si>
    <t>0968333882</t>
  </si>
  <si>
    <t>Thứ tự điều phối</t>
  </si>
  <si>
    <t>Tổ Tiếp thị</t>
  </si>
  <si>
    <t>Tổ Dịch vụ</t>
  </si>
  <si>
    <t>Tổ Bảo vệ</t>
  </si>
  <si>
    <t>Trạm QL</t>
  </si>
  <si>
    <t>TỔNG HỢP CHI PHÍ VẬN CHUYỂN, BỐC XẾP</t>
  </si>
  <si>
    <t>NGÀY</t>
  </si>
  <si>
    <t>TỒN ĐẦU KỲ</t>
  </si>
  <si>
    <t>NHẬP</t>
  </si>
  <si>
    <t>XUẤT</t>
  </si>
  <si>
    <t>TỒN CUỐI</t>
  </si>
  <si>
    <t>BÌNH RO</t>
  </si>
  <si>
    <t>BÌNH KIỀM</t>
  </si>
  <si>
    <t>VỈ 500ML</t>
  </si>
  <si>
    <t>VỈ 350ML</t>
  </si>
  <si>
    <t>8/9 VAY KHO CÔNG TY 22 VỈ 500ML – ĐƠN PHƯƠNG LÁI XE</t>
  </si>
  <si>
    <t>Hằng bảo vệ</t>
  </si>
  <si>
    <t>chị hằng đã thu tiền + 3 vỏ</t>
  </si>
  <si>
    <t>hồng hạnh pcn: 0936812781 Số 1 ngõ 5 phố hải long cạnh phòng khám đa khoa Hoàng Anh KH có nhu cầu 3 bình kiem 19l ship ngay, thu tiền + đổi vỏ</t>
  </si>
  <si>
    <t>Chị Huế đã thu tiền</t>
  </si>
  <si>
    <t>chị Huyền thu tiền</t>
  </si>
  <si>
    <t>Chị Nguyệt thu ngân cũ thu tiền</t>
  </si>
  <si>
    <t xml:space="preserve">vay công ty </t>
  </si>
  <si>
    <t>chị Hằng đen ghi số</t>
  </si>
  <si>
    <t>Lại Lan</t>
  </si>
  <si>
    <t>VNPT (Chị Yến): 0915 299 036, vỉ 350 ml</t>
  </si>
  <si>
    <t>Chị Hằng bảo vệ</t>
  </si>
  <si>
    <t>9/9/2026</t>
  </si>
  <si>
    <t xml:space="preserve">Ngày </t>
  </si>
  <si>
    <t>8/9/2026</t>
  </si>
  <si>
    <t>Bình ro</t>
  </si>
  <si>
    <t>Bình ion</t>
  </si>
  <si>
    <t>vỉ 500ml</t>
  </si>
  <si>
    <t>vỉ 350 ml</t>
  </si>
  <si>
    <t>Kho tăng áp</t>
  </si>
  <si>
    <t>Kho chị Huế</t>
  </si>
  <si>
    <t>KH lấy 10 + 1 thùng 500ml, cạnh tòa nhà Đa Năng Hà Tu, ĐT: 0902 009 566</t>
  </si>
  <si>
    <t>10 +1 thùng</t>
  </si>
  <si>
    <t>Liễu thu tiền</t>
  </si>
  <si>
    <t>Lại Lan, 1 bình kiềm</t>
  </si>
  <si>
    <t>Lại Lan thu tiền</t>
  </si>
  <si>
    <t>CK9/9</t>
  </si>
  <si>
    <t>Bộ phận</t>
  </si>
  <si>
    <t xml:space="preserve"> TẶNG Vỉ 500ml</t>
  </si>
  <si>
    <t xml:space="preserve"> Thùng 500 ml</t>
  </si>
  <si>
    <t xml:space="preserve"> TẶNG Thùng 500 ml</t>
  </si>
  <si>
    <t xml:space="preserve"> TẶNG Vỉ 350ml</t>
  </si>
  <si>
    <t>Thùng 350 ml</t>
  </si>
  <si>
    <t xml:space="preserve"> TẶNG Thùng 350 ml</t>
  </si>
  <si>
    <t>Bình Ion</t>
  </si>
  <si>
    <t xml:space="preserve"> TẶNG Bình Ion</t>
  </si>
  <si>
    <t xml:space="preserve"> TẶNG Bình RO</t>
  </si>
  <si>
    <t>Huế bán</t>
  </si>
  <si>
    <t>XN</t>
  </si>
  <si>
    <t>xe điện</t>
  </si>
  <si>
    <t>sếp Tâm- vỉ km</t>
  </si>
  <si>
    <t>mạnh-cao xanh</t>
  </si>
  <si>
    <t>anh ngọc</t>
  </si>
  <si>
    <t>Quỳnh búp bê</t>
  </si>
  <si>
    <t>Dung tổ DV</t>
  </si>
  <si>
    <t>cây xăng hà trung</t>
  </si>
  <si>
    <t>BC</t>
  </si>
  <si>
    <t>Huế bán- Cưới hỏi</t>
  </si>
  <si>
    <t>sơn hà tu- the bay</t>
  </si>
  <si>
    <t>café lính</t>
  </si>
  <si>
    <t>cty</t>
  </si>
  <si>
    <t>đôi cây hk - thị thu</t>
  </si>
  <si>
    <t>vịt biển</t>
  </si>
  <si>
    <t>CP</t>
  </si>
  <si>
    <t>thuhà lầm</t>
  </si>
  <si>
    <t>cẩm- HG</t>
  </si>
  <si>
    <t>a ngọc - CX</t>
  </si>
  <si>
    <t>FLC</t>
  </si>
  <si>
    <t>huế bán- Thái Nguyên 1</t>
  </si>
  <si>
    <t>mai anh- HG</t>
  </si>
  <si>
    <t>tuyết lan</t>
  </si>
  <si>
    <t>Phương- béo</t>
  </si>
  <si>
    <t>Hồng gai ship</t>
  </si>
  <si>
    <t>TỔNG XUẤT</t>
  </si>
  <si>
    <t>Tồn Cuối Kỳ</t>
  </si>
  <si>
    <t>Ghi chú</t>
  </si>
  <si>
    <t>C Huyền lấy 4 vỉ 500 ship 2 đơn</t>
  </si>
  <si>
    <t>Chị hằng cx lấy 3 vỉ 500</t>
  </si>
  <si>
    <t xml:space="preserve">E tú ghi số lấy 11 vỉ 500 ship đơn ngõ 14 bãi muối </t>
  </si>
  <si>
    <t>sân Pick star</t>
  </si>
  <si>
    <t>trường LHP</t>
  </si>
  <si>
    <t>Huyền GS Hạ Long</t>
  </si>
  <si>
    <t>Mai ghi số</t>
  </si>
  <si>
    <t xml:space="preserve">a Thảo </t>
  </si>
  <si>
    <t>hương biển</t>
  </si>
  <si>
    <t>Thùy</t>
  </si>
  <si>
    <t>Huế đi ship</t>
  </si>
  <si>
    <t>Tuấn lấy nội bộ</t>
  </si>
  <si>
    <t>chi ship đơn CP</t>
  </si>
  <si>
    <t>ngõ 1 Lê Thanh Nghị</t>
  </si>
  <si>
    <t>Quỳnh lấy nội bộ</t>
  </si>
  <si>
    <t>sơn Hà tu</t>
  </si>
  <si>
    <t>Nhung</t>
  </si>
  <si>
    <t>c nhã nhà trẻ hoa hồng</t>
  </si>
  <si>
    <t>Thị Thu</t>
  </si>
  <si>
    <t>ngà</t>
  </si>
  <si>
    <t>liễu</t>
  </si>
  <si>
    <t>ngọc anh ship</t>
  </si>
  <si>
    <t>đỗ hà ship</t>
  </si>
  <si>
    <t>chi ship</t>
  </si>
  <si>
    <t>Hằng Bảo vệ</t>
  </si>
  <si>
    <t>phương thủ kho</t>
  </si>
  <si>
    <t>nam ( vâu)</t>
  </si>
  <si>
    <t xml:space="preserve">thùy bảo vệ </t>
  </si>
  <si>
    <t>Thanh ship</t>
  </si>
  <si>
    <t>Sinh</t>
  </si>
  <si>
    <t>ub</t>
  </si>
  <si>
    <t>Phương+Huế</t>
  </si>
  <si>
    <t>lại Lan</t>
  </si>
  <si>
    <t>Hằng Bảo vệ ship đơn Đa khoa hoàng anh</t>
  </si>
  <si>
    <t>Vũ Anh BKS: Sau nhà văn hóa khu 3, tỉnh ủy cột 5, dốc nhà máy in đi lên, đến nơi gọi chị để chị lên đường vì nhà chị ko có số em ạ, 0948910518, lấy 3 vỉ 500 và 1 vỉ 350, chị tên Thảo.</t>
  </si>
  <si>
    <t>3 vỉ 500 + 1 vỉ 350</t>
  </si>
  <si>
    <t>Kho</t>
  </si>
  <si>
    <t>tăng áp</t>
  </si>
  <si>
    <t>Vũ Anh BKS</t>
  </si>
  <si>
    <t>Thùng</t>
  </si>
  <si>
    <t>hoàn thành</t>
  </si>
  <si>
    <t>Chỉ tiêu CBCNV</t>
  </si>
  <si>
    <t>Kiểm tra</t>
  </si>
  <si>
    <t>HỘP 500</t>
  </si>
  <si>
    <t>hộp 500</t>
  </si>
  <si>
    <t>Chi</t>
  </si>
  <si>
    <t>xuân</t>
  </si>
  <si>
    <t>10/9/2026</t>
  </si>
  <si>
    <t>Em chi</t>
  </si>
  <si>
    <t>Chị Xuân</t>
  </si>
  <si>
    <t>4 vỉ 500ml vào 315 Cao Xanh. Cửa hàng đt Dũng Tí, 098 4312638</t>
  </si>
  <si>
    <t>Tươi Đá Trắng số 19 Ba Đèo, 8 bình ion+ 11 vỉ 500 ml, 0915158863, chở đến điêm gọi chị tươi đến bốc</t>
  </si>
  <si>
    <t>15 bình nước  cho hội trường cơ sở 2 cạnh trụ sở liên cơ quan số 4, 0988167724</t>
  </si>
  <si>
    <t>Tùng + Huế</t>
  </si>
  <si>
    <t xml:space="preserve">Tùng + Huế </t>
  </si>
  <si>
    <r>
      <t xml:space="preserve">Thư Tuyền PXD: E ơi ship giúp c 10 vỉ 500ml (980k) + 1 vỉ khuyến mãi đến nhà chú Thắng ở tổ 13 khu phố Hà Trung 2 </t>
    </r>
    <r>
      <rPr>
        <sz val="14"/>
        <color theme="1"/>
        <rFont val="Calibri"/>
        <family val="2"/>
      </rPr>
      <t xml:space="preserve">(ship 10h30) </t>
    </r>
    <r>
      <rPr>
        <sz val="14"/>
        <color theme="1"/>
        <rFont val="Calibri"/>
        <family val="2"/>
      </rPr>
      <t>+84972133886.</t>
    </r>
  </si>
  <si>
    <t>Thư Tuyền</t>
  </si>
  <si>
    <t>Lại Lan + Chi</t>
  </si>
  <si>
    <t>7/9/2026</t>
  </si>
  <si>
    <t>chiều 1 đơn karaoke Luxury yết kiêu 30+3 vỉ 500</t>
  </si>
  <si>
    <t>9/9</t>
  </si>
  <si>
    <t>Long KD lấy ra đội múa</t>
  </si>
  <si>
    <t>10/9</t>
  </si>
  <si>
    <t>Nhung trả nợ nước hội thao</t>
  </si>
  <si>
    <t>Hộp 500 ml</t>
  </si>
  <si>
    <t>hộp 500 ml</t>
  </si>
  <si>
    <t>hộp 500ml</t>
  </si>
  <si>
    <t>10 vỉ 500ml +1 nc, nhận ở trường dân tộc nội trú, phường Hạ long -0985515202  Phạm việt Hà</t>
  </si>
  <si>
    <t>Diễn Vọng</t>
  </si>
  <si>
    <t>trạm Hồng Gai</t>
  </si>
  <si>
    <t>Hồng Hạnh P.CN Sân pick Star cạnh nhà hàng Lan Hương có nhu cầu 10+1 vỉ 500ml - 0979748188. SHip luôn</t>
  </si>
  <si>
    <t>Lại Lan + Xuân</t>
  </si>
  <si>
    <t>Trạm Hạ Long</t>
  </si>
  <si>
    <t>Chị Vượng + Chi</t>
  </si>
  <si>
    <t>Lương Vân Mai</t>
  </si>
  <si>
    <t>Trường Dân tộc nội trú</t>
  </si>
  <si>
    <t>Lương Vân Mai bán lẻ</t>
  </si>
  <si>
    <t>Đơn bốc nước của Công ty 22 bình đến Đảng ủy phường Hạ Long</t>
  </si>
  <si>
    <t>5 ghi số trạm Hạ Long và Liễu, Xuân</t>
  </si>
  <si>
    <t>Hồng Hạnh PCN: 0852091985 khách hàng có nhu cầu ngay 20+2 vỉ 350 ml (cần ngay) đến 32 Phan Đăng Lưu, thu tiền luôn</t>
  </si>
  <si>
    <t>Chiị Bùi Thu lấy 8 vỉ ship ngã 3 thành công</t>
  </si>
  <si>
    <t>11//9</t>
  </si>
  <si>
    <t>11/9/2026</t>
  </si>
  <si>
    <t xml:space="preserve">Chj yến trạm Hồng Gai 2 vỉ </t>
  </si>
  <si>
    <t>anh Nguyên bán 4 vỉ</t>
  </si>
  <si>
    <t>Bùi Ngọc Nguyên</t>
  </si>
  <si>
    <t>xí nghiệp</t>
  </si>
  <si>
    <t>DIỄN VỌNG VAY</t>
  </si>
  <si>
    <t>Minh Hạnh PCN: 4 vỉ nước 500ml đến khu gara ô tô 123 gần chợ Sa Tô 090 3414898 (MInh Hạnh thanh toán)</t>
  </si>
  <si>
    <t>Minh Hạnh</t>
  </si>
  <si>
    <t>Đơn bốc nước của Công ty 11 bình đến Ames Lán Bè</t>
  </si>
  <si>
    <t>Tăng áp</t>
  </si>
  <si>
    <t>Chị lấy ở số nhà 42 mặt đường. Gần dốc đèo bụt hà phong, Hương thu ngân cũ</t>
  </si>
  <si>
    <t xml:space="preserve"> Đinh Thu Huế</t>
  </si>
  <si>
    <t>11/9</t>
  </si>
  <si>
    <t>TM11/9</t>
  </si>
  <si>
    <t>Hùng + Huế + Huy</t>
  </si>
  <si>
    <t>CK11/9</t>
  </si>
  <si>
    <t>Số nhà 512, đường Nguyễn Văn Cừ - Hồng Hà (Đàm Hồng Hà)</t>
  </si>
  <si>
    <t>ck11/9</t>
  </si>
  <si>
    <t>Đoàn Sơn Tùng : 3 vỉ 500ml ion Kiềm đến chỗ trường tiểu học Cao Thắng, 0982953270</t>
  </si>
  <si>
    <t>công ty thu tiền</t>
  </si>
  <si>
    <t>Vay Hà Lầm</t>
  </si>
  <si>
    <t>Kho Huế</t>
  </si>
  <si>
    <t>Kho văn phòng</t>
  </si>
  <si>
    <t>Hộp 500 ML</t>
  </si>
  <si>
    <t xml:space="preserve">Chị dki 1 đơn sân pick gần chợ cột 5 cũ 10+1 vỉ 500 </t>
  </si>
  <si>
    <t>6 vì đến bún cá Thu Hiên, gầm cầu ở hồ điều hòa Yết Kiêu,  thu tiền luôn, 0326851888</t>
  </si>
  <si>
    <t>nghỉ phép</t>
  </si>
  <si>
    <t>5 vỉ 350 và 2 vỉ 500 đám cưới ngay gần trường Hồng Hải 0915367686</t>
  </si>
  <si>
    <t xml:space="preserve">Bùi Hà Thu ghi số </t>
  </si>
  <si>
    <t>12/9</t>
  </si>
  <si>
    <t>17 ngõ 16 c xanh, 3 vỉ , ĐT 0983768788</t>
  </si>
  <si>
    <t>10 vi  +1 cho c Lan  số 298 đường Trần nhân tông  Quang Yeen 0913628066 ( cứ mở cổng be vào cua nhà cho c ấy nhớ )chỉ tiêu Đan Thanh.</t>
  </si>
  <si>
    <t>vay Quảng Yên</t>
  </si>
  <si>
    <t>Quảng Yên</t>
  </si>
  <si>
    <t>CK12/9</t>
  </si>
  <si>
    <t>E gửi đơn ship Vịnh hoàng hôn ( đồi mặt trời ) 3 vỉ to chị nhé, ghi biên bản đưa cho chị thị trường giao nước ai nhận thì kí xong gửi ảnh chụp biên bản cho e chị nhé</t>
  </si>
  <si>
    <t>Trạm Hồng Gai</t>
  </si>
  <si>
    <t>Chiị Huế lấy bán 11 vỉ 350 ml</t>
  </si>
  <si>
    <t>nội bộ công ty</t>
  </si>
  <si>
    <t>12/9/2026</t>
  </si>
  <si>
    <r>
      <t xml:space="preserve"> Trần Thảo PQT: chiều chị cho e 5 vỉ nước 500ml đến 75 đặng Thùy Trâm - quán bún cá cay Vân Quyết - 0983406128 </t>
    </r>
    <r>
      <rPr>
        <b/>
        <sz val="14"/>
        <color theme="1"/>
        <rFont val="Times New Roman"/>
        <family val="1"/>
      </rPr>
      <t>- Thu tiền luôn</t>
    </r>
  </si>
  <si>
    <t>chị Hằng bảo vệ 2 vỉ to</t>
  </si>
  <si>
    <t>Hiệu thuốc ông An -  moonbay Thu tiền luôn</t>
  </si>
  <si>
    <t>Bãi Cháy tự thu</t>
  </si>
  <si>
    <t>Công ty vay đám ma bố anh Hùng tuyến  mạng</t>
  </si>
  <si>
    <t>công ty trả nợ luôn rồi</t>
  </si>
  <si>
    <t>13/9/2026</t>
  </si>
  <si>
    <t>ck 12/9</t>
  </si>
  <si>
    <t>Thủy béo ghi số</t>
  </si>
  <si>
    <t>Chị Hiếu ghi số lấy ship đơn chị Chế Dung 11 vỉ 500</t>
  </si>
  <si>
    <t>Quán bia Quang Đông (Cúc ghi số)</t>
  </si>
  <si>
    <t>Quán bia Cây Dừa (Cúc ghi số)</t>
  </si>
  <si>
    <t>Chị Cúc thu tiền</t>
  </si>
  <si>
    <t>Tồn xe điện</t>
  </si>
  <si>
    <t>Phương lái xe</t>
  </si>
  <si>
    <t>Mai ghi số cho chỉ tiêu Phạm Thị Thu Đá Trắng</t>
  </si>
  <si>
    <t>Phương lái xe thu tiền</t>
  </si>
  <si>
    <t>14/9/2026</t>
  </si>
  <si>
    <t>Thư tuyền PXD: Ship c 10+1 vỉ 500 đến số 134 ngõ 3 cao thắng. Tạp hoá kim loan. Đối diện trường tiểu học cao thắng cơ sở 2.  +84989376850 THU TIỀN LUÔN</t>
  </si>
  <si>
    <t>Huế + Phương</t>
  </si>
  <si>
    <t>Anh Nghĩa 090 2735666 - số 2 Nguyễn Thái Học, Yết Kiêu - lấy 10+1 vỉ 500. (Mai Hương BQL)</t>
  </si>
  <si>
    <t>chuyển 10+1 vỉ nước 500ml đến trường Lê Thánh Tông - A Hân GĐ XNN Miền Đông gửi thầy Phương - Hiệu trưởng</t>
  </si>
  <si>
    <t>Hằng bảo vệ (lấy ngày CN7 vỉ )</t>
  </si>
  <si>
    <t>Bãi Cháy thu tiền</t>
  </si>
  <si>
    <t>Chị Thu trạm Đá trắng (Số 41, tổ 2 khu 1 phường Hạ Long, đối diện đường sông 3), ĐT 0383810322</t>
  </si>
  <si>
    <t>e gửi đơn khách lấy 10 vỉ to + 1km chai 500ml chị nhé (176 Nguyễn Bá Ngọc, Hà Lầm) 0363259488</t>
  </si>
  <si>
    <t>TM14/9</t>
  </si>
  <si>
    <t>CK 14/9</t>
  </si>
  <si>
    <t>Lê Việt Dũng PCN</t>
  </si>
  <si>
    <r>
      <t xml:space="preserve">Lê Việt Dũng PCN: khách lấy 10 bình (không lấy khuyến mại)  kiềm 25B PHỐ HẢI HÀ ( ĐỐI DIỆN CỔNG CHỢ HẠ LONG 3- TÒA NHÀ CÓ NHÀ  VĂN HÓA KHU 8) GỌI SỐ 0918.300.385 nhé shiop sáng nay - THU TIỀN LUÔN + </t>
    </r>
    <r>
      <rPr>
        <b/>
        <sz val="14"/>
        <color theme="1"/>
        <rFont val="Times New Roman"/>
        <family val="1"/>
      </rPr>
      <t>Đặt cọc 500.000</t>
    </r>
  </si>
  <si>
    <t>Bảo hiểm Bưu Điện (15 bình trong đó 11 úp + 4 vòi)</t>
  </si>
  <si>
    <t>Chị Tâm trưởng BKS</t>
  </si>
  <si>
    <t>Phạm ĐỨc Thương SCC:  Anh Mạnh 0888382988, ĐC 81 Phạm Ngọc Thạch, Cao Xanh, 5 vỉ 500 ml</t>
  </si>
  <si>
    <t>Thương SCC</t>
  </si>
  <si>
    <t>xuất hóa đơn 15/9</t>
  </si>
  <si>
    <t>Kho Hà Lầm</t>
  </si>
  <si>
    <t>Tồn kho Hà Lầm</t>
  </si>
  <si>
    <t>kho vp nhập đơn Bảo hiểm Bưu Điện</t>
  </si>
  <si>
    <t>xuất 40 vỉ 500 cho trạm Hồng Gai</t>
  </si>
  <si>
    <t>Xuất 40 vỉ 500 ml cho trạm Hồng Gai</t>
  </si>
  <si>
    <t>Trạm Hồng Gai thu tiền</t>
  </si>
  <si>
    <t>Dung vịt Cao Xanh</t>
  </si>
  <si>
    <t>Phương</t>
  </si>
  <si>
    <t>Hương Biển (chị Hiếu ghi só)</t>
  </si>
  <si>
    <t>15/9/2026</t>
  </si>
  <si>
    <r>
      <t xml:space="preserve">Cty Hannet C3-02 khu biệt thự Monbay luôn- Quỳnh: 0915355986 ( đơn này lấy hoá đơn như mọi lần)  2 bình vòi và 2 vỉ 350ml </t>
    </r>
    <r>
      <rPr>
        <b/>
        <sz val="14"/>
        <color theme="1"/>
        <rFont val="Times New Roman"/>
        <family val="1"/>
      </rPr>
      <t>ĐẶT CỌC VỎ BÌNH 120.000)</t>
    </r>
  </si>
  <si>
    <t>Lưu ý hóa đơn như mọi lần</t>
  </si>
  <si>
    <r>
      <t xml:space="preserve">Minh Hằng PXD: 0387111662, thương 2 bình kiềm - </t>
    </r>
    <r>
      <rPr>
        <b/>
        <sz val="14"/>
        <color theme="1"/>
        <rFont val="Times New Roman"/>
        <family val="1"/>
      </rPr>
      <t>Thu tiền</t>
    </r>
    <r>
      <rPr>
        <sz val="14"/>
        <color theme="1"/>
        <rFont val="Times New Roman"/>
        <family val="1"/>
        <charset val="163"/>
      </rPr>
      <t xml:space="preserve"> + vỏ, Shland cà phê, B38, khu đô thị MKL, Moonbay, cạnh trường UK cổng trước,</t>
    </r>
    <r>
      <rPr>
        <b/>
        <sz val="14"/>
        <color theme="1"/>
        <rFont val="Times New Roman"/>
        <family val="1"/>
      </rPr>
      <t xml:space="preserve"> THU ĐỦ 2 VỎ + THU TIỀN</t>
    </r>
  </si>
  <si>
    <t>Minh Hằng</t>
  </si>
  <si>
    <t>vay Cẩm Phả</t>
  </si>
  <si>
    <t>Cẩm phả</t>
  </si>
  <si>
    <r>
      <t xml:space="preserve">Sn 56A , đường nguyễn du, cẩm tây, Cẩm Phả, 11 vỉ 500 + 2 bình RO,0367 989 555, </t>
    </r>
    <r>
      <rPr>
        <b/>
        <sz val="14"/>
        <color theme="1"/>
        <rFont val="Times New Roman"/>
        <family val="1"/>
      </rPr>
      <t>THU VỎ LUÔN</t>
    </r>
    <r>
      <rPr>
        <sz val="14"/>
        <color theme="1"/>
        <rFont val="Times New Roman"/>
        <family val="1"/>
        <charset val="163"/>
      </rPr>
      <t xml:space="preserve"> </t>
    </r>
  </si>
  <si>
    <t>Nhung bé</t>
  </si>
  <si>
    <r>
      <t xml:space="preserve">Thùy Vân PQT: 6 bình nước ion kiềm đến trà sữa noosan tầng 3 monbay nhé 0782181190 - </t>
    </r>
    <r>
      <rPr>
        <b/>
        <sz val="14"/>
        <color theme="1"/>
        <rFont val="Times New Roman"/>
        <family val="1"/>
      </rPr>
      <t>Đổi  6 vỏ thu tiền luôn</t>
    </r>
  </si>
  <si>
    <r>
      <t>Hóa chất mỏ Quảng Ninh, 20 vỉ 500 + 4 bình RO (Lưu ý: THU ĐỦ 4 VỎ MỚI (</t>
    </r>
    <r>
      <rPr>
        <b/>
        <sz val="14"/>
        <color theme="1"/>
        <rFont val="Times New Roman"/>
        <family val="1"/>
      </rPr>
      <t>GIAO 4 BÌNH, CÓ BAO NHIÊU VỎ GIAO BẤY NHIÊU BÌNH)</t>
    </r>
  </si>
  <si>
    <t xml:space="preserve">Chị Huế đk 1 đơn nhà hàng Minhtuấn 3 cao xanh 10+1 </t>
  </si>
  <si>
    <t>Thùy Vân</t>
  </si>
  <si>
    <t>Khoa trạm trưởng Hồng Gai lấy 10+1 vỉ bán</t>
  </si>
  <si>
    <t>Khoa thu tiền</t>
  </si>
  <si>
    <t>Quỳnh hành chính</t>
  </si>
  <si>
    <t>Quỳnh</t>
  </si>
  <si>
    <t>Trần Huyền ghí sô thu tiền</t>
  </si>
  <si>
    <t>ck 15/9</t>
  </si>
  <si>
    <t>Nhà hàng Minh Tuấn 3</t>
  </si>
  <si>
    <t>16/9/2026</t>
  </si>
  <si>
    <t>XE CẨM PHẢ CHỞ</t>
  </si>
  <si>
    <t>Điểm Vựng Đâng: Trạm Hồng Gai + chị Huế
Điểm xử lý nước thải licogi mở rộng 2 điểm: CHị Lan + Chị Thùy</t>
  </si>
  <si>
    <t>Hồng Gai, Hà Tu</t>
  </si>
  <si>
    <r>
      <t xml:space="preserve">Đỗ Linh PCN: 5 vỉ 500ml sân Bóng thành Công </t>
    </r>
    <r>
      <rPr>
        <sz val="18"/>
        <color theme="1"/>
        <rFont val="Times New Roman"/>
        <family val="1"/>
        <charset val="163"/>
      </rPr>
      <t xml:space="preserve">- </t>
    </r>
    <r>
      <rPr>
        <u/>
        <sz val="18"/>
        <color theme="1"/>
        <rFont val="Calibri"/>
        <family val="2"/>
        <charset val="1"/>
      </rPr>
      <t>+84903488996</t>
    </r>
    <r>
      <rPr>
        <sz val="18"/>
        <color theme="1"/>
        <rFont val="Calibri"/>
        <family val="2"/>
        <charset val="1"/>
      </rPr>
      <t xml:space="preserve"> (Anh Hùng Quế thanh toán)</t>
    </r>
  </si>
  <si>
    <t>2 bình kiềm + 3 vỉ 500ml ( thu tiền + cọc vỏ) cửa hàng kim khí Hưng Phượng</t>
  </si>
  <si>
    <t>Huế + phương</t>
  </si>
  <si>
    <t>Cho chị 10 vỉ 500 cơ sở 2 của nhà khách nhé (Hiếu ghi sô)</t>
  </si>
  <si>
    <t>Đỗ Linh CN</t>
  </si>
  <si>
    <t>Thư tuyền PXD</t>
  </si>
  <si>
    <t>Thanh Tùng</t>
  </si>
  <si>
    <r>
      <t>Thư Tuyền PXD: 10+1 vỉ 500ml tổ 2 khu 4 hồng hà ngõ 48 hoặc 46 nhe - Hường 0704618186</t>
    </r>
    <r>
      <rPr>
        <b/>
        <sz val="14"/>
        <color theme="1"/>
        <rFont val="Times New Roman"/>
        <family val="1"/>
      </rPr>
      <t xml:space="preserve"> (Thu tiền luôn)</t>
    </r>
  </si>
  <si>
    <t>FLC Hà Khánh giao nốt 14 bình (tặng 1 bình) rồi xuất hóa đơn để e làm DNTT nhé</t>
  </si>
  <si>
    <t>17/9/2026</t>
  </si>
  <si>
    <t>Kinh doanh than Miền Bắc: 6 bình 20L nước kiềm
9 bình 20L nước thường 
3 thùng 350ml nước kiềm</t>
  </si>
  <si>
    <t>Xe Cẩm Phả chuyển</t>
  </si>
  <si>
    <t>Hà Thanh Tùng PTM: 30+3 bình kiềm đến UBND phường Hà Lầm 0869096806, giao trước 25 bình, còn lại giao sau</t>
  </si>
  <si>
    <t>Thảo ghi số (2 bình) kiềm</t>
  </si>
  <si>
    <t>Thảo ghi số</t>
  </si>
  <si>
    <t>Phương + huế</t>
  </si>
  <si>
    <t>Lại Lan bán lẻ 1 bình</t>
  </si>
  <si>
    <t>hằng bảo vệ 3 vỉ</t>
  </si>
  <si>
    <t>Thơm bảo vệ</t>
  </si>
  <si>
    <t>Ship 20vỉ 500 + 2 cho Hảo Thảnh monbay nhé (Thảo Pý - Cẩm Phả)</t>
  </si>
  <si>
    <t>Cẩm Phả</t>
  </si>
  <si>
    <t>NN Miền Đông: văn phòng ledeco tầng 1 tháp B chung cư lideco lấy 10+1 vỉ 350ml và 5 bình úp ( đến lễ tân gặp chị Phương lễ tân). 16h00 mới giao cho khách hàng chị ạ! - 5 bình úp giao sau</t>
  </si>
  <si>
    <r>
      <t xml:space="preserve">sáng mai </t>
    </r>
    <r>
      <rPr>
        <b/>
        <sz val="14"/>
        <color theme="1"/>
        <rFont val="Times New Roman"/>
        <family val="1"/>
      </rPr>
      <t>9h</t>
    </r>
    <r>
      <rPr>
        <sz val="14"/>
        <color theme="1"/>
        <rFont val="Times New Roman"/>
        <family val="1"/>
        <charset val="163"/>
      </rPr>
      <t xml:space="preserve"> ship Hồ Cô Tiên 20 vỉ 500ml đúng h chị nhé (cô Nga Hải)</t>
    </r>
  </si>
  <si>
    <t>Chị Hạnh hà đã ck về Tk  đuôi 669</t>
  </si>
  <si>
    <r>
      <t xml:space="preserve">Hồng Hạnh PCN: KH Thu Trang Cổng 5, công trường chung cư Monbay SĐT 0981098448 có nhu cầu 10 vỉ nước Ion Kiềm 500ml. sáng mai ship e nhé!  ( Chị Hạnh Hà đã chuyển tiền vào TK đuôi 669) - </t>
    </r>
    <r>
      <rPr>
        <b/>
        <sz val="14"/>
        <color theme="1"/>
        <rFont val="Times New Roman"/>
        <family val="1"/>
      </rPr>
      <t>không thu tiền</t>
    </r>
  </si>
  <si>
    <t>Chị báo dk đơn chiều mai 50 +5 vỉ 500 yết kieu</t>
  </si>
  <si>
    <t>FLC Hà Khánh  10+1 bình Ro</t>
  </si>
  <si>
    <t>Khoa trạm trưởng Hồng Gai lấy cho người yêu cũ sếp Mạnh</t>
  </si>
  <si>
    <t>Chị Huế bán lẻ</t>
  </si>
  <si>
    <t>Chị Hiền Diễn Vọng</t>
  </si>
  <si>
    <t>1 chuyến đến karaoke AMG hòn gai 65 điện biên phủ, phường hạ long 0348808615 - 50v 350ml tặng 5 c nhé</t>
  </si>
  <si>
    <t>bốc thuê</t>
  </si>
  <si>
    <t>chị Nga. 2 vỉ 350ml em nhé ̣Mầm non Hạnh Phúc ̣̣ ̣Đông Bắc, 0986323798</t>
  </si>
  <si>
    <t>Yến Quảng Yên</t>
  </si>
  <si>
    <t>18/9//2026</t>
  </si>
  <si>
    <t>Vũ Anh BKS: 0358602199 2 bình nước tinh khiết đến cc sharie - thu vỏ bình về nhé</t>
  </si>
  <si>
    <t>ck15/9</t>
  </si>
  <si>
    <t>TM15/9</t>
  </si>
  <si>
    <r>
      <t xml:space="preserve">Công ty Môi Trường CT Cenvi, </t>
    </r>
    <r>
      <rPr>
        <sz val="16"/>
        <color theme="1"/>
        <rFont val="Times New Roman"/>
        <family val="1"/>
      </rPr>
      <t>0387436105</t>
    </r>
    <r>
      <rPr>
        <sz val="14"/>
        <color theme="1"/>
        <rFont val="Times New Roman"/>
        <family val="1"/>
        <charset val="163"/>
      </rPr>
      <t xml:space="preserve">, chi tiết điểm ship theo bảng kê Nhung zô gửi, 17 bình  RO, </t>
    </r>
    <r>
      <rPr>
        <b/>
        <sz val="14"/>
        <color theme="1"/>
        <rFont val="Times New Roman"/>
        <family val="1"/>
      </rPr>
      <t>có HĐ nên ko cọc vỏ</t>
    </r>
    <r>
      <rPr>
        <sz val="14"/>
        <color theme="1"/>
        <rFont val="Times New Roman"/>
        <family val="1"/>
        <charset val="163"/>
      </rPr>
      <t>, thu vỏ trả xe luôn</t>
    </r>
  </si>
  <si>
    <t>Chị Hằng ghi số thu tiền</t>
  </si>
  <si>
    <t>Mai ghi số vỉ 500</t>
  </si>
  <si>
    <t>Hiếu ghi số (4 vỉ khuyến mại của Hương Biển)</t>
  </si>
  <si>
    <t>18/9/2026</t>
  </si>
  <si>
    <t>Thảo Cẩm Phả</t>
  </si>
  <si>
    <t>CK 18/9</t>
  </si>
  <si>
    <t>CK17/9</t>
  </si>
  <si>
    <t>10+1 vỉ 500 đến chung cư thể thao cao Xanh, ĐT 0359136632</t>
  </si>
  <si>
    <t>vận chuyển</t>
  </si>
  <si>
    <t xml:space="preserve">Long bán lẻ </t>
  </si>
  <si>
    <t>Vũ Thành Long</t>
  </si>
  <si>
    <t>CK18/9</t>
  </si>
  <si>
    <t>NVKD</t>
  </si>
  <si>
    <t>Tùng chạy xe</t>
  </si>
  <si>
    <t>Ck18/9</t>
  </si>
  <si>
    <t>Đông Triều- 20+2 vỉ 350ml A3 lô 10 đường 25/4 ,Sdt 0972673282</t>
  </si>
  <si>
    <t>Đông Triều</t>
  </si>
  <si>
    <r>
      <t xml:space="preserve">Hồng Hạnh PCN: 0329980424 Cổng 5 toà nhà MonBay đang thi công có nhu cầu 1 bình kiem 19l vào sáng mai, KH thanh toán! </t>
    </r>
    <r>
      <rPr>
        <b/>
        <sz val="14"/>
        <color rgb="FF081B3A"/>
        <rFont val="Times New Roman"/>
        <family val="1"/>
      </rPr>
      <t>Thu cọc vỏ bình 60.000đ + thu tiền nước luôn</t>
    </r>
  </si>
  <si>
    <t>Hà Thanh Tùng PTM</t>
  </si>
  <si>
    <t>Trạm Hà Lầm</t>
  </si>
  <si>
    <t>UBND phường Hà Lầm, hôm trước đặt 30+3, đã ship 25 bình, nay giao nốt 8 bình, 0869096806</t>
  </si>
  <si>
    <r>
      <t>Hồng Hạnh PCN: KH 0779299828 có nhu cầu ship ngay 2 bình 19l IOn kiềm đến Áo Dài Tramdan A4/03 Monbay, KH thanh toán,</t>
    </r>
    <r>
      <rPr>
        <b/>
        <sz val="16"/>
        <color rgb="FF081B3A"/>
        <rFont val="Times New Roman"/>
        <family val="1"/>
      </rPr>
      <t xml:space="preserve"> thu tiền + đổi đủ 2 vỏ</t>
    </r>
  </si>
  <si>
    <r>
      <t>Trần Thảo PQT:</t>
    </r>
    <r>
      <rPr>
        <sz val="18"/>
        <color rgb="FF081B3A"/>
        <rFont val="Times New Roman"/>
        <family val="1"/>
        <charset val="163"/>
      </rPr>
      <t xml:space="preserve"> </t>
    </r>
    <r>
      <rPr>
        <u/>
        <sz val="18"/>
        <color theme="1"/>
        <rFont val="Calibri"/>
        <family val="2"/>
        <charset val="1"/>
      </rPr>
      <t>0393088183</t>
    </r>
    <r>
      <rPr>
        <sz val="18"/>
        <color theme="1"/>
        <rFont val="Calibri"/>
        <family val="2"/>
        <charset val="1"/>
      </rPr>
      <t xml:space="preserve"> cho e 10+1 vỉ 500ml đến chỗ winmart hà phong chị ạ</t>
    </r>
  </si>
  <si>
    <t>Thảo QT</t>
  </si>
  <si>
    <t>Nhã PQT</t>
  </si>
  <si>
    <t>Vay KD Công ty</t>
  </si>
  <si>
    <r>
      <t>C Nhã PQT: 3 bình kiềm đến số nhà 157 nguyễn văn trỗi, cột 8  - Mai Phuong 0982716586 -</t>
    </r>
    <r>
      <rPr>
        <b/>
        <sz val="16"/>
        <color rgb="FF081B3A"/>
        <rFont val="Times New Roman"/>
        <family val="1"/>
      </rPr>
      <t xml:space="preserve"> Thu tiền luôn + cọc vỏ + cần ngay</t>
    </r>
  </si>
  <si>
    <t>1 đơn chị Nga ubnd Phường cao xanh 10+1 vỉ 350 lấy tăng áp chị lan</t>
  </si>
  <si>
    <t>Hà. 037755899720 vỉ 350ml8h30-9h sáng thứ 7 gần trạm tăng áp yết kiêu khu gần KTV ấy</t>
  </si>
  <si>
    <r>
      <t>3 thùng 350 ml địa chỉ: 11 Lê Thánh Tông ( đối diện quán bia Làng Chài chân cầu Bãi Cháy ), Công ty kinh doanh than Miền Bắc 0906091669,</t>
    </r>
    <r>
      <rPr>
        <b/>
        <sz val="16"/>
        <color rgb="FF081B3A"/>
        <rFont val="Times New Roman"/>
        <family val="1"/>
      </rPr>
      <t xml:space="preserve"> chị Huế lấy 3 thùng từ chị Lệ Công ty </t>
    </r>
  </si>
  <si>
    <t>Chị Liễu KD 1 vỉ to</t>
  </si>
  <si>
    <t>Liễu</t>
  </si>
  <si>
    <t>Chị Thùy bảo vệ</t>
  </si>
  <si>
    <t>thùng 500</t>
  </si>
  <si>
    <t>gửi đơn Sở xây dựng sáng mai hỗ trợ bốc 44 bình như mọi tháng chị nhé, 039 739 9666 (mới giao được 33 bình)</t>
  </si>
  <si>
    <t>Hạ Long+Hà Tu</t>
  </si>
  <si>
    <t xml:space="preserve">Lại Lan, Xuân, Thơm, </t>
  </si>
  <si>
    <t>Phương lái xe lấy khuyến mại của Dung Vịt</t>
  </si>
  <si>
    <t>Hà lầm</t>
  </si>
  <si>
    <t>Xe điện</t>
  </si>
  <si>
    <t>Vay cẩm phả</t>
  </si>
  <si>
    <t>Vay quảng yên</t>
  </si>
  <si>
    <t>xe cp hạ luôn</t>
  </si>
  <si>
    <t>VP</t>
  </si>
  <si>
    <t>Cúc ghi số</t>
  </si>
  <si>
    <t>19/9/2026</t>
  </si>
  <si>
    <t>14+1 (11 úp +4 vòi)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</si>
</sst>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_-;\-* #,##0_-;_-* \-_-;_-@_-"/>
    <numFmt numFmtId="165" formatCode="_-* #,##0.00_-;\-* #,##0.00_-;_-* \-??_-;_-@_-"/>
    <numFmt numFmtId="166" formatCode="_-* #,##0_-;\-* #,##0_-;_-* \-??_-;_-@_-"/>
    <numFmt numFmtId="167" formatCode="dd/mm/yy"/>
  </numFmts>
  <fonts count="41" x14ac:knownFonts="1">
    <font>
      <sz val="11"/>
      <color theme="1"/>
      <name val="Calibri"/>
      <family val="2"/>
      <charset val="1"/>
    </font>
    <font>
      <sz val="12"/>
      <name val="Calibri"/>
      <family val="2"/>
      <charset val="1"/>
    </font>
    <font>
      <sz val="14"/>
      <color theme="1"/>
      <name val="Times New Roman"/>
      <family val="1"/>
      <charset val="163"/>
    </font>
    <font>
      <b/>
      <sz val="18"/>
      <color rgb="FFFF0000"/>
      <name val="Times New Roman"/>
      <family val="1"/>
      <charset val="163"/>
    </font>
    <font>
      <sz val="18"/>
      <color theme="1"/>
      <name val="Times New Roman"/>
      <family val="1"/>
      <charset val="163"/>
    </font>
    <font>
      <b/>
      <sz val="18"/>
      <color theme="1"/>
      <name val="Times New Roman"/>
      <family val="1"/>
      <charset val="163"/>
    </font>
    <font>
      <b/>
      <sz val="14"/>
      <color theme="1"/>
      <name val="Times New Roman"/>
      <family val="1"/>
      <charset val="163"/>
    </font>
    <font>
      <b/>
      <sz val="14"/>
      <color theme="1"/>
      <name val="Times New Roman"/>
      <family val="1"/>
      <charset val="1"/>
    </font>
    <font>
      <sz val="14"/>
      <color theme="1"/>
      <name val="Times New Roman"/>
      <family val="1"/>
      <charset val="1"/>
    </font>
    <font>
      <sz val="14"/>
      <color rgb="FF081B3A"/>
      <name val="Times New Roman"/>
      <family val="1"/>
      <charset val="163"/>
    </font>
    <font>
      <b/>
      <sz val="14"/>
      <color rgb="FFFF0000"/>
      <name val="Times New Roman"/>
      <family val="1"/>
      <charset val="163"/>
    </font>
    <font>
      <sz val="14"/>
      <color rgb="FF000000"/>
      <name val="Times New Roman"/>
      <family val="1"/>
      <charset val="163"/>
    </font>
    <font>
      <sz val="14"/>
      <color rgb="FF081B3A"/>
      <name val="Times New Roman"/>
      <family val="1"/>
      <charset val="1"/>
    </font>
    <font>
      <b/>
      <sz val="14"/>
      <color rgb="FFFF0000"/>
      <name val="Times New Roman"/>
      <family val="1"/>
      <charset val="1"/>
    </font>
    <font>
      <b/>
      <sz val="16"/>
      <color theme="1"/>
      <name val="Times New Roman"/>
      <family val="1"/>
      <charset val="1"/>
    </font>
    <font>
      <b/>
      <sz val="16"/>
      <color rgb="FFFF0000"/>
      <name val="Times New Roman"/>
      <family val="1"/>
      <charset val="1"/>
    </font>
    <font>
      <b/>
      <i/>
      <sz val="14"/>
      <color theme="1"/>
      <name val="Times New Roman"/>
      <family val="1"/>
      <charset val="1"/>
    </font>
    <font>
      <b/>
      <sz val="20"/>
      <color theme="1"/>
      <name val="Times New Roman"/>
      <family val="1"/>
      <charset val="163"/>
    </font>
    <font>
      <b/>
      <sz val="16"/>
      <color theme="1"/>
      <name val="Times New Roman"/>
      <family val="1"/>
      <charset val="163"/>
    </font>
    <font>
      <b/>
      <i/>
      <sz val="14"/>
      <color theme="1"/>
      <name val="Times New Roman"/>
      <family val="1"/>
      <charset val="163"/>
    </font>
    <font>
      <b/>
      <sz val="11"/>
      <color theme="1"/>
      <name val="Calibri"/>
      <family val="2"/>
      <charset val="1"/>
    </font>
    <font>
      <sz val="11"/>
      <color theme="1"/>
      <name val="Calibri"/>
      <family val="2"/>
      <charset val="1"/>
    </font>
    <font>
      <sz val="12"/>
      <color theme="1"/>
      <name val="Times New Roman"/>
      <family val="1"/>
    </font>
    <font>
      <b/>
      <sz val="12"/>
      <color theme="1"/>
      <name val="Times New Roman"/>
      <family val="1"/>
      <charset val="163"/>
    </font>
    <font>
      <b/>
      <sz val="13"/>
      <color theme="1"/>
      <name val="Times New Roman"/>
      <family val="1"/>
      <charset val="163"/>
    </font>
    <font>
      <b/>
      <sz val="11"/>
      <color theme="1"/>
      <name val="Times New Roman"/>
      <family val="1"/>
      <charset val="163"/>
    </font>
    <font>
      <sz val="11"/>
      <color theme="1"/>
      <name val="Times New Roman"/>
      <family val="1"/>
      <charset val="163"/>
    </font>
    <font>
      <sz val="14"/>
      <color theme="1"/>
      <name val="Calibri"/>
      <family val="2"/>
    </font>
    <font>
      <b/>
      <sz val="14"/>
      <color theme="1"/>
      <name val="Times New Roman"/>
      <family val="1"/>
    </font>
    <font>
      <sz val="14"/>
      <color theme="1"/>
      <name val="Times New Roman"/>
      <family val="1"/>
    </font>
    <font>
      <b/>
      <sz val="11"/>
      <color theme="1"/>
      <name val="Calibri"/>
      <family val="2"/>
    </font>
    <font>
      <b/>
      <sz val="11"/>
      <color theme="1"/>
      <name val="Times New Roman"/>
      <family val="1"/>
    </font>
    <font>
      <sz val="16"/>
      <color theme="1"/>
      <name val="Times New Roman"/>
      <family val="1"/>
      <charset val="163"/>
    </font>
    <font>
      <u/>
      <sz val="18"/>
      <color theme="1"/>
      <name val="Calibri"/>
      <family val="2"/>
      <charset val="1"/>
    </font>
    <font>
      <sz val="18"/>
      <color theme="1"/>
      <name val="Calibri"/>
      <family val="2"/>
      <charset val="1"/>
    </font>
    <font>
      <sz val="16"/>
      <color theme="1"/>
      <name val="Times New Roman"/>
      <family val="1"/>
    </font>
    <font>
      <b/>
      <sz val="16"/>
      <color theme="1"/>
      <name val="Times New Roman"/>
      <family val="1"/>
    </font>
    <font>
      <sz val="16"/>
      <color rgb="FF081B3A"/>
      <name val="Times New Roman"/>
      <family val="1"/>
      <charset val="163"/>
    </font>
    <font>
      <b/>
      <sz val="16"/>
      <color rgb="FF081B3A"/>
      <name val="Times New Roman"/>
      <family val="1"/>
    </font>
    <font>
      <b/>
      <sz val="14"/>
      <color rgb="FF081B3A"/>
      <name val="Times New Roman"/>
      <family val="1"/>
    </font>
    <font>
      <sz val="18"/>
      <color rgb="FF081B3A"/>
      <name val="Times New Roman"/>
      <family val="1"/>
      <charset val="163"/>
    </font>
  </fonts>
  <fills count="41">
    <fill>
      <patternFill patternType="none"/>
    </fill>
    <fill>
      <patternFill patternType="gray125"/>
    </fill>
    <fill>
      <patternFill patternType="solid">
        <fgColor theme="7" tint="0.59987182226020086"/>
        <bgColor rgb="FFFFF2CC"/>
      </patternFill>
    </fill>
    <fill>
      <patternFill patternType="solid">
        <fgColor theme="5" tint="0.59987182226020086"/>
        <bgColor rgb="FFFFC7CE"/>
      </patternFill>
    </fill>
    <fill>
      <patternFill patternType="solid">
        <fgColor rgb="FFFFFF00"/>
        <bgColor rgb="FFFFFF00"/>
      </patternFill>
    </fill>
    <fill>
      <patternFill patternType="solid">
        <fgColor theme="9" tint="0.59987182226020086"/>
        <bgColor rgb="FFFBE5D6"/>
      </patternFill>
    </fill>
    <fill>
      <patternFill patternType="solid">
        <fgColor theme="0"/>
        <bgColor rgb="FFFFF5CE"/>
      </patternFill>
    </fill>
    <fill>
      <patternFill patternType="solid">
        <fgColor theme="7" tint="0.79989013336588644"/>
        <bgColor rgb="FFFFF5CE"/>
      </patternFill>
    </fill>
    <fill>
      <patternFill patternType="solid">
        <fgColor theme="5" tint="0.79989013336588644"/>
        <bgColor rgb="FFFFD8CE"/>
      </patternFill>
    </fill>
    <fill>
      <patternFill patternType="solid">
        <fgColor rgb="FF069A2E"/>
        <bgColor rgb="FF00A933"/>
      </patternFill>
    </fill>
    <fill>
      <patternFill patternType="solid">
        <fgColor rgb="FFFF5429"/>
        <bgColor rgb="FFFF3838"/>
      </patternFill>
    </fill>
    <fill>
      <patternFill patternType="solid">
        <fgColor rgb="FFFFD8CE"/>
        <bgColor rgb="FFFBE5D6"/>
      </patternFill>
    </fill>
    <fill>
      <patternFill patternType="solid">
        <fgColor rgb="FFFFF5CE"/>
        <bgColor rgb="FFFFF2CC"/>
      </patternFill>
    </fill>
    <fill>
      <patternFill patternType="solid">
        <fgColor rgb="FF3FAF46"/>
        <bgColor rgb="FF00A933"/>
      </patternFill>
    </fill>
    <fill>
      <patternFill patternType="solid">
        <fgColor rgb="FFFFFF00"/>
        <bgColor indexed="64"/>
      </patternFill>
    </fill>
    <fill>
      <patternFill patternType="solid">
        <fgColor rgb="FF92D050"/>
        <bgColor indexed="64"/>
      </patternFill>
    </fill>
    <fill>
      <patternFill patternType="solid">
        <fgColor rgb="FFEC4D4D"/>
        <bgColor indexed="64"/>
      </patternFill>
    </fill>
    <fill>
      <patternFill patternType="solid">
        <fgColor rgb="FFFFE3E3"/>
        <bgColor indexed="64"/>
      </patternFill>
    </fill>
    <fill>
      <patternFill patternType="solid">
        <fgColor rgb="FF92D050"/>
        <bgColor rgb="FF969696"/>
      </patternFill>
    </fill>
    <fill>
      <patternFill patternType="solid">
        <fgColor theme="0" tint="-4.9989318521683403E-2"/>
        <bgColor rgb="FFF7F7F7"/>
      </patternFill>
    </fill>
    <fill>
      <patternFill patternType="solid">
        <fgColor rgb="FFFF0000"/>
        <bgColor rgb="FF9C0006"/>
      </patternFill>
    </fill>
    <fill>
      <patternFill patternType="solid">
        <fgColor theme="0"/>
        <bgColor rgb="FFF7F7F7"/>
      </patternFill>
    </fill>
    <fill>
      <patternFill patternType="solid">
        <fgColor rgb="FFFFFF00"/>
        <bgColor rgb="FFFFD966"/>
      </patternFill>
    </fill>
    <fill>
      <patternFill patternType="solid">
        <fgColor theme="0"/>
        <bgColor rgb="FFFF9900"/>
      </patternFill>
    </fill>
    <fill>
      <patternFill patternType="solid">
        <fgColor theme="0"/>
        <bgColor rgb="FF9C0006"/>
      </patternFill>
    </fill>
    <fill>
      <patternFill patternType="solid">
        <fgColor theme="0"/>
        <bgColor indexed="64"/>
      </patternFill>
    </fill>
    <fill>
      <patternFill patternType="solid">
        <fgColor rgb="FFFFFF00"/>
        <bgColor rgb="FFFFF5CE"/>
      </patternFill>
    </fill>
    <fill>
      <patternFill patternType="solid">
        <fgColor theme="7" tint="0.59999389629810485"/>
        <bgColor indexed="64"/>
      </patternFill>
    </fill>
    <fill>
      <patternFill patternType="solid">
        <fgColor theme="0"/>
        <bgColor rgb="FFFFF2CC"/>
      </patternFill>
    </fill>
    <fill>
      <patternFill patternType="solid">
        <fgColor theme="5" tint="0.59999389629810485"/>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9" tint="0.59999389629810485"/>
        <bgColor rgb="FFFFF5CE"/>
      </patternFill>
    </fill>
    <fill>
      <patternFill patternType="solid">
        <fgColor rgb="FFF6C3FF"/>
        <bgColor rgb="FF00A933"/>
      </patternFill>
    </fill>
    <fill>
      <patternFill patternType="solid">
        <fgColor rgb="FFDC3939"/>
        <bgColor rgb="FF00A933"/>
      </patternFill>
    </fill>
    <fill>
      <patternFill patternType="solid">
        <fgColor rgb="FF00B050"/>
        <bgColor rgb="FFFFF2CC"/>
      </patternFill>
    </fill>
    <fill>
      <patternFill patternType="solid">
        <fgColor rgb="FFFF0000"/>
        <bgColor indexed="64"/>
      </patternFill>
    </fill>
    <fill>
      <patternFill patternType="solid">
        <fgColor theme="5" tint="0.39997558519241921"/>
        <bgColor indexed="64"/>
      </patternFill>
    </fill>
    <fill>
      <patternFill patternType="solid">
        <fgColor theme="4" tint="0.39997558519241921"/>
        <bgColor indexed="64"/>
      </patternFill>
    </fill>
    <fill>
      <patternFill patternType="solid">
        <fgColor rgb="FFFF0000"/>
        <bgColor rgb="FFFFF5CE"/>
      </patternFill>
    </fill>
    <fill>
      <patternFill patternType="solid">
        <fgColor rgb="FF92D050"/>
        <bgColor rgb="FFFFF5CE"/>
      </patternFill>
    </fill>
  </fills>
  <borders count="17">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thin">
        <color auto="1"/>
      </left>
      <right style="thin">
        <color auto="1"/>
      </right>
      <top style="hair">
        <color auto="1"/>
      </top>
      <bottom style="hair">
        <color auto="1"/>
      </bottom>
      <diagonal/>
    </border>
    <border>
      <left style="thin">
        <color auto="1"/>
      </left>
      <right style="thin">
        <color auto="1"/>
      </right>
      <top/>
      <bottom style="hair">
        <color auto="1"/>
      </bottom>
      <diagonal/>
    </border>
    <border>
      <left/>
      <right style="thin">
        <color auto="1"/>
      </right>
      <top/>
      <bottom/>
      <diagonal/>
    </border>
    <border>
      <left/>
      <right style="thin">
        <color auto="1"/>
      </right>
      <top style="thin">
        <color auto="1"/>
      </top>
      <bottom style="thin">
        <color auto="1"/>
      </bottom>
      <diagonal/>
    </border>
    <border>
      <left style="thin">
        <color auto="1"/>
      </left>
      <right style="thin">
        <color auto="1"/>
      </right>
      <top style="hair">
        <color auto="1"/>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bottom/>
      <diagonal/>
    </border>
    <border>
      <left style="thin">
        <color auto="1"/>
      </left>
      <right style="thin">
        <color auto="1"/>
      </right>
      <top/>
      <bottom style="thin">
        <color auto="1"/>
      </bottom>
      <diagonal/>
    </border>
    <border>
      <left/>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style="hair">
        <color auto="1"/>
      </top>
      <bottom/>
      <diagonal/>
    </border>
  </borders>
  <cellStyleXfs count="4">
    <xf numFmtId="0" fontId="0" fillId="0" borderId="0"/>
    <xf numFmtId="165" fontId="21" fillId="0" borderId="0" applyBorder="0" applyProtection="0"/>
    <xf numFmtId="0" fontId="1" fillId="0" borderId="0"/>
    <xf numFmtId="164" fontId="21" fillId="0" borderId="0" applyBorder="0" applyProtection="0"/>
  </cellStyleXfs>
  <cellXfs count="426">
    <xf numFmtId="0" fontId="0" fillId="0" borderId="0" xfId="0"/>
    <xf numFmtId="0" fontId="7" fillId="2" borderId="1" xfId="0" applyFont="1" applyFill="1" applyBorder="1" applyAlignment="1">
      <alignment horizontal="center" vertical="center" wrapText="1"/>
    </xf>
    <xf numFmtId="0" fontId="6" fillId="5" borderId="1" xfId="0" applyFont="1" applyFill="1" applyBorder="1" applyAlignment="1">
      <alignment horizontal="center" vertical="center" wrapText="1"/>
    </xf>
    <xf numFmtId="0" fontId="6" fillId="3" borderId="1" xfId="0" applyFont="1" applyFill="1" applyBorder="1" applyAlignment="1">
      <alignment horizontal="center" vertical="center"/>
    </xf>
    <xf numFmtId="0" fontId="7" fillId="6" borderId="1" xfId="0" applyFont="1" applyFill="1" applyBorder="1" applyAlignment="1">
      <alignment horizontal="center" vertical="center" wrapText="1"/>
    </xf>
    <xf numFmtId="0" fontId="8" fillId="6" borderId="1" xfId="0" applyFont="1" applyFill="1" applyBorder="1" applyAlignment="1">
      <alignment horizontal="left" vertical="center" wrapText="1"/>
    </xf>
    <xf numFmtId="164" fontId="8" fillId="6" borderId="1" xfId="3" applyFont="1" applyFill="1" applyBorder="1" applyAlignment="1" applyProtection="1">
      <alignment horizontal="center" vertical="center" wrapText="1"/>
    </xf>
    <xf numFmtId="0" fontId="8" fillId="6" borderId="1" xfId="0" applyFont="1" applyFill="1" applyBorder="1" applyAlignment="1">
      <alignment vertical="center" wrapText="1"/>
    </xf>
    <xf numFmtId="0" fontId="2" fillId="6" borderId="1" xfId="0" applyFont="1" applyFill="1" applyBorder="1" applyAlignment="1">
      <alignment horizontal="left" vertical="center" wrapText="1"/>
    </xf>
    <xf numFmtId="0" fontId="2" fillId="6" borderId="1" xfId="0" applyFont="1" applyFill="1" applyBorder="1" applyAlignment="1">
      <alignment horizontal="center" vertical="center" wrapText="1"/>
    </xf>
    <xf numFmtId="0" fontId="8" fillId="6" borderId="4" xfId="0" applyFont="1" applyFill="1" applyBorder="1" applyAlignment="1">
      <alignment vertical="center" wrapText="1"/>
    </xf>
    <xf numFmtId="0" fontId="2" fillId="7" borderId="1" xfId="0" applyFont="1" applyFill="1" applyBorder="1" applyAlignment="1">
      <alignment horizontal="center" vertical="center" wrapText="1"/>
    </xf>
    <xf numFmtId="0" fontId="2" fillId="7" borderId="1" xfId="0" applyFont="1" applyFill="1" applyBorder="1" applyAlignment="1">
      <alignment vertical="center" wrapText="1"/>
    </xf>
    <xf numFmtId="0" fontId="2" fillId="6" borderId="1" xfId="0" applyFont="1" applyFill="1" applyBorder="1" applyAlignment="1">
      <alignment vertical="center" wrapText="1"/>
    </xf>
    <xf numFmtId="0" fontId="8" fillId="0" borderId="0" xfId="0" applyFont="1" applyAlignment="1">
      <alignment vertical="center" wrapText="1"/>
    </xf>
    <xf numFmtId="0" fontId="8" fillId="6" borderId="1" xfId="0" applyFont="1" applyFill="1" applyBorder="1" applyAlignment="1">
      <alignment horizontal="center" vertical="center"/>
    </xf>
    <xf numFmtId="0" fontId="8" fillId="0" borderId="0" xfId="0" applyFont="1" applyAlignment="1">
      <alignment wrapText="1"/>
    </xf>
    <xf numFmtId="0" fontId="8" fillId="0" borderId="0" xfId="0" applyFont="1" applyAlignment="1">
      <alignment horizontal="center" vertical="center" wrapText="1"/>
    </xf>
    <xf numFmtId="0" fontId="8" fillId="6" borderId="0" xfId="0" applyFont="1" applyFill="1" applyAlignment="1">
      <alignment vertical="center" wrapText="1"/>
    </xf>
    <xf numFmtId="0" fontId="7" fillId="6" borderId="0" xfId="0" applyFont="1" applyFill="1" applyAlignment="1">
      <alignment horizontal="center" vertical="center" wrapText="1"/>
    </xf>
    <xf numFmtId="0" fontId="7" fillId="2" borderId="1" xfId="0" applyFont="1" applyFill="1" applyBorder="1" applyAlignment="1">
      <alignment vertical="center" wrapText="1"/>
    </xf>
    <xf numFmtId="0" fontId="7" fillId="6" borderId="0" xfId="0" applyFont="1" applyFill="1" applyAlignment="1">
      <alignment vertical="center" wrapText="1"/>
    </xf>
    <xf numFmtId="0" fontId="13" fillId="0" borderId="1" xfId="0" applyFont="1" applyBorder="1" applyAlignment="1">
      <alignment vertical="center" wrapText="1"/>
    </xf>
    <xf numFmtId="0" fontId="13" fillId="0" borderId="1" xfId="0" applyFont="1" applyBorder="1" applyAlignment="1">
      <alignment horizontal="center" vertical="center" wrapText="1"/>
    </xf>
    <xf numFmtId="164" fontId="13" fillId="0" borderId="1" xfId="0" applyNumberFormat="1" applyFont="1" applyBorder="1" applyAlignment="1">
      <alignment vertical="center" wrapText="1"/>
    </xf>
    <xf numFmtId="164" fontId="13" fillId="6" borderId="0" xfId="0" applyNumberFormat="1" applyFont="1" applyFill="1" applyAlignment="1">
      <alignment vertical="center" wrapText="1"/>
    </xf>
    <xf numFmtId="0" fontId="13" fillId="6" borderId="0" xfId="0" applyFont="1" applyFill="1" applyAlignment="1">
      <alignment vertical="center" wrapText="1"/>
    </xf>
    <xf numFmtId="0" fontId="13" fillId="0" borderId="0" xfId="0" applyFont="1" applyAlignment="1">
      <alignment vertical="center" wrapText="1"/>
    </xf>
    <xf numFmtId="0" fontId="7" fillId="6" borderId="5" xfId="0" applyFont="1" applyFill="1" applyBorder="1" applyAlignment="1">
      <alignment vertical="center" wrapText="1"/>
    </xf>
    <xf numFmtId="164" fontId="8" fillId="6" borderId="6" xfId="0" applyNumberFormat="1" applyFont="1" applyFill="1" applyBorder="1" applyAlignment="1">
      <alignment vertical="center" wrapText="1"/>
    </xf>
    <xf numFmtId="0" fontId="7" fillId="6" borderId="7" xfId="0" applyFont="1" applyFill="1" applyBorder="1" applyAlignment="1">
      <alignment horizontal="center" vertical="center" wrapText="1"/>
    </xf>
    <xf numFmtId="0" fontId="8" fillId="6" borderId="7" xfId="0" applyFont="1" applyFill="1" applyBorder="1" applyAlignment="1">
      <alignment horizontal="center" vertical="center"/>
    </xf>
    <xf numFmtId="164" fontId="8" fillId="6" borderId="0" xfId="0" applyNumberFormat="1" applyFont="1" applyFill="1" applyAlignment="1">
      <alignment vertical="center" wrapText="1"/>
    </xf>
    <xf numFmtId="0" fontId="8" fillId="6" borderId="4" xfId="0" applyFont="1" applyFill="1" applyBorder="1" applyAlignment="1">
      <alignment horizontal="left" vertical="center" wrapText="1" shrinkToFit="1"/>
    </xf>
    <xf numFmtId="0" fontId="7" fillId="6" borderId="4" xfId="0" applyFont="1" applyFill="1" applyBorder="1" applyAlignment="1">
      <alignment vertical="center" wrapText="1"/>
    </xf>
    <xf numFmtId="0" fontId="7" fillId="6" borderId="4" xfId="0" applyFont="1" applyFill="1" applyBorder="1" applyAlignment="1">
      <alignment horizontal="center" vertical="center" wrapText="1"/>
    </xf>
    <xf numFmtId="0" fontId="8" fillId="6" borderId="4" xfId="0" applyFont="1" applyFill="1" applyBorder="1" applyAlignment="1">
      <alignment horizontal="center" vertical="center" wrapText="1"/>
    </xf>
    <xf numFmtId="0" fontId="8" fillId="6" borderId="8" xfId="0" applyFont="1" applyFill="1" applyBorder="1" applyAlignment="1">
      <alignment vertical="center" wrapText="1"/>
    </xf>
    <xf numFmtId="0" fontId="8" fillId="0" borderId="0" xfId="0" applyFont="1" applyAlignment="1">
      <alignment horizontal="center"/>
    </xf>
    <xf numFmtId="0" fontId="8" fillId="0" borderId="0" xfId="0" applyFont="1"/>
    <xf numFmtId="0" fontId="8" fillId="0" borderId="0" xfId="0" applyFont="1" applyAlignment="1">
      <alignment horizontal="center" wrapText="1"/>
    </xf>
    <xf numFmtId="0" fontId="7" fillId="0" borderId="0" xfId="0" applyFont="1" applyAlignment="1">
      <alignment horizontal="center" wrapText="1"/>
    </xf>
    <xf numFmtId="0" fontId="7" fillId="0" borderId="0" xfId="0" applyFont="1" applyAlignment="1">
      <alignment wrapText="1"/>
    </xf>
    <xf numFmtId="0" fontId="8" fillId="0" borderId="0" xfId="0" applyFont="1" applyAlignment="1">
      <alignment vertical="center"/>
    </xf>
    <xf numFmtId="0" fontId="6" fillId="2" borderId="1" xfId="0" applyFont="1" applyFill="1" applyBorder="1" applyAlignment="1">
      <alignment horizontal="center" vertical="center" wrapText="1"/>
    </xf>
    <xf numFmtId="0" fontId="8" fillId="0" borderId="0" xfId="0" applyFont="1" applyAlignment="1">
      <alignment horizontal="center" vertical="center"/>
    </xf>
    <xf numFmtId="0" fontId="8" fillId="0" borderId="1" xfId="0" applyFont="1" applyBorder="1" applyAlignment="1">
      <alignment horizontal="center"/>
    </xf>
    <xf numFmtId="14" fontId="8" fillId="0" borderId="1" xfId="0" applyNumberFormat="1" applyFont="1" applyBorder="1" applyAlignment="1">
      <alignment horizontal="center"/>
    </xf>
    <xf numFmtId="0" fontId="8" fillId="0" borderId="1" xfId="0" applyFont="1" applyBorder="1" applyAlignment="1">
      <alignment horizontal="center" wrapText="1"/>
    </xf>
    <xf numFmtId="0" fontId="7" fillId="0" borderId="1" xfId="0" applyFont="1" applyBorder="1" applyAlignment="1">
      <alignment horizontal="center" wrapText="1"/>
    </xf>
    <xf numFmtId="0" fontId="8" fillId="0" borderId="1" xfId="0" applyFont="1" applyBorder="1" applyAlignment="1">
      <alignment wrapText="1"/>
    </xf>
    <xf numFmtId="0" fontId="7" fillId="0" borderId="1" xfId="0" applyFont="1" applyBorder="1" applyAlignment="1">
      <alignment wrapText="1"/>
    </xf>
    <xf numFmtId="0" fontId="8" fillId="0" borderId="1" xfId="0" applyFont="1" applyBorder="1"/>
    <xf numFmtId="0" fontId="6" fillId="0" borderId="0" xfId="0" applyFont="1"/>
    <xf numFmtId="0" fontId="6" fillId="0" borderId="1" xfId="0" applyFont="1" applyBorder="1" applyAlignment="1">
      <alignment horizontal="center"/>
    </xf>
    <xf numFmtId="0" fontId="6" fillId="0" borderId="1" xfId="0" applyFont="1" applyBorder="1"/>
    <xf numFmtId="0" fontId="6" fillId="0" borderId="1" xfId="0" applyFont="1" applyBorder="1" applyAlignment="1">
      <alignment horizontal="center" wrapText="1"/>
    </xf>
    <xf numFmtId="0" fontId="2" fillId="6" borderId="0" xfId="0" applyFont="1" applyFill="1" applyAlignment="1">
      <alignment horizontal="center" vertical="center" wrapText="1"/>
    </xf>
    <xf numFmtId="0" fontId="2" fillId="6" borderId="0" xfId="0" applyFont="1" applyFill="1" applyAlignment="1">
      <alignment vertical="center" wrapText="1"/>
    </xf>
    <xf numFmtId="0" fontId="10" fillId="7" borderId="1" xfId="0" applyFont="1" applyFill="1" applyBorder="1" applyAlignment="1">
      <alignment horizontal="center" vertical="center" wrapText="1"/>
    </xf>
    <xf numFmtId="0" fontId="10" fillId="7" borderId="1" xfId="0" applyFont="1" applyFill="1" applyBorder="1" applyAlignment="1">
      <alignment horizontal="left" vertical="center" wrapText="1"/>
    </xf>
    <xf numFmtId="0" fontId="6" fillId="8" borderId="1" xfId="0" applyFont="1" applyFill="1" applyBorder="1" applyAlignment="1">
      <alignment horizontal="center" vertical="center" wrapText="1"/>
    </xf>
    <xf numFmtId="0" fontId="6" fillId="5" borderId="1" xfId="0" applyFont="1" applyFill="1" applyBorder="1" applyAlignment="1">
      <alignment horizontal="left" vertical="center" wrapText="1"/>
    </xf>
    <xf numFmtId="0" fontId="2" fillId="0" borderId="0" xfId="0" applyFont="1" applyAlignment="1">
      <alignment horizontal="center"/>
    </xf>
    <xf numFmtId="0" fontId="2" fillId="0" borderId="0" xfId="0" applyFont="1"/>
    <xf numFmtId="0" fontId="6" fillId="3" borderId="1" xfId="0" applyFont="1" applyFill="1" applyBorder="1" applyAlignment="1">
      <alignment vertical="center"/>
    </xf>
    <xf numFmtId="0" fontId="2" fillId="0" borderId="9" xfId="0" applyFont="1" applyBorder="1" applyAlignment="1">
      <alignment horizontal="center"/>
    </xf>
    <xf numFmtId="0" fontId="2" fillId="0" borderId="9" xfId="0" applyFont="1" applyBorder="1" applyAlignment="1">
      <alignment vertical="center"/>
    </xf>
    <xf numFmtId="0" fontId="2" fillId="6" borderId="9" xfId="0" applyFont="1" applyFill="1" applyBorder="1" applyAlignment="1">
      <alignment horizontal="center" vertical="center" wrapText="1"/>
    </xf>
    <xf numFmtId="0" fontId="2" fillId="0" borderId="9" xfId="0" applyFont="1" applyBorder="1"/>
    <xf numFmtId="166" fontId="2" fillId="0" borderId="9" xfId="1" applyNumberFormat="1" applyFont="1" applyBorder="1" applyProtection="1"/>
    <xf numFmtId="0" fontId="2" fillId="0" borderId="4" xfId="0" applyFont="1" applyBorder="1" applyAlignment="1">
      <alignment horizontal="center"/>
    </xf>
    <xf numFmtId="0" fontId="2" fillId="6" borderId="4" xfId="0" applyFont="1" applyFill="1" applyBorder="1" applyAlignment="1">
      <alignment horizontal="left" vertical="center" wrapText="1"/>
    </xf>
    <xf numFmtId="0" fontId="2" fillId="6" borderId="4" xfId="0" applyFont="1" applyFill="1" applyBorder="1" applyAlignment="1">
      <alignment horizontal="center" vertical="center" wrapText="1"/>
    </xf>
    <xf numFmtId="166" fontId="2" fillId="0" borderId="4" xfId="1" applyNumberFormat="1" applyFont="1" applyBorder="1" applyProtection="1"/>
    <xf numFmtId="0" fontId="2" fillId="6" borderId="4" xfId="0" applyFont="1" applyFill="1" applyBorder="1" applyAlignment="1">
      <alignment vertical="center" wrapText="1"/>
    </xf>
    <xf numFmtId="0" fontId="2" fillId="0" borderId="8" xfId="0" applyFont="1" applyBorder="1" applyAlignment="1">
      <alignment horizontal="center"/>
    </xf>
    <xf numFmtId="0" fontId="2" fillId="0" borderId="8" xfId="0" applyFont="1" applyBorder="1"/>
    <xf numFmtId="166" fontId="2" fillId="0" borderId="8" xfId="1" applyNumberFormat="1" applyFont="1" applyBorder="1" applyProtection="1"/>
    <xf numFmtId="0" fontId="0" fillId="0" borderId="1" xfId="0" applyBorder="1"/>
    <xf numFmtId="0" fontId="20" fillId="0" borderId="1" xfId="0" applyFont="1" applyBorder="1" applyAlignment="1">
      <alignment horizontal="center"/>
    </xf>
    <xf numFmtId="0" fontId="0" fillId="0" borderId="0" xfId="0" applyAlignment="1">
      <alignment horizontal="center"/>
    </xf>
    <xf numFmtId="167" fontId="0" fillId="0" borderId="1" xfId="0" applyNumberFormat="1" applyBorder="1" applyAlignment="1">
      <alignment horizontal="center"/>
    </xf>
    <xf numFmtId="0" fontId="20" fillId="12" borderId="1" xfId="0" applyFont="1" applyFill="1" applyBorder="1"/>
    <xf numFmtId="0" fontId="20" fillId="13" borderId="1" xfId="0" applyFont="1" applyFill="1" applyBorder="1"/>
    <xf numFmtId="0" fontId="20" fillId="10" borderId="1" xfId="0" applyFont="1" applyFill="1" applyBorder="1"/>
    <xf numFmtId="0" fontId="20" fillId="11" borderId="1" xfId="0" applyFont="1" applyFill="1" applyBorder="1"/>
    <xf numFmtId="0" fontId="0" fillId="0" borderId="1" xfId="0" applyBorder="1" applyAlignment="1">
      <alignment horizontal="center"/>
    </xf>
    <xf numFmtId="0" fontId="2" fillId="14" borderId="1" xfId="0" applyFont="1" applyFill="1" applyBorder="1" applyAlignment="1">
      <alignment horizontal="left" vertical="center" wrapText="1"/>
    </xf>
    <xf numFmtId="0" fontId="2" fillId="0" borderId="1" xfId="0" applyFont="1" applyBorder="1" applyAlignment="1">
      <alignment horizontal="center" vertical="center"/>
    </xf>
    <xf numFmtId="14" fontId="2" fillId="0" borderId="1" xfId="0" applyNumberFormat="1" applyFont="1" applyBorder="1" applyAlignment="1">
      <alignment horizontal="center" vertical="center"/>
    </xf>
    <xf numFmtId="0" fontId="2" fillId="0" borderId="1" xfId="0" applyFont="1" applyBorder="1" applyAlignment="1">
      <alignment horizontal="left" vertical="center" wrapText="1"/>
    </xf>
    <xf numFmtId="0" fontId="9" fillId="0" borderId="1" xfId="0" applyFont="1" applyBorder="1" applyAlignment="1">
      <alignment horizontal="center" vertical="center" wrapText="1"/>
    </xf>
    <xf numFmtId="0" fontId="8" fillId="0" borderId="1" xfId="0" applyFont="1" applyBorder="1" applyAlignment="1">
      <alignment horizontal="center" vertical="center"/>
    </xf>
    <xf numFmtId="0" fontId="8" fillId="0" borderId="1" xfId="0" applyFont="1" applyBorder="1" applyAlignment="1">
      <alignment horizontal="left" vertical="center" wrapText="1"/>
    </xf>
    <xf numFmtId="0" fontId="2" fillId="0" borderId="1" xfId="0" applyFont="1" applyBorder="1" applyAlignment="1">
      <alignment vertical="center"/>
    </xf>
    <xf numFmtId="166" fontId="2" fillId="0" borderId="1" xfId="1" applyNumberFormat="1" applyFont="1" applyBorder="1" applyAlignment="1" applyProtection="1">
      <alignment vertical="center"/>
    </xf>
    <xf numFmtId="166" fontId="2" fillId="0" borderId="1" xfId="0" applyNumberFormat="1" applyFont="1" applyBorder="1" applyAlignment="1">
      <alignment vertical="center"/>
    </xf>
    <xf numFmtId="0" fontId="2" fillId="0" borderId="0" xfId="0" applyFont="1" applyAlignment="1">
      <alignment vertical="center"/>
    </xf>
    <xf numFmtId="0" fontId="0" fillId="14" borderId="1" xfId="0" applyFill="1" applyBorder="1"/>
    <xf numFmtId="0" fontId="0" fillId="15" borderId="1" xfId="0" applyFill="1" applyBorder="1"/>
    <xf numFmtId="0" fontId="0" fillId="16" borderId="1" xfId="0" applyFill="1" applyBorder="1"/>
    <xf numFmtId="0" fontId="0" fillId="0" borderId="1" xfId="0" quotePrefix="1" applyBorder="1" applyAlignment="1">
      <alignment horizontal="center"/>
    </xf>
    <xf numFmtId="0" fontId="3" fillId="0" borderId="0" xfId="0" applyFont="1" applyAlignment="1">
      <alignment vertical="center"/>
    </xf>
    <xf numFmtId="0" fontId="4" fillId="0" borderId="0" xfId="0" applyFont="1" applyAlignment="1">
      <alignment vertical="center"/>
    </xf>
    <xf numFmtId="0" fontId="5" fillId="0" borderId="0" xfId="0" applyFont="1" applyAlignment="1">
      <alignment vertical="center"/>
    </xf>
    <xf numFmtId="0" fontId="6" fillId="0" borderId="1" xfId="0" applyFont="1" applyBorder="1" applyAlignment="1">
      <alignment horizontal="center" vertical="center"/>
    </xf>
    <xf numFmtId="0" fontId="6" fillId="0" borderId="1" xfId="0" applyFont="1" applyBorder="1" applyAlignment="1">
      <alignment horizontal="center" vertical="center" wrapText="1"/>
    </xf>
    <xf numFmtId="0" fontId="6" fillId="0" borderId="0" xfId="0" applyFont="1" applyAlignment="1">
      <alignment horizontal="center" vertical="center"/>
    </xf>
    <xf numFmtId="0" fontId="2" fillId="0" borderId="1" xfId="0" applyFont="1" applyBorder="1" applyAlignment="1">
      <alignment horizontal="center" vertical="center" wrapText="1"/>
    </xf>
    <xf numFmtId="0" fontId="2" fillId="0" borderId="0" xfId="0" applyFont="1" applyAlignment="1">
      <alignment horizontal="center" vertical="center" wrapText="1"/>
    </xf>
    <xf numFmtId="0" fontId="2" fillId="0" borderId="1" xfId="0" applyFont="1" applyBorder="1" applyAlignment="1">
      <alignment vertical="center" wrapText="1"/>
    </xf>
    <xf numFmtId="0" fontId="2" fillId="0" borderId="0" xfId="0" applyFont="1" applyAlignment="1">
      <alignment vertical="center" wrapText="1"/>
    </xf>
    <xf numFmtId="0" fontId="6" fillId="0" borderId="1" xfId="0" applyFont="1" applyBorder="1" applyAlignment="1">
      <alignment vertical="center"/>
    </xf>
    <xf numFmtId="166" fontId="6" fillId="0" borderId="1" xfId="1" applyNumberFormat="1" applyFont="1" applyBorder="1" applyAlignment="1" applyProtection="1">
      <alignment vertical="center"/>
    </xf>
    <xf numFmtId="166" fontId="6" fillId="0" borderId="1" xfId="0" applyNumberFormat="1" applyFont="1" applyBorder="1" applyAlignment="1">
      <alignment vertical="center"/>
    </xf>
    <xf numFmtId="0" fontId="6" fillId="0" borderId="0" xfId="0" applyFont="1" applyAlignment="1">
      <alignment vertical="center"/>
    </xf>
    <xf numFmtId="0" fontId="2" fillId="0" borderId="0" xfId="0" applyFont="1" applyAlignment="1">
      <alignment horizontal="center" vertical="center"/>
    </xf>
    <xf numFmtId="0" fontId="23" fillId="19" borderId="1" xfId="0" applyFont="1" applyFill="1" applyBorder="1" applyAlignment="1">
      <alignment horizontal="center" vertical="top" wrapText="1"/>
    </xf>
    <xf numFmtId="0" fontId="24" fillId="19" borderId="1" xfId="0" applyFont="1" applyFill="1" applyBorder="1" applyAlignment="1">
      <alignment horizontal="center" vertical="center" wrapText="1"/>
    </xf>
    <xf numFmtId="0" fontId="23" fillId="19" borderId="1" xfId="0" applyFont="1" applyFill="1" applyBorder="1" applyAlignment="1">
      <alignment horizontal="center" vertical="center" wrapText="1"/>
    </xf>
    <xf numFmtId="0" fontId="0" fillId="20" borderId="1" xfId="0" applyFill="1" applyBorder="1"/>
    <xf numFmtId="0" fontId="0" fillId="21" borderId="1" xfId="0" applyFill="1" applyBorder="1"/>
    <xf numFmtId="0" fontId="0" fillId="21" borderId="10" xfId="0" applyFill="1" applyBorder="1"/>
    <xf numFmtId="0" fontId="0" fillId="21" borderId="0" xfId="0" applyFill="1"/>
    <xf numFmtId="0" fontId="0" fillId="0" borderId="1" xfId="0" applyBorder="1" applyAlignment="1">
      <alignment wrapText="1"/>
    </xf>
    <xf numFmtId="0" fontId="0" fillId="22" borderId="1" xfId="0" applyFill="1" applyBorder="1"/>
    <xf numFmtId="0" fontId="6" fillId="18" borderId="1" xfId="0" applyFont="1" applyFill="1" applyBorder="1" applyAlignment="1">
      <alignment horizontal="center"/>
    </xf>
    <xf numFmtId="0" fontId="6" fillId="23" borderId="7" xfId="0" applyFont="1" applyFill="1" applyBorder="1" applyAlignment="1">
      <alignment horizontal="center"/>
    </xf>
    <xf numFmtId="0" fontId="23" fillId="21" borderId="1" xfId="0" applyFont="1" applyFill="1" applyBorder="1" applyAlignment="1">
      <alignment horizontal="center" vertical="top" wrapText="1"/>
    </xf>
    <xf numFmtId="0" fontId="8" fillId="24" borderId="1" xfId="0" applyFont="1" applyFill="1" applyBorder="1"/>
    <xf numFmtId="0" fontId="0" fillId="25" borderId="1" xfId="0" applyFill="1" applyBorder="1"/>
    <xf numFmtId="0" fontId="0" fillId="21" borderId="1" xfId="0" applyFill="1" applyBorder="1" applyAlignment="1">
      <alignment horizontal="center"/>
    </xf>
    <xf numFmtId="0" fontId="0" fillId="25" borderId="1" xfId="0" applyFill="1" applyBorder="1" applyAlignment="1">
      <alignment horizontal="center"/>
    </xf>
    <xf numFmtId="0" fontId="23" fillId="21" borderId="1" xfId="0" applyFont="1" applyFill="1" applyBorder="1" applyAlignment="1">
      <alignment horizontal="center" wrapText="1"/>
    </xf>
    <xf numFmtId="14" fontId="0" fillId="21" borderId="1" xfId="0" applyNumberFormat="1" applyFill="1" applyBorder="1" applyAlignment="1">
      <alignment horizontal="center"/>
    </xf>
    <xf numFmtId="0" fontId="0" fillId="25" borderId="0" xfId="0" applyFill="1" applyAlignment="1">
      <alignment horizontal="center"/>
    </xf>
    <xf numFmtId="0" fontId="8" fillId="24" borderId="1" xfId="0" applyFont="1" applyFill="1" applyBorder="1" applyAlignment="1">
      <alignment horizontal="center"/>
    </xf>
    <xf numFmtId="0" fontId="0" fillId="21" borderId="1" xfId="0" quotePrefix="1" applyFill="1" applyBorder="1" applyAlignment="1">
      <alignment horizontal="center"/>
    </xf>
    <xf numFmtId="167" fontId="0" fillId="0" borderId="1" xfId="0" applyNumberFormat="1" applyBorder="1"/>
    <xf numFmtId="14" fontId="0" fillId="0" borderId="1" xfId="0" applyNumberFormat="1" applyBorder="1"/>
    <xf numFmtId="14" fontId="0" fillId="25" borderId="1" xfId="0" applyNumberFormat="1" applyFill="1" applyBorder="1"/>
    <xf numFmtId="0" fontId="0" fillId="0" borderId="3" xfId="0" applyBorder="1"/>
    <xf numFmtId="0" fontId="2" fillId="26" borderId="4" xfId="0" applyFont="1" applyFill="1" applyBorder="1" applyAlignment="1">
      <alignment horizontal="left" vertical="center" wrapText="1"/>
    </xf>
    <xf numFmtId="0" fontId="8" fillId="25" borderId="5" xfId="0" applyFont="1" applyFill="1" applyBorder="1" applyAlignment="1">
      <alignment horizontal="center" vertical="center" wrapText="1"/>
    </xf>
    <xf numFmtId="0" fontId="7" fillId="25" borderId="5" xfId="0" applyFont="1" applyFill="1" applyBorder="1" applyAlignment="1">
      <alignment horizontal="center" vertical="center" wrapText="1"/>
    </xf>
    <xf numFmtId="164" fontId="8" fillId="25" borderId="5" xfId="3" applyFont="1" applyFill="1" applyBorder="1" applyAlignment="1" applyProtection="1">
      <alignment vertical="center" wrapText="1"/>
    </xf>
    <xf numFmtId="164" fontId="8" fillId="25" borderId="5" xfId="0" applyNumberFormat="1" applyFont="1" applyFill="1" applyBorder="1" applyAlignment="1">
      <alignment vertical="center" wrapText="1"/>
    </xf>
    <xf numFmtId="0" fontId="7" fillId="25" borderId="0" xfId="0" applyFont="1" applyFill="1" applyAlignment="1">
      <alignment vertical="center" wrapText="1"/>
    </xf>
    <xf numFmtId="0" fontId="8" fillId="25" borderId="4" xfId="0" applyFont="1" applyFill="1" applyBorder="1" applyAlignment="1">
      <alignment horizontal="center" vertical="center" wrapText="1"/>
    </xf>
    <xf numFmtId="164" fontId="8" fillId="25" borderId="4" xfId="3" applyFont="1" applyFill="1" applyBorder="1" applyAlignment="1" applyProtection="1">
      <alignment vertical="center" wrapText="1"/>
    </xf>
    <xf numFmtId="164" fontId="8" fillId="25" borderId="4" xfId="0" applyNumberFormat="1" applyFont="1" applyFill="1" applyBorder="1" applyAlignment="1">
      <alignment vertical="center" wrapText="1"/>
    </xf>
    <xf numFmtId="0" fontId="8" fillId="25" borderId="0" xfId="0" applyFont="1" applyFill="1" applyAlignment="1">
      <alignment vertical="center" wrapText="1"/>
    </xf>
    <xf numFmtId="0" fontId="7" fillId="25" borderId="4" xfId="0" applyFont="1" applyFill="1" applyBorder="1" applyAlignment="1">
      <alignment horizontal="center" vertical="center" wrapText="1"/>
    </xf>
    <xf numFmtId="0" fontId="8" fillId="25" borderId="4" xfId="0" applyFont="1" applyFill="1" applyBorder="1" applyAlignment="1">
      <alignment vertical="center" wrapText="1"/>
    </xf>
    <xf numFmtId="0" fontId="8" fillId="25" borderId="8" xfId="0" applyFont="1" applyFill="1" applyBorder="1" applyAlignment="1">
      <alignment horizontal="center" vertical="center" wrapText="1"/>
    </xf>
    <xf numFmtId="164" fontId="8" fillId="25" borderId="8" xfId="3" applyFont="1" applyFill="1" applyBorder="1" applyAlignment="1" applyProtection="1">
      <alignment vertical="center" wrapText="1"/>
    </xf>
    <xf numFmtId="164" fontId="8" fillId="25" borderId="8" xfId="0" applyNumberFormat="1" applyFont="1" applyFill="1" applyBorder="1" applyAlignment="1">
      <alignment vertical="center" wrapText="1"/>
    </xf>
    <xf numFmtId="0" fontId="13" fillId="2" borderId="1" xfId="0" applyFont="1" applyFill="1" applyBorder="1" applyAlignment="1">
      <alignment vertical="center" wrapText="1"/>
    </xf>
    <xf numFmtId="0" fontId="6" fillId="27" borderId="1" xfId="0" applyFont="1" applyFill="1" applyBorder="1" applyAlignment="1">
      <alignment horizontal="center" vertical="center" wrapText="1"/>
    </xf>
    <xf numFmtId="0" fontId="4" fillId="0" borderId="0" xfId="0" applyFont="1" applyAlignment="1">
      <alignment horizontal="left" vertical="center"/>
    </xf>
    <xf numFmtId="0" fontId="2" fillId="0" borderId="0" xfId="0" applyFont="1" applyAlignment="1">
      <alignment horizontal="left" vertical="center"/>
    </xf>
    <xf numFmtId="0" fontId="6" fillId="0" borderId="1" xfId="0" applyFont="1" applyBorder="1" applyAlignment="1">
      <alignment horizontal="left" vertical="center"/>
    </xf>
    <xf numFmtId="0" fontId="2" fillId="0" borderId="1" xfId="0" applyFont="1" applyBorder="1" applyAlignment="1">
      <alignment horizontal="left" vertical="center"/>
    </xf>
    <xf numFmtId="0" fontId="2" fillId="25" borderId="1" xfId="0" applyFont="1" applyFill="1" applyBorder="1" applyAlignment="1">
      <alignment horizontal="center" vertical="center"/>
    </xf>
    <xf numFmtId="14" fontId="2" fillId="25" borderId="1" xfId="0" applyNumberFormat="1" applyFont="1" applyFill="1" applyBorder="1" applyAlignment="1">
      <alignment horizontal="center" vertical="center"/>
    </xf>
    <xf numFmtId="0" fontId="2" fillId="25" borderId="1" xfId="0" applyFont="1" applyFill="1" applyBorder="1" applyAlignment="1">
      <alignment horizontal="left" vertical="center" wrapText="1"/>
    </xf>
    <xf numFmtId="0" fontId="9" fillId="25" borderId="1" xfId="0" applyFont="1" applyFill="1" applyBorder="1" applyAlignment="1">
      <alignment horizontal="center" vertical="center" wrapText="1"/>
    </xf>
    <xf numFmtId="0" fontId="8" fillId="25" borderId="1" xfId="0" applyFont="1" applyFill="1" applyBorder="1" applyAlignment="1">
      <alignment horizontal="left" vertical="center" wrapText="1"/>
    </xf>
    <xf numFmtId="0" fontId="2" fillId="25" borderId="1" xfId="0" applyFont="1" applyFill="1" applyBorder="1" applyAlignment="1">
      <alignment vertical="center"/>
    </xf>
    <xf numFmtId="166" fontId="2" fillId="25" borderId="1" xfId="1" applyNumberFormat="1" applyFont="1" applyFill="1" applyBorder="1" applyAlignment="1" applyProtection="1">
      <alignment vertical="center"/>
    </xf>
    <xf numFmtId="166" fontId="2" fillId="25" borderId="1" xfId="0" applyNumberFormat="1" applyFont="1" applyFill="1" applyBorder="1" applyAlignment="1">
      <alignment vertical="center"/>
    </xf>
    <xf numFmtId="0" fontId="0" fillId="25" borderId="0" xfId="0" applyFill="1"/>
    <xf numFmtId="0" fontId="8" fillId="25" borderId="1" xfId="0" applyFont="1" applyFill="1" applyBorder="1" applyAlignment="1">
      <alignment vertical="center" wrapText="1"/>
    </xf>
    <xf numFmtId="0" fontId="2" fillId="25" borderId="1" xfId="0" applyFont="1" applyFill="1" applyBorder="1" applyAlignment="1">
      <alignment horizontal="center" vertical="center" wrapText="1"/>
    </xf>
    <xf numFmtId="0" fontId="2" fillId="25" borderId="1" xfId="0" applyFont="1" applyFill="1" applyBorder="1" applyAlignment="1">
      <alignment horizontal="left" vertical="center"/>
    </xf>
    <xf numFmtId="0" fontId="2" fillId="25" borderId="1" xfId="0" applyFont="1" applyFill="1" applyBorder="1" applyAlignment="1">
      <alignment vertical="center" wrapText="1"/>
    </xf>
    <xf numFmtId="0" fontId="2" fillId="25" borderId="0" xfId="0" applyFont="1" applyFill="1" applyAlignment="1">
      <alignment vertical="center" wrapText="1"/>
    </xf>
    <xf numFmtId="14" fontId="11" fillId="25" borderId="1" xfId="0" applyNumberFormat="1" applyFont="1" applyFill="1" applyBorder="1" applyAlignment="1">
      <alignment horizontal="center" vertical="center"/>
    </xf>
    <xf numFmtId="0" fontId="2" fillId="25" borderId="1" xfId="0" applyFont="1" applyFill="1" applyBorder="1" applyAlignment="1">
      <alignment horizontal="justify" vertical="center"/>
    </xf>
    <xf numFmtId="0" fontId="12" fillId="25" borderId="1" xfId="0" applyFont="1" applyFill="1" applyBorder="1" applyAlignment="1">
      <alignment horizontal="center" vertical="center" wrapText="1"/>
    </xf>
    <xf numFmtId="0" fontId="8" fillId="25" borderId="1" xfId="0" applyFont="1" applyFill="1" applyBorder="1" applyAlignment="1">
      <alignment horizontal="center" vertical="center"/>
    </xf>
    <xf numFmtId="0" fontId="2" fillId="28" borderId="1" xfId="0" applyFont="1" applyFill="1" applyBorder="1" applyAlignment="1">
      <alignment vertical="center" wrapText="1"/>
    </xf>
    <xf numFmtId="0" fontId="6" fillId="29" borderId="1" xfId="0" applyFont="1" applyFill="1" applyBorder="1" applyAlignment="1">
      <alignment horizontal="center" vertical="center"/>
    </xf>
    <xf numFmtId="0" fontId="6" fillId="29" borderId="1" xfId="0" applyFont="1" applyFill="1" applyBorder="1" applyAlignment="1">
      <alignment horizontal="center" vertical="center" wrapText="1"/>
    </xf>
    <xf numFmtId="0" fontId="6" fillId="29" borderId="11" xfId="0" applyFont="1" applyFill="1" applyBorder="1" applyAlignment="1">
      <alignment horizontal="center" vertical="center" wrapText="1"/>
    </xf>
    <xf numFmtId="0" fontId="2" fillId="29" borderId="1" xfId="0" applyFont="1" applyFill="1" applyBorder="1" applyAlignment="1">
      <alignment horizontal="center" vertical="center"/>
    </xf>
    <xf numFmtId="0" fontId="7" fillId="29" borderId="1" xfId="0" applyFont="1" applyFill="1" applyBorder="1" applyAlignment="1">
      <alignment horizontal="center" vertical="center"/>
    </xf>
    <xf numFmtId="0" fontId="6" fillId="29" borderId="0" xfId="0" applyFont="1" applyFill="1" applyAlignment="1">
      <alignment horizontal="center" vertical="center"/>
    </xf>
    <xf numFmtId="0" fontId="6" fillId="30" borderId="1" xfId="0" applyFont="1" applyFill="1" applyBorder="1" applyAlignment="1">
      <alignment horizontal="center" vertical="center"/>
    </xf>
    <xf numFmtId="0" fontId="13" fillId="31" borderId="1" xfId="0" applyFont="1" applyFill="1" applyBorder="1" applyAlignment="1">
      <alignment vertical="center" wrapText="1"/>
    </xf>
    <xf numFmtId="0" fontId="13" fillId="31" borderId="1" xfId="0" applyFont="1" applyFill="1" applyBorder="1" applyAlignment="1">
      <alignment horizontal="center" vertical="center" wrapText="1"/>
    </xf>
    <xf numFmtId="164" fontId="13" fillId="31" borderId="1" xfId="0" applyNumberFormat="1" applyFont="1" applyFill="1" applyBorder="1" applyAlignment="1">
      <alignment vertical="center" wrapText="1"/>
    </xf>
    <xf numFmtId="0" fontId="25" fillId="0" borderId="1" xfId="0" applyFont="1" applyBorder="1" applyAlignment="1">
      <alignment horizontal="center" vertical="center"/>
    </xf>
    <xf numFmtId="0" fontId="26" fillId="0" borderId="0" xfId="0" applyFont="1"/>
    <xf numFmtId="0" fontId="26" fillId="0" borderId="1" xfId="0" applyFont="1" applyBorder="1"/>
    <xf numFmtId="0" fontId="26" fillId="0" borderId="0" xfId="0" applyFont="1" applyAlignment="1">
      <alignment vertical="center"/>
    </xf>
    <xf numFmtId="0" fontId="26" fillId="0" borderId="1" xfId="0" applyFont="1" applyBorder="1" applyAlignment="1">
      <alignment vertical="center"/>
    </xf>
    <xf numFmtId="0" fontId="26" fillId="0" borderId="1" xfId="0" applyFont="1" applyBorder="1" applyAlignment="1">
      <alignment horizontal="center" vertical="center"/>
    </xf>
    <xf numFmtId="0" fontId="26" fillId="0" borderId="0" xfId="0" applyFont="1" applyAlignment="1">
      <alignment horizontal="center" vertical="center"/>
    </xf>
    <xf numFmtId="14" fontId="26" fillId="0" borderId="1" xfId="0" applyNumberFormat="1" applyFont="1" applyBorder="1" applyAlignment="1">
      <alignment horizontal="center" vertical="center"/>
    </xf>
    <xf numFmtId="0" fontId="25" fillId="0" borderId="0" xfId="0" applyFont="1" applyAlignment="1">
      <alignment horizontal="center"/>
    </xf>
    <xf numFmtId="166" fontId="25" fillId="14" borderId="1" xfId="1" applyNumberFormat="1" applyFont="1" applyFill="1" applyBorder="1" applyAlignment="1">
      <alignment horizontal="center"/>
    </xf>
    <xf numFmtId="166" fontId="25" fillId="15" borderId="1" xfId="1" applyNumberFormat="1" applyFont="1" applyFill="1" applyBorder="1" applyAlignment="1">
      <alignment horizontal="center"/>
    </xf>
    <xf numFmtId="166" fontId="26" fillId="0" borderId="1" xfId="1" applyNumberFormat="1" applyFont="1" applyBorder="1"/>
    <xf numFmtId="0" fontId="6" fillId="31" borderId="3" xfId="0" applyFont="1" applyFill="1" applyBorder="1" applyAlignment="1">
      <alignment horizontal="center" vertical="center" wrapText="1"/>
    </xf>
    <xf numFmtId="0" fontId="6" fillId="31" borderId="1" xfId="0" applyFont="1" applyFill="1" applyBorder="1" applyAlignment="1">
      <alignment horizontal="center" vertical="center"/>
    </xf>
    <xf numFmtId="0" fontId="7" fillId="31" borderId="1" xfId="0" applyFont="1" applyFill="1" applyBorder="1" applyAlignment="1">
      <alignment horizontal="center" vertical="center"/>
    </xf>
    <xf numFmtId="0" fontId="2" fillId="31" borderId="1" xfId="0" applyFont="1" applyFill="1" applyBorder="1" applyAlignment="1">
      <alignment horizontal="center" vertical="center"/>
    </xf>
    <xf numFmtId="0" fontId="6" fillId="32" borderId="1" xfId="0" applyFont="1" applyFill="1" applyBorder="1" applyAlignment="1">
      <alignment horizontal="left" vertical="center" wrapText="1"/>
    </xf>
    <xf numFmtId="0" fontId="20" fillId="33" borderId="1" xfId="0" applyFont="1" applyFill="1" applyBorder="1"/>
    <xf numFmtId="0" fontId="20" fillId="34" borderId="1" xfId="0" applyFont="1" applyFill="1" applyBorder="1"/>
    <xf numFmtId="16" fontId="0" fillId="0" borderId="1" xfId="0" quotePrefix="1" applyNumberFormat="1" applyBorder="1"/>
    <xf numFmtId="0" fontId="20" fillId="4" borderId="1" xfId="0" applyFont="1" applyFill="1" applyBorder="1" applyAlignment="1">
      <alignment horizontal="center" vertical="center"/>
    </xf>
    <xf numFmtId="0" fontId="20" fillId="9" borderId="1" xfId="0" applyFont="1" applyFill="1" applyBorder="1" applyAlignment="1">
      <alignment horizontal="center" vertical="center"/>
    </xf>
    <xf numFmtId="0" fontId="20" fillId="10" borderId="1" xfId="0" applyFont="1" applyFill="1" applyBorder="1" applyAlignment="1">
      <alignment horizontal="center" vertical="center"/>
    </xf>
    <xf numFmtId="0" fontId="20" fillId="11" borderId="1" xfId="0" applyFont="1" applyFill="1" applyBorder="1" applyAlignment="1">
      <alignment horizontal="center" vertical="center"/>
    </xf>
    <xf numFmtId="0" fontId="2" fillId="25" borderId="1" xfId="0" quotePrefix="1" applyFont="1" applyFill="1" applyBorder="1" applyAlignment="1">
      <alignment horizontal="left" vertical="center" wrapText="1"/>
    </xf>
    <xf numFmtId="0" fontId="2" fillId="0" borderId="11" xfId="0" applyFont="1" applyBorder="1" applyAlignment="1">
      <alignment horizontal="center"/>
    </xf>
    <xf numFmtId="0" fontId="8" fillId="6" borderId="11" xfId="0" applyFont="1" applyFill="1" applyBorder="1" applyAlignment="1">
      <alignment vertical="center" wrapText="1"/>
    </xf>
    <xf numFmtId="0" fontId="2" fillId="0" borderId="11" xfId="0" applyFont="1" applyBorder="1"/>
    <xf numFmtId="0" fontId="8" fillId="26" borderId="4" xfId="0" applyFont="1" applyFill="1" applyBorder="1" applyAlignment="1">
      <alignment vertical="center" wrapText="1"/>
    </xf>
    <xf numFmtId="0" fontId="2" fillId="25" borderId="2" xfId="0" applyFont="1" applyFill="1" applyBorder="1" applyAlignment="1">
      <alignment vertical="center" wrapText="1"/>
    </xf>
    <xf numFmtId="0" fontId="2" fillId="14" borderId="1" xfId="0" applyFont="1" applyFill="1" applyBorder="1" applyAlignment="1">
      <alignment horizontal="center" vertical="center" wrapText="1"/>
    </xf>
    <xf numFmtId="0" fontId="8" fillId="6" borderId="16" xfId="0" applyFont="1" applyFill="1" applyBorder="1" applyAlignment="1">
      <alignment vertical="center" wrapText="1"/>
    </xf>
    <xf numFmtId="0" fontId="8" fillId="6" borderId="5" xfId="0" applyFont="1" applyFill="1" applyBorder="1" applyAlignment="1">
      <alignment vertical="center" wrapText="1"/>
    </xf>
    <xf numFmtId="14" fontId="0" fillId="21" borderId="1" xfId="0" quotePrefix="1" applyNumberFormat="1" applyFill="1" applyBorder="1" applyAlignment="1">
      <alignment horizontal="center"/>
    </xf>
    <xf numFmtId="0" fontId="28" fillId="14" borderId="11" xfId="0" applyFont="1" applyFill="1" applyBorder="1" applyAlignment="1">
      <alignment vertical="center" wrapText="1"/>
    </xf>
    <xf numFmtId="14" fontId="0" fillId="0" borderId="1" xfId="0" applyNumberFormat="1" applyBorder="1" applyAlignment="1">
      <alignment horizontal="center"/>
    </xf>
    <xf numFmtId="0" fontId="0" fillId="0" borderId="1" xfId="0" quotePrefix="1" applyBorder="1"/>
    <xf numFmtId="0" fontId="20" fillId="35" borderId="1" xfId="0" applyFont="1" applyFill="1" applyBorder="1"/>
    <xf numFmtId="0" fontId="8" fillId="6" borderId="10" xfId="0" applyFont="1" applyFill="1" applyBorder="1" applyAlignment="1">
      <alignment vertical="center" wrapText="1"/>
    </xf>
    <xf numFmtId="0" fontId="2" fillId="25" borderId="10" xfId="0" applyFont="1" applyFill="1" applyBorder="1" applyAlignment="1">
      <alignment horizontal="left" vertical="center" wrapText="1"/>
    </xf>
    <xf numFmtId="14" fontId="26" fillId="0" borderId="1" xfId="0" quotePrefix="1" applyNumberFormat="1" applyFont="1" applyBorder="1" applyAlignment="1">
      <alignment horizontal="center" vertical="center"/>
    </xf>
    <xf numFmtId="0" fontId="2" fillId="6" borderId="10" xfId="0" applyFont="1" applyFill="1" applyBorder="1" applyAlignment="1">
      <alignment horizontal="center" vertical="center" wrapText="1"/>
    </xf>
    <xf numFmtId="0" fontId="3" fillId="0" borderId="0" xfId="0" applyFont="1" applyAlignment="1">
      <alignment horizontal="center" vertical="center"/>
    </xf>
    <xf numFmtId="0" fontId="29" fillId="6" borderId="4" xfId="0" applyFont="1" applyFill="1" applyBorder="1" applyAlignment="1">
      <alignment vertical="center" wrapText="1"/>
    </xf>
    <xf numFmtId="0" fontId="30" fillId="17" borderId="1" xfId="0" applyFont="1" applyFill="1" applyBorder="1"/>
    <xf numFmtId="0" fontId="2" fillId="14" borderId="1" xfId="0" applyFont="1" applyFill="1" applyBorder="1" applyAlignment="1">
      <alignment vertical="center" wrapText="1"/>
    </xf>
    <xf numFmtId="0" fontId="5" fillId="0" borderId="0" xfId="0" applyFont="1" applyAlignment="1">
      <alignment horizontal="center" vertical="center"/>
    </xf>
    <xf numFmtId="0" fontId="8" fillId="25" borderId="1" xfId="0" applyFont="1" applyFill="1" applyBorder="1" applyAlignment="1">
      <alignment horizontal="center" vertical="center" wrapText="1"/>
    </xf>
    <xf numFmtId="166" fontId="2" fillId="0" borderId="1" xfId="1" applyNumberFormat="1" applyFont="1" applyBorder="1" applyAlignment="1" applyProtection="1">
      <alignment horizontal="center" vertical="center"/>
    </xf>
    <xf numFmtId="0" fontId="8" fillId="6" borderId="5" xfId="0" applyFont="1" applyFill="1" applyBorder="1" applyAlignment="1">
      <alignment horizontal="center" vertical="center" wrapText="1"/>
    </xf>
    <xf numFmtId="0" fontId="8" fillId="6" borderId="1" xfId="0" applyFont="1" applyFill="1" applyBorder="1" applyAlignment="1">
      <alignment horizontal="center" vertical="center" wrapText="1"/>
    </xf>
    <xf numFmtId="0" fontId="8" fillId="6" borderId="5" xfId="0" applyFont="1" applyFill="1" applyBorder="1" applyAlignment="1">
      <alignment horizontal="center" vertical="center" wrapText="1" shrinkToFit="1"/>
    </xf>
    <xf numFmtId="0" fontId="2" fillId="26" borderId="4" xfId="0" applyFont="1" applyFill="1" applyBorder="1" applyAlignment="1">
      <alignment vertical="center" wrapText="1"/>
    </xf>
    <xf numFmtId="0" fontId="2" fillId="25" borderId="1" xfId="0" quotePrefix="1" applyFont="1" applyFill="1" applyBorder="1" applyAlignment="1">
      <alignment vertical="center" wrapText="1"/>
    </xf>
    <xf numFmtId="0" fontId="2" fillId="14" borderId="1" xfId="0" applyFont="1" applyFill="1" applyBorder="1" applyAlignment="1">
      <alignment horizontal="center" vertical="center"/>
    </xf>
    <xf numFmtId="14" fontId="2" fillId="14" borderId="1" xfId="0" applyNumberFormat="1" applyFont="1" applyFill="1" applyBorder="1" applyAlignment="1">
      <alignment horizontal="center" vertical="center"/>
    </xf>
    <xf numFmtId="0" fontId="8" fillId="26" borderId="1" xfId="0" applyFont="1" applyFill="1" applyBorder="1" applyAlignment="1">
      <alignment horizontal="left" vertical="center" wrapText="1"/>
    </xf>
    <xf numFmtId="0" fontId="2" fillId="14" borderId="1" xfId="0" applyFont="1" applyFill="1" applyBorder="1" applyAlignment="1">
      <alignment vertical="center"/>
    </xf>
    <xf numFmtId="166" fontId="2" fillId="14" borderId="1" xfId="1" applyNumberFormat="1" applyFont="1" applyFill="1" applyBorder="1" applyAlignment="1" applyProtection="1">
      <alignment vertical="center"/>
    </xf>
    <xf numFmtId="166" fontId="2" fillId="14" borderId="1" xfId="0" applyNumberFormat="1" applyFont="1" applyFill="1" applyBorder="1" applyAlignment="1">
      <alignment vertical="center"/>
    </xf>
    <xf numFmtId="0" fontId="2" fillId="14" borderId="0" xfId="0" applyFont="1" applyFill="1" applyAlignment="1">
      <alignment vertical="center"/>
    </xf>
    <xf numFmtId="0" fontId="6" fillId="14" borderId="1" xfId="0" applyFont="1" applyFill="1" applyBorder="1" applyAlignment="1">
      <alignment horizontal="center" vertical="center"/>
    </xf>
    <xf numFmtId="166" fontId="22" fillId="14" borderId="1" xfId="1" applyNumberFormat="1" applyFont="1" applyFill="1" applyBorder="1" applyAlignment="1">
      <alignment horizontal="center" vertical="center"/>
    </xf>
    <xf numFmtId="0" fontId="11" fillId="36" borderId="1" xfId="0" applyFont="1" applyFill="1" applyBorder="1" applyAlignment="1">
      <alignment horizontal="left" vertical="center" wrapText="1"/>
    </xf>
    <xf numFmtId="0" fontId="26" fillId="25" borderId="1" xfId="0" applyFont="1" applyFill="1" applyBorder="1" applyAlignment="1">
      <alignment horizontal="center" vertical="center"/>
    </xf>
    <xf numFmtId="14" fontId="26" fillId="25" borderId="1" xfId="0" quotePrefix="1" applyNumberFormat="1" applyFont="1" applyFill="1" applyBorder="1" applyAlignment="1">
      <alignment horizontal="center" vertical="center"/>
    </xf>
    <xf numFmtId="0" fontId="26" fillId="25" borderId="1" xfId="0" applyFont="1" applyFill="1" applyBorder="1" applyAlignment="1">
      <alignment vertical="center"/>
    </xf>
    <xf numFmtId="0" fontId="26" fillId="25" borderId="0" xfId="0" applyFont="1" applyFill="1" applyAlignment="1">
      <alignment vertical="center"/>
    </xf>
    <xf numFmtId="0" fontId="31" fillId="11" borderId="1" xfId="0" applyFont="1" applyFill="1" applyBorder="1" applyAlignment="1">
      <alignment vertical="center"/>
    </xf>
    <xf numFmtId="0" fontId="31" fillId="11" borderId="1" xfId="0" applyFont="1" applyFill="1" applyBorder="1" applyAlignment="1">
      <alignment horizontal="center" vertical="center"/>
    </xf>
    <xf numFmtId="0" fontId="2" fillId="26" borderId="1" xfId="0" applyFont="1" applyFill="1" applyBorder="1" applyAlignment="1">
      <alignment horizontal="center" vertical="center" wrapText="1"/>
    </xf>
    <xf numFmtId="0" fontId="2" fillId="26" borderId="1" xfId="0" applyFont="1" applyFill="1" applyBorder="1" applyAlignment="1">
      <alignment vertical="center" wrapText="1"/>
    </xf>
    <xf numFmtId="0" fontId="2" fillId="26" borderId="0" xfId="0" applyFont="1" applyFill="1" applyAlignment="1">
      <alignment vertical="center" wrapText="1"/>
    </xf>
    <xf numFmtId="16" fontId="0" fillId="0" borderId="1" xfId="0" quotePrefix="1" applyNumberFormat="1" applyBorder="1" applyAlignment="1">
      <alignment horizontal="center"/>
    </xf>
    <xf numFmtId="0" fontId="8" fillId="6" borderId="16" xfId="0" applyFont="1" applyFill="1" applyBorder="1" applyAlignment="1">
      <alignment horizontal="center" vertical="center" wrapText="1"/>
    </xf>
    <xf numFmtId="0" fontId="9" fillId="14" borderId="1" xfId="0" applyFont="1" applyFill="1" applyBorder="1" applyAlignment="1">
      <alignment horizontal="center" vertical="center" wrapText="1"/>
    </xf>
    <xf numFmtId="166" fontId="25" fillId="0" borderId="11" xfId="1" applyNumberFormat="1" applyFont="1" applyBorder="1" applyAlignment="1">
      <alignment horizontal="center" vertical="center"/>
    </xf>
    <xf numFmtId="0" fontId="2" fillId="25" borderId="2" xfId="0" applyFont="1" applyFill="1" applyBorder="1" applyAlignment="1">
      <alignment vertical="center"/>
    </xf>
    <xf numFmtId="0" fontId="4" fillId="14" borderId="0" xfId="0" applyFont="1" applyFill="1" applyAlignment="1">
      <alignment horizontal="center" vertical="center"/>
    </xf>
    <xf numFmtId="0" fontId="2" fillId="14" borderId="0" xfId="0" applyFont="1" applyFill="1" applyAlignment="1">
      <alignment horizontal="center" vertical="center"/>
    </xf>
    <xf numFmtId="166" fontId="25" fillId="37" borderId="1" xfId="1" applyNumberFormat="1" applyFont="1" applyFill="1" applyBorder="1" applyAlignment="1">
      <alignment horizontal="center"/>
    </xf>
    <xf numFmtId="166" fontId="25" fillId="38" borderId="1" xfId="1" applyNumberFormat="1" applyFont="1" applyFill="1" applyBorder="1" applyAlignment="1">
      <alignment horizontal="center"/>
    </xf>
    <xf numFmtId="0" fontId="26" fillId="38" borderId="1" xfId="0" applyFont="1" applyFill="1" applyBorder="1" applyAlignment="1">
      <alignment horizontal="center" vertical="center"/>
    </xf>
    <xf numFmtId="14" fontId="26" fillId="38" borderId="1" xfId="0" applyNumberFormat="1" applyFont="1" applyFill="1" applyBorder="1" applyAlignment="1">
      <alignment horizontal="center" vertical="center"/>
    </xf>
    <xf numFmtId="166" fontId="26" fillId="38" borderId="1" xfId="1" applyNumberFormat="1" applyFont="1" applyFill="1" applyBorder="1"/>
    <xf numFmtId="0" fontId="26" fillId="38" borderId="0" xfId="0" applyFont="1" applyFill="1"/>
    <xf numFmtId="0" fontId="8" fillId="26" borderId="1" xfId="0" applyFont="1" applyFill="1" applyBorder="1" applyAlignment="1">
      <alignment vertical="center" wrapText="1"/>
    </xf>
    <xf numFmtId="0" fontId="0" fillId="14" borderId="0" xfId="0" applyFill="1"/>
    <xf numFmtId="0" fontId="2" fillId="14" borderId="10" xfId="0" applyFont="1" applyFill="1" applyBorder="1" applyAlignment="1">
      <alignment vertical="center"/>
    </xf>
    <xf numFmtId="0" fontId="32" fillId="25" borderId="1" xfId="0" applyFont="1" applyFill="1" applyBorder="1" applyAlignment="1">
      <alignment vertical="center"/>
    </xf>
    <xf numFmtId="0" fontId="29" fillId="0" borderId="1" xfId="0" applyFont="1" applyBorder="1" applyAlignment="1">
      <alignment vertical="center" wrapText="1"/>
    </xf>
    <xf numFmtId="0" fontId="29" fillId="6" borderId="4" xfId="0" applyFont="1" applyFill="1" applyBorder="1" applyAlignment="1">
      <alignment horizontal="center" vertical="center" wrapText="1"/>
    </xf>
    <xf numFmtId="0" fontId="2" fillId="36" borderId="1" xfId="0" applyFont="1" applyFill="1" applyBorder="1" applyAlignment="1">
      <alignment horizontal="left" vertical="center" wrapText="1"/>
    </xf>
    <xf numFmtId="166" fontId="2" fillId="25" borderId="1" xfId="0" applyNumberFormat="1" applyFont="1" applyFill="1" applyBorder="1" applyAlignment="1">
      <alignment horizontal="center" vertical="center"/>
    </xf>
    <xf numFmtId="166" fontId="21" fillId="25" borderId="1" xfId="1" applyNumberFormat="1" applyFill="1" applyBorder="1" applyAlignment="1">
      <alignment vertical="center"/>
    </xf>
    <xf numFmtId="14" fontId="2" fillId="25" borderId="1" xfId="0" applyNumberFormat="1" applyFont="1" applyFill="1" applyBorder="1" applyAlignment="1">
      <alignment vertical="center"/>
    </xf>
    <xf numFmtId="0" fontId="2" fillId="25" borderId="2" xfId="0" applyFont="1" applyFill="1" applyBorder="1" applyAlignment="1">
      <alignment horizontal="center" vertical="center"/>
    </xf>
    <xf numFmtId="0" fontId="9" fillId="25" borderId="2" xfId="0" applyFont="1" applyFill="1" applyBorder="1" applyAlignment="1">
      <alignment horizontal="center" vertical="center" wrapText="1"/>
    </xf>
    <xf numFmtId="0" fontId="9" fillId="25" borderId="11" xfId="0" applyFont="1" applyFill="1" applyBorder="1" applyAlignment="1">
      <alignment horizontal="center" vertical="center" wrapText="1"/>
    </xf>
    <xf numFmtId="166" fontId="2" fillId="14" borderId="1" xfId="0" applyNumberFormat="1" applyFont="1" applyFill="1" applyBorder="1" applyAlignment="1">
      <alignment horizontal="center" vertical="center"/>
    </xf>
    <xf numFmtId="0" fontId="6" fillId="31" borderId="1" xfId="0" applyFont="1" applyFill="1" applyBorder="1" applyAlignment="1">
      <alignment vertical="center"/>
    </xf>
    <xf numFmtId="0" fontId="2" fillId="14" borderId="2" xfId="0" applyFont="1" applyFill="1" applyBorder="1" applyAlignment="1">
      <alignment vertical="center"/>
    </xf>
    <xf numFmtId="166" fontId="6" fillId="0" borderId="0" xfId="0" applyNumberFormat="1" applyFont="1"/>
    <xf numFmtId="166" fontId="6" fillId="0" borderId="1" xfId="0" applyNumberFormat="1" applyFont="1" applyBorder="1"/>
    <xf numFmtId="166" fontId="36" fillId="0" borderId="1" xfId="1" applyNumberFormat="1" applyFont="1" applyBorder="1" applyAlignment="1">
      <alignment vertical="center"/>
    </xf>
    <xf numFmtId="0" fontId="2" fillId="25" borderId="2" xfId="0" applyFont="1" applyFill="1" applyBorder="1" applyAlignment="1">
      <alignment horizontal="left" vertical="center" wrapText="1"/>
    </xf>
    <xf numFmtId="166" fontId="2" fillId="25" borderId="2" xfId="0" applyNumberFormat="1" applyFont="1" applyFill="1" applyBorder="1" applyAlignment="1">
      <alignment vertical="center"/>
    </xf>
    <xf numFmtId="166" fontId="2" fillId="14" borderId="2" xfId="0" applyNumberFormat="1" applyFont="1" applyFill="1" applyBorder="1" applyAlignment="1">
      <alignment horizontal="center" vertical="center"/>
    </xf>
    <xf numFmtId="166" fontId="2" fillId="0" borderId="2" xfId="1" applyNumberFormat="1" applyFont="1" applyBorder="1" applyAlignment="1" applyProtection="1">
      <alignment vertical="center"/>
    </xf>
    <xf numFmtId="0" fontId="2" fillId="0" borderId="11" xfId="0" applyFont="1" applyBorder="1" applyAlignment="1">
      <alignment horizontal="center" vertical="center"/>
    </xf>
    <xf numFmtId="0" fontId="9" fillId="0" borderId="11" xfId="0" applyFont="1" applyBorder="1" applyAlignment="1">
      <alignment horizontal="center" vertical="center" wrapText="1"/>
    </xf>
    <xf numFmtId="0" fontId="8" fillId="0" borderId="11" xfId="0" applyFont="1" applyBorder="1" applyAlignment="1">
      <alignment horizontal="center" vertical="center"/>
    </xf>
    <xf numFmtId="0" fontId="2" fillId="25" borderId="11" xfId="0" applyFont="1" applyFill="1" applyBorder="1" applyAlignment="1">
      <alignment horizontal="left" vertical="center" wrapText="1"/>
    </xf>
    <xf numFmtId="0" fontId="2" fillId="0" borderId="11" xfId="0" applyFont="1" applyBorder="1" applyAlignment="1">
      <alignment vertical="center"/>
    </xf>
    <xf numFmtId="0" fontId="2" fillId="25" borderId="11" xfId="0" applyFont="1" applyFill="1" applyBorder="1" applyAlignment="1">
      <alignment vertical="center"/>
    </xf>
    <xf numFmtId="166" fontId="2" fillId="0" borderId="11" xfId="0" applyNumberFormat="1" applyFont="1" applyBorder="1" applyAlignment="1">
      <alignment vertical="center"/>
    </xf>
    <xf numFmtId="166" fontId="2" fillId="0" borderId="11" xfId="1" applyNumberFormat="1" applyFont="1" applyBorder="1" applyAlignment="1" applyProtection="1">
      <alignment horizontal="center" vertical="center"/>
    </xf>
    <xf numFmtId="166" fontId="2" fillId="0" borderId="11" xfId="1" applyNumberFormat="1" applyFont="1" applyBorder="1" applyAlignment="1" applyProtection="1">
      <alignment vertical="center"/>
    </xf>
    <xf numFmtId="14" fontId="2" fillId="25" borderId="2" xfId="0" applyNumberFormat="1" applyFont="1" applyFill="1" applyBorder="1" applyAlignment="1">
      <alignment horizontal="center" vertical="center"/>
    </xf>
    <xf numFmtId="14" fontId="2" fillId="25" borderId="11" xfId="0" applyNumberFormat="1" applyFont="1" applyFill="1" applyBorder="1" applyAlignment="1">
      <alignment horizontal="center" vertical="center"/>
    </xf>
    <xf numFmtId="166" fontId="2" fillId="14" borderId="11" xfId="0" applyNumberFormat="1" applyFont="1" applyFill="1" applyBorder="1" applyAlignment="1">
      <alignment horizontal="center" vertical="center"/>
    </xf>
    <xf numFmtId="0" fontId="32" fillId="36" borderId="1" xfId="0" applyFont="1" applyFill="1" applyBorder="1" applyAlignment="1">
      <alignment horizontal="left" vertical="center" wrapText="1"/>
    </xf>
    <xf numFmtId="0" fontId="37" fillId="25" borderId="1" xfId="0" applyFont="1" applyFill="1" applyBorder="1" applyAlignment="1">
      <alignment horizontal="center" vertical="center" wrapText="1"/>
    </xf>
    <xf numFmtId="0" fontId="2" fillId="39" borderId="0" xfId="0" applyFont="1" applyFill="1" applyAlignment="1">
      <alignment vertical="center" wrapText="1"/>
    </xf>
    <xf numFmtId="0" fontId="2" fillId="39" borderId="1" xfId="0" applyFont="1" applyFill="1" applyBorder="1" applyAlignment="1">
      <alignment horizontal="center" vertical="center" wrapText="1"/>
    </xf>
    <xf numFmtId="0" fontId="2" fillId="36" borderId="1" xfId="0" applyFont="1" applyFill="1" applyBorder="1" applyAlignment="1">
      <alignment vertical="center" wrapText="1"/>
    </xf>
    <xf numFmtId="0" fontId="9" fillId="36" borderId="1" xfId="0" applyFont="1" applyFill="1" applyBorder="1" applyAlignment="1">
      <alignment horizontal="center" vertical="center" wrapText="1"/>
    </xf>
    <xf numFmtId="0" fontId="37" fillId="14" borderId="1" xfId="0" applyFont="1" applyFill="1" applyBorder="1" applyAlignment="1">
      <alignment horizontal="center" vertical="center" wrapText="1"/>
    </xf>
    <xf numFmtId="0" fontId="37" fillId="0" borderId="1" xfId="0" applyFont="1" applyBorder="1" applyAlignment="1">
      <alignment horizontal="center" vertical="center" wrapText="1"/>
    </xf>
    <xf numFmtId="0" fontId="2" fillId="14" borderId="2" xfId="0" applyFont="1" applyFill="1" applyBorder="1" applyAlignment="1">
      <alignment horizontal="left" vertical="center" wrapText="1"/>
    </xf>
    <xf numFmtId="0" fontId="8" fillId="25" borderId="2" xfId="0" applyFont="1" applyFill="1" applyBorder="1" applyAlignment="1">
      <alignment horizontal="center" vertical="center"/>
    </xf>
    <xf numFmtId="0" fontId="2" fillId="25" borderId="2" xfId="0" applyFont="1" applyFill="1" applyBorder="1" applyAlignment="1">
      <alignment horizontal="left" vertical="center"/>
    </xf>
    <xf numFmtId="0" fontId="8" fillId="6" borderId="2" xfId="0" applyFont="1" applyFill="1" applyBorder="1" applyAlignment="1">
      <alignment vertical="center" wrapText="1"/>
    </xf>
    <xf numFmtId="166" fontId="21" fillId="25" borderId="2" xfId="1" applyNumberFormat="1" applyFill="1" applyBorder="1" applyAlignment="1">
      <alignment vertical="center"/>
    </xf>
    <xf numFmtId="166" fontId="2" fillId="25" borderId="2" xfId="1" applyNumberFormat="1" applyFont="1" applyFill="1" applyBorder="1" applyAlignment="1" applyProtection="1">
      <alignment vertical="center"/>
    </xf>
    <xf numFmtId="0" fontId="2" fillId="0" borderId="2" xfId="0" applyFont="1" applyBorder="1" applyAlignment="1">
      <alignment vertical="center"/>
    </xf>
    <xf numFmtId="0" fontId="37" fillId="36" borderId="11" xfId="0" applyFont="1" applyFill="1" applyBorder="1" applyAlignment="1">
      <alignment horizontal="center" vertical="center" wrapText="1"/>
    </xf>
    <xf numFmtId="0" fontId="6" fillId="31" borderId="3" xfId="0" applyFont="1" applyFill="1" applyBorder="1" applyAlignment="1">
      <alignment horizontal="center" vertical="center"/>
    </xf>
    <xf numFmtId="0" fontId="6" fillId="31" borderId="12" xfId="0" applyFont="1" applyFill="1" applyBorder="1" applyAlignment="1">
      <alignment horizontal="center" vertical="center"/>
    </xf>
    <xf numFmtId="0" fontId="6" fillId="31" borderId="7" xfId="0" applyFont="1" applyFill="1" applyBorder="1" applyAlignment="1">
      <alignment horizontal="center" vertical="center"/>
    </xf>
    <xf numFmtId="0" fontId="2" fillId="25" borderId="2" xfId="0" applyFont="1" applyFill="1" applyBorder="1" applyAlignment="1">
      <alignment horizontal="center" vertical="center" wrapText="1"/>
    </xf>
    <xf numFmtId="0" fontId="2" fillId="25" borderId="11" xfId="0" applyFont="1" applyFill="1" applyBorder="1" applyAlignment="1">
      <alignment horizontal="center" vertical="center" wrapText="1"/>
    </xf>
    <xf numFmtId="0" fontId="6" fillId="27" borderId="1" xfId="0" applyFont="1" applyFill="1" applyBorder="1" applyAlignment="1">
      <alignment horizontal="center" vertical="center"/>
    </xf>
    <xf numFmtId="0" fontId="2" fillId="25" borderId="2" xfId="0" applyFont="1" applyFill="1" applyBorder="1" applyAlignment="1">
      <alignment horizontal="center" vertical="center"/>
    </xf>
    <xf numFmtId="0" fontId="2" fillId="25" borderId="10" xfId="0" applyFont="1" applyFill="1" applyBorder="1" applyAlignment="1">
      <alignment horizontal="center" vertical="center"/>
    </xf>
    <xf numFmtId="0" fontId="2" fillId="25" borderId="11" xfId="0" applyFont="1" applyFill="1" applyBorder="1" applyAlignment="1">
      <alignment horizontal="center" vertical="center"/>
    </xf>
    <xf numFmtId="14" fontId="2" fillId="25" borderId="2" xfId="0" applyNumberFormat="1" applyFont="1" applyFill="1" applyBorder="1" applyAlignment="1">
      <alignment horizontal="center" vertical="center"/>
    </xf>
    <xf numFmtId="14" fontId="2" fillId="25" borderId="10" xfId="0" applyNumberFormat="1" applyFont="1" applyFill="1" applyBorder="1" applyAlignment="1">
      <alignment horizontal="center" vertical="center"/>
    </xf>
    <xf numFmtId="14" fontId="2" fillId="25" borderId="11" xfId="0" applyNumberFormat="1" applyFont="1" applyFill="1" applyBorder="1" applyAlignment="1">
      <alignment horizontal="center" vertical="center"/>
    </xf>
    <xf numFmtId="0" fontId="9" fillId="36" borderId="2" xfId="0" applyFont="1" applyFill="1" applyBorder="1" applyAlignment="1">
      <alignment horizontal="center" vertical="center" wrapText="1"/>
    </xf>
    <xf numFmtId="0" fontId="9" fillId="36" borderId="10" xfId="0" applyFont="1" applyFill="1" applyBorder="1" applyAlignment="1">
      <alignment horizontal="center" vertical="center" wrapText="1"/>
    </xf>
    <xf numFmtId="0" fontId="9" fillId="36" borderId="11" xfId="0" applyFont="1" applyFill="1" applyBorder="1" applyAlignment="1">
      <alignment horizontal="center" vertical="center" wrapText="1"/>
    </xf>
    <xf numFmtId="0" fontId="9" fillId="25" borderId="2" xfId="0" applyFont="1" applyFill="1" applyBorder="1" applyAlignment="1">
      <alignment horizontal="center" vertical="center" wrapText="1"/>
    </xf>
    <xf numFmtId="0" fontId="9" fillId="25" borderId="10" xfId="0" applyFont="1" applyFill="1" applyBorder="1" applyAlignment="1">
      <alignment horizontal="center" vertical="center" wrapText="1"/>
    </xf>
    <xf numFmtId="0" fontId="9" fillId="25" borderId="11" xfId="0" applyFont="1" applyFill="1" applyBorder="1" applyAlignment="1">
      <alignment horizontal="center" vertical="center" wrapText="1"/>
    </xf>
    <xf numFmtId="0" fontId="2" fillId="36" borderId="2" xfId="0" applyFont="1" applyFill="1" applyBorder="1" applyAlignment="1">
      <alignment horizontal="center" vertical="center" wrapText="1"/>
    </xf>
    <xf numFmtId="0" fontId="2" fillId="36" borderId="11" xfId="0" applyFont="1" applyFill="1" applyBorder="1" applyAlignment="1">
      <alignment horizontal="center" vertical="center" wrapText="1"/>
    </xf>
    <xf numFmtId="0" fontId="6" fillId="27" borderId="1" xfId="0" applyFont="1" applyFill="1" applyBorder="1" applyAlignment="1">
      <alignment horizontal="justify" vertical="center"/>
    </xf>
    <xf numFmtId="0" fontId="6" fillId="27" borderId="1" xfId="0" applyFont="1" applyFill="1" applyBorder="1" applyAlignment="1">
      <alignment horizontal="center" vertical="center" wrapText="1"/>
    </xf>
    <xf numFmtId="0" fontId="6" fillId="27" borderId="2" xfId="0" applyFont="1" applyFill="1" applyBorder="1" applyAlignment="1">
      <alignment horizontal="center" vertical="center" wrapText="1"/>
    </xf>
    <xf numFmtId="0" fontId="6" fillId="27" borderId="11" xfId="0" applyFont="1" applyFill="1" applyBorder="1" applyAlignment="1">
      <alignment horizontal="center" vertical="center" wrapText="1"/>
    </xf>
    <xf numFmtId="0" fontId="6" fillId="27" borderId="3" xfId="0" applyFont="1" applyFill="1" applyBorder="1" applyAlignment="1">
      <alignment horizontal="center" vertical="center" wrapText="1"/>
    </xf>
    <xf numFmtId="0" fontId="6" fillId="27" borderId="12" xfId="0" applyFont="1" applyFill="1" applyBorder="1" applyAlignment="1">
      <alignment horizontal="center" vertical="center" wrapText="1"/>
    </xf>
    <xf numFmtId="0" fontId="6" fillId="27" borderId="7" xfId="0" applyFont="1" applyFill="1" applyBorder="1" applyAlignment="1">
      <alignment horizontal="center" vertical="center" wrapText="1"/>
    </xf>
    <xf numFmtId="0" fontId="2" fillId="25" borderId="2" xfId="0" quotePrefix="1" applyFont="1" applyFill="1" applyBorder="1" applyAlignment="1">
      <alignment horizontal="center" vertical="center" wrapText="1"/>
    </xf>
    <xf numFmtId="0" fontId="2" fillId="25" borderId="11" xfId="0" quotePrefix="1" applyFont="1" applyFill="1" applyBorder="1" applyAlignment="1">
      <alignment horizontal="center" vertical="center" wrapText="1"/>
    </xf>
    <xf numFmtId="0" fontId="2" fillId="25" borderId="5"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14" fillId="0" borderId="0" xfId="0" applyFont="1" applyAlignment="1">
      <alignment horizontal="center"/>
    </xf>
    <xf numFmtId="0" fontId="15" fillId="0" borderId="0" xfId="0" applyFont="1" applyAlignment="1">
      <alignment horizontal="center"/>
    </xf>
    <xf numFmtId="14" fontId="16" fillId="0" borderId="0" xfId="0" applyNumberFormat="1" applyFont="1" applyAlignment="1">
      <alignment horizontal="center"/>
    </xf>
    <xf numFmtId="0" fontId="7" fillId="2" borderId="1" xfId="0" applyFont="1" applyFill="1" applyBorder="1" applyAlignment="1">
      <alignment horizontal="center" vertical="center"/>
    </xf>
    <xf numFmtId="14" fontId="6" fillId="2" borderId="1" xfId="0" applyNumberFormat="1" applyFont="1" applyFill="1" applyBorder="1" applyAlignment="1">
      <alignment horizontal="center" vertical="center" wrapText="1"/>
    </xf>
    <xf numFmtId="0" fontId="17" fillId="6" borderId="0" xfId="0" applyFont="1" applyFill="1" applyAlignment="1">
      <alignment horizontal="center" vertical="center" wrapText="1"/>
    </xf>
    <xf numFmtId="0" fontId="18" fillId="3" borderId="1" xfId="0" applyFont="1" applyFill="1" applyBorder="1" applyAlignment="1">
      <alignment horizontal="center" vertical="center" wrapText="1"/>
    </xf>
    <xf numFmtId="0" fontId="2" fillId="6" borderId="1" xfId="0" applyFont="1" applyFill="1" applyBorder="1" applyAlignment="1">
      <alignment horizontal="center" vertical="center" wrapText="1"/>
    </xf>
    <xf numFmtId="0" fontId="6" fillId="0" borderId="0" xfId="0" applyFont="1" applyAlignment="1">
      <alignment horizontal="center"/>
    </xf>
    <xf numFmtId="0" fontId="19" fillId="0" borderId="0" xfId="0" applyFont="1" applyAlignment="1">
      <alignment horizontal="center"/>
    </xf>
    <xf numFmtId="0" fontId="2" fillId="6" borderId="4" xfId="0" applyFont="1" applyFill="1" applyBorder="1" applyAlignment="1">
      <alignment horizontal="center" vertical="center" wrapText="1"/>
    </xf>
    <xf numFmtId="0" fontId="25" fillId="0" borderId="1" xfId="0" applyFont="1" applyBorder="1" applyAlignment="1">
      <alignment horizontal="center" vertical="center"/>
    </xf>
    <xf numFmtId="0" fontId="26" fillId="0" borderId="2" xfId="0" applyFont="1" applyBorder="1" applyAlignment="1">
      <alignment horizontal="center" vertical="center"/>
    </xf>
    <xf numFmtId="0" fontId="26" fillId="0" borderId="10" xfId="0" applyFont="1" applyBorder="1" applyAlignment="1">
      <alignment horizontal="center" vertical="center"/>
    </xf>
    <xf numFmtId="0" fontId="26" fillId="0" borderId="11" xfId="0" applyFont="1" applyBorder="1" applyAlignment="1">
      <alignment horizontal="center" vertical="center"/>
    </xf>
    <xf numFmtId="0" fontId="25" fillId="11" borderId="1" xfId="0" applyFont="1" applyFill="1" applyBorder="1" applyAlignment="1">
      <alignment horizontal="center" vertical="center"/>
    </xf>
    <xf numFmtId="14" fontId="26" fillId="0" borderId="2" xfId="0" quotePrefix="1" applyNumberFormat="1" applyFont="1" applyBorder="1" applyAlignment="1">
      <alignment horizontal="center" vertical="center"/>
    </xf>
    <xf numFmtId="14" fontId="26" fillId="0" borderId="10" xfId="0" quotePrefix="1" applyNumberFormat="1" applyFont="1" applyBorder="1" applyAlignment="1">
      <alignment horizontal="center" vertical="center"/>
    </xf>
    <xf numFmtId="14" fontId="26" fillId="0" borderId="11" xfId="0" quotePrefix="1" applyNumberFormat="1" applyFont="1" applyBorder="1" applyAlignment="1">
      <alignment horizontal="center" vertical="center"/>
    </xf>
    <xf numFmtId="0" fontId="20" fillId="4" borderId="1" xfId="0" applyFont="1" applyFill="1" applyBorder="1" applyAlignment="1">
      <alignment horizontal="center" vertical="center"/>
    </xf>
    <xf numFmtId="0" fontId="20" fillId="9" borderId="1" xfId="0" applyFont="1" applyFill="1" applyBorder="1" applyAlignment="1">
      <alignment horizontal="center" vertical="center"/>
    </xf>
    <xf numFmtId="0" fontId="20" fillId="10" borderId="1" xfId="0" applyFont="1" applyFill="1" applyBorder="1" applyAlignment="1">
      <alignment horizontal="center" vertical="center"/>
    </xf>
    <xf numFmtId="0" fontId="20" fillId="11" borderId="1" xfId="0" applyFont="1" applyFill="1" applyBorder="1" applyAlignment="1">
      <alignment horizontal="center" vertical="center"/>
    </xf>
    <xf numFmtId="166" fontId="25" fillId="0" borderId="2" xfId="1" applyNumberFormat="1" applyFont="1" applyBorder="1" applyAlignment="1">
      <alignment horizontal="center" vertical="center"/>
    </xf>
    <xf numFmtId="166" fontId="25" fillId="0" borderId="11" xfId="1" applyNumberFormat="1" applyFont="1" applyBorder="1" applyAlignment="1">
      <alignment horizontal="center" vertical="center"/>
    </xf>
    <xf numFmtId="166" fontId="25" fillId="14" borderId="3" xfId="1" applyNumberFormat="1" applyFont="1" applyFill="1" applyBorder="1" applyAlignment="1">
      <alignment horizontal="center"/>
    </xf>
    <xf numFmtId="166" fontId="25" fillId="14" borderId="12" xfId="1" applyNumberFormat="1" applyFont="1" applyFill="1" applyBorder="1" applyAlignment="1">
      <alignment horizontal="center"/>
    </xf>
    <xf numFmtId="166" fontId="25" fillId="14" borderId="7" xfId="1" applyNumberFormat="1" applyFont="1" applyFill="1" applyBorder="1" applyAlignment="1">
      <alignment horizontal="center"/>
    </xf>
    <xf numFmtId="166" fontId="25" fillId="15" borderId="13" xfId="1" applyNumberFormat="1" applyFont="1" applyFill="1" applyBorder="1" applyAlignment="1">
      <alignment horizontal="center"/>
    </xf>
    <xf numFmtId="166" fontId="25" fillId="15" borderId="14" xfId="1" applyNumberFormat="1" applyFont="1" applyFill="1" applyBorder="1" applyAlignment="1">
      <alignment horizontal="center"/>
    </xf>
    <xf numFmtId="166" fontId="25" fillId="15" borderId="15" xfId="1" applyNumberFormat="1" applyFont="1" applyFill="1" applyBorder="1" applyAlignment="1">
      <alignment horizontal="center"/>
    </xf>
    <xf numFmtId="166" fontId="25" fillId="37" borderId="13" xfId="1" applyNumberFormat="1" applyFont="1" applyFill="1" applyBorder="1" applyAlignment="1">
      <alignment horizontal="center"/>
    </xf>
    <xf numFmtId="166" fontId="25" fillId="37" borderId="14" xfId="1" applyNumberFormat="1" applyFont="1" applyFill="1" applyBorder="1" applyAlignment="1">
      <alignment horizontal="center"/>
    </xf>
    <xf numFmtId="166" fontId="25" fillId="37" borderId="15" xfId="1" applyNumberFormat="1" applyFont="1" applyFill="1" applyBorder="1" applyAlignment="1">
      <alignment horizontal="center"/>
    </xf>
    <xf numFmtId="166" fontId="25" fillId="38" borderId="13" xfId="1" applyNumberFormat="1" applyFont="1" applyFill="1" applyBorder="1" applyAlignment="1">
      <alignment horizontal="center"/>
    </xf>
    <xf numFmtId="166" fontId="25" fillId="38" borderId="14" xfId="1" applyNumberFormat="1" applyFont="1" applyFill="1" applyBorder="1" applyAlignment="1">
      <alignment horizontal="center"/>
    </xf>
    <xf numFmtId="166" fontId="25" fillId="38" borderId="15" xfId="1" applyNumberFormat="1" applyFont="1" applyFill="1" applyBorder="1" applyAlignment="1">
      <alignment horizontal="center"/>
    </xf>
    <xf numFmtId="0" fontId="9" fillId="25" borderId="2" xfId="0" applyFont="1" applyFill="1" applyBorder="1" applyAlignment="1">
      <alignment vertical="center" wrapText="1"/>
    </xf>
    <xf numFmtId="0" fontId="26" fillId="0" borderId="0" xfId="0" applyFont="1" applyFill="1" applyAlignment="1">
      <alignment vertical="center"/>
    </xf>
    <xf numFmtId="0" fontId="2" fillId="15" borderId="2" xfId="0" applyFont="1" applyFill="1" applyBorder="1" applyAlignment="1">
      <alignment horizontal="center" vertical="center"/>
    </xf>
    <xf numFmtId="0" fontId="2" fillId="15" borderId="2" xfId="0" quotePrefix="1" applyFont="1" applyFill="1" applyBorder="1" applyAlignment="1">
      <alignment horizontal="center" vertical="center" wrapText="1"/>
    </xf>
    <xf numFmtId="0" fontId="2" fillId="15"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5" borderId="1" xfId="0" applyFont="1" applyFill="1" applyBorder="1" applyAlignment="1">
      <alignment horizontal="center" vertical="center" wrapText="1"/>
    </xf>
    <xf numFmtId="0" fontId="8" fillId="40" borderId="1" xfId="0" applyFont="1" applyFill="1" applyBorder="1" applyAlignment="1">
      <alignment horizontal="center" vertical="center" wrapText="1"/>
    </xf>
    <xf numFmtId="0" fontId="2" fillId="15" borderId="1" xfId="0" applyFont="1" applyFill="1" applyBorder="1" applyAlignment="1">
      <alignment horizontal="center" vertical="center"/>
    </xf>
    <xf numFmtId="0" fontId="8" fillId="15" borderId="1" xfId="0" applyFont="1" applyFill="1" applyBorder="1" applyAlignment="1">
      <alignment horizontal="center" vertical="center"/>
    </xf>
    <xf numFmtId="0" fontId="2" fillId="15" borderId="1" xfId="0" applyFont="1" applyFill="1" applyBorder="1" applyAlignment="1">
      <alignment horizontal="left" vertical="center"/>
    </xf>
    <xf numFmtId="0" fontId="2" fillId="15" borderId="1" xfId="0" applyFont="1" applyFill="1" applyBorder="1" applyAlignment="1">
      <alignment horizontal="left" vertical="center" wrapText="1"/>
    </xf>
    <xf numFmtId="0" fontId="2" fillId="15" borderId="1" xfId="0" applyFont="1" applyFill="1" applyBorder="1" applyAlignment="1">
      <alignment vertical="center"/>
    </xf>
    <xf numFmtId="166" fontId="2" fillId="15" borderId="1" xfId="1" applyNumberFormat="1" applyFont="1" applyFill="1" applyBorder="1" applyAlignment="1" applyProtection="1">
      <alignment vertical="center"/>
    </xf>
    <xf numFmtId="166" fontId="2" fillId="15" borderId="1" xfId="0" applyNumberFormat="1" applyFont="1" applyFill="1" applyBorder="1" applyAlignment="1">
      <alignment vertical="center"/>
    </xf>
    <xf numFmtId="0" fontId="8" fillId="40" borderId="4" xfId="0" applyFont="1" applyFill="1" applyBorder="1" applyAlignment="1">
      <alignment horizontal="center" vertical="center" wrapText="1"/>
    </xf>
    <xf numFmtId="0" fontId="0" fillId="15" borderId="0" xfId="0" applyFill="1"/>
    <xf numFmtId="0" fontId="2" fillId="15" borderId="11" xfId="0" applyFont="1" applyFill="1" applyBorder="1" applyAlignment="1">
      <alignment horizontal="center" vertical="center"/>
    </xf>
    <xf numFmtId="0" fontId="2" fillId="15" borderId="10" xfId="0" quotePrefix="1" applyFont="1" applyFill="1" applyBorder="1" applyAlignment="1">
      <alignment horizontal="center" vertical="center" wrapText="1"/>
    </xf>
    <xf numFmtId="0" fontId="2" fillId="15" borderId="11" xfId="0" applyFont="1" applyFill="1" applyBorder="1" applyAlignment="1">
      <alignment horizontal="center" vertical="center" wrapText="1"/>
    </xf>
    <xf numFmtId="0" fontId="9" fillId="15" borderId="11" xfId="0" applyFont="1" applyFill="1" applyBorder="1" applyAlignment="1">
      <alignment horizontal="center" vertical="center" wrapText="1"/>
    </xf>
    <xf numFmtId="14" fontId="2" fillId="15" borderId="1" xfId="0" applyNumberFormat="1" applyFont="1" applyFill="1" applyBorder="1" applyAlignment="1">
      <alignment horizontal="center" vertical="center"/>
    </xf>
    <xf numFmtId="0" fontId="8" fillId="15" borderId="1" xfId="0" applyFont="1" applyFill="1" applyBorder="1" applyAlignment="1">
      <alignment horizontal="left" vertical="center"/>
    </xf>
    <xf numFmtId="0" fontId="2" fillId="40" borderId="1" xfId="0" applyFont="1" applyFill="1" applyBorder="1" applyAlignment="1">
      <alignment horizontal="left" vertical="center" wrapText="1"/>
    </xf>
    <xf numFmtId="0" fontId="8" fillId="40" borderId="4" xfId="0" applyFont="1" applyFill="1" applyBorder="1" applyAlignment="1">
      <alignment vertical="center" wrapText="1"/>
    </xf>
    <xf numFmtId="0" fontId="8" fillId="40" borderId="1" xfId="0" applyFont="1" applyFill="1" applyBorder="1" applyAlignment="1">
      <alignment horizontal="left" vertical="center" wrapText="1"/>
    </xf>
    <xf numFmtId="166" fontId="22" fillId="15" borderId="1" xfId="1" applyNumberFormat="1" applyFont="1" applyFill="1" applyBorder="1" applyAlignment="1">
      <alignment horizontal="center" vertical="center"/>
    </xf>
    <xf numFmtId="0" fontId="2" fillId="15" borderId="0" xfId="0" applyFont="1" applyFill="1" applyAlignment="1">
      <alignment vertical="center"/>
    </xf>
  </cellXfs>
  <cellStyles count="4">
    <cellStyle name="Comma" xfId="1" builtinId="3"/>
    <cellStyle name="Excel Built-in Comma [0] 1" xfId="3" xr:uid="{00000000-0005-0000-0000-000007000000}"/>
    <cellStyle name="Normal" xfId="0" builtinId="0"/>
    <cellStyle name="Normal 2" xfId="2" xr:uid="{00000000-0005-0000-0000-000006000000}"/>
  </cellStyles>
  <dxfs count="41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69A2E"/>
      <rgbColor rgb="FF000080"/>
      <rgbColor rgb="FF808000"/>
      <rgbColor rgb="FF800080"/>
      <rgbColor rgb="FF00A933"/>
      <rgbColor rgb="FFC5E0B4"/>
      <rgbColor rgb="FF808080"/>
      <rgbColor rgb="FF9999FF"/>
      <rgbColor rgb="FFFF3838"/>
      <rgbColor rgb="FFFFF5CE"/>
      <rgbColor rgb="FFFBE5D6"/>
      <rgbColor rgb="FF660066"/>
      <rgbColor rgb="FFFF7B59"/>
      <rgbColor rgb="FF0070C0"/>
      <rgbColor rgb="FFFFC7CE"/>
      <rgbColor rgb="FF000080"/>
      <rgbColor rgb="FFFF00FF"/>
      <rgbColor rgb="FFFFFF00"/>
      <rgbColor rgb="FF00FFFF"/>
      <rgbColor rgb="FF800080"/>
      <rgbColor rgb="FF800000"/>
      <rgbColor rgb="FF008080"/>
      <rgbColor rgb="FF0000FF"/>
      <rgbColor rgb="FF00CCFF"/>
      <rgbColor rgb="FFFFD8CE"/>
      <rgbColor rgb="FFFFF2CC"/>
      <rgbColor rgb="FFFFE699"/>
      <rgbColor rgb="FF99CCFF"/>
      <rgbColor rgb="FFFF99CC"/>
      <rgbColor rgb="FFCC99FF"/>
      <rgbColor rgb="FFF8CBAD"/>
      <rgbColor rgb="FF3366FF"/>
      <rgbColor rgb="FF33CCCC"/>
      <rgbColor rgb="FF81D41A"/>
      <rgbColor rgb="FFFFC000"/>
      <rgbColor rgb="FFFFBF00"/>
      <rgbColor rgb="FFFF5429"/>
      <rgbColor rgb="FF666699"/>
      <rgbColor rgb="FF92D050"/>
      <rgbColor rgb="FF081B3A"/>
      <rgbColor rgb="FF3FAF4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D:\Agentic-AI\Doing\QLBanHang-main\QLBanHang\excel\&#272;I&#7872;U%20PH&#7888;I%20N&#431;&#7898;C%20L&#7884;C.%20Nhung%20s&#7917;a%20(1).xlsx" TargetMode="External"/><Relationship Id="rId1" Type="http://schemas.openxmlformats.org/officeDocument/2006/relationships/externalLinkPath" Target="&#272;I&#7872;U%20PH&#7888;I%20N&#431;&#7898;C%20L&#7884;C.%20Nhung%20s&#7917;a%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XUẤT"/>
      <sheetName val="CBCNV"/>
      <sheetName val="TỒN"/>
      <sheetName val="ĐIÈU PHỐI"/>
      <sheetName val="Vận chuyển"/>
      <sheetName val="Đơn giá"/>
      <sheetName val="TỒN TỔNG"/>
      <sheetName val="TỒN KHO HUẾ"/>
      <sheetName val="TỒN KHO TĂNG ÁP"/>
      <sheetName val="tồn xe"/>
      <sheetName val="Tồn kho VP"/>
      <sheetName val="TỒN KHO HÀ LẦM"/>
      <sheetName val="nhập từ CP"/>
    </sheetNames>
    <sheetDataSet>
      <sheetData sheetId="0">
        <row r="6">
          <cell r="O6" t="str">
            <v>Vỉ 500ml</v>
          </cell>
        </row>
        <row r="7">
          <cell r="O7" t="str">
            <v>Vỉ 500ml</v>
          </cell>
        </row>
        <row r="8">
          <cell r="O8" t="str">
            <v>Vỉ 500ml</v>
          </cell>
        </row>
        <row r="9">
          <cell r="O9" t="str">
            <v>Vỉ 500ml</v>
          </cell>
        </row>
        <row r="10">
          <cell r="O10" t="str">
            <v>Bình kiềm</v>
          </cell>
        </row>
        <row r="11">
          <cell r="O11" t="str">
            <v>Vỉ 350ml</v>
          </cell>
        </row>
        <row r="12">
          <cell r="O12" t="str">
            <v>Bình RO</v>
          </cell>
        </row>
        <row r="15">
          <cell r="O15" t="str">
            <v>Bình kiềm</v>
          </cell>
        </row>
        <row r="16">
          <cell r="O16" t="str">
            <v>Bình RO</v>
          </cell>
        </row>
        <row r="17">
          <cell r="O17" t="str">
            <v>Vỉ 500ml</v>
          </cell>
        </row>
        <row r="18">
          <cell r="O18" t="str">
            <v>Vỉ 500ml</v>
          </cell>
        </row>
        <row r="19">
          <cell r="O19" t="str">
            <v>Vỉ 500ml</v>
          </cell>
        </row>
        <row r="20">
          <cell r="O20" t="str">
            <v>Bình RO</v>
          </cell>
        </row>
        <row r="21">
          <cell r="O21" t="str">
            <v>Vỉ 500ml</v>
          </cell>
        </row>
        <row r="22">
          <cell r="O22" t="str">
            <v>Vỉ 500ml</v>
          </cell>
        </row>
        <row r="23">
          <cell r="O23" t="str">
            <v>Vỉ 350ml</v>
          </cell>
        </row>
        <row r="24">
          <cell r="O24" t="str">
            <v>Vỉ 500ml</v>
          </cell>
        </row>
        <row r="25">
          <cell r="O25" t="str">
            <v>Vỉ 500ml</v>
          </cell>
        </row>
        <row r="26">
          <cell r="O26" t="str">
            <v>Vỉ 500ml</v>
          </cell>
        </row>
        <row r="27">
          <cell r="O27" t="str">
            <v>Bình kiềm</v>
          </cell>
        </row>
        <row r="28">
          <cell r="O28" t="str">
            <v>Vỉ 500ml</v>
          </cell>
        </row>
        <row r="29">
          <cell r="O29" t="str">
            <v>Vỉ 350 ml</v>
          </cell>
        </row>
        <row r="30">
          <cell r="O30" t="str">
            <v>Vỉ 350 ml</v>
          </cell>
        </row>
        <row r="31">
          <cell r="O31" t="str">
            <v>Vỉ 500ml</v>
          </cell>
        </row>
        <row r="32">
          <cell r="O32" t="str">
            <v>Vỉ 500ml</v>
          </cell>
        </row>
        <row r="33">
          <cell r="O33" t="str">
            <v>Vỉ 500ml</v>
          </cell>
        </row>
        <row r="34">
          <cell r="O34" t="str">
            <v>Vỉ 500ml</v>
          </cell>
        </row>
        <row r="35">
          <cell r="O35" t="str">
            <v>Bình kiềm</v>
          </cell>
        </row>
        <row r="37">
          <cell r="O37" t="str">
            <v>Vỉ 500ml</v>
          </cell>
        </row>
        <row r="38">
          <cell r="O38" t="str">
            <v>Vỉ 500ml</v>
          </cell>
        </row>
        <row r="41">
          <cell r="O41" t="str">
            <v>Bình kiềm</v>
          </cell>
        </row>
        <row r="42">
          <cell r="O42" t="str">
            <v>Bình kiềm</v>
          </cell>
        </row>
        <row r="43">
          <cell r="O43" t="str">
            <v>Vỉ 500ml</v>
          </cell>
        </row>
        <row r="44">
          <cell r="O44" t="str">
            <v>Vỉ 500ml</v>
          </cell>
        </row>
        <row r="45">
          <cell r="O45" t="str">
            <v>Vỉ 500ml</v>
          </cell>
        </row>
        <row r="46">
          <cell r="O46" t="str">
            <v>Bình kiềm</v>
          </cell>
        </row>
        <row r="47">
          <cell r="O47" t="str">
            <v>Bình kiềm</v>
          </cell>
        </row>
        <row r="48">
          <cell r="O48" t="str">
            <v>Vỉ 500ml</v>
          </cell>
        </row>
        <row r="49">
          <cell r="O49" t="str">
            <v>Vỉ 500ml</v>
          </cell>
        </row>
        <row r="50">
          <cell r="O50" t="str">
            <v>Vỉ 500ml</v>
          </cell>
        </row>
        <row r="51">
          <cell r="O51" t="str">
            <v>Vỉ 500ml</v>
          </cell>
        </row>
        <row r="53">
          <cell r="O53" t="str">
            <v>Vỉ 500ml</v>
          </cell>
        </row>
        <row r="54">
          <cell r="O54" t="str">
            <v>Bình kiềm</v>
          </cell>
        </row>
        <row r="55">
          <cell r="O55" t="str">
            <v>Vỉ 500ml</v>
          </cell>
        </row>
        <row r="57">
          <cell r="O57" t="str">
            <v>Vỉ 500ml</v>
          </cell>
        </row>
        <row r="58">
          <cell r="O58" t="str">
            <v>Vỉ 500ml</v>
          </cell>
        </row>
        <row r="59">
          <cell r="O59" t="str">
            <v>Vỉ 500ml</v>
          </cell>
        </row>
        <row r="60">
          <cell r="O60" t="str">
            <v>Vỉ 500ml</v>
          </cell>
        </row>
        <row r="61">
          <cell r="O61" t="str">
            <v>Vỉ 500ml</v>
          </cell>
        </row>
        <row r="62">
          <cell r="O62" t="str">
            <v>Vỉ 500ml</v>
          </cell>
        </row>
        <row r="63">
          <cell r="O63" t="str">
            <v>Bình kiềm</v>
          </cell>
        </row>
        <row r="64">
          <cell r="O64" t="str">
            <v>Bình kiềm</v>
          </cell>
        </row>
        <row r="65">
          <cell r="O65" t="str">
            <v>Vỉ 500ml</v>
          </cell>
        </row>
        <row r="66">
          <cell r="O66" t="str">
            <v>Vỉ 500ml</v>
          </cell>
        </row>
        <row r="67">
          <cell r="O67" t="str">
            <v>Vỉ 500ml</v>
          </cell>
        </row>
        <row r="68">
          <cell r="O68" t="str">
            <v>Vỉ 500ml</v>
          </cell>
        </row>
        <row r="70">
          <cell r="O70" t="str">
            <v>Vỉ 500ml</v>
          </cell>
        </row>
        <row r="72">
          <cell r="O72" t="str">
            <v>Vỉ 350ml</v>
          </cell>
        </row>
        <row r="75">
          <cell r="O75" t="str">
            <v>Vỉ 500ml</v>
          </cell>
        </row>
        <row r="76">
          <cell r="O76" t="str">
            <v>Vỉ 500ml</v>
          </cell>
        </row>
        <row r="77">
          <cell r="O77" t="str">
            <v>Vỉ 350ml</v>
          </cell>
        </row>
        <row r="79">
          <cell r="O79" t="str">
            <v>Vỉ 500ml</v>
          </cell>
        </row>
        <row r="80">
          <cell r="O80" t="str">
            <v>Vỉ 500ml</v>
          </cell>
        </row>
        <row r="82">
          <cell r="O82" t="str">
            <v>Vỉ 500ml</v>
          </cell>
        </row>
        <row r="83">
          <cell r="O83" t="str">
            <v>Vỉ 500ml</v>
          </cell>
        </row>
        <row r="84">
          <cell r="O84" t="str">
            <v>Vỉ 500ml</v>
          </cell>
        </row>
        <row r="85">
          <cell r="O85" t="str">
            <v>Vỉ 500ml</v>
          </cell>
        </row>
        <row r="86">
          <cell r="O86" t="str">
            <v>Vỉ 500ml</v>
          </cell>
        </row>
        <row r="87">
          <cell r="O87" t="str">
            <v>Vỉ 500ml</v>
          </cell>
        </row>
        <row r="89">
          <cell r="O89" t="str">
            <v>Vỉ 500ml</v>
          </cell>
        </row>
        <row r="90">
          <cell r="O90" t="str">
            <v>Vỉ 500ml</v>
          </cell>
        </row>
        <row r="91">
          <cell r="O91" t="str">
            <v>Vỉ 500ml</v>
          </cell>
        </row>
        <row r="92">
          <cell r="O92" t="str">
            <v>Vỉ 500ml</v>
          </cell>
        </row>
        <row r="93">
          <cell r="O93" t="str">
            <v>Hộp 500ml</v>
          </cell>
        </row>
        <row r="94">
          <cell r="O94" t="str">
            <v>Vỉ 500ml</v>
          </cell>
        </row>
        <row r="95">
          <cell r="O95" t="str">
            <v>Vỉ 500ml</v>
          </cell>
        </row>
        <row r="96">
          <cell r="O96" t="str">
            <v>Vỉ 500ml</v>
          </cell>
        </row>
        <row r="97">
          <cell r="O97" t="str">
            <v>Bình kiềm</v>
          </cell>
        </row>
        <row r="98">
          <cell r="O98" t="str">
            <v>Bình kiềm</v>
          </cell>
        </row>
        <row r="99">
          <cell r="O99" t="str">
            <v>Vỉ 350ml</v>
          </cell>
        </row>
        <row r="100">
          <cell r="O100" t="str">
            <v>Vỉ 500ml</v>
          </cell>
        </row>
        <row r="132">
          <cell r="O132" t="str">
            <v>Hộp 350ml</v>
          </cell>
        </row>
        <row r="133">
          <cell r="O133" t="str">
            <v>Vỉ 500ml</v>
          </cell>
        </row>
        <row r="136">
          <cell r="O136" t="str">
            <v>Vỉ 500ml</v>
          </cell>
        </row>
        <row r="139">
          <cell r="O139" t="str">
            <v>Vỉ 350ml</v>
          </cell>
        </row>
        <row r="140">
          <cell r="O140" t="str">
            <v>Bình RO</v>
          </cell>
        </row>
        <row r="142">
          <cell r="O142" t="str">
            <v>Vỉ 500ml</v>
          </cell>
        </row>
        <row r="143">
          <cell r="O143" t="str">
            <v>Vỉ 500ml</v>
          </cell>
        </row>
        <row r="145">
          <cell r="O145" t="str">
            <v>Bình RO</v>
          </cell>
        </row>
      </sheetData>
      <sheetData sheetId="1" refreshError="1"/>
      <sheetData sheetId="2" refreshError="1"/>
      <sheetData sheetId="3" refreshError="1"/>
      <sheetData sheetId="4" refreshError="1"/>
      <sheetData sheetId="5">
        <row r="3">
          <cell r="B3" t="str">
            <v>Hàng hóa</v>
          </cell>
          <cell r="C3" t="str">
            <v>Giá bán</v>
          </cell>
        </row>
        <row r="4">
          <cell r="B4" t="str">
            <v>Vỉ 350ml</v>
          </cell>
          <cell r="C4">
            <v>85000</v>
          </cell>
        </row>
        <row r="5">
          <cell r="B5" t="str">
            <v>Hộp 350ml</v>
          </cell>
          <cell r="C5">
            <v>93000</v>
          </cell>
        </row>
        <row r="6">
          <cell r="B6" t="str">
            <v>Vỉ 500ml</v>
          </cell>
          <cell r="C6">
            <v>98000</v>
          </cell>
        </row>
        <row r="7">
          <cell r="B7" t="str">
            <v>Hộp 500ml</v>
          </cell>
          <cell r="C7">
            <v>106000</v>
          </cell>
        </row>
        <row r="8">
          <cell r="B8" t="str">
            <v>Bình kiềm</v>
          </cell>
          <cell r="C8">
            <v>52000</v>
          </cell>
        </row>
        <row r="9">
          <cell r="B9" t="str">
            <v>Bình RO</v>
          </cell>
          <cell r="C9">
            <v>48000</v>
          </cell>
        </row>
      </sheetData>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AE158"/>
  <sheetViews>
    <sheetView tabSelected="1" zoomScale="85" zoomScaleNormal="85" workbookViewId="0">
      <pane ySplit="4" topLeftCell="A5" activePane="bottomLeft" state="frozen"/>
      <selection pane="bottomLeft" activeCell="K5" sqref="K5"/>
    </sheetView>
  </sheetViews>
  <sheetFormatPr defaultColWidth="9.109375" defaultRowHeight="18" x14ac:dyDescent="0.3"/>
  <cols>
    <col min="1" max="1" width="6.109375" style="117" customWidth="1"/>
    <col min="2" max="2" width="13.6640625" style="117" customWidth="1"/>
    <col min="3" max="3" width="52.44140625" style="112" customWidth="1"/>
    <col min="4" max="4" width="15" style="110" bestFit="1" customWidth="1"/>
    <col min="5" max="5" width="16" style="110" bestFit="1" customWidth="1"/>
    <col min="6" max="6" width="9.44140625" style="110" bestFit="1" customWidth="1"/>
    <col min="7" max="7" width="7.88671875" style="110" customWidth="1"/>
    <col min="8" max="8" width="7.44140625" style="110" bestFit="1" customWidth="1"/>
    <col min="9" max="9" width="7.6640625" style="110" bestFit="1" customWidth="1"/>
    <col min="10" max="10" width="34.109375" style="117" bestFit="1" customWidth="1"/>
    <col min="11" max="11" width="23.5546875" style="117" customWidth="1"/>
    <col min="12" max="12" width="17.88671875" style="98" bestFit="1" customWidth="1"/>
    <col min="13" max="13" width="16.88671875" style="117" bestFit="1" customWidth="1"/>
    <col min="14" max="14" width="31.109375" style="161" customWidth="1"/>
    <col min="15" max="15" width="15.6640625" style="98" customWidth="1"/>
    <col min="16" max="16" width="12.109375" style="98" bestFit="1" customWidth="1"/>
    <col min="17" max="17" width="12.5546875" style="98" bestFit="1" customWidth="1"/>
    <col min="18" max="19" width="14.6640625" style="98" customWidth="1"/>
    <col min="20" max="20" width="13.109375" style="98" bestFit="1" customWidth="1"/>
    <col min="21" max="21" width="11.88671875" style="98" bestFit="1" customWidth="1"/>
    <col min="22" max="22" width="10.21875" style="98" customWidth="1"/>
    <col min="23" max="23" width="11.88671875" style="98" customWidth="1"/>
    <col min="24" max="24" width="11.88671875" style="98" bestFit="1" customWidth="1"/>
    <col min="25" max="25" width="16" style="98" bestFit="1" customWidth="1"/>
    <col min="26" max="26" width="38" style="272" customWidth="1"/>
    <col min="27" max="27" width="34.109375" style="117" bestFit="1" customWidth="1"/>
    <col min="28" max="28" width="13.88671875" style="117" customWidth="1"/>
    <col min="29" max="29" width="19" style="98" bestFit="1" customWidth="1"/>
    <col min="30" max="30" width="37.33203125" style="98" bestFit="1" customWidth="1"/>
  </cols>
  <sheetData>
    <row r="1" spans="1:30" s="104" customFormat="1" ht="22.8" x14ac:dyDescent="0.3">
      <c r="A1" s="235" t="s">
        <v>0</v>
      </c>
      <c r="B1" s="103"/>
      <c r="C1" s="103"/>
      <c r="D1" s="103"/>
      <c r="E1" s="103"/>
      <c r="F1" s="103"/>
      <c r="G1" s="103"/>
      <c r="H1" s="103"/>
      <c r="I1" s="103"/>
      <c r="J1" s="235"/>
      <c r="K1" s="103"/>
      <c r="L1" s="103"/>
      <c r="M1" s="103" t="s">
        <v>1</v>
      </c>
      <c r="N1" s="160"/>
      <c r="Z1" s="271"/>
      <c r="AA1" s="239" t="s">
        <v>2</v>
      </c>
      <c r="AB1" s="239"/>
      <c r="AC1" s="105"/>
    </row>
    <row r="3" spans="1:30" s="108" customFormat="1" ht="16.8" customHeight="1" x14ac:dyDescent="0.3">
      <c r="A3" s="335" t="s">
        <v>3</v>
      </c>
      <c r="B3" s="335" t="s">
        <v>4</v>
      </c>
      <c r="C3" s="335" t="s">
        <v>5</v>
      </c>
      <c r="D3" s="351" t="s">
        <v>6</v>
      </c>
      <c r="E3" s="352" t="s">
        <v>478</v>
      </c>
      <c r="F3" s="354" t="s">
        <v>7</v>
      </c>
      <c r="G3" s="355"/>
      <c r="H3" s="355"/>
      <c r="I3" s="356"/>
      <c r="J3" s="335" t="s">
        <v>8</v>
      </c>
      <c r="K3" s="350" t="s">
        <v>9</v>
      </c>
      <c r="L3" s="335" t="s">
        <v>10</v>
      </c>
      <c r="M3" s="205" t="s">
        <v>11</v>
      </c>
      <c r="N3" s="205" t="s">
        <v>483</v>
      </c>
      <c r="O3" s="206" t="s">
        <v>12</v>
      </c>
      <c r="P3" s="330" t="s">
        <v>7</v>
      </c>
      <c r="Q3" s="331"/>
      <c r="R3" s="331"/>
      <c r="S3" s="331"/>
      <c r="T3" s="331"/>
      <c r="U3" s="331"/>
      <c r="V3" s="331"/>
      <c r="W3" s="332"/>
      <c r="X3" s="207" t="s">
        <v>13</v>
      </c>
      <c r="Y3" s="207" t="s">
        <v>14</v>
      </c>
      <c r="Z3" s="254" t="s">
        <v>15</v>
      </c>
      <c r="AA3" s="206" t="s">
        <v>16</v>
      </c>
      <c r="AB3" s="206" t="s">
        <v>7</v>
      </c>
      <c r="AC3" s="206" t="s">
        <v>17</v>
      </c>
      <c r="AD3" s="293" t="s">
        <v>18</v>
      </c>
    </row>
    <row r="4" spans="1:30" s="108" customFormat="1" x14ac:dyDescent="0.3">
      <c r="A4" s="335"/>
      <c r="B4" s="335"/>
      <c r="C4" s="335"/>
      <c r="D4" s="351"/>
      <c r="E4" s="353"/>
      <c r="F4" s="159" t="s">
        <v>481</v>
      </c>
      <c r="G4" s="159" t="s">
        <v>21</v>
      </c>
      <c r="H4" s="159" t="s">
        <v>22</v>
      </c>
      <c r="I4" s="159" t="s">
        <v>23</v>
      </c>
      <c r="J4" s="335"/>
      <c r="K4" s="335"/>
      <c r="L4" s="335"/>
      <c r="M4" s="206" t="s">
        <v>24</v>
      </c>
      <c r="N4" s="206" t="s">
        <v>25</v>
      </c>
      <c r="O4" s="208"/>
      <c r="P4" s="206" t="s">
        <v>26</v>
      </c>
      <c r="Q4" s="206" t="s">
        <v>27</v>
      </c>
      <c r="R4" s="209" t="s">
        <v>35</v>
      </c>
      <c r="S4" s="209" t="s">
        <v>38</v>
      </c>
      <c r="T4" s="209" t="s">
        <v>39</v>
      </c>
      <c r="U4" s="209" t="s">
        <v>42</v>
      </c>
      <c r="V4" s="206" t="s">
        <v>28</v>
      </c>
      <c r="W4" s="206" t="s">
        <v>23</v>
      </c>
      <c r="X4" s="207"/>
      <c r="Y4" s="207"/>
      <c r="Z4" s="254"/>
      <c r="AA4" s="206"/>
      <c r="AB4" s="206"/>
      <c r="AC4" s="206"/>
      <c r="AD4" s="293"/>
    </row>
    <row r="5" spans="1:30" s="188" customFormat="1" ht="54" customHeight="1" x14ac:dyDescent="0.3">
      <c r="A5" s="183"/>
      <c r="B5" s="183"/>
      <c r="C5" s="183"/>
      <c r="D5" s="184"/>
      <c r="E5" s="185"/>
      <c r="F5" s="184"/>
      <c r="G5" s="184"/>
      <c r="H5" s="184"/>
      <c r="I5" s="184"/>
      <c r="J5" s="183"/>
      <c r="K5" s="183"/>
      <c r="L5" s="183"/>
      <c r="M5" s="183"/>
      <c r="N5" s="183"/>
      <c r="O5" s="186"/>
      <c r="P5" s="183">
        <f>SUBTOTAL(9,P6:P148)</f>
        <v>727</v>
      </c>
      <c r="Q5" s="183">
        <f>SUBTOTAL(9,Q6:Q148)</f>
        <v>183</v>
      </c>
      <c r="R5" s="183">
        <f>SUBTOTAL(9,R6:R148)</f>
        <v>10</v>
      </c>
      <c r="S5" s="183">
        <f>SUBTOTAL(9,S6:S148)</f>
        <v>8</v>
      </c>
      <c r="T5" s="183">
        <f>SUBTOTAL(9,T6:T148)</f>
        <v>146</v>
      </c>
      <c r="U5" s="183">
        <f>SUBTOTAL(9,U6:U148)</f>
        <v>59</v>
      </c>
      <c r="V5" s="183">
        <f>SUBTOTAL(9,V6:V148)</f>
        <v>81</v>
      </c>
      <c r="W5" s="183">
        <f>SUBTOTAL(9,W6:W148)</f>
        <v>1214</v>
      </c>
      <c r="X5" s="187"/>
      <c r="Y5" s="187"/>
      <c r="Z5" s="254"/>
      <c r="AA5" s="183"/>
      <c r="AB5" s="183">
        <f>SUBTOTAL(9,AB6:AB148)</f>
        <v>1133</v>
      </c>
      <c r="AC5" s="297">
        <f>SUBTOTAL(9,AC6:AC148)</f>
        <v>5665000</v>
      </c>
      <c r="AD5" s="183"/>
    </row>
    <row r="6" spans="1:30" ht="53.4" customHeight="1" x14ac:dyDescent="0.3">
      <c r="A6" s="247">
        <v>17</v>
      </c>
      <c r="B6" s="248">
        <v>46273</v>
      </c>
      <c r="C6" s="88" t="s">
        <v>53</v>
      </c>
      <c r="D6" s="223" t="s">
        <v>30</v>
      </c>
      <c r="E6" s="223" t="s">
        <v>710</v>
      </c>
      <c r="F6" s="223"/>
      <c r="G6" s="223">
        <v>11</v>
      </c>
      <c r="H6" s="223"/>
      <c r="I6" s="223">
        <v>11</v>
      </c>
      <c r="J6" s="247" t="s">
        <v>31</v>
      </c>
      <c r="K6" s="247"/>
      <c r="L6" s="247" t="s">
        <v>32</v>
      </c>
      <c r="M6" s="247" t="s">
        <v>33</v>
      </c>
      <c r="N6" s="249" t="s">
        <v>291</v>
      </c>
      <c r="O6" s="88" t="s">
        <v>26</v>
      </c>
      <c r="P6" s="250">
        <v>10</v>
      </c>
      <c r="Q6" s="250"/>
      <c r="R6" s="250"/>
      <c r="S6" s="250"/>
      <c r="T6" s="250"/>
      <c r="U6" s="250"/>
      <c r="V6" s="250">
        <v>1</v>
      </c>
      <c r="W6" s="250">
        <f t="shared" ref="W6:W69" si="0">SUM(P6:V6)</f>
        <v>11</v>
      </c>
      <c r="X6" s="251" t="e">
        <f>SUMIFS('[1]Đơn giá'!C:C,'[1]Đơn giá'!B:B,[1]XUẤT!O6)</f>
        <v>#VALUE!</v>
      </c>
      <c r="Y6" s="252" t="e">
        <f t="shared" ref="Y6:Y29" si="1">X6*P6</f>
        <v>#VALUE!</v>
      </c>
      <c r="Z6" s="247" t="s">
        <v>591</v>
      </c>
      <c r="AA6" s="250" t="s">
        <v>37</v>
      </c>
      <c r="AB6" s="95">
        <f t="shared" ref="AB6:AB69" si="2">W6-V6</f>
        <v>10</v>
      </c>
      <c r="AC6" s="96">
        <f t="shared" ref="AC6:AC69" si="3">AB6*5000</f>
        <v>50000</v>
      </c>
      <c r="AD6" s="250"/>
    </row>
    <row r="7" spans="1:30" s="172" customFormat="1" ht="53.4" customHeight="1" x14ac:dyDescent="0.3">
      <c r="A7" s="89">
        <v>18</v>
      </c>
      <c r="B7" s="178">
        <v>46273</v>
      </c>
      <c r="C7" s="256" t="s">
        <v>386</v>
      </c>
      <c r="D7" s="167" t="s">
        <v>30</v>
      </c>
      <c r="E7" s="223" t="s">
        <v>533</v>
      </c>
      <c r="F7" s="167"/>
      <c r="G7" s="167">
        <v>11</v>
      </c>
      <c r="H7" s="167"/>
      <c r="I7" s="167">
        <v>11</v>
      </c>
      <c r="J7" s="164" t="s">
        <v>31</v>
      </c>
      <c r="K7" s="164"/>
      <c r="L7" s="164" t="s">
        <v>32</v>
      </c>
      <c r="M7" s="164" t="s">
        <v>33</v>
      </c>
      <c r="N7" s="5" t="s">
        <v>115</v>
      </c>
      <c r="O7" s="182" t="s">
        <v>29</v>
      </c>
      <c r="P7" s="169"/>
      <c r="Q7" s="169">
        <v>10</v>
      </c>
      <c r="R7" s="169"/>
      <c r="S7" s="169"/>
      <c r="T7" s="169"/>
      <c r="U7" s="169"/>
      <c r="V7" s="169">
        <v>1</v>
      </c>
      <c r="W7" s="169">
        <f t="shared" si="0"/>
        <v>11</v>
      </c>
      <c r="X7" s="170" t="e">
        <f>SUMIFS('[1]Đơn giá'!C:C,'[1]Đơn giá'!B:B,[1]XUẤT!O7)</f>
        <v>#VALUE!</v>
      </c>
      <c r="Y7" s="171" t="e">
        <f t="shared" si="1"/>
        <v>#VALUE!</v>
      </c>
      <c r="Z7" s="247" t="s">
        <v>676</v>
      </c>
      <c r="AA7" s="169" t="s">
        <v>37</v>
      </c>
      <c r="AB7" s="95">
        <f t="shared" si="2"/>
        <v>10</v>
      </c>
      <c r="AC7" s="96">
        <f t="shared" si="3"/>
        <v>50000</v>
      </c>
      <c r="AD7" s="169"/>
    </row>
    <row r="8" spans="1:30" s="172" customFormat="1" ht="57.6" customHeight="1" x14ac:dyDescent="0.3">
      <c r="A8" s="164">
        <v>19</v>
      </c>
      <c r="B8" s="165">
        <v>46273</v>
      </c>
      <c r="C8" s="166" t="s">
        <v>54</v>
      </c>
      <c r="D8" s="167" t="s">
        <v>30</v>
      </c>
      <c r="E8" s="167" t="s">
        <v>533</v>
      </c>
      <c r="F8" s="167"/>
      <c r="G8" s="167">
        <v>22</v>
      </c>
      <c r="H8" s="167"/>
      <c r="I8" s="167">
        <v>22</v>
      </c>
      <c r="J8" s="164" t="s">
        <v>31</v>
      </c>
      <c r="K8" s="179"/>
      <c r="L8" s="164" t="s">
        <v>32</v>
      </c>
      <c r="M8" s="164" t="s">
        <v>33</v>
      </c>
      <c r="N8" s="168" t="s">
        <v>55</v>
      </c>
      <c r="O8" s="166" t="s">
        <v>26</v>
      </c>
      <c r="P8" s="169">
        <v>20</v>
      </c>
      <c r="Q8" s="169"/>
      <c r="R8" s="169"/>
      <c r="S8" s="169"/>
      <c r="T8" s="169"/>
      <c r="U8" s="169"/>
      <c r="V8" s="169">
        <v>2</v>
      </c>
      <c r="W8" s="169">
        <f t="shared" si="0"/>
        <v>22</v>
      </c>
      <c r="X8" s="170" t="e">
        <f>SUMIFS('[1]Đơn giá'!C:C,'[1]Đơn giá'!B:B,[1]XUẤT!O8)</f>
        <v>#VALUE!</v>
      </c>
      <c r="Y8" s="171" t="e">
        <f t="shared" si="1"/>
        <v>#VALUE!</v>
      </c>
      <c r="Z8" s="247" t="s">
        <v>539</v>
      </c>
      <c r="AA8" s="169" t="s">
        <v>37</v>
      </c>
      <c r="AB8" s="95">
        <f t="shared" si="2"/>
        <v>20</v>
      </c>
      <c r="AC8" s="96">
        <f t="shared" si="3"/>
        <v>100000</v>
      </c>
      <c r="AD8" s="169" t="s">
        <v>380</v>
      </c>
    </row>
    <row r="9" spans="1:30" s="172" customFormat="1" ht="57.6" customHeight="1" x14ac:dyDescent="0.3">
      <c r="A9" s="89">
        <v>20</v>
      </c>
      <c r="B9" s="165">
        <v>46273</v>
      </c>
      <c r="C9" s="166" t="s">
        <v>56</v>
      </c>
      <c r="D9" s="167" t="s">
        <v>30</v>
      </c>
      <c r="E9" s="167" t="s">
        <v>533</v>
      </c>
      <c r="F9" s="167"/>
      <c r="G9" s="167">
        <v>22</v>
      </c>
      <c r="H9" s="167"/>
      <c r="I9" s="167">
        <v>22</v>
      </c>
      <c r="J9" s="164" t="s">
        <v>31</v>
      </c>
      <c r="K9" s="164"/>
      <c r="L9" s="164" t="s">
        <v>32</v>
      </c>
      <c r="M9" s="164" t="s">
        <v>33</v>
      </c>
      <c r="N9" s="7" t="s">
        <v>273</v>
      </c>
      <c r="O9" s="166" t="s">
        <v>26</v>
      </c>
      <c r="P9" s="169">
        <v>10</v>
      </c>
      <c r="Q9" s="169"/>
      <c r="R9" s="169"/>
      <c r="S9" s="169"/>
      <c r="T9" s="169"/>
      <c r="U9" s="169"/>
      <c r="V9" s="169">
        <v>1</v>
      </c>
      <c r="W9" s="169">
        <f t="shared" si="0"/>
        <v>11</v>
      </c>
      <c r="X9" s="170" t="e">
        <f>SUMIFS('[1]Đơn giá'!C:C,'[1]Đơn giá'!B:B,[1]XUẤT!O9)</f>
        <v>#VALUE!</v>
      </c>
      <c r="Y9" s="171" t="e">
        <f t="shared" si="1"/>
        <v>#VALUE!</v>
      </c>
      <c r="Z9" s="247" t="s">
        <v>539</v>
      </c>
      <c r="AA9" s="169" t="s">
        <v>37</v>
      </c>
      <c r="AB9" s="95">
        <f t="shared" si="2"/>
        <v>10</v>
      </c>
      <c r="AC9" s="96">
        <f t="shared" si="3"/>
        <v>50000</v>
      </c>
      <c r="AD9" s="169"/>
    </row>
    <row r="10" spans="1:30" s="172" customFormat="1" ht="57.6" customHeight="1" x14ac:dyDescent="0.3">
      <c r="A10" s="89">
        <v>21</v>
      </c>
      <c r="B10" s="165"/>
      <c r="C10" s="166"/>
      <c r="D10" s="167"/>
      <c r="E10" s="167" t="s">
        <v>533</v>
      </c>
      <c r="F10" s="167"/>
      <c r="G10" s="167"/>
      <c r="H10" s="167"/>
      <c r="I10" s="167"/>
      <c r="J10" s="164"/>
      <c r="K10" s="164"/>
      <c r="L10" s="164"/>
      <c r="M10" s="164" t="s">
        <v>33</v>
      </c>
      <c r="N10" s="7" t="s">
        <v>166</v>
      </c>
      <c r="O10" s="166" t="s">
        <v>26</v>
      </c>
      <c r="P10" s="169">
        <v>10</v>
      </c>
      <c r="Q10" s="169"/>
      <c r="R10" s="169"/>
      <c r="S10" s="169"/>
      <c r="T10" s="169"/>
      <c r="U10" s="169"/>
      <c r="V10" s="169">
        <v>1</v>
      </c>
      <c r="W10" s="169">
        <f t="shared" si="0"/>
        <v>11</v>
      </c>
      <c r="X10" s="170" t="e">
        <f>SUMIFS('[1]Đơn giá'!C:C,'[1]Đơn giá'!B:B,[1]XUẤT!O10)</f>
        <v>#VALUE!</v>
      </c>
      <c r="Y10" s="171" t="e">
        <f t="shared" si="1"/>
        <v>#VALUE!</v>
      </c>
      <c r="Z10" s="247" t="s">
        <v>539</v>
      </c>
      <c r="AA10" s="164" t="s">
        <v>37</v>
      </c>
      <c r="AB10" s="95">
        <f t="shared" si="2"/>
        <v>10</v>
      </c>
      <c r="AC10" s="96">
        <f t="shared" si="3"/>
        <v>50000</v>
      </c>
      <c r="AD10" s="169"/>
    </row>
    <row r="11" spans="1:30" s="172" customFormat="1" ht="57.6" customHeight="1" x14ac:dyDescent="0.3">
      <c r="A11" s="164">
        <v>22</v>
      </c>
      <c r="B11" s="165">
        <v>46273</v>
      </c>
      <c r="C11" s="166" t="s">
        <v>57</v>
      </c>
      <c r="D11" s="167" t="s">
        <v>30</v>
      </c>
      <c r="E11" s="167" t="s">
        <v>533</v>
      </c>
      <c r="F11" s="167"/>
      <c r="G11" s="167"/>
      <c r="H11" s="167">
        <v>4</v>
      </c>
      <c r="I11" s="167">
        <v>4</v>
      </c>
      <c r="J11" s="164" t="s">
        <v>31</v>
      </c>
      <c r="K11" s="164"/>
      <c r="L11" s="164" t="s">
        <v>32</v>
      </c>
      <c r="M11" s="164" t="s">
        <v>45</v>
      </c>
      <c r="N11" s="168" t="s">
        <v>58</v>
      </c>
      <c r="O11" s="166" t="s">
        <v>39</v>
      </c>
      <c r="P11" s="169"/>
      <c r="Q11" s="169"/>
      <c r="R11" s="169"/>
      <c r="S11" s="169"/>
      <c r="T11" s="169">
        <v>4</v>
      </c>
      <c r="U11" s="169"/>
      <c r="V11" s="169"/>
      <c r="W11" s="169">
        <f t="shared" si="0"/>
        <v>4</v>
      </c>
      <c r="X11" s="170" t="e">
        <f>SUMIFS('[1]Đơn giá'!C:C,'[1]Đơn giá'!B:B,[1]XUẤT!O11)</f>
        <v>#VALUE!</v>
      </c>
      <c r="Y11" s="171" t="e">
        <f>T11*X11</f>
        <v>#VALUE!</v>
      </c>
      <c r="Z11" s="247" t="s">
        <v>543</v>
      </c>
      <c r="AA11" s="169"/>
      <c r="AB11" s="95">
        <f t="shared" si="2"/>
        <v>4</v>
      </c>
      <c r="AC11" s="96">
        <f t="shared" si="3"/>
        <v>20000</v>
      </c>
      <c r="AD11" s="169"/>
    </row>
    <row r="12" spans="1:30" s="172" customFormat="1" ht="57.6" customHeight="1" x14ac:dyDescent="0.3">
      <c r="A12" s="89">
        <v>23</v>
      </c>
      <c r="B12" s="165">
        <v>46273</v>
      </c>
      <c r="C12" s="173" t="s">
        <v>60</v>
      </c>
      <c r="D12" s="167" t="s">
        <v>30</v>
      </c>
      <c r="E12" s="167" t="s">
        <v>533</v>
      </c>
      <c r="F12" s="167"/>
      <c r="G12" s="167">
        <v>6</v>
      </c>
      <c r="H12" s="167"/>
      <c r="I12" s="167">
        <v>6</v>
      </c>
      <c r="J12" s="164" t="s">
        <v>61</v>
      </c>
      <c r="K12" s="164"/>
      <c r="L12" s="164" t="s">
        <v>32</v>
      </c>
      <c r="M12" s="164" t="s">
        <v>62</v>
      </c>
      <c r="N12" s="168"/>
      <c r="O12" s="166" t="s">
        <v>26</v>
      </c>
      <c r="P12" s="169">
        <v>3</v>
      </c>
      <c r="Q12" s="169"/>
      <c r="R12" s="169"/>
      <c r="S12" s="169"/>
      <c r="T12" s="169"/>
      <c r="U12" s="169"/>
      <c r="V12" s="169"/>
      <c r="W12" s="169">
        <f t="shared" si="0"/>
        <v>3</v>
      </c>
      <c r="X12" s="170" t="e">
        <f>SUMIFS('[1]Đơn giá'!C:C,'[1]Đơn giá'!B:B,[1]XUẤT!O12)</f>
        <v>#VALUE!</v>
      </c>
      <c r="Y12" s="171" t="e">
        <f t="shared" si="1"/>
        <v>#VALUE!</v>
      </c>
      <c r="Z12" s="247" t="s">
        <v>567</v>
      </c>
      <c r="AA12" s="173" t="s">
        <v>41</v>
      </c>
      <c r="AB12" s="95">
        <f t="shared" si="2"/>
        <v>3</v>
      </c>
      <c r="AC12" s="96">
        <f t="shared" si="3"/>
        <v>15000</v>
      </c>
      <c r="AD12" s="164" t="s">
        <v>64</v>
      </c>
    </row>
    <row r="13" spans="1:30" s="172" customFormat="1" ht="57.6" customHeight="1" x14ac:dyDescent="0.3">
      <c r="A13" s="89"/>
      <c r="B13" s="165"/>
      <c r="C13" s="173"/>
      <c r="D13" s="167"/>
      <c r="E13" s="167" t="s">
        <v>533</v>
      </c>
      <c r="F13" s="167"/>
      <c r="G13" s="167"/>
      <c r="H13" s="167"/>
      <c r="I13" s="167"/>
      <c r="J13" s="164"/>
      <c r="K13" s="164"/>
      <c r="L13" s="164"/>
      <c r="M13" s="164" t="s">
        <v>62</v>
      </c>
      <c r="N13" s="168"/>
      <c r="O13" s="166" t="s">
        <v>27</v>
      </c>
      <c r="P13" s="169"/>
      <c r="Q13" s="169">
        <v>3</v>
      </c>
      <c r="R13" s="169"/>
      <c r="S13" s="169"/>
      <c r="T13" s="169"/>
      <c r="U13" s="169"/>
      <c r="V13" s="169"/>
      <c r="W13" s="169">
        <f t="shared" si="0"/>
        <v>3</v>
      </c>
      <c r="X13" s="170">
        <v>85000</v>
      </c>
      <c r="Y13" s="171">
        <f>Q13*X13</f>
        <v>255000</v>
      </c>
      <c r="Z13" s="247" t="s">
        <v>567</v>
      </c>
      <c r="AA13" s="240" t="s">
        <v>41</v>
      </c>
      <c r="AB13" s="95">
        <f t="shared" si="2"/>
        <v>3</v>
      </c>
      <c r="AC13" s="96">
        <f t="shared" si="3"/>
        <v>15000</v>
      </c>
      <c r="AD13" s="164"/>
    </row>
    <row r="14" spans="1:30" s="172" customFormat="1" ht="57.6" customHeight="1" x14ac:dyDescent="0.3">
      <c r="A14" s="164">
        <v>24</v>
      </c>
      <c r="B14" s="165">
        <v>46273</v>
      </c>
      <c r="C14" s="166" t="s">
        <v>65</v>
      </c>
      <c r="D14" s="167" t="s">
        <v>30</v>
      </c>
      <c r="E14" s="167" t="s">
        <v>533</v>
      </c>
      <c r="F14" s="167"/>
      <c r="G14" s="167">
        <v>22</v>
      </c>
      <c r="H14" s="167"/>
      <c r="I14" s="167">
        <v>22</v>
      </c>
      <c r="J14" s="164" t="s">
        <v>66</v>
      </c>
      <c r="K14" s="164"/>
      <c r="L14" s="164" t="s">
        <v>32</v>
      </c>
      <c r="M14" s="164" t="s">
        <v>45</v>
      </c>
      <c r="N14" s="168" t="s">
        <v>67</v>
      </c>
      <c r="O14" s="166" t="s">
        <v>27</v>
      </c>
      <c r="P14" s="169"/>
      <c r="Q14" s="169">
        <v>20</v>
      </c>
      <c r="R14" s="169"/>
      <c r="S14" s="169"/>
      <c r="T14" s="169"/>
      <c r="U14" s="169"/>
      <c r="V14" s="169">
        <v>2</v>
      </c>
      <c r="W14" s="169">
        <f t="shared" si="0"/>
        <v>22</v>
      </c>
      <c r="X14" s="170">
        <v>85000</v>
      </c>
      <c r="Y14" s="171">
        <f>Q14*X14</f>
        <v>1700000</v>
      </c>
      <c r="Z14" s="247" t="s">
        <v>543</v>
      </c>
      <c r="AA14" s="143" t="s">
        <v>330</v>
      </c>
      <c r="AB14" s="95">
        <f t="shared" si="2"/>
        <v>20</v>
      </c>
      <c r="AC14" s="96">
        <f t="shared" si="3"/>
        <v>100000</v>
      </c>
      <c r="AD14" s="164" t="s">
        <v>59</v>
      </c>
    </row>
    <row r="15" spans="1:30" s="172" customFormat="1" ht="36" x14ac:dyDescent="0.3">
      <c r="A15" s="89">
        <v>25</v>
      </c>
      <c r="B15" s="165">
        <v>46273</v>
      </c>
      <c r="C15" s="173" t="s">
        <v>68</v>
      </c>
      <c r="D15" s="167" t="s">
        <v>30</v>
      </c>
      <c r="E15" s="167" t="s">
        <v>533</v>
      </c>
      <c r="F15" s="167"/>
      <c r="G15" s="180">
        <v>2</v>
      </c>
      <c r="H15" s="180"/>
      <c r="I15" s="180">
        <v>2</v>
      </c>
      <c r="J15" s="181" t="s">
        <v>69</v>
      </c>
      <c r="K15" s="181"/>
      <c r="L15" s="164" t="s">
        <v>32</v>
      </c>
      <c r="M15" s="181" t="s">
        <v>33</v>
      </c>
      <c r="N15" s="7" t="s">
        <v>91</v>
      </c>
      <c r="O15" s="166" t="s">
        <v>26</v>
      </c>
      <c r="P15" s="169">
        <v>2</v>
      </c>
      <c r="Q15" s="169"/>
      <c r="R15" s="169"/>
      <c r="S15" s="169"/>
      <c r="T15" s="169"/>
      <c r="U15" s="169"/>
      <c r="V15" s="169"/>
      <c r="W15" s="169">
        <f t="shared" si="0"/>
        <v>2</v>
      </c>
      <c r="X15" s="170" t="e">
        <f>SUMIFS('[1]Đơn giá'!C:C,'[1]Đơn giá'!B:B,[1]XUẤT!O15)</f>
        <v>#VALUE!</v>
      </c>
      <c r="Y15" s="171" t="e">
        <f t="shared" si="1"/>
        <v>#VALUE!</v>
      </c>
      <c r="Z15" s="247" t="s">
        <v>539</v>
      </c>
      <c r="AA15" s="143" t="s">
        <v>330</v>
      </c>
      <c r="AB15" s="95">
        <f t="shared" si="2"/>
        <v>2</v>
      </c>
      <c r="AC15" s="96">
        <f t="shared" si="3"/>
        <v>10000</v>
      </c>
      <c r="AD15" s="169" t="s">
        <v>381</v>
      </c>
    </row>
    <row r="16" spans="1:30" s="172" customFormat="1" ht="36" x14ac:dyDescent="0.3">
      <c r="A16" s="89">
        <v>26</v>
      </c>
      <c r="B16" s="165">
        <v>46273</v>
      </c>
      <c r="C16" s="168" t="s">
        <v>70</v>
      </c>
      <c r="D16" s="167" t="s">
        <v>30</v>
      </c>
      <c r="E16" s="167" t="s">
        <v>533</v>
      </c>
      <c r="F16" s="167"/>
      <c r="G16" s="180">
        <v>2</v>
      </c>
      <c r="H16" s="180"/>
      <c r="I16" s="180">
        <v>2</v>
      </c>
      <c r="J16" s="181" t="s">
        <v>69</v>
      </c>
      <c r="K16" s="181"/>
      <c r="L16" s="164" t="s">
        <v>32</v>
      </c>
      <c r="M16" s="181" t="s">
        <v>33</v>
      </c>
      <c r="N16" s="7" t="s">
        <v>91</v>
      </c>
      <c r="O16" s="166" t="s">
        <v>26</v>
      </c>
      <c r="P16" s="169">
        <v>2</v>
      </c>
      <c r="Q16" s="169"/>
      <c r="R16" s="169"/>
      <c r="S16" s="169"/>
      <c r="T16" s="169"/>
      <c r="U16" s="169"/>
      <c r="V16" s="169"/>
      <c r="W16" s="169">
        <f t="shared" si="0"/>
        <v>2</v>
      </c>
      <c r="X16" s="170" t="e">
        <f>SUMIFS('[1]Đơn giá'!C:C,'[1]Đơn giá'!B:B,[1]XUẤT!O16)</f>
        <v>#VALUE!</v>
      </c>
      <c r="Y16" s="171" t="e">
        <f t="shared" si="1"/>
        <v>#VALUE!</v>
      </c>
      <c r="Z16" s="247" t="s">
        <v>402</v>
      </c>
      <c r="AA16" s="143" t="s">
        <v>330</v>
      </c>
      <c r="AB16" s="95">
        <f t="shared" si="2"/>
        <v>2</v>
      </c>
      <c r="AC16" s="96">
        <f t="shared" si="3"/>
        <v>10000</v>
      </c>
      <c r="AD16" s="169" t="s">
        <v>382</v>
      </c>
    </row>
    <row r="17" spans="1:31" s="172" customFormat="1" x14ac:dyDescent="0.3">
      <c r="A17" s="164">
        <v>27</v>
      </c>
      <c r="B17" s="165">
        <v>46273</v>
      </c>
      <c r="C17" s="166" t="s">
        <v>71</v>
      </c>
      <c r="D17" s="167" t="s">
        <v>30</v>
      </c>
      <c r="E17" s="167" t="s">
        <v>533</v>
      </c>
      <c r="F17" s="167"/>
      <c r="G17" s="167">
        <v>11</v>
      </c>
      <c r="H17" s="167"/>
      <c r="I17" s="167">
        <v>11</v>
      </c>
      <c r="J17" s="164" t="s">
        <v>31</v>
      </c>
      <c r="K17" s="164"/>
      <c r="L17" s="164" t="s">
        <v>32</v>
      </c>
      <c r="M17" s="181" t="s">
        <v>33</v>
      </c>
      <c r="N17" s="168" t="s">
        <v>37</v>
      </c>
      <c r="O17" s="166" t="s">
        <v>26</v>
      </c>
      <c r="P17" s="169">
        <v>10</v>
      </c>
      <c r="Q17" s="169"/>
      <c r="R17" s="169"/>
      <c r="S17" s="169"/>
      <c r="T17" s="169"/>
      <c r="U17" s="169"/>
      <c r="V17" s="169">
        <v>1</v>
      </c>
      <c r="W17" s="169">
        <f t="shared" si="0"/>
        <v>11</v>
      </c>
      <c r="X17" s="170" t="e">
        <f>SUMIFS('[1]Đơn giá'!C:C,'[1]Đơn giá'!B:B,[1]XUẤT!O17)</f>
        <v>#VALUE!</v>
      </c>
      <c r="Y17" s="171" t="e">
        <f t="shared" si="1"/>
        <v>#VALUE!</v>
      </c>
      <c r="Z17" s="247"/>
      <c r="AA17" s="164" t="s">
        <v>31</v>
      </c>
      <c r="AB17" s="95">
        <f t="shared" si="2"/>
        <v>10</v>
      </c>
      <c r="AC17" s="96">
        <f t="shared" si="3"/>
        <v>50000</v>
      </c>
      <c r="AD17" s="169" t="s">
        <v>383</v>
      </c>
    </row>
    <row r="18" spans="1:31" s="172" customFormat="1" ht="48" customHeight="1" x14ac:dyDescent="0.3">
      <c r="A18" s="89">
        <v>28</v>
      </c>
      <c r="B18" s="165">
        <v>46273</v>
      </c>
      <c r="C18" s="166" t="s">
        <v>72</v>
      </c>
      <c r="D18" s="167" t="s">
        <v>30</v>
      </c>
      <c r="E18" s="167"/>
      <c r="F18" s="167"/>
      <c r="G18" s="167">
        <v>11</v>
      </c>
      <c r="H18" s="167"/>
      <c r="I18" s="167">
        <v>11</v>
      </c>
      <c r="J18" s="164" t="s">
        <v>31</v>
      </c>
      <c r="K18" s="164"/>
      <c r="L18" s="164" t="s">
        <v>32</v>
      </c>
      <c r="M18" s="181" t="s">
        <v>33</v>
      </c>
      <c r="N18" s="7" t="s">
        <v>225</v>
      </c>
      <c r="O18" s="166" t="s">
        <v>26</v>
      </c>
      <c r="P18" s="169">
        <v>10</v>
      </c>
      <c r="Q18" s="169"/>
      <c r="R18" s="169"/>
      <c r="S18" s="169"/>
      <c r="T18" s="169"/>
      <c r="U18" s="169"/>
      <c r="V18" s="169">
        <v>1</v>
      </c>
      <c r="W18" s="169">
        <f t="shared" si="0"/>
        <v>11</v>
      </c>
      <c r="X18" s="170" t="e">
        <f>SUMIFS('[1]Đơn giá'!C:C,'[1]Đơn giá'!B:B,[1]XUẤT!O18)</f>
        <v>#VALUE!</v>
      </c>
      <c r="Y18" s="171" t="e">
        <f t="shared" si="1"/>
        <v>#VALUE!</v>
      </c>
      <c r="Z18" s="247" t="s">
        <v>539</v>
      </c>
      <c r="AA18" s="164" t="s">
        <v>31</v>
      </c>
      <c r="AB18" s="95">
        <f t="shared" si="2"/>
        <v>10</v>
      </c>
      <c r="AC18" s="96">
        <f t="shared" si="3"/>
        <v>50000</v>
      </c>
      <c r="AD18" s="169" t="s">
        <v>383</v>
      </c>
    </row>
    <row r="19" spans="1:31" s="172" customFormat="1" ht="36" customHeight="1" x14ac:dyDescent="0.3">
      <c r="A19" s="164">
        <v>29</v>
      </c>
      <c r="B19" s="165">
        <v>46273</v>
      </c>
      <c r="C19" s="166" t="s">
        <v>379</v>
      </c>
      <c r="D19" s="167" t="s">
        <v>30</v>
      </c>
      <c r="E19" s="167"/>
      <c r="F19" s="167"/>
      <c r="G19" s="167"/>
      <c r="H19" s="167">
        <v>3</v>
      </c>
      <c r="I19" s="167">
        <v>3</v>
      </c>
      <c r="J19" s="164" t="s">
        <v>377</v>
      </c>
      <c r="K19" s="164"/>
      <c r="L19" s="164" t="s">
        <v>32</v>
      </c>
      <c r="M19" s="181" t="s">
        <v>45</v>
      </c>
      <c r="N19" s="7" t="s">
        <v>67</v>
      </c>
      <c r="O19" s="166" t="s">
        <v>39</v>
      </c>
      <c r="P19" s="169"/>
      <c r="Q19" s="169"/>
      <c r="R19" s="169"/>
      <c r="S19" s="169"/>
      <c r="T19" s="169">
        <v>3</v>
      </c>
      <c r="U19" s="169"/>
      <c r="V19" s="169"/>
      <c r="W19" s="169">
        <f t="shared" si="0"/>
        <v>3</v>
      </c>
      <c r="X19" s="170" t="e">
        <f>SUMIFS('[1]Đơn giá'!C:C,'[1]Đơn giá'!B:B,[1]XUẤT!O19)</f>
        <v>#VALUE!</v>
      </c>
      <c r="Y19" s="171" t="e">
        <f>T19*X19</f>
        <v>#VALUE!</v>
      </c>
      <c r="Z19" s="247" t="s">
        <v>671</v>
      </c>
      <c r="AA19" s="10" t="s">
        <v>126</v>
      </c>
      <c r="AB19" s="95">
        <f t="shared" si="2"/>
        <v>3</v>
      </c>
      <c r="AC19" s="96">
        <f t="shared" si="3"/>
        <v>15000</v>
      </c>
      <c r="AD19" s="169" t="s">
        <v>378</v>
      </c>
    </row>
    <row r="20" spans="1:31" s="172" customFormat="1" ht="36" customHeight="1" x14ac:dyDescent="0.3">
      <c r="A20" s="89">
        <v>30</v>
      </c>
      <c r="B20" s="165">
        <v>46273</v>
      </c>
      <c r="C20" s="166" t="s">
        <v>384</v>
      </c>
      <c r="D20" s="167"/>
      <c r="E20" s="167"/>
      <c r="F20" s="167"/>
      <c r="G20" s="167">
        <v>3</v>
      </c>
      <c r="H20" s="167"/>
      <c r="I20" s="167"/>
      <c r="J20" s="164"/>
      <c r="K20" s="164"/>
      <c r="L20" s="164"/>
      <c r="M20" s="181" t="s">
        <v>33</v>
      </c>
      <c r="N20" s="5" t="s">
        <v>188</v>
      </c>
      <c r="O20" s="166" t="s">
        <v>26</v>
      </c>
      <c r="P20" s="169">
        <v>3</v>
      </c>
      <c r="Q20" s="169"/>
      <c r="R20" s="169"/>
      <c r="S20" s="169"/>
      <c r="T20" s="169"/>
      <c r="U20" s="169"/>
      <c r="V20" s="169"/>
      <c r="W20" s="169">
        <f t="shared" si="0"/>
        <v>3</v>
      </c>
      <c r="X20" s="170" t="e">
        <f>SUMIFS('[1]Đơn giá'!C:C,'[1]Đơn giá'!B:B,[1]XUẤT!O20)</f>
        <v>#VALUE!</v>
      </c>
      <c r="Y20" s="171" t="e">
        <f t="shared" si="1"/>
        <v>#VALUE!</v>
      </c>
      <c r="Z20" s="247"/>
      <c r="AA20" s="10" t="s">
        <v>188</v>
      </c>
      <c r="AB20" s="95">
        <f t="shared" si="2"/>
        <v>3</v>
      </c>
      <c r="AC20" s="96">
        <f t="shared" si="3"/>
        <v>15000</v>
      </c>
      <c r="AD20" s="169"/>
    </row>
    <row r="21" spans="1:31" s="177" customFormat="1" x14ac:dyDescent="0.3">
      <c r="A21" s="89">
        <v>31</v>
      </c>
      <c r="B21" s="165">
        <v>46273</v>
      </c>
      <c r="C21" s="166" t="s">
        <v>385</v>
      </c>
      <c r="D21" s="167"/>
      <c r="E21" s="167"/>
      <c r="F21" s="167"/>
      <c r="G21" s="167">
        <v>2</v>
      </c>
      <c r="H21" s="167"/>
      <c r="I21" s="167">
        <v>2</v>
      </c>
      <c r="J21" s="164"/>
      <c r="K21" s="164"/>
      <c r="L21" s="164"/>
      <c r="M21" s="181" t="s">
        <v>33</v>
      </c>
      <c r="N21" s="5" t="s">
        <v>88</v>
      </c>
      <c r="O21" s="166" t="s">
        <v>26</v>
      </c>
      <c r="P21" s="169">
        <v>2</v>
      </c>
      <c r="Q21" s="169"/>
      <c r="R21" s="169"/>
      <c r="S21" s="169"/>
      <c r="T21" s="169"/>
      <c r="U21" s="169"/>
      <c r="V21" s="169"/>
      <c r="W21" s="169">
        <f t="shared" si="0"/>
        <v>2</v>
      </c>
      <c r="X21" s="170" t="e">
        <f>SUMIFS('[1]Đơn giá'!C:C,'[1]Đơn giá'!B:B,[1]XUẤT!O21)</f>
        <v>#VALUE!</v>
      </c>
      <c r="Y21" s="171" t="e">
        <f t="shared" si="1"/>
        <v>#VALUE!</v>
      </c>
      <c r="Z21" s="255" t="s">
        <v>402</v>
      </c>
      <c r="AA21" s="36" t="s">
        <v>88</v>
      </c>
      <c r="AB21" s="95">
        <f t="shared" si="2"/>
        <v>2</v>
      </c>
      <c r="AC21" s="96">
        <f t="shared" si="3"/>
        <v>10000</v>
      </c>
      <c r="AD21" s="169"/>
    </row>
    <row r="22" spans="1:31" s="253" customFormat="1" x14ac:dyDescent="0.3">
      <c r="A22" s="164">
        <v>32</v>
      </c>
      <c r="B22" s="165">
        <v>46273</v>
      </c>
      <c r="C22" s="166" t="s">
        <v>387</v>
      </c>
      <c r="D22" s="167"/>
      <c r="E22" s="167"/>
      <c r="F22" s="167"/>
      <c r="G22" s="167">
        <v>4</v>
      </c>
      <c r="H22" s="167"/>
      <c r="I22" s="167">
        <v>4</v>
      </c>
      <c r="J22" s="164" t="s">
        <v>377</v>
      </c>
      <c r="K22" s="164"/>
      <c r="L22" s="164"/>
      <c r="M22" s="181" t="s">
        <v>33</v>
      </c>
      <c r="N22" s="5" t="s">
        <v>126</v>
      </c>
      <c r="O22" s="182" t="s">
        <v>26</v>
      </c>
      <c r="P22" s="169">
        <v>4</v>
      </c>
      <c r="Q22" s="169"/>
      <c r="R22" s="169"/>
      <c r="S22" s="169"/>
      <c r="T22" s="169"/>
      <c r="U22" s="169"/>
      <c r="V22" s="169"/>
      <c r="W22" s="169">
        <f t="shared" si="0"/>
        <v>4</v>
      </c>
      <c r="X22" s="170" t="e">
        <f>SUMIFS('[1]Đơn giá'!C:C,'[1]Đơn giá'!B:B,[1]XUẤT!O22)</f>
        <v>#VALUE!</v>
      </c>
      <c r="Y22" s="171" t="e">
        <f t="shared" si="1"/>
        <v>#VALUE!</v>
      </c>
      <c r="Z22" s="247"/>
      <c r="AA22" s="10" t="s">
        <v>126</v>
      </c>
      <c r="AB22" s="95">
        <f t="shared" si="2"/>
        <v>4</v>
      </c>
      <c r="AC22" s="96">
        <f t="shared" si="3"/>
        <v>20000</v>
      </c>
      <c r="AD22" s="169"/>
      <c r="AE22" s="253" t="s">
        <v>598</v>
      </c>
    </row>
    <row r="23" spans="1:31" s="414" customFormat="1" ht="37.200000000000003" customHeight="1" x14ac:dyDescent="0.3">
      <c r="A23" s="406">
        <v>33</v>
      </c>
      <c r="B23" s="419">
        <v>46274</v>
      </c>
      <c r="C23" s="409" t="s">
        <v>397</v>
      </c>
      <c r="D23" s="404" t="s">
        <v>398</v>
      </c>
      <c r="E23" s="404" t="s">
        <v>713</v>
      </c>
      <c r="F23" s="404">
        <v>11</v>
      </c>
      <c r="G23" s="404"/>
      <c r="H23" s="404"/>
      <c r="I23" s="404">
        <v>11</v>
      </c>
      <c r="J23" s="406" t="s">
        <v>63</v>
      </c>
      <c r="K23" s="406"/>
      <c r="L23" s="406"/>
      <c r="M23" s="407" t="s">
        <v>33</v>
      </c>
      <c r="N23" s="420" t="s">
        <v>98</v>
      </c>
      <c r="O23" s="421" t="s">
        <v>35</v>
      </c>
      <c r="P23" s="410"/>
      <c r="Q23" s="410"/>
      <c r="R23" s="410">
        <v>10</v>
      </c>
      <c r="S23" s="410"/>
      <c r="T23" s="410"/>
      <c r="U23" s="410"/>
      <c r="V23" s="410">
        <v>1</v>
      </c>
      <c r="W23" s="410">
        <f t="shared" si="0"/>
        <v>11</v>
      </c>
      <c r="X23" s="411" t="e">
        <f>SUMIFS('[1]Đơn giá'!C:C,'[1]Đơn giá'!B:B,[1]XUẤT!O23)</f>
        <v>#VALUE!</v>
      </c>
      <c r="Y23" s="412" t="e">
        <f>R23*X23</f>
        <v>#VALUE!</v>
      </c>
      <c r="Z23" s="406" t="s">
        <v>541</v>
      </c>
      <c r="AA23" s="422" t="s">
        <v>41</v>
      </c>
      <c r="AB23" s="410">
        <f t="shared" si="2"/>
        <v>10</v>
      </c>
      <c r="AC23" s="411">
        <f t="shared" si="3"/>
        <v>50000</v>
      </c>
      <c r="AD23" s="410" t="s">
        <v>399</v>
      </c>
    </row>
    <row r="24" spans="1:31" s="414" customFormat="1" ht="49.8" customHeight="1" x14ac:dyDescent="0.3">
      <c r="A24" s="406">
        <v>34</v>
      </c>
      <c r="B24" s="419">
        <v>46274</v>
      </c>
      <c r="C24" s="409" t="s">
        <v>400</v>
      </c>
      <c r="D24" s="404"/>
      <c r="E24" s="404"/>
      <c r="F24" s="404"/>
      <c r="G24" s="404"/>
      <c r="H24" s="404">
        <v>1</v>
      </c>
      <c r="I24" s="404">
        <v>1</v>
      </c>
      <c r="J24" s="406" t="s">
        <v>385</v>
      </c>
      <c r="K24" s="406"/>
      <c r="L24" s="406" t="s">
        <v>482</v>
      </c>
      <c r="M24" s="407" t="s">
        <v>33</v>
      </c>
      <c r="N24" s="423" t="s">
        <v>88</v>
      </c>
      <c r="O24" s="409" t="s">
        <v>39</v>
      </c>
      <c r="P24" s="410"/>
      <c r="Q24" s="410"/>
      <c r="R24" s="410"/>
      <c r="S24" s="410"/>
      <c r="T24" s="410">
        <v>1</v>
      </c>
      <c r="U24" s="410"/>
      <c r="V24" s="410"/>
      <c r="W24" s="410">
        <f t="shared" si="0"/>
        <v>1</v>
      </c>
      <c r="X24" s="411" t="e">
        <f>SUMIFS('[1]Đơn giá'!C:C,'[1]Đơn giá'!B:B,[1]XUẤT!O24)</f>
        <v>#VALUE!</v>
      </c>
      <c r="Y24" s="412" t="e">
        <f t="shared" si="1"/>
        <v>#VALUE!</v>
      </c>
      <c r="Z24" s="424" t="s">
        <v>402</v>
      </c>
      <c r="AA24" s="413" t="s">
        <v>88</v>
      </c>
      <c r="AB24" s="410">
        <f t="shared" si="2"/>
        <v>1</v>
      </c>
      <c r="AC24" s="411">
        <f t="shared" si="3"/>
        <v>5000</v>
      </c>
      <c r="AD24" s="410" t="s">
        <v>401</v>
      </c>
      <c r="AE24" s="425" t="s">
        <v>598</v>
      </c>
    </row>
    <row r="25" spans="1:31" s="172" customFormat="1" ht="36.6" customHeight="1" x14ac:dyDescent="0.3">
      <c r="A25" s="89">
        <v>35</v>
      </c>
      <c r="B25" s="165">
        <v>46274</v>
      </c>
      <c r="C25" s="166" t="s">
        <v>476</v>
      </c>
      <c r="D25" s="167" t="s">
        <v>477</v>
      </c>
      <c r="E25" s="167" t="s">
        <v>479</v>
      </c>
      <c r="F25" s="167"/>
      <c r="G25" s="167">
        <v>4</v>
      </c>
      <c r="H25" s="167"/>
      <c r="I25" s="167">
        <f>H25+G25</f>
        <v>4</v>
      </c>
      <c r="J25" s="164" t="s">
        <v>385</v>
      </c>
      <c r="K25" s="164"/>
      <c r="L25" s="164" t="s">
        <v>482</v>
      </c>
      <c r="M25" s="181" t="s">
        <v>45</v>
      </c>
      <c r="N25" s="175" t="s">
        <v>480</v>
      </c>
      <c r="O25" s="166" t="s">
        <v>39</v>
      </c>
      <c r="P25" s="169">
        <v>3</v>
      </c>
      <c r="Q25" s="169">
        <v>1</v>
      </c>
      <c r="R25" s="169"/>
      <c r="S25" s="169"/>
      <c r="T25" s="169"/>
      <c r="U25" s="169"/>
      <c r="V25" s="169"/>
      <c r="W25" s="169">
        <f t="shared" si="0"/>
        <v>4</v>
      </c>
      <c r="X25" s="170" t="e">
        <f>SUMIFS('[1]Đơn giá'!C:C,'[1]Đơn giá'!B:B,[1]XUẤT!O25)</f>
        <v>#VALUE!</v>
      </c>
      <c r="Y25" s="171" t="e">
        <f t="shared" si="1"/>
        <v>#VALUE!</v>
      </c>
      <c r="Z25" s="247" t="s">
        <v>543</v>
      </c>
      <c r="AA25" s="36" t="s">
        <v>88</v>
      </c>
      <c r="AB25" s="95">
        <f t="shared" si="2"/>
        <v>4</v>
      </c>
      <c r="AC25" s="96">
        <f t="shared" si="3"/>
        <v>20000</v>
      </c>
      <c r="AD25" s="169" t="s">
        <v>59</v>
      </c>
    </row>
    <row r="26" spans="1:31" s="172" customFormat="1" x14ac:dyDescent="0.3">
      <c r="A26" s="164"/>
      <c r="B26" s="165">
        <v>46274</v>
      </c>
      <c r="C26" s="166" t="s">
        <v>490</v>
      </c>
      <c r="D26" s="167"/>
      <c r="E26" s="167" t="s">
        <v>479</v>
      </c>
      <c r="F26" s="167"/>
      <c r="G26" s="167"/>
      <c r="H26" s="167">
        <v>2</v>
      </c>
      <c r="I26" s="167">
        <f>H26+G26</f>
        <v>2</v>
      </c>
      <c r="J26" s="164" t="s">
        <v>487</v>
      </c>
      <c r="K26" s="164"/>
      <c r="L26" s="164" t="s">
        <v>482</v>
      </c>
      <c r="M26" s="181" t="s">
        <v>33</v>
      </c>
      <c r="N26" s="10" t="s">
        <v>201</v>
      </c>
      <c r="O26" s="166" t="s">
        <v>39</v>
      </c>
      <c r="P26" s="169"/>
      <c r="Q26" s="169"/>
      <c r="R26" s="169"/>
      <c r="S26" s="169"/>
      <c r="T26" s="169">
        <v>2</v>
      </c>
      <c r="U26" s="169"/>
      <c r="V26" s="169"/>
      <c r="W26" s="169">
        <f t="shared" si="0"/>
        <v>2</v>
      </c>
      <c r="X26" s="170" t="e">
        <f>SUMIFS('[1]Đơn giá'!C:C,'[1]Đơn giá'!B:B,[1]XUẤT!O26)</f>
        <v>#VALUE!</v>
      </c>
      <c r="Y26" s="171" t="e">
        <f>T26*X26</f>
        <v>#VALUE!</v>
      </c>
      <c r="Z26" s="247"/>
      <c r="AA26" s="10" t="s">
        <v>201</v>
      </c>
      <c r="AB26" s="95">
        <f t="shared" si="2"/>
        <v>2</v>
      </c>
      <c r="AC26" s="96">
        <f t="shared" si="3"/>
        <v>10000</v>
      </c>
      <c r="AD26" s="169"/>
    </row>
    <row r="27" spans="1:31" s="172" customFormat="1" ht="87" customHeight="1" x14ac:dyDescent="0.3">
      <c r="A27" s="164"/>
      <c r="B27" s="165">
        <v>46274</v>
      </c>
      <c r="C27" s="166" t="s">
        <v>491</v>
      </c>
      <c r="D27" s="166"/>
      <c r="E27" s="167" t="s">
        <v>479</v>
      </c>
      <c r="F27" s="166"/>
      <c r="G27" s="166">
        <v>4</v>
      </c>
      <c r="H27" s="166"/>
      <c r="I27" s="167">
        <f t="shared" ref="I27:I90" si="4">H27+G27</f>
        <v>4</v>
      </c>
      <c r="J27" s="166" t="s">
        <v>491</v>
      </c>
      <c r="K27" s="166"/>
      <c r="L27" s="164" t="s">
        <v>482</v>
      </c>
      <c r="M27" s="181" t="s">
        <v>33</v>
      </c>
      <c r="N27" s="10" t="s">
        <v>41</v>
      </c>
      <c r="O27" s="166" t="s">
        <v>26</v>
      </c>
      <c r="P27" s="166">
        <v>4</v>
      </c>
      <c r="Q27" s="166"/>
      <c r="R27" s="169"/>
      <c r="S27" s="169"/>
      <c r="T27" s="169"/>
      <c r="U27" s="169"/>
      <c r="V27" s="169"/>
      <c r="W27" s="169">
        <f t="shared" si="0"/>
        <v>4</v>
      </c>
      <c r="X27" s="170" t="e">
        <f>SUMIFS('[1]Đơn giá'!C:C,'[1]Đơn giá'!B:B,[1]XUẤT!O27)</f>
        <v>#VALUE!</v>
      </c>
      <c r="Y27" s="171" t="e">
        <f>X27*P27</f>
        <v>#VALUE!</v>
      </c>
      <c r="Z27" s="247"/>
      <c r="AA27" s="10" t="s">
        <v>41</v>
      </c>
      <c r="AB27" s="95">
        <f t="shared" si="2"/>
        <v>4</v>
      </c>
      <c r="AC27" s="96">
        <f t="shared" si="3"/>
        <v>20000</v>
      </c>
      <c r="AD27" s="169"/>
    </row>
    <row r="28" spans="1:31" s="172" customFormat="1" ht="59.4" customHeight="1" x14ac:dyDescent="0.3">
      <c r="A28" s="164">
        <v>1</v>
      </c>
      <c r="B28" s="217" t="s">
        <v>489</v>
      </c>
      <c r="C28" s="166" t="s">
        <v>492</v>
      </c>
      <c r="D28" s="166" t="s">
        <v>30</v>
      </c>
      <c r="E28" s="174" t="s">
        <v>214</v>
      </c>
      <c r="F28" s="166"/>
      <c r="G28" s="174">
        <v>4</v>
      </c>
      <c r="H28" s="166"/>
      <c r="I28" s="167">
        <f t="shared" si="4"/>
        <v>4</v>
      </c>
      <c r="J28" s="166" t="s">
        <v>495</v>
      </c>
      <c r="K28" s="166"/>
      <c r="L28" s="166" t="s">
        <v>482</v>
      </c>
      <c r="M28" s="181" t="s">
        <v>33</v>
      </c>
      <c r="N28" s="10" t="s">
        <v>134</v>
      </c>
      <c r="O28" s="166" t="s">
        <v>26</v>
      </c>
      <c r="P28" s="166">
        <v>4</v>
      </c>
      <c r="Q28" s="166"/>
      <c r="R28" s="169"/>
      <c r="S28" s="169"/>
      <c r="T28" s="169"/>
      <c r="U28" s="169"/>
      <c r="V28" s="169"/>
      <c r="W28" s="169">
        <f t="shared" si="0"/>
        <v>4</v>
      </c>
      <c r="X28" s="170" t="e">
        <f>SUMIFS('[1]Đơn giá'!C:C,'[1]Đơn giá'!B:B,[1]XUẤT!O28)</f>
        <v>#VALUE!</v>
      </c>
      <c r="Y28" s="171" t="e">
        <f t="shared" si="1"/>
        <v>#VALUE!</v>
      </c>
      <c r="Z28" s="247"/>
      <c r="AA28" s="10" t="s">
        <v>37</v>
      </c>
      <c r="AB28" s="95">
        <f t="shared" si="2"/>
        <v>4</v>
      </c>
      <c r="AC28" s="96">
        <f t="shared" si="3"/>
        <v>20000</v>
      </c>
      <c r="AD28" s="169"/>
    </row>
    <row r="29" spans="1:31" s="172" customFormat="1" ht="27" customHeight="1" x14ac:dyDescent="0.3">
      <c r="A29" s="336">
        <v>2</v>
      </c>
      <c r="B29" s="357" t="s">
        <v>489</v>
      </c>
      <c r="C29" s="333" t="s">
        <v>493</v>
      </c>
      <c r="D29" s="333" t="s">
        <v>30</v>
      </c>
      <c r="E29" s="227" t="s">
        <v>479</v>
      </c>
      <c r="F29" s="166"/>
      <c r="G29" s="174">
        <v>11</v>
      </c>
      <c r="H29" s="166"/>
      <c r="I29" s="167">
        <f t="shared" si="4"/>
        <v>11</v>
      </c>
      <c r="J29" s="166" t="s">
        <v>495</v>
      </c>
      <c r="K29" s="166"/>
      <c r="L29" s="333"/>
      <c r="M29" s="181" t="s">
        <v>33</v>
      </c>
      <c r="N29" s="10" t="s">
        <v>190</v>
      </c>
      <c r="O29" s="166" t="s">
        <v>26</v>
      </c>
      <c r="P29" s="166">
        <v>10</v>
      </c>
      <c r="Q29" s="166"/>
      <c r="R29" s="169"/>
      <c r="S29" s="169"/>
      <c r="T29" s="169"/>
      <c r="U29" s="169"/>
      <c r="V29" s="169">
        <v>1</v>
      </c>
      <c r="W29" s="169">
        <f t="shared" si="0"/>
        <v>11</v>
      </c>
      <c r="X29" s="170" t="e">
        <f>SUMIFS('[1]Đơn giá'!C:C,'[1]Đơn giá'!B:B,[1]XUẤT!O29)</f>
        <v>#VALUE!</v>
      </c>
      <c r="Y29" s="171" t="e">
        <f t="shared" si="1"/>
        <v>#VALUE!</v>
      </c>
      <c r="Z29" s="247"/>
      <c r="AA29" s="221" t="s">
        <v>190</v>
      </c>
      <c r="AB29" s="95">
        <f t="shared" si="2"/>
        <v>10</v>
      </c>
      <c r="AC29" s="96">
        <f t="shared" si="3"/>
        <v>50000</v>
      </c>
      <c r="AD29" s="169"/>
    </row>
    <row r="30" spans="1:31" s="172" customFormat="1" ht="64.2" customHeight="1" x14ac:dyDescent="0.3">
      <c r="A30" s="338"/>
      <c r="B30" s="358"/>
      <c r="C30" s="334"/>
      <c r="D30" s="334"/>
      <c r="E30" s="227" t="s">
        <v>479</v>
      </c>
      <c r="F30" s="166"/>
      <c r="G30" s="174"/>
      <c r="H30" s="166">
        <v>8</v>
      </c>
      <c r="I30" s="167">
        <f t="shared" si="4"/>
        <v>8</v>
      </c>
      <c r="J30" s="166" t="s">
        <v>495</v>
      </c>
      <c r="K30" s="166"/>
      <c r="L30" s="334"/>
      <c r="M30" s="181" t="s">
        <v>33</v>
      </c>
      <c r="N30" s="10" t="s">
        <v>190</v>
      </c>
      <c r="O30" s="166" t="s">
        <v>39</v>
      </c>
      <c r="P30" s="166"/>
      <c r="Q30" s="166"/>
      <c r="R30" s="169"/>
      <c r="S30" s="169"/>
      <c r="T30" s="169">
        <v>7</v>
      </c>
      <c r="U30" s="169"/>
      <c r="V30" s="169">
        <v>1</v>
      </c>
      <c r="W30" s="169">
        <f t="shared" si="0"/>
        <v>8</v>
      </c>
      <c r="X30" s="170" t="e">
        <f>SUMIFS('[1]Đơn giá'!C:C,'[1]Đơn giá'!B:B,[1]XUẤT!O30)</f>
        <v>#VALUE!</v>
      </c>
      <c r="Y30" s="171" t="e">
        <f>T30*X30</f>
        <v>#VALUE!</v>
      </c>
      <c r="Z30" s="247"/>
      <c r="AA30" s="221" t="s">
        <v>190</v>
      </c>
      <c r="AB30" s="95">
        <f t="shared" si="2"/>
        <v>7</v>
      </c>
      <c r="AC30" s="96">
        <f t="shared" si="3"/>
        <v>35000</v>
      </c>
      <c r="AD30" s="169"/>
    </row>
    <row r="31" spans="1:31" s="172" customFormat="1" ht="36" x14ac:dyDescent="0.3">
      <c r="A31" s="164">
        <v>3</v>
      </c>
      <c r="B31" s="217" t="s">
        <v>489</v>
      </c>
      <c r="C31" s="176" t="s">
        <v>494</v>
      </c>
      <c r="D31" s="166" t="s">
        <v>30</v>
      </c>
      <c r="E31" s="223" t="s">
        <v>479</v>
      </c>
      <c r="F31" s="166"/>
      <c r="G31" s="174"/>
      <c r="H31" s="166">
        <v>15</v>
      </c>
      <c r="I31" s="166">
        <f t="shared" si="4"/>
        <v>15</v>
      </c>
      <c r="J31" s="166" t="s">
        <v>496</v>
      </c>
      <c r="K31" s="166" t="s">
        <v>499</v>
      </c>
      <c r="L31" s="166" t="s">
        <v>482</v>
      </c>
      <c r="M31" s="181" t="s">
        <v>33</v>
      </c>
      <c r="N31" s="10" t="s">
        <v>209</v>
      </c>
      <c r="O31" s="166" t="s">
        <v>39</v>
      </c>
      <c r="P31" s="166"/>
      <c r="Q31" s="166"/>
      <c r="R31" s="169"/>
      <c r="S31" s="169"/>
      <c r="T31" s="169">
        <v>15</v>
      </c>
      <c r="U31" s="169"/>
      <c r="V31" s="169"/>
      <c r="W31" s="169">
        <f t="shared" si="0"/>
        <v>15</v>
      </c>
      <c r="X31" s="170" t="e">
        <f>SUMIFS('[1]Đơn giá'!C:C,'[1]Đơn giá'!B:B,[1]XUẤT!O31)</f>
        <v>#VALUE!</v>
      </c>
      <c r="Y31" s="171" t="e">
        <f t="shared" ref="Y31:Y92" si="5">X31*P31</f>
        <v>#VALUE!</v>
      </c>
      <c r="Z31" s="247"/>
      <c r="AA31" s="225" t="s">
        <v>37</v>
      </c>
      <c r="AB31" s="95">
        <f t="shared" si="2"/>
        <v>15</v>
      </c>
      <c r="AC31" s="96">
        <f t="shared" si="3"/>
        <v>75000</v>
      </c>
      <c r="AD31" s="169"/>
    </row>
    <row r="32" spans="1:31" s="172" customFormat="1" ht="48.6" customHeight="1" x14ac:dyDescent="0.3">
      <c r="A32" s="164">
        <v>4</v>
      </c>
      <c r="B32" s="217" t="s">
        <v>489</v>
      </c>
      <c r="C32" s="176" t="s">
        <v>497</v>
      </c>
      <c r="D32" s="166" t="s">
        <v>30</v>
      </c>
      <c r="E32" s="222" t="s">
        <v>479</v>
      </c>
      <c r="F32" s="166"/>
      <c r="G32" s="174">
        <v>11</v>
      </c>
      <c r="H32" s="166"/>
      <c r="I32" s="166">
        <f t="shared" si="4"/>
        <v>11</v>
      </c>
      <c r="J32" s="166" t="s">
        <v>496</v>
      </c>
      <c r="K32" s="166"/>
      <c r="L32" s="166" t="s">
        <v>482</v>
      </c>
      <c r="M32" s="166" t="s">
        <v>45</v>
      </c>
      <c r="N32" s="166" t="s">
        <v>498</v>
      </c>
      <c r="O32" s="166" t="s">
        <v>26</v>
      </c>
      <c r="P32" s="166">
        <v>10</v>
      </c>
      <c r="Q32" s="166"/>
      <c r="R32" s="169"/>
      <c r="S32" s="169"/>
      <c r="T32" s="169"/>
      <c r="U32" s="169"/>
      <c r="V32" s="169">
        <v>1</v>
      </c>
      <c r="W32" s="169">
        <f t="shared" si="0"/>
        <v>11</v>
      </c>
      <c r="X32" s="170" t="e">
        <f>SUMIFS('[1]Đơn giá'!C:C,'[1]Đơn giá'!B:B,[1]XUẤT!O32)</f>
        <v>#VALUE!</v>
      </c>
      <c r="Y32" s="171" t="e">
        <f t="shared" si="5"/>
        <v>#VALUE!</v>
      </c>
      <c r="Z32" s="247" t="s">
        <v>543</v>
      </c>
      <c r="AA32" s="225" t="s">
        <v>37</v>
      </c>
      <c r="AB32" s="95">
        <f t="shared" si="2"/>
        <v>10</v>
      </c>
      <c r="AC32" s="96">
        <f t="shared" si="3"/>
        <v>50000</v>
      </c>
      <c r="AD32" s="169" t="s">
        <v>59</v>
      </c>
    </row>
    <row r="33" spans="1:30" s="172" customFormat="1" ht="41.4" customHeight="1" x14ac:dyDescent="0.3">
      <c r="A33" s="164">
        <v>5</v>
      </c>
      <c r="B33" s="217" t="s">
        <v>489</v>
      </c>
      <c r="C33" s="176" t="s">
        <v>501</v>
      </c>
      <c r="D33" s="166" t="s">
        <v>30</v>
      </c>
      <c r="E33" s="223" t="s">
        <v>214</v>
      </c>
      <c r="F33" s="166"/>
      <c r="G33" s="174">
        <v>33</v>
      </c>
      <c r="H33" s="166"/>
      <c r="I33" s="166">
        <f t="shared" si="4"/>
        <v>33</v>
      </c>
      <c r="J33" s="166" t="s">
        <v>496</v>
      </c>
      <c r="K33" s="88" t="s">
        <v>511</v>
      </c>
      <c r="L33" s="166" t="s">
        <v>482</v>
      </c>
      <c r="M33" s="181" t="s">
        <v>33</v>
      </c>
      <c r="N33" s="10" t="s">
        <v>37</v>
      </c>
      <c r="O33" s="166" t="s">
        <v>26</v>
      </c>
      <c r="P33" s="166">
        <v>30</v>
      </c>
      <c r="Q33" s="166"/>
      <c r="R33" s="169"/>
      <c r="S33" s="169"/>
      <c r="T33" s="169"/>
      <c r="U33" s="169"/>
      <c r="V33" s="169">
        <v>3</v>
      </c>
      <c r="W33" s="169">
        <f t="shared" si="0"/>
        <v>33</v>
      </c>
      <c r="X33" s="170" t="e">
        <f>SUMIFS('[1]Đơn giá'!C:C,'[1]Đơn giá'!B:B,[1]XUẤT!O33)</f>
        <v>#VALUE!</v>
      </c>
      <c r="Y33" s="171" t="e">
        <f t="shared" si="5"/>
        <v>#VALUE!</v>
      </c>
      <c r="Z33" s="247"/>
      <c r="AA33" s="225" t="s">
        <v>37</v>
      </c>
      <c r="AB33" s="95">
        <f t="shared" si="2"/>
        <v>30</v>
      </c>
      <c r="AC33" s="96">
        <f t="shared" si="3"/>
        <v>150000</v>
      </c>
      <c r="AD33" s="169"/>
    </row>
    <row r="34" spans="1:30" s="172" customFormat="1" ht="41.4" customHeight="1" x14ac:dyDescent="0.3">
      <c r="A34" s="164">
        <v>6</v>
      </c>
      <c r="B34" s="217" t="s">
        <v>489</v>
      </c>
      <c r="C34" s="176" t="s">
        <v>509</v>
      </c>
      <c r="D34" s="166" t="s">
        <v>30</v>
      </c>
      <c r="E34" s="174" t="s">
        <v>80</v>
      </c>
      <c r="F34" s="166"/>
      <c r="G34" s="166">
        <v>11</v>
      </c>
      <c r="H34" s="166"/>
      <c r="I34" s="166">
        <f t="shared" si="4"/>
        <v>11</v>
      </c>
      <c r="J34" s="166" t="s">
        <v>515</v>
      </c>
      <c r="K34" s="166" t="s">
        <v>514</v>
      </c>
      <c r="L34" s="166" t="s">
        <v>482</v>
      </c>
      <c r="M34" s="174" t="s">
        <v>510</v>
      </c>
      <c r="N34" s="166" t="s">
        <v>661</v>
      </c>
      <c r="O34" s="166" t="s">
        <v>26</v>
      </c>
      <c r="P34" s="166">
        <v>30</v>
      </c>
      <c r="Q34" s="166"/>
      <c r="R34" s="169"/>
      <c r="S34" s="169"/>
      <c r="T34" s="169"/>
      <c r="U34" s="169"/>
      <c r="V34" s="169">
        <v>3</v>
      </c>
      <c r="W34" s="169">
        <f t="shared" si="0"/>
        <v>33</v>
      </c>
      <c r="X34" s="170" t="e">
        <f>SUMIFS('[1]Đơn giá'!C:C,'[1]Đơn giá'!B:B,[1]XUẤT!O34)</f>
        <v>#VALUE!</v>
      </c>
      <c r="Y34" s="171" t="e">
        <f t="shared" si="5"/>
        <v>#VALUE!</v>
      </c>
      <c r="Z34" s="247"/>
      <c r="AA34" s="34" t="s">
        <v>46</v>
      </c>
      <c r="AB34" s="95">
        <f t="shared" si="2"/>
        <v>30</v>
      </c>
      <c r="AC34" s="96">
        <f t="shared" si="3"/>
        <v>150000</v>
      </c>
      <c r="AD34" s="169" t="s">
        <v>529</v>
      </c>
    </row>
    <row r="35" spans="1:30" s="172" customFormat="1" ht="54" x14ac:dyDescent="0.3">
      <c r="A35" s="164">
        <v>7</v>
      </c>
      <c r="B35" s="217" t="s">
        <v>489</v>
      </c>
      <c r="C35" s="176" t="s">
        <v>512</v>
      </c>
      <c r="D35" s="166" t="s">
        <v>30</v>
      </c>
      <c r="E35" s="174" t="s">
        <v>479</v>
      </c>
      <c r="F35" s="166"/>
      <c r="G35" s="174">
        <v>11</v>
      </c>
      <c r="H35" s="166"/>
      <c r="I35" s="166">
        <f t="shared" si="4"/>
        <v>11</v>
      </c>
      <c r="J35" s="166" t="s">
        <v>513</v>
      </c>
      <c r="K35" s="166"/>
      <c r="L35" s="166" t="s">
        <v>482</v>
      </c>
      <c r="M35" s="166" t="s">
        <v>45</v>
      </c>
      <c r="N35" s="166" t="s">
        <v>67</v>
      </c>
      <c r="O35" s="166" t="s">
        <v>26</v>
      </c>
      <c r="P35" s="166">
        <v>5</v>
      </c>
      <c r="Q35" s="166"/>
      <c r="R35" s="169"/>
      <c r="S35" s="169"/>
      <c r="T35" s="169"/>
      <c r="U35" s="169"/>
      <c r="V35" s="169">
        <v>1</v>
      </c>
      <c r="W35" s="169">
        <f t="shared" si="0"/>
        <v>6</v>
      </c>
      <c r="X35" s="170" t="e">
        <f>SUMIFS('[1]Đơn giá'!C:C,'[1]Đơn giá'!B:B,[1]XUẤT!O35)</f>
        <v>#VALUE!</v>
      </c>
      <c r="Y35" s="171" t="e">
        <f t="shared" si="5"/>
        <v>#VALUE!</v>
      </c>
      <c r="Z35" s="247"/>
      <c r="AA35" s="10" t="s">
        <v>88</v>
      </c>
      <c r="AB35" s="95">
        <f t="shared" si="2"/>
        <v>5</v>
      </c>
      <c r="AC35" s="96">
        <f t="shared" si="3"/>
        <v>25000</v>
      </c>
      <c r="AD35" s="169" t="s">
        <v>59</v>
      </c>
    </row>
    <row r="36" spans="1:30" s="172" customFormat="1" ht="45" customHeight="1" x14ac:dyDescent="0.3">
      <c r="A36" s="164"/>
      <c r="B36" s="217"/>
      <c r="C36" s="176"/>
      <c r="D36" s="166"/>
      <c r="E36" s="174" t="s">
        <v>479</v>
      </c>
      <c r="F36" s="166"/>
      <c r="G36" s="174"/>
      <c r="H36" s="166"/>
      <c r="I36" s="166"/>
      <c r="J36" s="232"/>
      <c r="K36" s="166"/>
      <c r="L36" s="166"/>
      <c r="M36" s="166"/>
      <c r="N36" s="232"/>
      <c r="O36" s="166"/>
      <c r="P36" s="166">
        <v>5</v>
      </c>
      <c r="Q36" s="166"/>
      <c r="R36" s="169"/>
      <c r="S36" s="169"/>
      <c r="T36" s="169"/>
      <c r="U36" s="169"/>
      <c r="V36" s="169"/>
      <c r="W36" s="169">
        <f t="shared" si="0"/>
        <v>5</v>
      </c>
      <c r="X36" s="170">
        <v>98000</v>
      </c>
      <c r="Y36" s="171">
        <f t="shared" si="5"/>
        <v>490000</v>
      </c>
      <c r="Z36" s="247"/>
      <c r="AA36" s="10" t="s">
        <v>41</v>
      </c>
      <c r="AB36" s="95">
        <f t="shared" si="2"/>
        <v>5</v>
      </c>
      <c r="AC36" s="96">
        <f t="shared" si="3"/>
        <v>25000</v>
      </c>
      <c r="AD36" s="169"/>
    </row>
    <row r="37" spans="1:30" s="172" customFormat="1" ht="45" customHeight="1" x14ac:dyDescent="0.3">
      <c r="A37" s="164">
        <v>8</v>
      </c>
      <c r="B37" s="217" t="s">
        <v>489</v>
      </c>
      <c r="C37" s="176" t="s">
        <v>518</v>
      </c>
      <c r="D37" s="166" t="s">
        <v>30</v>
      </c>
      <c r="E37" s="166" t="s">
        <v>80</v>
      </c>
      <c r="F37" s="166"/>
      <c r="G37" s="166">
        <v>2</v>
      </c>
      <c r="H37" s="166"/>
      <c r="I37" s="166">
        <f t="shared" si="4"/>
        <v>2</v>
      </c>
      <c r="J37" s="10" t="s">
        <v>183</v>
      </c>
      <c r="K37" s="166"/>
      <c r="L37" s="166" t="s">
        <v>482</v>
      </c>
      <c r="M37" s="181" t="s">
        <v>33</v>
      </c>
      <c r="N37" s="10" t="s">
        <v>183</v>
      </c>
      <c r="O37" s="166" t="s">
        <v>26</v>
      </c>
      <c r="P37" s="166">
        <v>2</v>
      </c>
      <c r="Q37" s="166"/>
      <c r="R37" s="169"/>
      <c r="S37" s="169"/>
      <c r="T37" s="169"/>
      <c r="U37" s="169"/>
      <c r="V37" s="169"/>
      <c r="W37" s="169">
        <f t="shared" si="0"/>
        <v>2</v>
      </c>
      <c r="X37" s="170" t="e">
        <f>SUMIFS('[1]Đơn giá'!C:C,'[1]Đơn giá'!B:B,[1]XUẤT!O37)</f>
        <v>#VALUE!</v>
      </c>
      <c r="Y37" s="171" t="e">
        <f t="shared" si="5"/>
        <v>#VALUE!</v>
      </c>
      <c r="Z37" s="247"/>
      <c r="AA37" s="10" t="s">
        <v>183</v>
      </c>
      <c r="AB37" s="95">
        <f t="shared" si="2"/>
        <v>2</v>
      </c>
      <c r="AC37" s="96">
        <f t="shared" si="3"/>
        <v>10000</v>
      </c>
      <c r="AD37" s="169"/>
    </row>
    <row r="38" spans="1:30" s="172" customFormat="1" ht="45" customHeight="1" x14ac:dyDescent="0.3">
      <c r="A38" s="164">
        <v>9</v>
      </c>
      <c r="B38" s="217" t="s">
        <v>489</v>
      </c>
      <c r="C38" s="318" t="s">
        <v>519</v>
      </c>
      <c r="D38" s="166" t="s">
        <v>40</v>
      </c>
      <c r="E38" s="166" t="s">
        <v>652</v>
      </c>
      <c r="F38" s="166"/>
      <c r="G38" s="166"/>
      <c r="H38" s="166">
        <v>22</v>
      </c>
      <c r="I38" s="166">
        <f t="shared" si="4"/>
        <v>22</v>
      </c>
      <c r="J38" s="166" t="s">
        <v>520</v>
      </c>
      <c r="K38" s="166" t="s">
        <v>192</v>
      </c>
      <c r="L38" s="166" t="s">
        <v>482</v>
      </c>
      <c r="M38" s="166" t="s">
        <v>45</v>
      </c>
      <c r="N38" s="10" t="s">
        <v>201</v>
      </c>
      <c r="O38" s="166" t="s">
        <v>39</v>
      </c>
      <c r="P38" s="166"/>
      <c r="Q38" s="166"/>
      <c r="R38" s="169"/>
      <c r="S38" s="169"/>
      <c r="T38" s="169">
        <v>20</v>
      </c>
      <c r="U38" s="169"/>
      <c r="V38" s="169">
        <v>2</v>
      </c>
      <c r="W38" s="169">
        <f t="shared" si="0"/>
        <v>22</v>
      </c>
      <c r="X38" s="170" t="e">
        <f>SUMIFS('[1]Đơn giá'!C:C,'[1]Đơn giá'!B:B,[1]XUẤT!O38)</f>
        <v>#VALUE!</v>
      </c>
      <c r="Y38" s="171" t="e">
        <f>T38*X38</f>
        <v>#VALUE!</v>
      </c>
      <c r="Z38" s="247"/>
      <c r="AA38" s="10" t="s">
        <v>201</v>
      </c>
      <c r="AB38" s="95">
        <f t="shared" si="2"/>
        <v>20</v>
      </c>
      <c r="AC38" s="96">
        <f t="shared" si="3"/>
        <v>100000</v>
      </c>
      <c r="AD38" s="169"/>
    </row>
    <row r="39" spans="1:30" s="172" customFormat="1" ht="45" customHeight="1" x14ac:dyDescent="0.3">
      <c r="A39" s="164">
        <v>10</v>
      </c>
      <c r="B39" s="357" t="s">
        <v>489</v>
      </c>
      <c r="C39" s="333" t="s">
        <v>521</v>
      </c>
      <c r="D39" s="166" t="s">
        <v>30</v>
      </c>
      <c r="E39" s="166" t="s">
        <v>214</v>
      </c>
      <c r="F39" s="166"/>
      <c r="G39" s="166">
        <v>22</v>
      </c>
      <c r="H39" s="166"/>
      <c r="I39" s="166">
        <f t="shared" si="4"/>
        <v>22</v>
      </c>
      <c r="J39" s="166" t="s">
        <v>495</v>
      </c>
      <c r="K39" s="166"/>
      <c r="L39" s="166" t="s">
        <v>482</v>
      </c>
      <c r="M39" s="166" t="s">
        <v>45</v>
      </c>
      <c r="N39" s="333" t="s">
        <v>67</v>
      </c>
      <c r="O39" s="166" t="s">
        <v>26</v>
      </c>
      <c r="P39" s="166"/>
      <c r="Q39" s="166">
        <v>10</v>
      </c>
      <c r="R39" s="169"/>
      <c r="S39" s="169"/>
      <c r="T39" s="169"/>
      <c r="U39" s="169"/>
      <c r="V39" s="169">
        <v>2</v>
      </c>
      <c r="W39" s="169">
        <f t="shared" si="0"/>
        <v>12</v>
      </c>
      <c r="X39" s="170">
        <v>85000</v>
      </c>
      <c r="Y39" s="171">
        <f>Q39*X39</f>
        <v>850000</v>
      </c>
      <c r="Z39" s="294" t="s">
        <v>537</v>
      </c>
      <c r="AA39" s="225" t="s">
        <v>37</v>
      </c>
      <c r="AB39" s="95">
        <f t="shared" si="2"/>
        <v>10</v>
      </c>
      <c r="AC39" s="96">
        <f t="shared" si="3"/>
        <v>50000</v>
      </c>
      <c r="AD39" s="169" t="s">
        <v>59</v>
      </c>
    </row>
    <row r="40" spans="1:30" s="172" customFormat="1" ht="45" customHeight="1" x14ac:dyDescent="0.3">
      <c r="A40" s="164"/>
      <c r="B40" s="358"/>
      <c r="C40" s="334"/>
      <c r="D40" s="166"/>
      <c r="E40" s="166" t="s">
        <v>214</v>
      </c>
      <c r="F40" s="166"/>
      <c r="G40" s="166"/>
      <c r="H40" s="166"/>
      <c r="I40" s="166"/>
      <c r="J40" s="232"/>
      <c r="K40" s="166"/>
      <c r="L40" s="166"/>
      <c r="M40" s="166" t="s">
        <v>45</v>
      </c>
      <c r="N40" s="359"/>
      <c r="O40" s="166" t="s">
        <v>26</v>
      </c>
      <c r="P40" s="166"/>
      <c r="Q40" s="166">
        <v>10</v>
      </c>
      <c r="R40" s="169"/>
      <c r="S40" s="169"/>
      <c r="T40" s="169"/>
      <c r="U40" s="169"/>
      <c r="V40" s="169"/>
      <c r="W40" s="169">
        <f t="shared" si="0"/>
        <v>10</v>
      </c>
      <c r="X40" s="170">
        <v>85000</v>
      </c>
      <c r="Y40" s="171">
        <f>Q40*X40</f>
        <v>850000</v>
      </c>
      <c r="Z40" s="294" t="s">
        <v>537</v>
      </c>
      <c r="AA40" s="10" t="s">
        <v>128</v>
      </c>
      <c r="AB40" s="95">
        <f t="shared" si="2"/>
        <v>10</v>
      </c>
      <c r="AC40" s="96">
        <f t="shared" si="3"/>
        <v>50000</v>
      </c>
      <c r="AD40" s="169"/>
    </row>
    <row r="41" spans="1:30" s="172" customFormat="1" x14ac:dyDescent="0.3">
      <c r="A41" s="164">
        <v>11</v>
      </c>
      <c r="B41" s="217" t="s">
        <v>489</v>
      </c>
      <c r="C41" s="176" t="s">
        <v>522</v>
      </c>
      <c r="D41" s="166" t="s">
        <v>30</v>
      </c>
      <c r="E41" s="166" t="s">
        <v>214</v>
      </c>
      <c r="F41" s="166"/>
      <c r="G41" s="166">
        <v>8</v>
      </c>
      <c r="H41" s="166"/>
      <c r="I41" s="166">
        <f t="shared" si="4"/>
        <v>8</v>
      </c>
      <c r="J41" s="10" t="s">
        <v>55</v>
      </c>
      <c r="K41" s="166"/>
      <c r="L41" s="166" t="s">
        <v>482</v>
      </c>
      <c r="M41" s="181" t="s">
        <v>33</v>
      </c>
      <c r="N41" s="10" t="s">
        <v>55</v>
      </c>
      <c r="O41" s="166" t="s">
        <v>26</v>
      </c>
      <c r="P41" s="166">
        <v>8</v>
      </c>
      <c r="Q41" s="166"/>
      <c r="R41" s="169"/>
      <c r="S41" s="169"/>
      <c r="T41" s="169"/>
      <c r="U41" s="169"/>
      <c r="V41" s="169"/>
      <c r="W41" s="169">
        <f t="shared" si="0"/>
        <v>8</v>
      </c>
      <c r="X41" s="170" t="e">
        <f>SUMIFS('[1]Đơn giá'!C:C,'[1]Đơn giá'!B:B,[1]XUẤT!O41)</f>
        <v>#VALUE!</v>
      </c>
      <c r="Y41" s="171" t="e">
        <f t="shared" si="5"/>
        <v>#VALUE!</v>
      </c>
      <c r="Z41" s="247"/>
      <c r="AA41" s="10" t="s">
        <v>55</v>
      </c>
      <c r="AB41" s="95">
        <f t="shared" si="2"/>
        <v>8</v>
      </c>
      <c r="AC41" s="96">
        <f t="shared" si="3"/>
        <v>40000</v>
      </c>
      <c r="AD41" s="169"/>
    </row>
    <row r="42" spans="1:30" s="172" customFormat="1" ht="40.799999999999997" customHeight="1" x14ac:dyDescent="0.3">
      <c r="A42" s="164">
        <v>12</v>
      </c>
      <c r="B42" s="217" t="s">
        <v>489</v>
      </c>
      <c r="C42" s="176" t="s">
        <v>525</v>
      </c>
      <c r="D42" s="166" t="s">
        <v>30</v>
      </c>
      <c r="E42" s="166" t="s">
        <v>214</v>
      </c>
      <c r="F42" s="166"/>
      <c r="G42" s="166">
        <v>2</v>
      </c>
      <c r="H42" s="166"/>
      <c r="I42" s="166">
        <f t="shared" si="4"/>
        <v>2</v>
      </c>
      <c r="J42" s="10" t="s">
        <v>229</v>
      </c>
      <c r="K42" s="166"/>
      <c r="L42" s="166" t="s">
        <v>482</v>
      </c>
      <c r="M42" s="181" t="s">
        <v>33</v>
      </c>
      <c r="N42" s="10" t="s">
        <v>229</v>
      </c>
      <c r="O42" s="166" t="s">
        <v>26</v>
      </c>
      <c r="P42" s="166">
        <v>2</v>
      </c>
      <c r="Q42" s="166"/>
      <c r="R42" s="169"/>
      <c r="S42" s="169"/>
      <c r="T42" s="169"/>
      <c r="U42" s="169"/>
      <c r="V42" s="169"/>
      <c r="W42" s="169">
        <f t="shared" si="0"/>
        <v>2</v>
      </c>
      <c r="X42" s="170" t="e">
        <f>SUMIFS('[1]Đơn giá'!C:C,'[1]Đơn giá'!B:B,[1]XUẤT!O42)</f>
        <v>#VALUE!</v>
      </c>
      <c r="Y42" s="171" t="e">
        <f t="shared" si="5"/>
        <v>#VALUE!</v>
      </c>
      <c r="Z42" s="247"/>
      <c r="AA42" s="10" t="s">
        <v>229</v>
      </c>
      <c r="AB42" s="95">
        <f t="shared" si="2"/>
        <v>2</v>
      </c>
      <c r="AC42" s="96">
        <f t="shared" si="3"/>
        <v>10000</v>
      </c>
      <c r="AD42" s="169"/>
    </row>
    <row r="43" spans="1:30" s="172" customFormat="1" ht="40.799999999999997" customHeight="1" x14ac:dyDescent="0.3">
      <c r="A43" s="174">
        <v>1</v>
      </c>
      <c r="B43" s="217" t="s">
        <v>524</v>
      </c>
      <c r="C43" s="176" t="s">
        <v>549</v>
      </c>
      <c r="D43" s="166" t="s">
        <v>30</v>
      </c>
      <c r="E43" s="238" t="s">
        <v>214</v>
      </c>
      <c r="F43" s="176"/>
      <c r="G43" s="174">
        <v>6</v>
      </c>
      <c r="H43" s="176"/>
      <c r="I43" s="176">
        <f t="shared" si="4"/>
        <v>6</v>
      </c>
      <c r="J43" s="36" t="s">
        <v>37</v>
      </c>
      <c r="K43" s="176"/>
      <c r="L43" s="164" t="s">
        <v>482</v>
      </c>
      <c r="M43" s="181" t="s">
        <v>33</v>
      </c>
      <c r="N43" s="236" t="s">
        <v>256</v>
      </c>
      <c r="O43" s="176" t="s">
        <v>26</v>
      </c>
      <c r="P43" s="176">
        <v>5</v>
      </c>
      <c r="Q43" s="176"/>
      <c r="R43" s="176"/>
      <c r="S43" s="176"/>
      <c r="T43" s="176"/>
      <c r="U43" s="176"/>
      <c r="V43" s="176"/>
      <c r="W43" s="176">
        <f t="shared" si="0"/>
        <v>5</v>
      </c>
      <c r="X43" s="176" t="e">
        <f>SUMIFS('[1]Đơn giá'!C:C,'[1]Đơn giá'!B:B,[1]XUẤT!O43)</f>
        <v>#VALUE!</v>
      </c>
      <c r="Y43" s="171" t="e">
        <f t="shared" si="5"/>
        <v>#VALUE!</v>
      </c>
      <c r="Z43" s="223"/>
      <c r="AA43" s="36" t="s">
        <v>37</v>
      </c>
      <c r="AB43" s="95">
        <f t="shared" si="2"/>
        <v>5</v>
      </c>
      <c r="AC43" s="96">
        <f t="shared" si="3"/>
        <v>25000</v>
      </c>
      <c r="AD43" s="176"/>
    </row>
    <row r="44" spans="1:30" s="172" customFormat="1" ht="61.8" customHeight="1" x14ac:dyDescent="0.3">
      <c r="A44" s="164">
        <v>2</v>
      </c>
      <c r="B44" s="217" t="s">
        <v>524</v>
      </c>
      <c r="C44" s="176" t="s">
        <v>526</v>
      </c>
      <c r="D44" s="166" t="s">
        <v>30</v>
      </c>
      <c r="E44" s="167" t="s">
        <v>80</v>
      </c>
      <c r="F44" s="167"/>
      <c r="G44" s="167">
        <v>4</v>
      </c>
      <c r="H44" s="167"/>
      <c r="I44" s="167">
        <f t="shared" si="4"/>
        <v>4</v>
      </c>
      <c r="J44" s="164" t="s">
        <v>527</v>
      </c>
      <c r="K44" s="164"/>
      <c r="L44" s="164" t="s">
        <v>482</v>
      </c>
      <c r="M44" s="181" t="s">
        <v>33</v>
      </c>
      <c r="N44" s="10" t="s">
        <v>143</v>
      </c>
      <c r="O44" s="166" t="s">
        <v>26</v>
      </c>
      <c r="P44" s="169">
        <v>4</v>
      </c>
      <c r="Q44" s="169"/>
      <c r="R44" s="169"/>
      <c r="S44" s="169"/>
      <c r="T44" s="169"/>
      <c r="U44" s="169"/>
      <c r="V44" s="169"/>
      <c r="W44" s="169">
        <f t="shared" si="0"/>
        <v>4</v>
      </c>
      <c r="X44" s="170" t="e">
        <f>SUMIFS('[1]Đơn giá'!C:C,'[1]Đơn giá'!B:B,[1]XUẤT!O44)</f>
        <v>#VALUE!</v>
      </c>
      <c r="Y44" s="171" t="e">
        <f t="shared" si="5"/>
        <v>#VALUE!</v>
      </c>
      <c r="Z44" s="247"/>
      <c r="AA44" s="164" t="s">
        <v>527</v>
      </c>
      <c r="AB44" s="95">
        <f t="shared" si="2"/>
        <v>4</v>
      </c>
      <c r="AC44" s="96">
        <f t="shared" si="3"/>
        <v>20000</v>
      </c>
      <c r="AD44" s="169"/>
    </row>
    <row r="45" spans="1:30" s="172" customFormat="1" ht="18" customHeight="1" x14ac:dyDescent="0.3">
      <c r="A45" s="164">
        <v>3</v>
      </c>
      <c r="B45" s="217" t="s">
        <v>524</v>
      </c>
      <c r="C45" s="166" t="s">
        <v>530</v>
      </c>
      <c r="D45" s="166" t="s">
        <v>30</v>
      </c>
      <c r="E45" s="238" t="s">
        <v>214</v>
      </c>
      <c r="F45" s="167"/>
      <c r="G45" s="167">
        <v>4</v>
      </c>
      <c r="H45" s="167"/>
      <c r="I45" s="167">
        <f t="shared" si="4"/>
        <v>4</v>
      </c>
      <c r="J45" s="243" t="s">
        <v>535</v>
      </c>
      <c r="K45" s="164"/>
      <c r="L45" s="164" t="s">
        <v>482</v>
      </c>
      <c r="M45" s="181" t="s">
        <v>45</v>
      </c>
      <c r="N45" s="175" t="s">
        <v>531</v>
      </c>
      <c r="O45" s="166" t="s">
        <v>26</v>
      </c>
      <c r="P45" s="169">
        <v>4</v>
      </c>
      <c r="Q45" s="169"/>
      <c r="R45" s="169"/>
      <c r="S45" s="169"/>
      <c r="T45" s="169"/>
      <c r="U45" s="169"/>
      <c r="V45" s="169"/>
      <c r="W45" s="169">
        <f t="shared" si="0"/>
        <v>4</v>
      </c>
      <c r="X45" s="170" t="e">
        <f>SUMIFS('[1]Đơn giá'!C:C,'[1]Đơn giá'!B:B,[1]XUẤT!O45)</f>
        <v>#VALUE!</v>
      </c>
      <c r="Y45" s="171" t="e">
        <f t="shared" si="5"/>
        <v>#VALUE!</v>
      </c>
      <c r="Z45" s="247"/>
      <c r="AA45" s="243" t="s">
        <v>37</v>
      </c>
      <c r="AB45" s="95">
        <f t="shared" si="2"/>
        <v>4</v>
      </c>
      <c r="AC45" s="96">
        <f t="shared" si="3"/>
        <v>20000</v>
      </c>
      <c r="AD45" s="169"/>
    </row>
    <row r="46" spans="1:30" s="172" customFormat="1" ht="85.2" customHeight="1" x14ac:dyDescent="0.3">
      <c r="A46" s="164">
        <v>4</v>
      </c>
      <c r="B46" s="217" t="s">
        <v>524</v>
      </c>
      <c r="C46" s="166" t="s">
        <v>534</v>
      </c>
      <c r="D46" s="166" t="s">
        <v>30</v>
      </c>
      <c r="E46" s="238" t="s">
        <v>533</v>
      </c>
      <c r="F46" s="167"/>
      <c r="G46" s="167">
        <v>11</v>
      </c>
      <c r="H46" s="167"/>
      <c r="I46" s="167">
        <f t="shared" si="4"/>
        <v>11</v>
      </c>
      <c r="J46" s="243" t="s">
        <v>102</v>
      </c>
      <c r="K46" s="164"/>
      <c r="L46" s="164"/>
      <c r="M46" s="181" t="s">
        <v>33</v>
      </c>
      <c r="N46" s="154" t="s">
        <v>169</v>
      </c>
      <c r="O46" s="166" t="s">
        <v>26</v>
      </c>
      <c r="P46" s="169">
        <v>10</v>
      </c>
      <c r="Q46" s="169"/>
      <c r="R46" s="169"/>
      <c r="S46" s="169"/>
      <c r="T46" s="169"/>
      <c r="U46" s="169"/>
      <c r="V46" s="169">
        <v>1</v>
      </c>
      <c r="W46" s="169">
        <f t="shared" si="0"/>
        <v>11</v>
      </c>
      <c r="X46" s="170" t="e">
        <f>SUMIFS('[1]Đơn giá'!C:C,'[1]Đơn giá'!B:B,[1]XUẤT!O46)</f>
        <v>#VALUE!</v>
      </c>
      <c r="Y46" s="171" t="e">
        <f t="shared" si="5"/>
        <v>#VALUE!</v>
      </c>
      <c r="Z46" s="247"/>
      <c r="AA46" s="244" t="s">
        <v>102</v>
      </c>
      <c r="AB46" s="95">
        <f t="shared" si="2"/>
        <v>10</v>
      </c>
      <c r="AC46" s="96">
        <f t="shared" si="3"/>
        <v>50000</v>
      </c>
      <c r="AD46" s="169"/>
    </row>
    <row r="47" spans="1:30" s="414" customFormat="1" ht="63" customHeight="1" x14ac:dyDescent="0.3">
      <c r="A47" s="400">
        <v>5</v>
      </c>
      <c r="B47" s="401" t="s">
        <v>524</v>
      </c>
      <c r="C47" s="402" t="s">
        <v>532</v>
      </c>
      <c r="D47" s="403" t="s">
        <v>40</v>
      </c>
      <c r="E47" s="404"/>
      <c r="F47" s="404"/>
      <c r="G47" s="404"/>
      <c r="H47" s="404">
        <v>11</v>
      </c>
      <c r="I47" s="404">
        <f t="shared" si="4"/>
        <v>11</v>
      </c>
      <c r="J47" s="405" t="s">
        <v>37</v>
      </c>
      <c r="K47" s="406"/>
      <c r="L47" s="406" t="s">
        <v>482</v>
      </c>
      <c r="M47" s="407" t="s">
        <v>45</v>
      </c>
      <c r="N47" s="408"/>
      <c r="O47" s="409" t="s">
        <v>39</v>
      </c>
      <c r="P47" s="410"/>
      <c r="Q47" s="410"/>
      <c r="R47" s="410"/>
      <c r="S47" s="410"/>
      <c r="T47" s="410">
        <v>5</v>
      </c>
      <c r="U47" s="410"/>
      <c r="V47" s="410">
        <v>1</v>
      </c>
      <c r="W47" s="410">
        <f t="shared" si="0"/>
        <v>6</v>
      </c>
      <c r="X47" s="411" t="e">
        <f>SUMIFS('[1]Đơn giá'!C:C,'[1]Đơn giá'!B:B,[1]XUẤT!O47)</f>
        <v>#VALUE!</v>
      </c>
      <c r="Y47" s="412" t="e">
        <f>T47*X47</f>
        <v>#VALUE!</v>
      </c>
      <c r="Z47" s="406"/>
      <c r="AA47" s="413" t="s">
        <v>37</v>
      </c>
      <c r="AB47" s="410">
        <f t="shared" si="2"/>
        <v>5</v>
      </c>
      <c r="AC47" s="411">
        <f t="shared" si="3"/>
        <v>25000</v>
      </c>
      <c r="AD47" s="410"/>
    </row>
    <row r="48" spans="1:30" s="414" customFormat="1" x14ac:dyDescent="0.3">
      <c r="A48" s="415"/>
      <c r="B48" s="416"/>
      <c r="C48" s="417"/>
      <c r="D48" s="418"/>
      <c r="E48" s="404"/>
      <c r="F48" s="404"/>
      <c r="G48" s="404"/>
      <c r="H48" s="404"/>
      <c r="I48" s="404">
        <f t="shared" si="4"/>
        <v>0</v>
      </c>
      <c r="J48" s="405" t="s">
        <v>130</v>
      </c>
      <c r="K48" s="406"/>
      <c r="L48" s="406" t="s">
        <v>482</v>
      </c>
      <c r="M48" s="407" t="s">
        <v>45</v>
      </c>
      <c r="N48" s="408"/>
      <c r="O48" s="409" t="s">
        <v>39</v>
      </c>
      <c r="P48" s="410"/>
      <c r="Q48" s="410"/>
      <c r="R48" s="410"/>
      <c r="S48" s="410"/>
      <c r="T48" s="410">
        <v>5</v>
      </c>
      <c r="U48" s="410"/>
      <c r="V48" s="410"/>
      <c r="W48" s="410">
        <f t="shared" si="0"/>
        <v>5</v>
      </c>
      <c r="X48" s="411" t="e">
        <f>SUMIFS('[1]Đơn giá'!C:C,'[1]Đơn giá'!B:B,[1]XUẤT!O48)</f>
        <v>#VALUE!</v>
      </c>
      <c r="Y48" s="412" t="e">
        <f>T48*X48</f>
        <v>#VALUE!</v>
      </c>
      <c r="Z48" s="406"/>
      <c r="AA48" s="413" t="s">
        <v>130</v>
      </c>
      <c r="AB48" s="410">
        <f t="shared" si="2"/>
        <v>5</v>
      </c>
      <c r="AC48" s="411">
        <f t="shared" si="3"/>
        <v>25000</v>
      </c>
      <c r="AD48" s="410"/>
    </row>
    <row r="49" spans="1:30" s="172" customFormat="1" ht="36" x14ac:dyDescent="0.3">
      <c r="A49" s="164">
        <v>6</v>
      </c>
      <c r="B49" s="246" t="s">
        <v>524</v>
      </c>
      <c r="C49" s="243" t="s">
        <v>542</v>
      </c>
      <c r="D49" s="166" t="s">
        <v>30</v>
      </c>
      <c r="E49" s="167" t="s">
        <v>238</v>
      </c>
      <c r="F49" s="167"/>
      <c r="G49" s="167">
        <v>3</v>
      </c>
      <c r="H49" s="167"/>
      <c r="I49" s="167">
        <v>12</v>
      </c>
      <c r="J49" s="243" t="s">
        <v>538</v>
      </c>
      <c r="K49" s="164"/>
      <c r="L49" s="164" t="s">
        <v>482</v>
      </c>
      <c r="M49" s="181" t="s">
        <v>45</v>
      </c>
      <c r="N49" s="175"/>
      <c r="O49" s="166" t="s">
        <v>26</v>
      </c>
      <c r="P49" s="169">
        <v>3</v>
      </c>
      <c r="Q49" s="169"/>
      <c r="R49" s="169"/>
      <c r="S49" s="169"/>
      <c r="T49" s="169"/>
      <c r="U49" s="169"/>
      <c r="V49" s="169"/>
      <c r="W49" s="169">
        <f t="shared" si="0"/>
        <v>3</v>
      </c>
      <c r="X49" s="170" t="e">
        <f>SUMIFS('[1]Đơn giá'!C:C,'[1]Đơn giá'!B:B,[1]XUẤT!O49)</f>
        <v>#VALUE!</v>
      </c>
      <c r="Y49" s="171" t="e">
        <f t="shared" si="5"/>
        <v>#VALUE!</v>
      </c>
      <c r="Z49" s="247" t="s">
        <v>668</v>
      </c>
      <c r="AA49" s="36" t="s">
        <v>254</v>
      </c>
      <c r="AB49" s="95">
        <f t="shared" si="2"/>
        <v>3</v>
      </c>
      <c r="AC49" s="96">
        <f t="shared" si="3"/>
        <v>15000</v>
      </c>
      <c r="AD49" s="169" t="s">
        <v>544</v>
      </c>
    </row>
    <row r="50" spans="1:30" s="172" customFormat="1" ht="36" x14ac:dyDescent="0.3">
      <c r="A50" s="164">
        <v>7</v>
      </c>
      <c r="B50" s="165">
        <v>46335</v>
      </c>
      <c r="C50" s="243" t="s">
        <v>540</v>
      </c>
      <c r="D50" s="166" t="s">
        <v>30</v>
      </c>
      <c r="E50" s="167" t="s">
        <v>214</v>
      </c>
      <c r="F50" s="167"/>
      <c r="G50" s="167">
        <v>11</v>
      </c>
      <c r="H50" s="167"/>
      <c r="I50" s="167">
        <f t="shared" ref="I50:I51" si="6">H50+G50</f>
        <v>11</v>
      </c>
      <c r="J50" s="164" t="s">
        <v>31</v>
      </c>
      <c r="K50" s="164"/>
      <c r="L50" s="164"/>
      <c r="M50" s="181" t="s">
        <v>33</v>
      </c>
      <c r="N50" s="7" t="s">
        <v>194</v>
      </c>
      <c r="O50" s="166" t="s">
        <v>26</v>
      </c>
      <c r="P50" s="169">
        <v>10</v>
      </c>
      <c r="Q50" s="169"/>
      <c r="R50" s="169"/>
      <c r="S50" s="169"/>
      <c r="T50" s="169"/>
      <c r="U50" s="169"/>
      <c r="V50" s="169"/>
      <c r="W50" s="169">
        <f t="shared" si="0"/>
        <v>10</v>
      </c>
      <c r="X50" s="170" t="e">
        <f>SUMIFS('[1]Đơn giá'!C:C,'[1]Đơn giá'!B:B,[1]XUẤT!O50)</f>
        <v>#VALUE!</v>
      </c>
      <c r="Y50" s="171" t="e">
        <f t="shared" si="5"/>
        <v>#VALUE!</v>
      </c>
      <c r="Z50" s="247" t="s">
        <v>558</v>
      </c>
      <c r="AA50" s="36" t="s">
        <v>37</v>
      </c>
      <c r="AB50" s="95">
        <f t="shared" si="2"/>
        <v>10</v>
      </c>
      <c r="AC50" s="96">
        <f t="shared" si="3"/>
        <v>50000</v>
      </c>
      <c r="AD50" s="169"/>
    </row>
    <row r="51" spans="1:30" s="172" customFormat="1" x14ac:dyDescent="0.3">
      <c r="A51" s="164">
        <v>8</v>
      </c>
      <c r="B51" s="165">
        <v>46335</v>
      </c>
      <c r="C51" s="242" t="s">
        <v>377</v>
      </c>
      <c r="D51" s="166" t="s">
        <v>30</v>
      </c>
      <c r="E51" s="167" t="s">
        <v>80</v>
      </c>
      <c r="F51" s="167"/>
      <c r="G51" s="167">
        <v>2</v>
      </c>
      <c r="H51" s="167"/>
      <c r="I51" s="167">
        <f t="shared" si="6"/>
        <v>2</v>
      </c>
      <c r="J51" s="36" t="s">
        <v>126</v>
      </c>
      <c r="K51" s="164"/>
      <c r="L51" s="164" t="s">
        <v>482</v>
      </c>
      <c r="M51" s="181" t="s">
        <v>33</v>
      </c>
      <c r="N51" s="243" t="s">
        <v>126</v>
      </c>
      <c r="O51" s="166" t="s">
        <v>26</v>
      </c>
      <c r="P51" s="169">
        <v>2</v>
      </c>
      <c r="Q51" s="169"/>
      <c r="R51" s="169"/>
      <c r="S51" s="169"/>
      <c r="T51" s="169"/>
      <c r="U51" s="169"/>
      <c r="V51" s="169"/>
      <c r="W51" s="169">
        <f t="shared" si="0"/>
        <v>2</v>
      </c>
      <c r="X51" s="170" t="e">
        <f>SUMIFS('[1]Đơn giá'!C:C,'[1]Đơn giá'!B:B,[1]XUẤT!O51)</f>
        <v>#VALUE!</v>
      </c>
      <c r="Y51" s="171" t="e">
        <f t="shared" si="5"/>
        <v>#VALUE!</v>
      </c>
      <c r="Z51" s="247"/>
      <c r="AA51" s="36" t="s">
        <v>126</v>
      </c>
      <c r="AB51" s="95">
        <f t="shared" si="2"/>
        <v>2</v>
      </c>
      <c r="AC51" s="96">
        <f t="shared" si="3"/>
        <v>10000</v>
      </c>
      <c r="AD51" s="169"/>
    </row>
    <row r="52" spans="1:30" s="172" customFormat="1" ht="36" x14ac:dyDescent="0.3">
      <c r="A52" s="164">
        <v>9</v>
      </c>
      <c r="B52" s="165">
        <v>46335</v>
      </c>
      <c r="C52" s="243" t="s">
        <v>548</v>
      </c>
      <c r="D52" s="166" t="s">
        <v>30</v>
      </c>
      <c r="E52" s="238" t="s">
        <v>214</v>
      </c>
      <c r="F52" s="167"/>
      <c r="G52" s="167">
        <v>11</v>
      </c>
      <c r="H52" s="167"/>
      <c r="I52" s="167">
        <f t="shared" si="4"/>
        <v>11</v>
      </c>
      <c r="J52" s="243" t="s">
        <v>37</v>
      </c>
      <c r="K52" s="164"/>
      <c r="L52" s="164" t="s">
        <v>482</v>
      </c>
      <c r="M52" s="181" t="s">
        <v>33</v>
      </c>
      <c r="N52" s="243" t="s">
        <v>37</v>
      </c>
      <c r="O52" s="166" t="s">
        <v>26</v>
      </c>
      <c r="P52" s="169">
        <v>10</v>
      </c>
      <c r="Q52" s="169"/>
      <c r="R52" s="169"/>
      <c r="S52" s="169"/>
      <c r="T52" s="169"/>
      <c r="U52" s="169"/>
      <c r="V52" s="169">
        <v>1</v>
      </c>
      <c r="W52" s="169">
        <f t="shared" si="0"/>
        <v>11</v>
      </c>
      <c r="X52" s="170" t="e">
        <f>SUMIFS('[1]Đơn giá'!C:C,'[1]Đơn giá'!B:B,[1]XUẤT!O52)</f>
        <v>#VALUE!</v>
      </c>
      <c r="Y52" s="171" t="e">
        <f t="shared" si="5"/>
        <v>#VALUE!</v>
      </c>
      <c r="Z52" s="247"/>
      <c r="AA52" s="36" t="s">
        <v>37</v>
      </c>
      <c r="AB52" s="95">
        <f t="shared" si="2"/>
        <v>10</v>
      </c>
      <c r="AC52" s="96">
        <f t="shared" si="3"/>
        <v>50000</v>
      </c>
      <c r="AD52" s="169"/>
    </row>
    <row r="53" spans="1:30" s="172" customFormat="1" ht="41.4" customHeight="1" x14ac:dyDescent="0.3">
      <c r="A53" s="164">
        <v>10</v>
      </c>
      <c r="B53" s="165">
        <v>46335</v>
      </c>
      <c r="C53" s="176" t="s">
        <v>715</v>
      </c>
      <c r="D53" s="166" t="s">
        <v>30</v>
      </c>
      <c r="E53" s="167" t="s">
        <v>533</v>
      </c>
      <c r="F53" s="167"/>
      <c r="G53" s="167"/>
      <c r="H53" s="167"/>
      <c r="I53" s="167"/>
      <c r="J53" s="164"/>
      <c r="K53" s="164"/>
      <c r="L53" s="164"/>
      <c r="M53" s="181"/>
      <c r="N53" s="10"/>
      <c r="O53" s="166"/>
      <c r="P53" s="169"/>
      <c r="Q53" s="169"/>
      <c r="R53" s="169"/>
      <c r="S53" s="169"/>
      <c r="T53" s="169"/>
      <c r="U53" s="169"/>
      <c r="V53" s="169"/>
      <c r="W53" s="169">
        <f t="shared" si="0"/>
        <v>0</v>
      </c>
      <c r="X53" s="170" t="e">
        <f>SUMIFS('[1]Đơn giá'!C:C,'[1]Đơn giá'!B:B,[1]XUẤT!O53)</f>
        <v>#VALUE!</v>
      </c>
      <c r="Y53" s="171" t="e">
        <f t="shared" si="5"/>
        <v>#VALUE!</v>
      </c>
      <c r="Z53" s="247"/>
      <c r="AA53" s="10"/>
      <c r="AB53" s="95">
        <f t="shared" si="2"/>
        <v>0</v>
      </c>
      <c r="AC53" s="96">
        <f t="shared" si="3"/>
        <v>0</v>
      </c>
      <c r="AD53" s="169"/>
    </row>
    <row r="54" spans="1:30" s="172" customFormat="1" ht="49.8" customHeight="1" x14ac:dyDescent="0.3">
      <c r="A54" s="164">
        <v>11</v>
      </c>
      <c r="B54" s="165">
        <v>46335</v>
      </c>
      <c r="C54" s="166" t="s">
        <v>61</v>
      </c>
      <c r="D54" s="166" t="s">
        <v>30</v>
      </c>
      <c r="E54" s="167" t="s">
        <v>533</v>
      </c>
      <c r="F54" s="167"/>
      <c r="G54" s="167">
        <v>3</v>
      </c>
      <c r="H54" s="167"/>
      <c r="I54" s="167">
        <f t="shared" si="4"/>
        <v>3</v>
      </c>
      <c r="J54" s="164"/>
      <c r="K54" s="164"/>
      <c r="L54" s="164"/>
      <c r="M54" s="181" t="s">
        <v>33</v>
      </c>
      <c r="N54" s="10" t="s">
        <v>41</v>
      </c>
      <c r="O54" s="166" t="s">
        <v>26</v>
      </c>
      <c r="P54" s="169">
        <v>3</v>
      </c>
      <c r="Q54" s="169"/>
      <c r="R54" s="169"/>
      <c r="S54" s="169"/>
      <c r="T54" s="169"/>
      <c r="U54" s="169"/>
      <c r="V54" s="169"/>
      <c r="W54" s="169">
        <f t="shared" si="0"/>
        <v>3</v>
      </c>
      <c r="X54" s="170" t="e">
        <f>SUMIFS('[1]Đơn giá'!C:C,'[1]Đơn giá'!B:B,[1]XUẤT!O54)</f>
        <v>#VALUE!</v>
      </c>
      <c r="Y54" s="171" t="e">
        <f t="shared" si="5"/>
        <v>#VALUE!</v>
      </c>
      <c r="Z54" s="247"/>
      <c r="AA54" s="10" t="s">
        <v>41</v>
      </c>
      <c r="AB54" s="95">
        <f t="shared" si="2"/>
        <v>3</v>
      </c>
      <c r="AC54" s="96">
        <f t="shared" si="3"/>
        <v>15000</v>
      </c>
      <c r="AD54" s="169"/>
    </row>
    <row r="55" spans="1:30" s="172" customFormat="1" ht="52.2" customHeight="1" x14ac:dyDescent="0.3">
      <c r="A55" s="336">
        <v>1</v>
      </c>
      <c r="B55" s="339">
        <v>46365</v>
      </c>
      <c r="C55" s="333" t="s">
        <v>551</v>
      </c>
      <c r="D55" s="166" t="s">
        <v>30</v>
      </c>
      <c r="E55" s="167" t="s">
        <v>80</v>
      </c>
      <c r="F55" s="167"/>
      <c r="G55" s="167">
        <v>2</v>
      </c>
      <c r="H55" s="167"/>
      <c r="I55" s="167">
        <f t="shared" si="4"/>
        <v>2</v>
      </c>
      <c r="J55" s="164" t="s">
        <v>49</v>
      </c>
      <c r="K55" s="164"/>
      <c r="L55" s="164" t="s">
        <v>482</v>
      </c>
      <c r="M55" s="181" t="s">
        <v>33</v>
      </c>
      <c r="N55" s="7" t="s">
        <v>86</v>
      </c>
      <c r="O55" s="166" t="s">
        <v>26</v>
      </c>
      <c r="P55" s="169">
        <v>2</v>
      </c>
      <c r="Q55" s="169"/>
      <c r="R55" s="169"/>
      <c r="S55" s="169"/>
      <c r="T55" s="169"/>
      <c r="U55" s="169"/>
      <c r="V55" s="169"/>
      <c r="W55" s="169">
        <f t="shared" si="0"/>
        <v>2</v>
      </c>
      <c r="X55" s="170" t="e">
        <f>SUMIFS('[1]Đơn giá'!C:C,'[1]Đơn giá'!B:B,[1]XUẤT!O55)</f>
        <v>#VALUE!</v>
      </c>
      <c r="Y55" s="171" t="e">
        <f t="shared" si="5"/>
        <v>#VALUE!</v>
      </c>
      <c r="Z55" s="247"/>
      <c r="AA55" s="10" t="s">
        <v>50</v>
      </c>
      <c r="AB55" s="95">
        <f t="shared" si="2"/>
        <v>2</v>
      </c>
      <c r="AC55" s="96">
        <f t="shared" si="3"/>
        <v>10000</v>
      </c>
      <c r="AD55" s="169"/>
    </row>
    <row r="56" spans="1:30" s="172" customFormat="1" ht="43.8" customHeight="1" x14ac:dyDescent="0.3">
      <c r="A56" s="338"/>
      <c r="B56" s="341"/>
      <c r="C56" s="334"/>
      <c r="D56" s="166" t="s">
        <v>30</v>
      </c>
      <c r="E56" s="167" t="s">
        <v>533</v>
      </c>
      <c r="F56" s="167"/>
      <c r="G56" s="167">
        <v>5</v>
      </c>
      <c r="H56" s="167"/>
      <c r="I56" s="167">
        <f t="shared" si="4"/>
        <v>5</v>
      </c>
      <c r="J56" s="164" t="s">
        <v>385</v>
      </c>
      <c r="K56" s="164"/>
      <c r="L56" s="164" t="s">
        <v>482</v>
      </c>
      <c r="M56" s="181" t="s">
        <v>33</v>
      </c>
      <c r="N56" s="7" t="s">
        <v>86</v>
      </c>
      <c r="O56" s="166" t="s">
        <v>29</v>
      </c>
      <c r="P56" s="169"/>
      <c r="Q56" s="169">
        <v>5</v>
      </c>
      <c r="R56" s="169"/>
      <c r="S56" s="169"/>
      <c r="T56" s="169"/>
      <c r="U56" s="169"/>
      <c r="V56" s="169"/>
      <c r="W56" s="169">
        <f t="shared" si="0"/>
        <v>5</v>
      </c>
      <c r="X56" s="170">
        <v>85000</v>
      </c>
      <c r="Y56" s="171">
        <f>Q56*X56</f>
        <v>425000</v>
      </c>
      <c r="Z56" s="247"/>
      <c r="AA56" s="36" t="s">
        <v>88</v>
      </c>
      <c r="AB56" s="95">
        <f t="shared" si="2"/>
        <v>5</v>
      </c>
      <c r="AC56" s="96">
        <f t="shared" si="3"/>
        <v>25000</v>
      </c>
      <c r="AD56" s="169"/>
    </row>
    <row r="57" spans="1:30" s="172" customFormat="1" ht="45.6" customHeight="1" x14ac:dyDescent="0.3">
      <c r="A57" s="164">
        <v>2</v>
      </c>
      <c r="B57" s="165">
        <v>46365</v>
      </c>
      <c r="C57" s="166" t="s">
        <v>552</v>
      </c>
      <c r="D57" s="167" t="s">
        <v>30</v>
      </c>
      <c r="E57" s="176" t="s">
        <v>214</v>
      </c>
      <c r="F57" s="167"/>
      <c r="G57" s="167">
        <v>22</v>
      </c>
      <c r="H57" s="167"/>
      <c r="I57" s="167">
        <f t="shared" si="4"/>
        <v>22</v>
      </c>
      <c r="J57" s="267" t="s">
        <v>36</v>
      </c>
      <c r="K57" s="164"/>
      <c r="L57" s="164" t="s">
        <v>482</v>
      </c>
      <c r="M57" s="181" t="s">
        <v>33</v>
      </c>
      <c r="N57" s="225" t="s">
        <v>36</v>
      </c>
      <c r="O57" s="166" t="s">
        <v>26</v>
      </c>
      <c r="P57" s="169">
        <v>20</v>
      </c>
      <c r="Q57" s="169"/>
      <c r="R57" s="169"/>
      <c r="S57" s="169"/>
      <c r="T57" s="169"/>
      <c r="U57" s="169"/>
      <c r="V57" s="169">
        <v>2</v>
      </c>
      <c r="W57" s="169">
        <f t="shared" si="0"/>
        <v>22</v>
      </c>
      <c r="X57" s="170" t="e">
        <f>SUMIFS('[1]Đơn giá'!C:C,'[1]Đơn giá'!B:B,[1]XUẤT!O57)</f>
        <v>#VALUE!</v>
      </c>
      <c r="Y57" s="171" t="e">
        <f t="shared" si="5"/>
        <v>#VALUE!</v>
      </c>
      <c r="Z57" s="247"/>
      <c r="AA57" s="36" t="s">
        <v>36</v>
      </c>
      <c r="AB57" s="95">
        <f t="shared" si="2"/>
        <v>20</v>
      </c>
      <c r="AC57" s="96">
        <f t="shared" si="3"/>
        <v>100000</v>
      </c>
      <c r="AD57" s="169"/>
    </row>
    <row r="58" spans="1:30" s="172" customFormat="1" ht="45.6" customHeight="1" x14ac:dyDescent="0.3">
      <c r="A58" s="164">
        <v>3</v>
      </c>
      <c r="B58" s="165">
        <v>46365</v>
      </c>
      <c r="C58" s="166" t="s">
        <v>554</v>
      </c>
      <c r="D58" s="167" t="s">
        <v>30</v>
      </c>
      <c r="E58" s="176" t="s">
        <v>214</v>
      </c>
      <c r="F58" s="167"/>
      <c r="G58" s="167">
        <v>3</v>
      </c>
      <c r="H58" s="167"/>
      <c r="I58" s="167">
        <f t="shared" si="4"/>
        <v>3</v>
      </c>
      <c r="J58" s="243" t="s">
        <v>37</v>
      </c>
      <c r="K58" s="164"/>
      <c r="L58" s="164" t="s">
        <v>482</v>
      </c>
      <c r="M58" s="181" t="s">
        <v>33</v>
      </c>
      <c r="N58" s="10" t="s">
        <v>97</v>
      </c>
      <c r="O58" s="166" t="s">
        <v>26</v>
      </c>
      <c r="P58" s="169">
        <v>3</v>
      </c>
      <c r="Q58" s="169"/>
      <c r="R58" s="169"/>
      <c r="S58" s="169"/>
      <c r="T58" s="169"/>
      <c r="U58" s="169"/>
      <c r="V58" s="169"/>
      <c r="W58" s="169">
        <f t="shared" si="0"/>
        <v>3</v>
      </c>
      <c r="X58" s="170" t="e">
        <f>SUMIFS('[1]Đơn giá'!C:C,'[1]Đơn giá'!B:B,[1]XUẤT!O58)</f>
        <v>#VALUE!</v>
      </c>
      <c r="Y58" s="171" t="e">
        <f t="shared" si="5"/>
        <v>#VALUE!</v>
      </c>
      <c r="Z58" s="247" t="s">
        <v>571</v>
      </c>
      <c r="AA58" s="36" t="s">
        <v>37</v>
      </c>
      <c r="AB58" s="95">
        <f t="shared" si="2"/>
        <v>3</v>
      </c>
      <c r="AC58" s="96">
        <f t="shared" si="3"/>
        <v>15000</v>
      </c>
      <c r="AD58" s="169"/>
    </row>
    <row r="59" spans="1:30" s="176" customFormat="1" ht="52.2" customHeight="1" x14ac:dyDescent="0.3">
      <c r="A59" s="164">
        <v>4</v>
      </c>
      <c r="B59" s="248">
        <v>46365</v>
      </c>
      <c r="C59" s="88" t="s">
        <v>555</v>
      </c>
      <c r="D59" s="268"/>
      <c r="E59" s="268" t="s">
        <v>556</v>
      </c>
      <c r="F59" s="167"/>
      <c r="G59" s="167">
        <v>11</v>
      </c>
      <c r="H59" s="167"/>
      <c r="I59" s="167">
        <f t="shared" si="4"/>
        <v>11</v>
      </c>
      <c r="J59" s="164" t="s">
        <v>557</v>
      </c>
      <c r="K59" s="164"/>
      <c r="L59" s="164"/>
      <c r="M59" s="181" t="s">
        <v>33</v>
      </c>
      <c r="N59" s="10" t="s">
        <v>50</v>
      </c>
      <c r="O59" s="166" t="s">
        <v>26</v>
      </c>
      <c r="P59" s="169">
        <v>10</v>
      </c>
      <c r="Q59" s="169"/>
      <c r="R59" s="169"/>
      <c r="S59" s="169"/>
      <c r="T59" s="169"/>
      <c r="U59" s="169"/>
      <c r="V59" s="169">
        <v>1</v>
      </c>
      <c r="W59" s="169">
        <f t="shared" si="0"/>
        <v>11</v>
      </c>
      <c r="X59" s="170" t="e">
        <f>SUMIFS('[1]Đơn giá'!C:C,'[1]Đơn giá'!B:B,[1]XUẤT!O59)</f>
        <v>#VALUE!</v>
      </c>
      <c r="Y59" s="171" t="e">
        <f t="shared" si="5"/>
        <v>#VALUE!</v>
      </c>
      <c r="Z59" s="247" t="s">
        <v>677</v>
      </c>
      <c r="AA59" s="164" t="s">
        <v>665</v>
      </c>
      <c r="AB59" s="95">
        <f t="shared" si="2"/>
        <v>10</v>
      </c>
      <c r="AC59" s="96">
        <f t="shared" si="3"/>
        <v>50000</v>
      </c>
      <c r="AD59" s="169"/>
    </row>
    <row r="60" spans="1:30" s="172" customFormat="1" ht="62.4" customHeight="1" x14ac:dyDescent="0.3">
      <c r="A60" s="164">
        <v>5</v>
      </c>
      <c r="B60" s="165">
        <v>46365</v>
      </c>
      <c r="C60" s="166" t="s">
        <v>559</v>
      </c>
      <c r="D60" s="167" t="s">
        <v>30</v>
      </c>
      <c r="E60" s="176" t="s">
        <v>214</v>
      </c>
      <c r="F60" s="167"/>
      <c r="G60" s="167">
        <v>3</v>
      </c>
      <c r="H60" s="167"/>
      <c r="I60" s="167">
        <f t="shared" si="4"/>
        <v>3</v>
      </c>
      <c r="J60" s="164" t="s">
        <v>560</v>
      </c>
      <c r="K60" s="164"/>
      <c r="L60" s="164" t="s">
        <v>482</v>
      </c>
      <c r="M60" s="181" t="s">
        <v>62</v>
      </c>
      <c r="N60" s="175"/>
      <c r="O60" s="166" t="s">
        <v>26</v>
      </c>
      <c r="P60" s="169">
        <v>3</v>
      </c>
      <c r="Q60" s="169"/>
      <c r="R60" s="169"/>
      <c r="S60" s="169"/>
      <c r="T60" s="169"/>
      <c r="U60" s="169"/>
      <c r="V60" s="169"/>
      <c r="W60" s="169">
        <f t="shared" si="0"/>
        <v>3</v>
      </c>
      <c r="X60" s="170" t="e">
        <f>SUMIFS('[1]Đơn giá'!C:C,'[1]Đơn giá'!B:B,[1]XUẤT!O60)</f>
        <v>#VALUE!</v>
      </c>
      <c r="Y60" s="171" t="e">
        <f t="shared" si="5"/>
        <v>#VALUE!</v>
      </c>
      <c r="Z60" s="247" t="s">
        <v>567</v>
      </c>
      <c r="AA60" s="164"/>
      <c r="AB60" s="95">
        <f t="shared" si="2"/>
        <v>3</v>
      </c>
      <c r="AC60" s="96">
        <f t="shared" si="3"/>
        <v>15000</v>
      </c>
      <c r="AD60" s="169" t="s">
        <v>64</v>
      </c>
    </row>
    <row r="61" spans="1:30" s="172" customFormat="1" x14ac:dyDescent="0.3">
      <c r="A61" s="164">
        <v>6</v>
      </c>
      <c r="B61" s="165">
        <v>46365</v>
      </c>
      <c r="C61" s="166" t="s">
        <v>561</v>
      </c>
      <c r="D61" s="167" t="s">
        <v>30</v>
      </c>
      <c r="E61" s="167" t="s">
        <v>533</v>
      </c>
      <c r="F61" s="167"/>
      <c r="G61" s="167">
        <v>11</v>
      </c>
      <c r="H61" s="167">
        <v>11</v>
      </c>
      <c r="I61" s="167">
        <f t="shared" si="4"/>
        <v>22</v>
      </c>
      <c r="J61" s="36" t="s">
        <v>37</v>
      </c>
      <c r="K61" s="164"/>
      <c r="L61" s="164" t="s">
        <v>482</v>
      </c>
      <c r="M61" s="181" t="s">
        <v>33</v>
      </c>
      <c r="N61" s="10" t="s">
        <v>37</v>
      </c>
      <c r="O61" s="166" t="s">
        <v>29</v>
      </c>
      <c r="P61" s="169"/>
      <c r="Q61" s="169">
        <v>10</v>
      </c>
      <c r="R61" s="169"/>
      <c r="S61" s="169"/>
      <c r="T61" s="169"/>
      <c r="U61" s="169"/>
      <c r="V61" s="169">
        <v>1</v>
      </c>
      <c r="W61" s="169">
        <f t="shared" si="0"/>
        <v>11</v>
      </c>
      <c r="X61" s="170" t="e">
        <f>SUMIFS('[1]Đơn giá'!C:C,'[1]Đơn giá'!B:B,[1]XUẤT!O61)</f>
        <v>#VALUE!</v>
      </c>
      <c r="Y61" s="171" t="e">
        <f>Q61*X61</f>
        <v>#VALUE!</v>
      </c>
      <c r="Z61" s="247"/>
      <c r="AA61" s="36" t="s">
        <v>37</v>
      </c>
      <c r="AB61" s="95">
        <f t="shared" si="2"/>
        <v>10</v>
      </c>
      <c r="AC61" s="96">
        <f t="shared" si="3"/>
        <v>50000</v>
      </c>
      <c r="AD61" s="169"/>
    </row>
    <row r="62" spans="1:30" s="172" customFormat="1" ht="63" customHeight="1" x14ac:dyDescent="0.3">
      <c r="A62" s="164">
        <v>7</v>
      </c>
      <c r="B62" s="165">
        <v>46365</v>
      </c>
      <c r="C62" s="166" t="s">
        <v>568</v>
      </c>
      <c r="D62" s="167" t="s">
        <v>30</v>
      </c>
      <c r="E62" s="167" t="s">
        <v>533</v>
      </c>
      <c r="F62" s="167"/>
      <c r="G62" s="167">
        <v>20</v>
      </c>
      <c r="H62" s="167"/>
      <c r="I62" s="167">
        <f t="shared" si="4"/>
        <v>20</v>
      </c>
      <c r="J62" s="36" t="s">
        <v>37</v>
      </c>
      <c r="K62" s="164"/>
      <c r="L62" s="164" t="s">
        <v>482</v>
      </c>
      <c r="M62" s="181" t="s">
        <v>562</v>
      </c>
      <c r="N62" s="175"/>
      <c r="O62" s="166"/>
      <c r="P62" s="169"/>
      <c r="Q62" s="169">
        <v>20</v>
      </c>
      <c r="R62" s="169"/>
      <c r="S62" s="169"/>
      <c r="T62" s="169"/>
      <c r="U62" s="169"/>
      <c r="V62" s="169"/>
      <c r="W62" s="169">
        <f t="shared" si="0"/>
        <v>20</v>
      </c>
      <c r="X62" s="170" t="e">
        <f>SUMIFS('[1]Đơn giá'!C:C,'[1]Đơn giá'!B:B,[1]XUẤT!O62)</f>
        <v>#VALUE!</v>
      </c>
      <c r="Y62" s="171" t="e">
        <f t="shared" si="5"/>
        <v>#VALUE!</v>
      </c>
      <c r="Z62" s="247"/>
      <c r="AA62" s="164"/>
      <c r="AB62" s="95">
        <f t="shared" si="2"/>
        <v>20</v>
      </c>
      <c r="AC62" s="96">
        <f t="shared" si="3"/>
        <v>100000</v>
      </c>
      <c r="AD62" s="169" t="s">
        <v>569</v>
      </c>
    </row>
    <row r="63" spans="1:30" s="172" customFormat="1" ht="30.6" customHeight="1" x14ac:dyDescent="0.3">
      <c r="A63" s="164">
        <v>8</v>
      </c>
      <c r="B63" s="165">
        <v>46365</v>
      </c>
      <c r="C63" s="166" t="s">
        <v>564</v>
      </c>
      <c r="D63" s="167" t="s">
        <v>30</v>
      </c>
      <c r="E63" s="167" t="s">
        <v>533</v>
      </c>
      <c r="F63" s="167"/>
      <c r="G63" s="167">
        <v>5</v>
      </c>
      <c r="H63" s="167"/>
      <c r="I63" s="167">
        <f t="shared" si="4"/>
        <v>5</v>
      </c>
      <c r="J63" s="164" t="s">
        <v>491</v>
      </c>
      <c r="K63" s="164"/>
      <c r="L63" s="164"/>
      <c r="M63" s="181" t="s">
        <v>45</v>
      </c>
      <c r="N63" s="175"/>
      <c r="O63" s="166" t="s">
        <v>26</v>
      </c>
      <c r="P63" s="169">
        <v>5</v>
      </c>
      <c r="Q63" s="169"/>
      <c r="R63" s="169"/>
      <c r="S63" s="169"/>
      <c r="T63" s="169"/>
      <c r="U63" s="169"/>
      <c r="V63" s="169"/>
      <c r="W63" s="169">
        <f t="shared" si="0"/>
        <v>5</v>
      </c>
      <c r="X63" s="170" t="e">
        <f>SUMIFS('[1]Đơn giá'!C:C,'[1]Đơn giá'!B:B,[1]XUẤT!O63)</f>
        <v>#VALUE!</v>
      </c>
      <c r="Y63" s="171" t="e">
        <f t="shared" si="5"/>
        <v>#VALUE!</v>
      </c>
      <c r="Z63" s="247"/>
      <c r="AA63" s="36" t="s">
        <v>37</v>
      </c>
      <c r="AB63" s="95">
        <f t="shared" si="2"/>
        <v>5</v>
      </c>
      <c r="AC63" s="96">
        <f t="shared" si="3"/>
        <v>25000</v>
      </c>
      <c r="AD63" s="169"/>
    </row>
    <row r="64" spans="1:30" s="172" customFormat="1" ht="31.8" customHeight="1" x14ac:dyDescent="0.3">
      <c r="A64" s="164">
        <v>9</v>
      </c>
      <c r="B64" s="165">
        <v>46365</v>
      </c>
      <c r="C64" s="166" t="s">
        <v>565</v>
      </c>
      <c r="D64" s="167" t="s">
        <v>30</v>
      </c>
      <c r="E64" s="167" t="s">
        <v>80</v>
      </c>
      <c r="F64" s="167"/>
      <c r="G64" s="167">
        <v>2</v>
      </c>
      <c r="H64" s="167"/>
      <c r="I64" s="167">
        <f t="shared" si="4"/>
        <v>2</v>
      </c>
      <c r="J64" s="10" t="s">
        <v>126</v>
      </c>
      <c r="K64" s="164"/>
      <c r="L64" s="164" t="s">
        <v>482</v>
      </c>
      <c r="M64" s="181" t="s">
        <v>33</v>
      </c>
      <c r="N64" s="10" t="s">
        <v>126</v>
      </c>
      <c r="O64" s="166" t="s">
        <v>26</v>
      </c>
      <c r="P64" s="169">
        <v>2</v>
      </c>
      <c r="Q64" s="169"/>
      <c r="R64" s="169"/>
      <c r="S64" s="169"/>
      <c r="T64" s="169"/>
      <c r="U64" s="169"/>
      <c r="V64" s="169"/>
      <c r="W64" s="169">
        <f t="shared" si="0"/>
        <v>2</v>
      </c>
      <c r="X64" s="170" t="e">
        <f>SUMIFS('[1]Đơn giá'!C:C,'[1]Đơn giá'!B:B,[1]XUẤT!O64)</f>
        <v>#VALUE!</v>
      </c>
      <c r="Y64" s="171" t="e">
        <f t="shared" si="5"/>
        <v>#VALUE!</v>
      </c>
      <c r="Z64" s="247"/>
      <c r="AA64" s="36" t="s">
        <v>126</v>
      </c>
      <c r="AB64" s="95">
        <f t="shared" si="2"/>
        <v>2</v>
      </c>
      <c r="AC64" s="96">
        <f t="shared" si="3"/>
        <v>10000</v>
      </c>
      <c r="AD64" s="169"/>
    </row>
    <row r="65" spans="1:30" s="172" customFormat="1" ht="52.2" customHeight="1" x14ac:dyDescent="0.3">
      <c r="A65" s="164">
        <v>10</v>
      </c>
      <c r="B65" s="165">
        <v>46365</v>
      </c>
      <c r="C65" s="166" t="s">
        <v>566</v>
      </c>
      <c r="D65" s="167" t="s">
        <v>30</v>
      </c>
      <c r="E65" s="167" t="s">
        <v>533</v>
      </c>
      <c r="F65" s="167"/>
      <c r="G65" s="167">
        <v>11</v>
      </c>
      <c r="H65" s="167"/>
      <c r="I65" s="167">
        <f t="shared" si="4"/>
        <v>11</v>
      </c>
      <c r="J65" s="164" t="s">
        <v>31</v>
      </c>
      <c r="K65" s="164"/>
      <c r="L65" s="164" t="s">
        <v>482</v>
      </c>
      <c r="M65" s="181" t="s">
        <v>33</v>
      </c>
      <c r="N65" s="10" t="s">
        <v>94</v>
      </c>
      <c r="O65" s="166" t="s">
        <v>26</v>
      </c>
      <c r="P65" s="169">
        <v>10</v>
      </c>
      <c r="Q65" s="169"/>
      <c r="R65" s="169"/>
      <c r="S65" s="169"/>
      <c r="T65" s="169"/>
      <c r="U65" s="169"/>
      <c r="V65" s="169">
        <v>1</v>
      </c>
      <c r="W65" s="169">
        <f t="shared" si="0"/>
        <v>11</v>
      </c>
      <c r="X65" s="170" t="e">
        <f>SUMIFS('[1]Đơn giá'!C:C,'[1]Đơn giá'!B:B,[1]XUẤT!O65)</f>
        <v>#VALUE!</v>
      </c>
      <c r="Y65" s="171" t="e">
        <f t="shared" si="5"/>
        <v>#VALUE!</v>
      </c>
      <c r="Z65" s="164" t="s">
        <v>590</v>
      </c>
      <c r="AA65" s="10" t="s">
        <v>225</v>
      </c>
      <c r="AB65" s="95">
        <f t="shared" si="2"/>
        <v>10</v>
      </c>
      <c r="AC65" s="96">
        <f t="shared" si="3"/>
        <v>50000</v>
      </c>
      <c r="AD65" s="169" t="s">
        <v>380</v>
      </c>
    </row>
    <row r="66" spans="1:30" s="172" customFormat="1" ht="54" customHeight="1" x14ac:dyDescent="0.3">
      <c r="A66" s="164">
        <v>11</v>
      </c>
      <c r="B66" s="165">
        <v>46365</v>
      </c>
      <c r="C66" s="166" t="s">
        <v>572</v>
      </c>
      <c r="D66" s="167" t="s">
        <v>30</v>
      </c>
      <c r="E66" s="238" t="s">
        <v>214</v>
      </c>
      <c r="F66" s="167"/>
      <c r="G66" s="167">
        <v>4</v>
      </c>
      <c r="H66" s="167"/>
      <c r="I66" s="167">
        <f t="shared" si="4"/>
        <v>4</v>
      </c>
      <c r="J66" s="224" t="s">
        <v>231</v>
      </c>
      <c r="K66" s="164"/>
      <c r="L66" s="164" t="s">
        <v>482</v>
      </c>
      <c r="M66" s="181" t="s">
        <v>33</v>
      </c>
      <c r="N66" s="10" t="s">
        <v>231</v>
      </c>
      <c r="O66" s="166" t="s">
        <v>26</v>
      </c>
      <c r="P66" s="169">
        <v>4</v>
      </c>
      <c r="Q66" s="169"/>
      <c r="R66" s="169"/>
      <c r="S66" s="169"/>
      <c r="T66" s="169"/>
      <c r="U66" s="169"/>
      <c r="V66" s="169"/>
      <c r="W66" s="169">
        <f t="shared" si="0"/>
        <v>4</v>
      </c>
      <c r="X66" s="170" t="e">
        <f>SUMIFS('[1]Đơn giá'!C:C,'[1]Đơn giá'!B:B,[1]XUẤT!O66)</f>
        <v>#VALUE!</v>
      </c>
      <c r="Y66" s="171" t="e">
        <f t="shared" si="5"/>
        <v>#VALUE!</v>
      </c>
      <c r="Z66" s="247"/>
      <c r="AA66" s="10" t="s">
        <v>231</v>
      </c>
      <c r="AB66" s="95">
        <f t="shared" si="2"/>
        <v>4</v>
      </c>
      <c r="AC66" s="96">
        <f t="shared" si="3"/>
        <v>20000</v>
      </c>
      <c r="AD66" s="169"/>
    </row>
    <row r="67" spans="1:30" s="172" customFormat="1" ht="49.2" customHeight="1" x14ac:dyDescent="0.3">
      <c r="A67" s="164">
        <v>1</v>
      </c>
      <c r="B67" s="165" t="s">
        <v>570</v>
      </c>
      <c r="C67" s="166" t="s">
        <v>573</v>
      </c>
      <c r="D67" s="167" t="s">
        <v>30</v>
      </c>
      <c r="E67" s="167" t="s">
        <v>80</v>
      </c>
      <c r="F67" s="167"/>
      <c r="G67" s="167">
        <v>11</v>
      </c>
      <c r="H67" s="167"/>
      <c r="I67" s="167">
        <f t="shared" si="4"/>
        <v>11</v>
      </c>
      <c r="J67" s="7" t="s">
        <v>209</v>
      </c>
      <c r="K67" s="164"/>
      <c r="L67" s="164" t="s">
        <v>482</v>
      </c>
      <c r="M67" s="181" t="s">
        <v>33</v>
      </c>
      <c r="N67" s="10" t="s">
        <v>51</v>
      </c>
      <c r="O67" s="166" t="s">
        <v>26</v>
      </c>
      <c r="P67" s="169">
        <v>10</v>
      </c>
      <c r="Q67" s="169"/>
      <c r="R67" s="169"/>
      <c r="S67" s="169"/>
      <c r="T67" s="169"/>
      <c r="U67" s="169"/>
      <c r="V67" s="169">
        <v>1</v>
      </c>
      <c r="W67" s="169">
        <f t="shared" si="0"/>
        <v>11</v>
      </c>
      <c r="X67" s="170" t="e">
        <f>SUMIFS('[1]Đơn giá'!C:C,'[1]Đơn giá'!B:B,[1]XUẤT!O67)</f>
        <v>#VALUE!</v>
      </c>
      <c r="Y67" s="171" t="e">
        <f t="shared" si="5"/>
        <v>#VALUE!</v>
      </c>
      <c r="Z67" s="247"/>
      <c r="AA67" s="7" t="s">
        <v>209</v>
      </c>
      <c r="AB67" s="95">
        <f t="shared" si="2"/>
        <v>10</v>
      </c>
      <c r="AC67" s="96">
        <f t="shared" si="3"/>
        <v>50000</v>
      </c>
      <c r="AD67" s="169"/>
    </row>
    <row r="68" spans="1:30" s="172" customFormat="1" ht="49.8" customHeight="1" x14ac:dyDescent="0.3">
      <c r="A68" s="164">
        <v>2</v>
      </c>
      <c r="B68" s="165" t="s">
        <v>570</v>
      </c>
      <c r="C68" s="166" t="s">
        <v>574</v>
      </c>
      <c r="D68" s="167" t="s">
        <v>30</v>
      </c>
      <c r="E68" s="167" t="s">
        <v>415</v>
      </c>
      <c r="F68" s="167"/>
      <c r="G68" s="167">
        <v>11</v>
      </c>
      <c r="H68" s="167"/>
      <c r="I68" s="167">
        <f t="shared" si="4"/>
        <v>11</v>
      </c>
      <c r="J68" s="7" t="s">
        <v>225</v>
      </c>
      <c r="K68" s="164"/>
      <c r="L68" s="164" t="s">
        <v>482</v>
      </c>
      <c r="M68" s="181" t="s">
        <v>33</v>
      </c>
      <c r="N68" s="10" t="s">
        <v>168</v>
      </c>
      <c r="O68" s="166" t="s">
        <v>26</v>
      </c>
      <c r="P68" s="169">
        <v>10</v>
      </c>
      <c r="Q68" s="169"/>
      <c r="R68" s="169"/>
      <c r="S68" s="169"/>
      <c r="T68" s="169"/>
      <c r="U68" s="169"/>
      <c r="V68" s="169">
        <v>1</v>
      </c>
      <c r="W68" s="169">
        <f t="shared" si="0"/>
        <v>11</v>
      </c>
      <c r="X68" s="170" t="e">
        <f>SUMIFS('[1]Đơn giá'!C:C,'[1]Đơn giá'!B:B,[1]XUẤT!O68)</f>
        <v>#VALUE!</v>
      </c>
      <c r="Y68" s="171" t="e">
        <f t="shared" si="5"/>
        <v>#VALUE!</v>
      </c>
      <c r="Z68" s="164" t="s">
        <v>676</v>
      </c>
      <c r="AA68" s="10" t="s">
        <v>225</v>
      </c>
      <c r="AB68" s="95">
        <f t="shared" si="2"/>
        <v>10</v>
      </c>
      <c r="AC68" s="96">
        <f t="shared" si="3"/>
        <v>50000</v>
      </c>
      <c r="AD68" s="270" t="s">
        <v>576</v>
      </c>
    </row>
    <row r="69" spans="1:30" s="172" customFormat="1" ht="53.4" customHeight="1" x14ac:dyDescent="0.3">
      <c r="A69" s="164">
        <v>3</v>
      </c>
      <c r="B69" s="165" t="s">
        <v>570</v>
      </c>
      <c r="C69" s="166" t="s">
        <v>575</v>
      </c>
      <c r="D69" s="167" t="s">
        <v>30</v>
      </c>
      <c r="E69" s="167" t="s">
        <v>415</v>
      </c>
      <c r="F69" s="167"/>
      <c r="G69" s="167">
        <v>11</v>
      </c>
      <c r="H69" s="167"/>
      <c r="I69" s="167">
        <f t="shared" si="4"/>
        <v>11</v>
      </c>
      <c r="J69" s="7" t="s">
        <v>225</v>
      </c>
      <c r="K69" s="164"/>
      <c r="L69" s="164" t="s">
        <v>482</v>
      </c>
      <c r="M69" s="181" t="s">
        <v>33</v>
      </c>
      <c r="N69" s="10" t="s">
        <v>161</v>
      </c>
      <c r="O69" s="166" t="s">
        <v>26</v>
      </c>
      <c r="P69" s="169">
        <v>10</v>
      </c>
      <c r="Q69" s="169"/>
      <c r="R69" s="169"/>
      <c r="S69" s="169"/>
      <c r="T69" s="169"/>
      <c r="U69" s="169"/>
      <c r="V69" s="169">
        <v>1</v>
      </c>
      <c r="W69" s="169">
        <f t="shared" si="0"/>
        <v>11</v>
      </c>
      <c r="X69" s="170" t="e">
        <f>SUMIFS('[1]Đơn giá'!C:C,'[1]Đơn giá'!B:B,[1]XUẤT!O69)</f>
        <v>#VALUE!</v>
      </c>
      <c r="Y69" s="171" t="e">
        <f t="shared" si="5"/>
        <v>#VALUE!</v>
      </c>
      <c r="Z69" s="164" t="s">
        <v>590</v>
      </c>
      <c r="AA69" s="10" t="s">
        <v>225</v>
      </c>
      <c r="AB69" s="95">
        <f t="shared" si="2"/>
        <v>10</v>
      </c>
      <c r="AC69" s="96">
        <f t="shared" si="3"/>
        <v>50000</v>
      </c>
      <c r="AD69" s="169" t="s">
        <v>580</v>
      </c>
    </row>
    <row r="70" spans="1:30" s="172" customFormat="1" ht="58.8" customHeight="1" x14ac:dyDescent="0.3">
      <c r="A70" s="164">
        <v>4</v>
      </c>
      <c r="B70" s="165" t="s">
        <v>570</v>
      </c>
      <c r="C70" s="166" t="s">
        <v>448</v>
      </c>
      <c r="D70" s="167" t="s">
        <v>30</v>
      </c>
      <c r="E70" s="167" t="s">
        <v>415</v>
      </c>
      <c r="F70" s="167"/>
      <c r="G70" s="167">
        <v>11</v>
      </c>
      <c r="H70" s="167"/>
      <c r="I70" s="167">
        <f t="shared" si="4"/>
        <v>11</v>
      </c>
      <c r="J70" s="7" t="s">
        <v>225</v>
      </c>
      <c r="K70" s="164"/>
      <c r="L70" s="164" t="s">
        <v>482</v>
      </c>
      <c r="M70" s="181" t="s">
        <v>33</v>
      </c>
      <c r="N70" s="10" t="s">
        <v>166</v>
      </c>
      <c r="O70" s="166" t="s">
        <v>26</v>
      </c>
      <c r="P70" s="169">
        <v>10</v>
      </c>
      <c r="Q70" s="169"/>
      <c r="R70" s="169"/>
      <c r="S70" s="169"/>
      <c r="T70" s="169"/>
      <c r="U70" s="169"/>
      <c r="V70" s="169">
        <v>1</v>
      </c>
      <c r="W70" s="169">
        <f t="shared" ref="W70:W137" si="7">SUM(P70:V70)</f>
        <v>11</v>
      </c>
      <c r="X70" s="170" t="e">
        <f>SUMIFS('[1]Đơn giá'!C:C,'[1]Đơn giá'!B:B,[1]XUẤT!O70)</f>
        <v>#VALUE!</v>
      </c>
      <c r="Y70" s="171" t="e">
        <f t="shared" si="5"/>
        <v>#VALUE!</v>
      </c>
      <c r="Z70" s="164" t="s">
        <v>590</v>
      </c>
      <c r="AA70" s="10" t="s">
        <v>225</v>
      </c>
      <c r="AB70" s="95">
        <f t="shared" ref="AB70:AB127" si="8">W70-V70</f>
        <v>10</v>
      </c>
      <c r="AC70" s="96">
        <f t="shared" ref="AC70:AC133" si="9">AB70*5000</f>
        <v>50000</v>
      </c>
      <c r="AD70" s="169" t="s">
        <v>580</v>
      </c>
    </row>
    <row r="71" spans="1:30" s="172" customFormat="1" ht="44.4" customHeight="1" x14ac:dyDescent="0.3">
      <c r="A71" s="164">
        <v>5</v>
      </c>
      <c r="B71" s="165" t="s">
        <v>570</v>
      </c>
      <c r="C71" s="166" t="s">
        <v>579</v>
      </c>
      <c r="D71" s="167" t="s">
        <v>30</v>
      </c>
      <c r="E71" s="167" t="s">
        <v>415</v>
      </c>
      <c r="F71" s="167"/>
      <c r="G71" s="167">
        <v>11</v>
      </c>
      <c r="H71" s="167"/>
      <c r="I71" s="167">
        <f t="shared" si="4"/>
        <v>11</v>
      </c>
      <c r="J71" s="7" t="s">
        <v>225</v>
      </c>
      <c r="K71" s="164"/>
      <c r="L71" s="164" t="s">
        <v>482</v>
      </c>
      <c r="M71" s="181" t="s">
        <v>33</v>
      </c>
      <c r="N71" s="10" t="s">
        <v>302</v>
      </c>
      <c r="O71" s="166" t="s">
        <v>26</v>
      </c>
      <c r="P71" s="169">
        <v>10</v>
      </c>
      <c r="Q71" s="169"/>
      <c r="R71" s="169"/>
      <c r="S71" s="169"/>
      <c r="T71" s="169"/>
      <c r="U71" s="169"/>
      <c r="V71" s="169">
        <v>1</v>
      </c>
      <c r="W71" s="169">
        <f t="shared" si="7"/>
        <v>11</v>
      </c>
      <c r="X71" s="170">
        <v>98000</v>
      </c>
      <c r="Y71" s="171">
        <f t="shared" si="5"/>
        <v>980000</v>
      </c>
      <c r="Z71" s="164" t="s">
        <v>590</v>
      </c>
      <c r="AA71" s="10" t="s">
        <v>225</v>
      </c>
      <c r="AB71" s="95">
        <f t="shared" si="8"/>
        <v>10</v>
      </c>
      <c r="AC71" s="96">
        <f t="shared" si="9"/>
        <v>50000</v>
      </c>
      <c r="AD71" s="169" t="s">
        <v>580</v>
      </c>
    </row>
    <row r="72" spans="1:30" s="172" customFormat="1" ht="46.2" customHeight="1" x14ac:dyDescent="0.3">
      <c r="A72" s="164">
        <v>6</v>
      </c>
      <c r="B72" s="165" t="s">
        <v>570</v>
      </c>
      <c r="C72" s="166" t="s">
        <v>605</v>
      </c>
      <c r="D72" s="167" t="s">
        <v>30</v>
      </c>
      <c r="E72" s="167" t="s">
        <v>415</v>
      </c>
      <c r="F72" s="167"/>
      <c r="G72" s="167">
        <v>2</v>
      </c>
      <c r="H72" s="167"/>
      <c r="I72" s="167">
        <f t="shared" si="4"/>
        <v>2</v>
      </c>
      <c r="J72" s="7" t="s">
        <v>225</v>
      </c>
      <c r="K72" s="164"/>
      <c r="L72" s="164" t="s">
        <v>482</v>
      </c>
      <c r="M72" s="181" t="s">
        <v>33</v>
      </c>
      <c r="N72" s="7" t="s">
        <v>225</v>
      </c>
      <c r="O72" s="166" t="s">
        <v>26</v>
      </c>
      <c r="P72" s="169">
        <v>2</v>
      </c>
      <c r="Q72" s="169"/>
      <c r="R72" s="169"/>
      <c r="S72" s="169"/>
      <c r="T72" s="169"/>
      <c r="U72" s="169"/>
      <c r="V72" s="169"/>
      <c r="W72" s="169">
        <f t="shared" si="7"/>
        <v>2</v>
      </c>
      <c r="X72" s="170" t="e">
        <f>SUMIFS('[1]Đơn giá'!C:C,'[1]Đơn giá'!B:B,[1]XUẤT!O72)</f>
        <v>#VALUE!</v>
      </c>
      <c r="Y72" s="171" t="e">
        <f t="shared" si="5"/>
        <v>#VALUE!</v>
      </c>
      <c r="Z72" s="164" t="s">
        <v>590</v>
      </c>
      <c r="AA72" s="10" t="s">
        <v>225</v>
      </c>
      <c r="AB72" s="95">
        <f t="shared" si="8"/>
        <v>2</v>
      </c>
      <c r="AC72" s="96">
        <f t="shared" si="9"/>
        <v>10000</v>
      </c>
      <c r="AD72" s="169" t="s">
        <v>580</v>
      </c>
    </row>
    <row r="73" spans="1:30" s="172" customFormat="1" ht="42.6" customHeight="1" x14ac:dyDescent="0.3">
      <c r="A73" s="247">
        <v>7</v>
      </c>
      <c r="B73" s="248" t="s">
        <v>570</v>
      </c>
      <c r="C73" s="88" t="s">
        <v>607</v>
      </c>
      <c r="D73" s="268" t="s">
        <v>30</v>
      </c>
      <c r="E73" s="268" t="s">
        <v>533</v>
      </c>
      <c r="F73" s="268"/>
      <c r="G73" s="268">
        <v>30</v>
      </c>
      <c r="H73" s="268"/>
      <c r="I73" s="268">
        <f t="shared" si="4"/>
        <v>30</v>
      </c>
      <c r="J73" s="279" t="s">
        <v>225</v>
      </c>
      <c r="K73" s="247"/>
      <c r="L73" s="247" t="s">
        <v>482</v>
      </c>
      <c r="M73" s="181" t="s">
        <v>33</v>
      </c>
      <c r="N73" s="221" t="s">
        <v>209</v>
      </c>
      <c r="O73" s="88" t="s">
        <v>26</v>
      </c>
      <c r="P73" s="250">
        <v>30</v>
      </c>
      <c r="Q73" s="250"/>
      <c r="R73" s="250"/>
      <c r="S73" s="250"/>
      <c r="T73" s="250"/>
      <c r="U73" s="250"/>
      <c r="V73" s="250"/>
      <c r="W73" s="250">
        <f t="shared" si="7"/>
        <v>30</v>
      </c>
      <c r="X73" s="251">
        <v>98000</v>
      </c>
      <c r="Y73" s="252">
        <f>P73*X73</f>
        <v>2940000</v>
      </c>
      <c r="Z73" s="247"/>
      <c r="AA73" s="221" t="s">
        <v>225</v>
      </c>
      <c r="AB73" s="95">
        <f t="shared" si="8"/>
        <v>30</v>
      </c>
      <c r="AC73" s="96">
        <f t="shared" si="9"/>
        <v>150000</v>
      </c>
      <c r="AD73" s="281"/>
    </row>
    <row r="74" spans="1:30" s="172" customFormat="1" ht="87" customHeight="1" x14ac:dyDescent="0.3">
      <c r="A74" s="247"/>
      <c r="B74" s="248" t="s">
        <v>570</v>
      </c>
      <c r="C74" s="88" t="s">
        <v>578</v>
      </c>
      <c r="D74" s="268" t="s">
        <v>30</v>
      </c>
      <c r="E74" s="268" t="s">
        <v>533</v>
      </c>
      <c r="F74" s="268"/>
      <c r="G74" s="268">
        <v>3</v>
      </c>
      <c r="H74" s="268"/>
      <c r="I74" s="268">
        <v>3</v>
      </c>
      <c r="J74" s="279" t="s">
        <v>225</v>
      </c>
      <c r="K74" s="247"/>
      <c r="L74" s="247" t="s">
        <v>482</v>
      </c>
      <c r="M74" s="181" t="s">
        <v>33</v>
      </c>
      <c r="N74" s="279" t="s">
        <v>225</v>
      </c>
      <c r="O74" s="88" t="s">
        <v>26</v>
      </c>
      <c r="P74" s="250">
        <v>3</v>
      </c>
      <c r="Q74" s="250"/>
      <c r="R74" s="250"/>
      <c r="S74" s="250"/>
      <c r="T74" s="250"/>
      <c r="U74" s="250"/>
      <c r="V74" s="250"/>
      <c r="W74" s="169">
        <f t="shared" si="7"/>
        <v>3</v>
      </c>
      <c r="X74" s="251">
        <v>98000</v>
      </c>
      <c r="Y74" s="171">
        <f t="shared" si="5"/>
        <v>294000</v>
      </c>
      <c r="Z74" s="247"/>
      <c r="AA74" s="10" t="s">
        <v>225</v>
      </c>
      <c r="AB74" s="95">
        <f t="shared" si="8"/>
        <v>3</v>
      </c>
      <c r="AC74" s="96">
        <f t="shared" si="9"/>
        <v>15000</v>
      </c>
      <c r="AD74" s="281"/>
    </row>
    <row r="75" spans="1:30" s="172" customFormat="1" ht="90" customHeight="1" x14ac:dyDescent="0.3">
      <c r="A75" s="164">
        <v>1</v>
      </c>
      <c r="B75" s="165" t="s">
        <v>581</v>
      </c>
      <c r="C75" s="166" t="s">
        <v>582</v>
      </c>
      <c r="D75" s="167" t="s">
        <v>30</v>
      </c>
      <c r="E75" s="167" t="s">
        <v>533</v>
      </c>
      <c r="F75" s="167"/>
      <c r="G75" s="167">
        <v>11</v>
      </c>
      <c r="H75" s="167"/>
      <c r="I75" s="167">
        <f t="shared" si="4"/>
        <v>11</v>
      </c>
      <c r="J75" s="164" t="s">
        <v>583</v>
      </c>
      <c r="K75" s="164"/>
      <c r="L75" s="164" t="s">
        <v>482</v>
      </c>
      <c r="M75" s="181" t="s">
        <v>45</v>
      </c>
      <c r="N75" s="175" t="s">
        <v>498</v>
      </c>
      <c r="O75" s="166" t="s">
        <v>26</v>
      </c>
      <c r="P75" s="169">
        <v>11</v>
      </c>
      <c r="Q75" s="169"/>
      <c r="R75" s="169"/>
      <c r="S75" s="169"/>
      <c r="T75" s="169"/>
      <c r="U75" s="169"/>
      <c r="V75" s="169"/>
      <c r="W75" s="169">
        <f t="shared" si="7"/>
        <v>11</v>
      </c>
      <c r="X75" s="170" t="e">
        <f>SUMIFS('[1]Đơn giá'!C:C,'[1]Đơn giá'!B:B,[1]XUẤT!O75)</f>
        <v>#VALUE!</v>
      </c>
      <c r="Y75" s="171" t="e">
        <f t="shared" si="5"/>
        <v>#VALUE!</v>
      </c>
      <c r="Z75" s="164"/>
      <c r="AA75" s="10" t="s">
        <v>37</v>
      </c>
      <c r="AB75" s="95">
        <f t="shared" si="8"/>
        <v>11</v>
      </c>
      <c r="AC75" s="96">
        <f t="shared" si="9"/>
        <v>55000</v>
      </c>
      <c r="AD75" s="10" t="s">
        <v>37</v>
      </c>
    </row>
    <row r="76" spans="1:30" s="172" customFormat="1" ht="58.8" customHeight="1" x14ac:dyDescent="0.3">
      <c r="A76" s="164">
        <v>2</v>
      </c>
      <c r="B76" s="165" t="s">
        <v>581</v>
      </c>
      <c r="C76" s="166" t="s">
        <v>584</v>
      </c>
      <c r="D76" s="167" t="s">
        <v>30</v>
      </c>
      <c r="E76" s="167" t="s">
        <v>214</v>
      </c>
      <c r="F76" s="167"/>
      <c r="G76" s="167">
        <v>11</v>
      </c>
      <c r="H76" s="167"/>
      <c r="I76" s="167">
        <f t="shared" si="4"/>
        <v>11</v>
      </c>
      <c r="J76" s="164" t="s">
        <v>583</v>
      </c>
      <c r="K76" s="164"/>
      <c r="L76" s="164" t="s">
        <v>482</v>
      </c>
      <c r="M76" s="181" t="s">
        <v>45</v>
      </c>
      <c r="N76" s="175"/>
      <c r="O76" s="166" t="s">
        <v>26</v>
      </c>
      <c r="P76" s="169">
        <v>10</v>
      </c>
      <c r="Q76" s="169"/>
      <c r="R76" s="169"/>
      <c r="S76" s="169"/>
      <c r="T76" s="169"/>
      <c r="U76" s="169"/>
      <c r="V76" s="169">
        <v>1</v>
      </c>
      <c r="W76" s="169">
        <f t="shared" si="7"/>
        <v>11</v>
      </c>
      <c r="X76" s="170" t="e">
        <f>SUMIFS('[1]Đơn giá'!C:C,'[1]Đơn giá'!B:B,[1]XUẤT!O76)</f>
        <v>#VALUE!</v>
      </c>
      <c r="Y76" s="171" t="e">
        <f t="shared" si="5"/>
        <v>#VALUE!</v>
      </c>
      <c r="Z76" s="247"/>
      <c r="AA76" s="164"/>
      <c r="AB76" s="95">
        <f t="shared" si="8"/>
        <v>10</v>
      </c>
      <c r="AC76" s="96">
        <f t="shared" si="9"/>
        <v>50000</v>
      </c>
      <c r="AD76" s="169"/>
    </row>
    <row r="77" spans="1:30" s="172" customFormat="1" ht="59.4" customHeight="1" x14ac:dyDescent="0.3">
      <c r="A77" s="164">
        <v>3</v>
      </c>
      <c r="B77" s="165" t="s">
        <v>581</v>
      </c>
      <c r="C77" s="166" t="s">
        <v>585</v>
      </c>
      <c r="D77" s="167" t="s">
        <v>30</v>
      </c>
      <c r="E77" s="167" t="s">
        <v>533</v>
      </c>
      <c r="F77" s="167"/>
      <c r="G77" s="167">
        <v>11</v>
      </c>
      <c r="H77" s="167"/>
      <c r="I77" s="167">
        <f t="shared" si="4"/>
        <v>11</v>
      </c>
      <c r="J77" s="164" t="s">
        <v>583</v>
      </c>
      <c r="K77" s="164"/>
      <c r="L77" s="164" t="s">
        <v>482</v>
      </c>
      <c r="M77" s="181" t="s">
        <v>47</v>
      </c>
      <c r="N77" s="175"/>
      <c r="O77" s="166" t="s">
        <v>35</v>
      </c>
      <c r="P77" s="169"/>
      <c r="Q77" s="169"/>
      <c r="R77" s="169"/>
      <c r="S77" s="169"/>
      <c r="T77" s="169"/>
      <c r="U77" s="169"/>
      <c r="V77" s="169"/>
      <c r="W77" s="169">
        <f t="shared" si="7"/>
        <v>0</v>
      </c>
      <c r="X77" s="170" t="e">
        <f>SUMIFS('[1]Đơn giá'!C:C,'[1]Đơn giá'!B:B,[1]XUẤT!O77)</f>
        <v>#VALUE!</v>
      </c>
      <c r="Y77" s="171" t="e">
        <f t="shared" si="5"/>
        <v>#VALUE!</v>
      </c>
      <c r="Z77" s="164"/>
      <c r="AA77" s="164"/>
      <c r="AB77" s="95">
        <f t="shared" si="8"/>
        <v>0</v>
      </c>
      <c r="AC77" s="96">
        <f t="shared" si="9"/>
        <v>0</v>
      </c>
      <c r="AD77" s="169"/>
    </row>
    <row r="78" spans="1:30" s="172" customFormat="1" ht="87.6" customHeight="1" x14ac:dyDescent="0.3">
      <c r="A78" s="164">
        <v>4</v>
      </c>
      <c r="B78" s="165" t="s">
        <v>581</v>
      </c>
      <c r="C78" s="166" t="s">
        <v>586</v>
      </c>
      <c r="D78" s="167" t="s">
        <v>30</v>
      </c>
      <c r="E78" s="167" t="s">
        <v>80</v>
      </c>
      <c r="F78" s="167"/>
      <c r="G78" s="167">
        <v>7</v>
      </c>
      <c r="H78" s="167"/>
      <c r="I78" s="167">
        <f t="shared" si="4"/>
        <v>7</v>
      </c>
      <c r="J78" s="36" t="s">
        <v>126</v>
      </c>
      <c r="K78" s="164"/>
      <c r="L78" s="164" t="s">
        <v>482</v>
      </c>
      <c r="M78" s="181" t="s">
        <v>33</v>
      </c>
      <c r="N78" s="10" t="s">
        <v>126</v>
      </c>
      <c r="O78" s="166" t="s">
        <v>26</v>
      </c>
      <c r="P78" s="169">
        <v>7</v>
      </c>
      <c r="Q78" s="169"/>
      <c r="R78" s="169"/>
      <c r="S78" s="169"/>
      <c r="T78" s="169"/>
      <c r="U78" s="169"/>
      <c r="V78" s="169"/>
      <c r="W78" s="169">
        <f t="shared" si="7"/>
        <v>7</v>
      </c>
      <c r="X78" s="170" t="e">
        <f>SUMIFS('[1]Đơn giá'!C:C,'[1]Đơn giá'!B:B,[1]XUẤT!O78)</f>
        <v>#VALUE!</v>
      </c>
      <c r="Y78" s="171" t="e">
        <f t="shared" si="5"/>
        <v>#VALUE!</v>
      </c>
      <c r="Z78" s="247"/>
      <c r="AA78" s="10" t="s">
        <v>126</v>
      </c>
      <c r="AB78" s="95">
        <f t="shared" si="8"/>
        <v>7</v>
      </c>
      <c r="AC78" s="96">
        <f t="shared" si="9"/>
        <v>35000</v>
      </c>
      <c r="AD78" s="169"/>
    </row>
    <row r="79" spans="1:30" s="172" customFormat="1" ht="48.6" customHeight="1" x14ac:dyDescent="0.3">
      <c r="A79" s="164">
        <v>5</v>
      </c>
      <c r="B79" s="165" t="s">
        <v>581</v>
      </c>
      <c r="C79" s="166" t="s">
        <v>589</v>
      </c>
      <c r="D79" s="167" t="s">
        <v>30</v>
      </c>
      <c r="E79" s="167" t="s">
        <v>533</v>
      </c>
      <c r="F79" s="167"/>
      <c r="G79" s="167">
        <v>11</v>
      </c>
      <c r="H79" s="167"/>
      <c r="I79" s="167">
        <f t="shared" si="4"/>
        <v>11</v>
      </c>
      <c r="J79" s="164" t="s">
        <v>583</v>
      </c>
      <c r="K79" s="164"/>
      <c r="L79" s="164" t="s">
        <v>482</v>
      </c>
      <c r="M79" s="181" t="s">
        <v>62</v>
      </c>
      <c r="N79" s="175"/>
      <c r="O79" s="166" t="s">
        <v>26</v>
      </c>
      <c r="P79" s="169">
        <v>10</v>
      </c>
      <c r="Q79" s="169"/>
      <c r="R79" s="169"/>
      <c r="S79" s="169"/>
      <c r="T79" s="169"/>
      <c r="U79" s="169"/>
      <c r="V79" s="169">
        <v>1</v>
      </c>
      <c r="W79" s="169">
        <f t="shared" si="7"/>
        <v>11</v>
      </c>
      <c r="X79" s="170" t="e">
        <f>SUMIFS('[1]Đơn giá'!C:C,'[1]Đơn giá'!B:B,[1]XUẤT!O79)</f>
        <v>#VALUE!</v>
      </c>
      <c r="Y79" s="171" t="e">
        <f t="shared" si="5"/>
        <v>#VALUE!</v>
      </c>
      <c r="Z79" s="164"/>
      <c r="AA79" s="10" t="s">
        <v>37</v>
      </c>
      <c r="AB79" s="95">
        <f t="shared" si="8"/>
        <v>10</v>
      </c>
      <c r="AC79" s="96">
        <f t="shared" si="9"/>
        <v>50000</v>
      </c>
      <c r="AD79" s="169" t="s">
        <v>587</v>
      </c>
    </row>
    <row r="80" spans="1:30" s="172" customFormat="1" ht="55.8" customHeight="1" x14ac:dyDescent="0.3">
      <c r="A80" s="164">
        <v>6</v>
      </c>
      <c r="B80" s="165" t="s">
        <v>581</v>
      </c>
      <c r="C80" s="166" t="s">
        <v>588</v>
      </c>
      <c r="D80" s="167" t="s">
        <v>30</v>
      </c>
      <c r="E80" s="167" t="s">
        <v>533</v>
      </c>
      <c r="F80" s="167"/>
      <c r="G80" s="167">
        <v>11</v>
      </c>
      <c r="H80" s="167"/>
      <c r="I80" s="167">
        <f t="shared" si="4"/>
        <v>11</v>
      </c>
      <c r="J80" s="164" t="s">
        <v>583</v>
      </c>
      <c r="K80" s="164"/>
      <c r="L80" s="164" t="s">
        <v>482</v>
      </c>
      <c r="M80" s="181" t="s">
        <v>33</v>
      </c>
      <c r="N80" s="10" t="s">
        <v>302</v>
      </c>
      <c r="O80" s="166" t="s">
        <v>26</v>
      </c>
      <c r="P80" s="169">
        <v>10</v>
      </c>
      <c r="Q80" s="169"/>
      <c r="R80" s="169"/>
      <c r="S80" s="169"/>
      <c r="T80" s="169"/>
      <c r="U80" s="169"/>
      <c r="V80" s="169">
        <v>1</v>
      </c>
      <c r="W80" s="169">
        <f t="shared" si="7"/>
        <v>11</v>
      </c>
      <c r="X80" s="170" t="e">
        <f>SUMIFS('[1]Đơn giá'!C:C,'[1]Đơn giá'!B:B,[1]XUẤT!O80)</f>
        <v>#VALUE!</v>
      </c>
      <c r="Y80" s="171" t="e">
        <f t="shared" si="5"/>
        <v>#VALUE!</v>
      </c>
      <c r="Z80" s="164"/>
      <c r="AA80" s="164" t="s">
        <v>583</v>
      </c>
      <c r="AB80" s="95">
        <f t="shared" si="8"/>
        <v>10</v>
      </c>
      <c r="AC80" s="96">
        <f t="shared" si="9"/>
        <v>50000</v>
      </c>
      <c r="AD80" s="169"/>
    </row>
    <row r="81" spans="1:30" s="172" customFormat="1" ht="42" customHeight="1" x14ac:dyDescent="0.3">
      <c r="A81" s="164">
        <v>7</v>
      </c>
      <c r="B81" s="165" t="s">
        <v>581</v>
      </c>
      <c r="C81" s="166" t="s">
        <v>593</v>
      </c>
      <c r="D81" s="167" t="s">
        <v>30</v>
      </c>
      <c r="E81" s="167" t="s">
        <v>533</v>
      </c>
      <c r="F81" s="167"/>
      <c r="G81" s="167"/>
      <c r="H81" s="167">
        <v>10</v>
      </c>
      <c r="I81" s="167">
        <f t="shared" si="4"/>
        <v>10</v>
      </c>
      <c r="J81" s="164" t="s">
        <v>583</v>
      </c>
      <c r="K81" s="164"/>
      <c r="L81" s="164" t="s">
        <v>482</v>
      </c>
      <c r="M81" s="181" t="s">
        <v>45</v>
      </c>
      <c r="N81" s="175" t="s">
        <v>592</v>
      </c>
      <c r="O81" s="166" t="s">
        <v>39</v>
      </c>
      <c r="P81" s="169"/>
      <c r="Q81" s="169"/>
      <c r="R81" s="169"/>
      <c r="S81" s="169"/>
      <c r="T81" s="169">
        <v>10</v>
      </c>
      <c r="U81" s="169"/>
      <c r="V81" s="169"/>
      <c r="W81" s="169">
        <f t="shared" si="7"/>
        <v>10</v>
      </c>
      <c r="X81" s="170">
        <v>52000</v>
      </c>
      <c r="Y81" s="171">
        <f>T81*X81</f>
        <v>520000</v>
      </c>
      <c r="Z81" s="247" t="s">
        <v>626</v>
      </c>
      <c r="AA81" s="164" t="s">
        <v>583</v>
      </c>
      <c r="AB81" s="95">
        <f t="shared" si="8"/>
        <v>10</v>
      </c>
      <c r="AC81" s="96">
        <f t="shared" si="9"/>
        <v>50000</v>
      </c>
      <c r="AD81" s="169"/>
    </row>
    <row r="82" spans="1:30" s="172" customFormat="1" ht="45" customHeight="1" x14ac:dyDescent="0.3">
      <c r="A82" s="336">
        <v>8</v>
      </c>
      <c r="B82" s="339" t="s">
        <v>581</v>
      </c>
      <c r="C82" s="333" t="s">
        <v>594</v>
      </c>
      <c r="D82" s="345" t="s">
        <v>30</v>
      </c>
      <c r="E82" s="398" t="s">
        <v>80</v>
      </c>
      <c r="F82" s="167"/>
      <c r="G82" s="167"/>
      <c r="H82" s="167">
        <v>15</v>
      </c>
      <c r="I82" s="167">
        <f t="shared" si="4"/>
        <v>15</v>
      </c>
      <c r="J82" s="164"/>
      <c r="K82" s="164"/>
      <c r="L82" s="164" t="s">
        <v>482</v>
      </c>
      <c r="M82" s="181" t="s">
        <v>45</v>
      </c>
      <c r="N82" s="175" t="s">
        <v>595</v>
      </c>
      <c r="O82" s="166" t="s">
        <v>39</v>
      </c>
      <c r="P82" s="169"/>
      <c r="Q82" s="169"/>
      <c r="R82" s="169"/>
      <c r="S82" s="169"/>
      <c r="T82" s="169">
        <v>14</v>
      </c>
      <c r="U82" s="169"/>
      <c r="V82" s="169">
        <v>1</v>
      </c>
      <c r="W82" s="169">
        <f t="shared" si="7"/>
        <v>15</v>
      </c>
      <c r="X82" s="170" t="e">
        <f>SUMIFS('[1]Đơn giá'!C:C,'[1]Đơn giá'!B:B,[1]XUẤT!O82)</f>
        <v>#VALUE!</v>
      </c>
      <c r="Y82" s="171" t="e">
        <f>T82*X82</f>
        <v>#VALUE!</v>
      </c>
      <c r="Z82" s="247"/>
      <c r="AA82" s="164"/>
      <c r="AB82" s="95">
        <f t="shared" si="8"/>
        <v>14</v>
      </c>
      <c r="AC82" s="96">
        <f t="shared" si="9"/>
        <v>70000</v>
      </c>
      <c r="AD82" s="169"/>
    </row>
    <row r="83" spans="1:30" s="172" customFormat="1" ht="45" customHeight="1" x14ac:dyDescent="0.3">
      <c r="A83" s="338"/>
      <c r="B83" s="341"/>
      <c r="C83" s="334"/>
      <c r="D83" s="347"/>
      <c r="E83" s="398" t="s">
        <v>80</v>
      </c>
      <c r="F83" s="167"/>
      <c r="G83" s="167">
        <v>2</v>
      </c>
      <c r="H83" s="167"/>
      <c r="I83" s="167">
        <f t="shared" si="4"/>
        <v>2</v>
      </c>
      <c r="J83" s="164"/>
      <c r="K83" s="164"/>
      <c r="L83" s="164" t="s">
        <v>482</v>
      </c>
      <c r="M83" s="181" t="s">
        <v>45</v>
      </c>
      <c r="N83" s="175"/>
      <c r="O83" s="166" t="s">
        <v>29</v>
      </c>
      <c r="P83" s="169"/>
      <c r="Q83" s="169"/>
      <c r="R83" s="169"/>
      <c r="S83" s="169">
        <v>2</v>
      </c>
      <c r="T83" s="169"/>
      <c r="U83" s="169"/>
      <c r="V83" s="169"/>
      <c r="W83" s="169">
        <f t="shared" si="7"/>
        <v>2</v>
      </c>
      <c r="X83" s="170" t="e">
        <f>SUMIFS('[1]Đơn giá'!C:C,'[1]Đơn giá'!B:B,[1]XUẤT!O83)</f>
        <v>#VALUE!</v>
      </c>
      <c r="Y83" s="171" t="e">
        <f>S83*X83</f>
        <v>#VALUE!</v>
      </c>
      <c r="Z83" s="247"/>
      <c r="AA83" s="164"/>
      <c r="AB83" s="95">
        <f t="shared" si="8"/>
        <v>2</v>
      </c>
      <c r="AC83" s="96">
        <f t="shared" si="9"/>
        <v>10000</v>
      </c>
      <c r="AD83" s="169"/>
    </row>
    <row r="84" spans="1:30" s="172" customFormat="1" ht="45" customHeight="1" x14ac:dyDescent="0.3">
      <c r="A84" s="164">
        <v>9</v>
      </c>
      <c r="B84" s="165" t="s">
        <v>581</v>
      </c>
      <c r="C84" s="166" t="s">
        <v>596</v>
      </c>
      <c r="D84" s="167" t="s">
        <v>30</v>
      </c>
      <c r="E84" s="167" t="s">
        <v>214</v>
      </c>
      <c r="F84" s="167"/>
      <c r="G84" s="167">
        <v>5</v>
      </c>
      <c r="H84" s="167"/>
      <c r="I84" s="167">
        <f t="shared" si="4"/>
        <v>5</v>
      </c>
      <c r="J84" s="164" t="s">
        <v>583</v>
      </c>
      <c r="K84" s="164"/>
      <c r="L84" s="164" t="s">
        <v>482</v>
      </c>
      <c r="M84" s="181" t="s">
        <v>45</v>
      </c>
      <c r="N84" s="175" t="s">
        <v>597</v>
      </c>
      <c r="O84" s="166" t="s">
        <v>26</v>
      </c>
      <c r="P84" s="169">
        <v>5</v>
      </c>
      <c r="Q84" s="169"/>
      <c r="R84" s="169"/>
      <c r="S84" s="169"/>
      <c r="T84" s="169"/>
      <c r="U84" s="169"/>
      <c r="V84" s="169"/>
      <c r="W84" s="169">
        <f t="shared" si="7"/>
        <v>5</v>
      </c>
      <c r="X84" s="170" t="e">
        <f>SUMIFS('[1]Đơn giá'!C:C,'[1]Đơn giá'!B:B,[1]XUẤT!O84)</f>
        <v>#VALUE!</v>
      </c>
      <c r="Y84" s="171" t="e">
        <f t="shared" si="5"/>
        <v>#VALUE!</v>
      </c>
      <c r="Z84" s="247" t="s">
        <v>543</v>
      </c>
      <c r="AA84" s="10" t="s">
        <v>37</v>
      </c>
      <c r="AB84" s="95">
        <f t="shared" si="8"/>
        <v>5</v>
      </c>
      <c r="AC84" s="96">
        <f t="shared" si="9"/>
        <v>25000</v>
      </c>
      <c r="AD84" s="169"/>
    </row>
    <row r="85" spans="1:30" s="172" customFormat="1" ht="45" customHeight="1" x14ac:dyDescent="0.3">
      <c r="A85" s="164">
        <v>10</v>
      </c>
      <c r="B85" s="165" t="s">
        <v>581</v>
      </c>
      <c r="C85" s="166" t="s">
        <v>603</v>
      </c>
      <c r="D85" s="167" t="s">
        <v>30</v>
      </c>
      <c r="E85" s="167" t="s">
        <v>714</v>
      </c>
      <c r="F85" s="167"/>
      <c r="G85" s="167">
        <v>40</v>
      </c>
      <c r="H85" s="167"/>
      <c r="I85" s="167">
        <f t="shared" si="4"/>
        <v>40</v>
      </c>
      <c r="J85" s="164" t="s">
        <v>560</v>
      </c>
      <c r="K85" s="164"/>
      <c r="L85" s="164" t="s">
        <v>482</v>
      </c>
      <c r="M85" s="181" t="s">
        <v>33</v>
      </c>
      <c r="N85" s="284" t="s">
        <v>46</v>
      </c>
      <c r="O85" s="166" t="s">
        <v>26</v>
      </c>
      <c r="P85" s="169">
        <v>40</v>
      </c>
      <c r="Q85" s="169"/>
      <c r="R85" s="169"/>
      <c r="S85" s="169"/>
      <c r="T85" s="169"/>
      <c r="U85" s="169"/>
      <c r="V85" s="169"/>
      <c r="W85" s="169">
        <f t="shared" si="7"/>
        <v>40</v>
      </c>
      <c r="X85" s="170" t="e">
        <f>SUMIFS('[1]Đơn giá'!C:C,'[1]Đơn giá'!B:B,[1]XUẤT!O85)</f>
        <v>#VALUE!</v>
      </c>
      <c r="Y85" s="171" t="e">
        <f t="shared" si="5"/>
        <v>#VALUE!</v>
      </c>
      <c r="Z85" s="247"/>
      <c r="AA85" s="236" t="s">
        <v>46</v>
      </c>
      <c r="AB85" s="95">
        <f t="shared" si="8"/>
        <v>40</v>
      </c>
      <c r="AC85" s="96">
        <f t="shared" si="9"/>
        <v>200000</v>
      </c>
      <c r="AD85" s="169" t="s">
        <v>604</v>
      </c>
    </row>
    <row r="86" spans="1:30" s="172" customFormat="1" ht="45" customHeight="1" x14ac:dyDescent="0.3">
      <c r="A86" s="164">
        <v>11</v>
      </c>
      <c r="B86" s="165" t="s">
        <v>581</v>
      </c>
      <c r="C86" s="166" t="s">
        <v>605</v>
      </c>
      <c r="D86" s="167" t="s">
        <v>30</v>
      </c>
      <c r="E86" s="167" t="s">
        <v>533</v>
      </c>
      <c r="F86" s="167"/>
      <c r="G86" s="167">
        <v>5</v>
      </c>
      <c r="H86" s="167"/>
      <c r="I86" s="167">
        <f t="shared" si="4"/>
        <v>5</v>
      </c>
      <c r="J86" s="164" t="s">
        <v>606</v>
      </c>
      <c r="K86" s="164"/>
      <c r="L86" s="164" t="s">
        <v>482</v>
      </c>
      <c r="M86" s="181" t="s">
        <v>33</v>
      </c>
      <c r="N86" s="10" t="s">
        <v>225</v>
      </c>
      <c r="O86" s="166" t="s">
        <v>26</v>
      </c>
      <c r="P86" s="169">
        <v>5</v>
      </c>
      <c r="Q86" s="169"/>
      <c r="R86" s="169"/>
      <c r="S86" s="169"/>
      <c r="T86" s="169"/>
      <c r="U86" s="169"/>
      <c r="V86" s="169"/>
      <c r="W86" s="169">
        <f t="shared" si="7"/>
        <v>5</v>
      </c>
      <c r="X86" s="170" t="e">
        <f>SUMIFS('[1]Đơn giá'!C:C,'[1]Đơn giá'!B:B,[1]XUẤT!O86)</f>
        <v>#VALUE!</v>
      </c>
      <c r="Y86" s="171" t="e">
        <f t="shared" si="5"/>
        <v>#VALUE!</v>
      </c>
      <c r="Z86" s="164" t="s">
        <v>669</v>
      </c>
      <c r="AA86" s="10" t="s">
        <v>225</v>
      </c>
      <c r="AB86" s="95">
        <f t="shared" si="8"/>
        <v>5</v>
      </c>
      <c r="AC86" s="96">
        <f t="shared" si="9"/>
        <v>25000</v>
      </c>
      <c r="AD86" s="169"/>
    </row>
    <row r="87" spans="1:30" s="172" customFormat="1" ht="45" customHeight="1" x14ac:dyDescent="0.3">
      <c r="A87" s="164">
        <v>1</v>
      </c>
      <c r="B87" s="165" t="s">
        <v>608</v>
      </c>
      <c r="C87" s="166" t="s">
        <v>611</v>
      </c>
      <c r="D87" s="167" t="s">
        <v>30</v>
      </c>
      <c r="E87" s="167" t="s">
        <v>533</v>
      </c>
      <c r="F87" s="167"/>
      <c r="G87" s="167"/>
      <c r="H87" s="167">
        <v>2</v>
      </c>
      <c r="I87" s="167">
        <f t="shared" si="4"/>
        <v>2</v>
      </c>
      <c r="J87" s="164" t="s">
        <v>583</v>
      </c>
      <c r="K87" s="164" t="s">
        <v>514</v>
      </c>
      <c r="L87" s="164"/>
      <c r="M87" s="181" t="s">
        <v>45</v>
      </c>
      <c r="N87" s="175" t="s">
        <v>612</v>
      </c>
      <c r="O87" s="166" t="s">
        <v>39</v>
      </c>
      <c r="P87" s="169"/>
      <c r="Q87" s="169"/>
      <c r="R87" s="169"/>
      <c r="S87" s="169"/>
      <c r="T87" s="169">
        <v>2</v>
      </c>
      <c r="U87" s="169"/>
      <c r="V87" s="169"/>
      <c r="W87" s="169">
        <f t="shared" si="7"/>
        <v>2</v>
      </c>
      <c r="X87" s="170" t="e">
        <f>SUMIFS('[1]Đơn giá'!C:C,'[1]Đơn giá'!B:B,[1]XUẤT!O87)</f>
        <v>#VALUE!</v>
      </c>
      <c r="Y87" s="171" t="e">
        <f>T87*X87</f>
        <v>#VALUE!</v>
      </c>
      <c r="Z87" s="247"/>
      <c r="AA87" s="10"/>
      <c r="AB87" s="95">
        <f t="shared" si="8"/>
        <v>2</v>
      </c>
      <c r="AC87" s="96">
        <f t="shared" si="9"/>
        <v>10000</v>
      </c>
      <c r="AD87" s="169"/>
    </row>
    <row r="88" spans="1:30" s="280" customFormat="1" ht="45" customHeight="1" x14ac:dyDescent="0.3">
      <c r="A88" s="336">
        <v>2</v>
      </c>
      <c r="B88" s="339" t="s">
        <v>608</v>
      </c>
      <c r="C88" s="348" t="s">
        <v>609</v>
      </c>
      <c r="D88" s="167" t="s">
        <v>30</v>
      </c>
      <c r="E88" s="167" t="s">
        <v>533</v>
      </c>
      <c r="F88" s="167"/>
      <c r="G88" s="167"/>
      <c r="H88" s="167">
        <v>2</v>
      </c>
      <c r="I88" s="167">
        <f t="shared" si="4"/>
        <v>2</v>
      </c>
      <c r="J88" s="164" t="s">
        <v>583</v>
      </c>
      <c r="K88" s="164"/>
      <c r="L88" s="164" t="s">
        <v>482</v>
      </c>
      <c r="M88" s="181" t="s">
        <v>33</v>
      </c>
      <c r="N88" s="10" t="s">
        <v>204</v>
      </c>
      <c r="O88" s="166" t="s">
        <v>39</v>
      </c>
      <c r="P88" s="169"/>
      <c r="Q88" s="169"/>
      <c r="R88" s="169"/>
      <c r="S88" s="169"/>
      <c r="T88" s="169">
        <v>2</v>
      </c>
      <c r="U88" s="169"/>
      <c r="V88" s="169"/>
      <c r="W88" s="169">
        <f t="shared" si="7"/>
        <v>2</v>
      </c>
      <c r="X88" s="170">
        <v>52000</v>
      </c>
      <c r="Y88" s="171">
        <f t="shared" ref="Y88" si="10">T88*X88</f>
        <v>104000</v>
      </c>
      <c r="Z88" s="247"/>
      <c r="AA88" s="164" t="s">
        <v>583</v>
      </c>
      <c r="AB88" s="95">
        <f>W88-V88</f>
        <v>2</v>
      </c>
      <c r="AC88" s="96">
        <f>AB88*5000</f>
        <v>10000</v>
      </c>
      <c r="AD88" s="169"/>
    </row>
    <row r="89" spans="1:30" s="280" customFormat="1" ht="45" customHeight="1" x14ac:dyDescent="0.3">
      <c r="A89" s="338"/>
      <c r="B89" s="341"/>
      <c r="C89" s="349"/>
      <c r="D89" s="167" t="s">
        <v>30</v>
      </c>
      <c r="E89" s="167" t="s">
        <v>533</v>
      </c>
      <c r="F89" s="167"/>
      <c r="G89" s="167">
        <v>2</v>
      </c>
      <c r="H89" s="167"/>
      <c r="I89" s="167">
        <f t="shared" si="4"/>
        <v>2</v>
      </c>
      <c r="J89" s="164" t="s">
        <v>583</v>
      </c>
      <c r="K89" s="164"/>
      <c r="L89" s="164" t="s">
        <v>482</v>
      </c>
      <c r="M89" s="181" t="s">
        <v>33</v>
      </c>
      <c r="N89" s="10" t="s">
        <v>204</v>
      </c>
      <c r="O89" s="166" t="s">
        <v>29</v>
      </c>
      <c r="P89" s="169"/>
      <c r="Q89" s="169">
        <v>2</v>
      </c>
      <c r="R89" s="169"/>
      <c r="S89" s="169"/>
      <c r="T89" s="169"/>
      <c r="U89" s="169"/>
      <c r="V89" s="169"/>
      <c r="W89" s="169">
        <f t="shared" si="7"/>
        <v>2</v>
      </c>
      <c r="X89" s="170" t="e">
        <f>SUMIFS('[1]Đơn giá'!C:C,'[1]Đơn giá'!B:B,[1]XUẤT!O89)</f>
        <v>#VALUE!</v>
      </c>
      <c r="Y89" s="171" t="e">
        <f>Q89*X89</f>
        <v>#VALUE!</v>
      </c>
      <c r="Z89" s="247"/>
      <c r="AA89" s="164" t="s">
        <v>583</v>
      </c>
      <c r="AB89" s="95">
        <f t="shared" si="8"/>
        <v>2</v>
      </c>
      <c r="AC89" s="96">
        <f t="shared" si="9"/>
        <v>10000</v>
      </c>
      <c r="AD89" s="282" t="s">
        <v>610</v>
      </c>
    </row>
    <row r="90" spans="1:30" s="172" customFormat="1" ht="78" customHeight="1" x14ac:dyDescent="0.3">
      <c r="A90" s="336">
        <v>3</v>
      </c>
      <c r="B90" s="339" t="s">
        <v>608</v>
      </c>
      <c r="C90" s="333" t="s">
        <v>618</v>
      </c>
      <c r="D90" s="167" t="s">
        <v>30</v>
      </c>
      <c r="E90" s="167" t="s">
        <v>415</v>
      </c>
      <c r="F90" s="167"/>
      <c r="G90" s="167">
        <v>22</v>
      </c>
      <c r="H90" s="167"/>
      <c r="I90" s="167">
        <f t="shared" si="4"/>
        <v>22</v>
      </c>
      <c r="J90" s="164" t="s">
        <v>583</v>
      </c>
      <c r="K90" s="164" t="s">
        <v>514</v>
      </c>
      <c r="L90" s="164"/>
      <c r="M90" s="181" t="s">
        <v>33</v>
      </c>
      <c r="N90" s="10" t="s">
        <v>93</v>
      </c>
      <c r="O90" s="166" t="s">
        <v>26</v>
      </c>
      <c r="P90" s="169">
        <v>20</v>
      </c>
      <c r="Q90" s="169"/>
      <c r="R90" s="169"/>
      <c r="S90" s="169"/>
      <c r="T90" s="169"/>
      <c r="U90" s="169"/>
      <c r="V90" s="169">
        <v>2</v>
      </c>
      <c r="W90" s="169">
        <f t="shared" si="7"/>
        <v>22</v>
      </c>
      <c r="X90" s="170" t="e">
        <f>SUMIFS('[1]Đơn giá'!C:C,'[1]Đơn giá'!B:B,[1]XUẤT!O90)</f>
        <v>#VALUE!</v>
      </c>
      <c r="Y90" s="171" t="e">
        <f t="shared" si="5"/>
        <v>#VALUE!</v>
      </c>
      <c r="Z90" s="247"/>
      <c r="AA90" s="10" t="s">
        <v>37</v>
      </c>
      <c r="AB90" s="95">
        <f t="shared" si="8"/>
        <v>20</v>
      </c>
      <c r="AC90" s="96">
        <f t="shared" si="9"/>
        <v>100000</v>
      </c>
      <c r="AD90" s="169"/>
    </row>
    <row r="91" spans="1:30" s="172" customFormat="1" ht="71.400000000000006" customHeight="1" x14ac:dyDescent="0.3">
      <c r="A91" s="338"/>
      <c r="B91" s="341"/>
      <c r="C91" s="334"/>
      <c r="D91" s="167" t="s">
        <v>30</v>
      </c>
      <c r="E91" s="167" t="s">
        <v>533</v>
      </c>
      <c r="F91" s="167"/>
      <c r="G91" s="167"/>
      <c r="H91" s="167">
        <v>4</v>
      </c>
      <c r="I91" s="167">
        <f t="shared" ref="I91:I144" si="11">H91+G91</f>
        <v>4</v>
      </c>
      <c r="J91" s="164" t="s">
        <v>583</v>
      </c>
      <c r="K91" s="164"/>
      <c r="L91" s="164"/>
      <c r="M91" s="181" t="s">
        <v>33</v>
      </c>
      <c r="N91" s="10" t="s">
        <v>93</v>
      </c>
      <c r="O91" s="166" t="s">
        <v>42</v>
      </c>
      <c r="P91" s="169"/>
      <c r="Q91" s="169"/>
      <c r="R91" s="169"/>
      <c r="S91" s="169"/>
      <c r="T91" s="169"/>
      <c r="U91" s="169">
        <v>4</v>
      </c>
      <c r="V91" s="169"/>
      <c r="W91" s="169">
        <f t="shared" si="7"/>
        <v>4</v>
      </c>
      <c r="X91" s="170" t="e">
        <f>SUMIFS('[1]Đơn giá'!C:C,'[1]Đơn giá'!B:B,[1]XUẤT!O91)</f>
        <v>#VALUE!</v>
      </c>
      <c r="Y91" s="171" t="e">
        <f>U91*X91</f>
        <v>#VALUE!</v>
      </c>
      <c r="Z91" s="247"/>
      <c r="AA91" s="10" t="s">
        <v>37</v>
      </c>
      <c r="AB91" s="95">
        <f t="shared" si="8"/>
        <v>4</v>
      </c>
      <c r="AC91" s="96">
        <f t="shared" si="9"/>
        <v>20000</v>
      </c>
      <c r="AD91" s="169"/>
    </row>
    <row r="92" spans="1:30" s="172" customFormat="1" ht="71.400000000000006" customHeight="1" x14ac:dyDescent="0.3">
      <c r="A92" s="336">
        <v>4</v>
      </c>
      <c r="B92" s="339" t="s">
        <v>608</v>
      </c>
      <c r="C92" s="333" t="s">
        <v>615</v>
      </c>
      <c r="D92" s="167" t="s">
        <v>30</v>
      </c>
      <c r="E92" s="167" t="s">
        <v>613</v>
      </c>
      <c r="F92" s="167"/>
      <c r="G92" s="167">
        <v>11</v>
      </c>
      <c r="H92" s="167"/>
      <c r="I92" s="167">
        <f t="shared" si="11"/>
        <v>11</v>
      </c>
      <c r="J92" s="164" t="s">
        <v>614</v>
      </c>
      <c r="K92" s="164"/>
      <c r="L92" s="164"/>
      <c r="M92" s="181" t="s">
        <v>33</v>
      </c>
      <c r="N92" s="10" t="s">
        <v>210</v>
      </c>
      <c r="O92" s="166" t="s">
        <v>26</v>
      </c>
      <c r="P92" s="169">
        <v>10</v>
      </c>
      <c r="Q92" s="169"/>
      <c r="R92" s="169"/>
      <c r="S92" s="169"/>
      <c r="T92" s="169"/>
      <c r="U92" s="169"/>
      <c r="V92" s="169">
        <v>1</v>
      </c>
      <c r="W92" s="169">
        <f t="shared" si="7"/>
        <v>11</v>
      </c>
      <c r="X92" s="170" t="e">
        <f>SUMIFS('[1]Đơn giá'!C:C,'[1]Đơn giá'!B:B,[1]XUẤT!O92)</f>
        <v>#VALUE!</v>
      </c>
      <c r="Y92" s="171" t="e">
        <f t="shared" si="5"/>
        <v>#VALUE!</v>
      </c>
      <c r="Z92" s="294" t="s">
        <v>625</v>
      </c>
      <c r="AA92" s="164"/>
      <c r="AB92" s="95">
        <f t="shared" si="8"/>
        <v>10</v>
      </c>
      <c r="AC92" s="96">
        <f t="shared" si="9"/>
        <v>50000</v>
      </c>
      <c r="AD92" s="169"/>
    </row>
    <row r="93" spans="1:30" s="172" customFormat="1" ht="45" customHeight="1" x14ac:dyDescent="0.3">
      <c r="A93" s="338"/>
      <c r="B93" s="341"/>
      <c r="C93" s="334"/>
      <c r="D93" s="167" t="s">
        <v>30</v>
      </c>
      <c r="E93" s="167" t="s">
        <v>613</v>
      </c>
      <c r="F93" s="167"/>
      <c r="G93" s="167"/>
      <c r="H93" s="167">
        <v>2</v>
      </c>
      <c r="I93" s="167">
        <f t="shared" si="11"/>
        <v>2</v>
      </c>
      <c r="J93" s="164" t="s">
        <v>614</v>
      </c>
      <c r="K93" s="164"/>
      <c r="L93" s="164"/>
      <c r="M93" s="181" t="s">
        <v>33</v>
      </c>
      <c r="N93" s="10" t="s">
        <v>210</v>
      </c>
      <c r="O93" s="166" t="s">
        <v>42</v>
      </c>
      <c r="P93" s="169"/>
      <c r="Q93" s="169"/>
      <c r="R93" s="169"/>
      <c r="S93" s="169"/>
      <c r="T93" s="169"/>
      <c r="U93" s="169">
        <v>2</v>
      </c>
      <c r="V93" s="169"/>
      <c r="W93" s="169">
        <f t="shared" si="7"/>
        <v>2</v>
      </c>
      <c r="X93" s="170" t="e">
        <f>SUMIFS('[1]Đơn giá'!C:C,'[1]Đơn giá'!B:B,[1]XUẤT!O93)</f>
        <v>#VALUE!</v>
      </c>
      <c r="Y93" s="171" t="e">
        <f>X93*U93</f>
        <v>#VALUE!</v>
      </c>
      <c r="Z93" s="294" t="s">
        <v>625</v>
      </c>
      <c r="AA93" s="164" t="s">
        <v>675</v>
      </c>
      <c r="AB93" s="95">
        <f t="shared" si="8"/>
        <v>2</v>
      </c>
      <c r="AC93" s="96">
        <f t="shared" si="9"/>
        <v>10000</v>
      </c>
      <c r="AD93" s="169"/>
    </row>
    <row r="94" spans="1:30" s="172" customFormat="1" ht="79.8" customHeight="1" x14ac:dyDescent="0.3">
      <c r="A94" s="164">
        <v>6</v>
      </c>
      <c r="B94" s="165" t="s">
        <v>608</v>
      </c>
      <c r="C94" s="166" t="s">
        <v>617</v>
      </c>
      <c r="D94" s="167" t="s">
        <v>30</v>
      </c>
      <c r="E94" s="167" t="s">
        <v>533</v>
      </c>
      <c r="F94" s="167"/>
      <c r="G94" s="167"/>
      <c r="H94" s="167">
        <v>6</v>
      </c>
      <c r="I94" s="167">
        <f t="shared" si="11"/>
        <v>6</v>
      </c>
      <c r="J94" s="164" t="s">
        <v>583</v>
      </c>
      <c r="K94" s="164" t="s">
        <v>514</v>
      </c>
      <c r="L94" s="164"/>
      <c r="M94" s="181" t="s">
        <v>45</v>
      </c>
      <c r="N94" s="175" t="s">
        <v>620</v>
      </c>
      <c r="O94" s="166" t="s">
        <v>39</v>
      </c>
      <c r="P94" s="169"/>
      <c r="Q94" s="169"/>
      <c r="R94" s="169"/>
      <c r="S94" s="169"/>
      <c r="T94" s="169">
        <v>6</v>
      </c>
      <c r="U94" s="169"/>
      <c r="V94" s="169"/>
      <c r="W94" s="169">
        <f t="shared" si="7"/>
        <v>6</v>
      </c>
      <c r="X94" s="170" t="e">
        <f>SUMIFS('[1]Đơn giá'!C:C,'[1]Đơn giá'!B:B,[1]XUẤT!O94)</f>
        <v>#VALUE!</v>
      </c>
      <c r="Y94" s="171" t="e">
        <f>T94*X94</f>
        <v>#VALUE!</v>
      </c>
      <c r="Z94" s="247"/>
      <c r="AA94" s="10" t="s">
        <v>37</v>
      </c>
      <c r="AB94" s="95">
        <f t="shared" si="8"/>
        <v>6</v>
      </c>
      <c r="AC94" s="96">
        <f t="shared" si="9"/>
        <v>30000</v>
      </c>
      <c r="AD94" s="169"/>
    </row>
    <row r="95" spans="1:30" s="172" customFormat="1" ht="69" customHeight="1" x14ac:dyDescent="0.3">
      <c r="A95" s="164"/>
      <c r="B95" s="165" t="s">
        <v>608</v>
      </c>
      <c r="C95" s="166" t="s">
        <v>619</v>
      </c>
      <c r="D95" s="167" t="s">
        <v>30</v>
      </c>
      <c r="E95" s="167" t="s">
        <v>214</v>
      </c>
      <c r="F95" s="167"/>
      <c r="G95" s="167">
        <v>11</v>
      </c>
      <c r="H95" s="167"/>
      <c r="I95" s="167">
        <f t="shared" si="11"/>
        <v>11</v>
      </c>
      <c r="J95" s="164" t="s">
        <v>583</v>
      </c>
      <c r="K95" s="164"/>
      <c r="L95" s="164"/>
      <c r="M95" s="181" t="s">
        <v>33</v>
      </c>
      <c r="N95" s="10" t="s">
        <v>37</v>
      </c>
      <c r="O95" s="166" t="s">
        <v>26</v>
      </c>
      <c r="P95" s="169">
        <v>10</v>
      </c>
      <c r="Q95" s="169"/>
      <c r="R95" s="169"/>
      <c r="S95" s="169"/>
      <c r="T95" s="169"/>
      <c r="U95" s="169"/>
      <c r="V95" s="169">
        <v>1</v>
      </c>
      <c r="W95" s="169">
        <f t="shared" si="7"/>
        <v>11</v>
      </c>
      <c r="X95" s="170" t="e">
        <f>SUMIFS('[1]Đơn giá'!C:C,'[1]Đơn giá'!B:B,[1]XUẤT!O95)</f>
        <v>#VALUE!</v>
      </c>
      <c r="Y95" s="171" t="e">
        <f t="shared" ref="X95:Y122" si="12">X95*P95</f>
        <v>#VALUE!</v>
      </c>
      <c r="Z95" s="247"/>
      <c r="AA95" s="10" t="s">
        <v>37</v>
      </c>
      <c r="AB95" s="95">
        <f t="shared" si="8"/>
        <v>10</v>
      </c>
      <c r="AC95" s="96">
        <f t="shared" si="9"/>
        <v>50000</v>
      </c>
      <c r="AD95" s="169"/>
    </row>
    <row r="96" spans="1:30" s="172" customFormat="1" ht="148.80000000000001" customHeight="1" x14ac:dyDescent="0.3">
      <c r="A96" s="164"/>
      <c r="B96" s="165" t="s">
        <v>608</v>
      </c>
      <c r="C96" s="283" t="s">
        <v>621</v>
      </c>
      <c r="D96" s="167" t="s">
        <v>30</v>
      </c>
      <c r="E96" s="167" t="s">
        <v>214</v>
      </c>
      <c r="F96" s="167"/>
      <c r="G96" s="167">
        <v>11</v>
      </c>
      <c r="H96" s="167"/>
      <c r="I96" s="167">
        <f t="shared" si="11"/>
        <v>11</v>
      </c>
      <c r="J96" s="284" t="s">
        <v>46</v>
      </c>
      <c r="K96" s="164"/>
      <c r="L96" s="164"/>
      <c r="M96" s="181" t="s">
        <v>33</v>
      </c>
      <c r="N96" s="284" t="s">
        <v>46</v>
      </c>
      <c r="O96" s="166" t="s">
        <v>26</v>
      </c>
      <c r="P96" s="169">
        <v>10</v>
      </c>
      <c r="Q96" s="169"/>
      <c r="R96" s="169"/>
      <c r="S96" s="169"/>
      <c r="T96" s="169"/>
      <c r="U96" s="169"/>
      <c r="V96" s="169">
        <v>1</v>
      </c>
      <c r="W96" s="169">
        <f t="shared" si="7"/>
        <v>11</v>
      </c>
      <c r="X96" s="170" t="e">
        <f>SUMIFS('[1]Đơn giá'!C:C,'[1]Đơn giá'!B:B,[1]XUẤT!O96)</f>
        <v>#VALUE!</v>
      </c>
      <c r="Y96" s="171" t="e">
        <f t="shared" si="12"/>
        <v>#VALUE!</v>
      </c>
      <c r="Z96" s="247" t="s">
        <v>622</v>
      </c>
      <c r="AA96" s="284" t="s">
        <v>46</v>
      </c>
      <c r="AB96" s="95">
        <f t="shared" si="8"/>
        <v>10</v>
      </c>
      <c r="AC96" s="96">
        <f t="shared" si="9"/>
        <v>50000</v>
      </c>
      <c r="AD96" s="169"/>
    </row>
    <row r="97" spans="1:30" s="172" customFormat="1" ht="71.400000000000006" customHeight="1" x14ac:dyDescent="0.3">
      <c r="A97" s="164"/>
      <c r="B97" s="165" t="s">
        <v>608</v>
      </c>
      <c r="C97" s="283" t="s">
        <v>623</v>
      </c>
      <c r="D97" s="167" t="s">
        <v>30</v>
      </c>
      <c r="E97" s="167" t="s">
        <v>80</v>
      </c>
      <c r="F97" s="167"/>
      <c r="G97" s="167">
        <v>1</v>
      </c>
      <c r="H97" s="167"/>
      <c r="I97" s="167">
        <f t="shared" si="11"/>
        <v>1</v>
      </c>
      <c r="J97" s="164" t="s">
        <v>624</v>
      </c>
      <c r="K97" s="164"/>
      <c r="L97" s="164" t="s">
        <v>482</v>
      </c>
      <c r="M97" s="181" t="s">
        <v>33</v>
      </c>
      <c r="N97" s="10" t="s">
        <v>122</v>
      </c>
      <c r="O97" s="166" t="s">
        <v>26</v>
      </c>
      <c r="P97" s="169">
        <v>1</v>
      </c>
      <c r="Q97" s="169"/>
      <c r="R97" s="169"/>
      <c r="S97" s="169"/>
      <c r="T97" s="169"/>
      <c r="U97" s="169"/>
      <c r="V97" s="169"/>
      <c r="W97" s="169">
        <f t="shared" si="7"/>
        <v>1</v>
      </c>
      <c r="X97" s="170" t="e">
        <f>SUMIFS('[1]Đơn giá'!C:C,'[1]Đơn giá'!B:B,[1]XUẤT!O97)</f>
        <v>#VALUE!</v>
      </c>
      <c r="Y97" s="171" t="e">
        <f t="shared" si="12"/>
        <v>#VALUE!</v>
      </c>
      <c r="Z97" s="247"/>
      <c r="AA97" s="10" t="s">
        <v>122</v>
      </c>
      <c r="AB97" s="95">
        <f t="shared" si="8"/>
        <v>1</v>
      </c>
      <c r="AC97" s="96">
        <f t="shared" si="9"/>
        <v>5000</v>
      </c>
      <c r="AD97" s="169"/>
    </row>
    <row r="98" spans="1:30" s="172" customFormat="1" ht="33" customHeight="1" x14ac:dyDescent="0.3">
      <c r="A98" s="164"/>
      <c r="B98" s="165" t="s">
        <v>608</v>
      </c>
      <c r="C98" s="166" t="s">
        <v>627</v>
      </c>
      <c r="D98" s="167" t="s">
        <v>30</v>
      </c>
      <c r="E98" s="167" t="s">
        <v>415</v>
      </c>
      <c r="F98" s="167"/>
      <c r="G98" s="167">
        <v>11</v>
      </c>
      <c r="H98" s="167"/>
      <c r="I98" s="167">
        <f t="shared" si="11"/>
        <v>11</v>
      </c>
      <c r="J98" s="164" t="s">
        <v>583</v>
      </c>
      <c r="K98" s="164"/>
      <c r="L98" s="164" t="s">
        <v>482</v>
      </c>
      <c r="M98" s="181" t="s">
        <v>33</v>
      </c>
      <c r="N98" s="10" t="s">
        <v>37</v>
      </c>
      <c r="O98" s="166" t="s">
        <v>26</v>
      </c>
      <c r="P98" s="169">
        <v>10</v>
      </c>
      <c r="Q98" s="169"/>
      <c r="R98" s="169"/>
      <c r="S98" s="169"/>
      <c r="T98" s="169"/>
      <c r="U98" s="169"/>
      <c r="V98" s="169">
        <v>1</v>
      </c>
      <c r="W98" s="169">
        <f t="shared" si="7"/>
        <v>11</v>
      </c>
      <c r="X98" s="170" t="e">
        <f>SUMIFS('[1]Đơn giá'!C:C,'[1]Đơn giá'!B:B,[1]XUẤT!O98)</f>
        <v>#VALUE!</v>
      </c>
      <c r="Y98" s="171" t="e">
        <f t="shared" si="12"/>
        <v>#VALUE!</v>
      </c>
      <c r="Z98" s="247"/>
      <c r="AA98" s="10" t="s">
        <v>37</v>
      </c>
      <c r="AB98" s="95">
        <f t="shared" si="8"/>
        <v>10</v>
      </c>
      <c r="AC98" s="96">
        <f t="shared" si="9"/>
        <v>50000</v>
      </c>
      <c r="AD98" s="169"/>
    </row>
    <row r="99" spans="1:30" s="172" customFormat="1" ht="57" customHeight="1" x14ac:dyDescent="0.3">
      <c r="A99" s="164">
        <v>2</v>
      </c>
      <c r="B99" s="165" t="s">
        <v>628</v>
      </c>
      <c r="C99" s="285" t="s">
        <v>670</v>
      </c>
      <c r="D99" s="167" t="s">
        <v>30</v>
      </c>
      <c r="E99" s="167" t="s">
        <v>629</v>
      </c>
      <c r="F99" s="167"/>
      <c r="G99" s="167"/>
      <c r="H99" s="167">
        <v>17</v>
      </c>
      <c r="I99" s="167">
        <f t="shared" si="11"/>
        <v>17</v>
      </c>
      <c r="J99" s="174" t="s">
        <v>630</v>
      </c>
      <c r="K99" s="164" t="s">
        <v>631</v>
      </c>
      <c r="L99" s="181" t="s">
        <v>482</v>
      </c>
      <c r="M99" s="181" t="s">
        <v>45</v>
      </c>
      <c r="N99" s="175" t="s">
        <v>616</v>
      </c>
      <c r="O99" s="166" t="s">
        <v>42</v>
      </c>
      <c r="P99" s="169"/>
      <c r="Q99" s="169"/>
      <c r="R99" s="169"/>
      <c r="S99" s="169"/>
      <c r="T99" s="169"/>
      <c r="U99" s="169">
        <v>16</v>
      </c>
      <c r="V99" s="169">
        <v>1</v>
      </c>
      <c r="W99" s="169">
        <f t="shared" si="7"/>
        <v>17</v>
      </c>
      <c r="X99" s="170" t="e">
        <f>SUMIFS('[1]Đơn giá'!C:C,'[1]Đơn giá'!B:B,[1]XUẤT!O99)</f>
        <v>#VALUE!</v>
      </c>
      <c r="Y99" s="171" t="e">
        <f>U99*X99</f>
        <v>#VALUE!</v>
      </c>
      <c r="Z99" s="247"/>
      <c r="AA99" s="164"/>
      <c r="AB99" s="95">
        <f t="shared" si="8"/>
        <v>16</v>
      </c>
      <c r="AC99" s="96">
        <f t="shared" si="9"/>
        <v>80000</v>
      </c>
      <c r="AD99" s="169"/>
    </row>
    <row r="100" spans="1:30" s="172" customFormat="1" ht="37.799999999999997" customHeight="1" x14ac:dyDescent="0.3">
      <c r="A100" s="164">
        <v>3</v>
      </c>
      <c r="B100" s="165" t="s">
        <v>628</v>
      </c>
      <c r="C100" s="166" t="s">
        <v>632</v>
      </c>
      <c r="D100" s="167" t="s">
        <v>30</v>
      </c>
      <c r="E100" s="167" t="s">
        <v>533</v>
      </c>
      <c r="F100" s="167"/>
      <c r="G100" s="167">
        <v>5</v>
      </c>
      <c r="H100" s="167"/>
      <c r="I100" s="167">
        <f t="shared" si="11"/>
        <v>5</v>
      </c>
      <c r="J100" s="164" t="s">
        <v>634</v>
      </c>
      <c r="K100" s="164"/>
      <c r="L100" s="181" t="s">
        <v>482</v>
      </c>
      <c r="M100" s="181" t="s">
        <v>45</v>
      </c>
      <c r="N100" s="7" t="s">
        <v>636</v>
      </c>
      <c r="O100" s="166" t="s">
        <v>26</v>
      </c>
      <c r="P100" s="169">
        <v>5</v>
      </c>
      <c r="Q100" s="169"/>
      <c r="R100" s="169"/>
      <c r="S100" s="169"/>
      <c r="T100" s="169"/>
      <c r="U100" s="169"/>
      <c r="V100" s="169"/>
      <c r="W100" s="169">
        <f t="shared" si="7"/>
        <v>5</v>
      </c>
      <c r="X100" s="170" t="e">
        <f>SUMIFS('[1]Đơn giá'!C:C,'[1]Đơn giá'!B:B,[1]XUẤT!O100)</f>
        <v>#VALUE!</v>
      </c>
      <c r="Y100" s="171" t="e">
        <f t="shared" si="12"/>
        <v>#VALUE!</v>
      </c>
      <c r="Z100" s="247"/>
      <c r="AA100" s="164"/>
      <c r="AB100" s="95">
        <f t="shared" si="8"/>
        <v>5</v>
      </c>
      <c r="AC100" s="96">
        <f t="shared" si="9"/>
        <v>25000</v>
      </c>
      <c r="AD100" s="169"/>
    </row>
    <row r="101" spans="1:30" s="172" customFormat="1" ht="32.4" customHeight="1" x14ac:dyDescent="0.3">
      <c r="A101" s="164">
        <v>4</v>
      </c>
      <c r="B101" s="339" t="s">
        <v>628</v>
      </c>
      <c r="C101" s="333" t="s">
        <v>633</v>
      </c>
      <c r="D101" s="345" t="s">
        <v>30</v>
      </c>
      <c r="E101" s="167" t="s">
        <v>533</v>
      </c>
      <c r="F101" s="167"/>
      <c r="G101" s="167">
        <v>3</v>
      </c>
      <c r="H101" s="167"/>
      <c r="I101" s="167">
        <f t="shared" si="11"/>
        <v>3</v>
      </c>
      <c r="J101" s="164" t="s">
        <v>634</v>
      </c>
      <c r="K101" s="164"/>
      <c r="L101" s="181" t="s">
        <v>482</v>
      </c>
      <c r="M101" s="181" t="s">
        <v>33</v>
      </c>
      <c r="N101" s="225" t="s">
        <v>37</v>
      </c>
      <c r="O101" s="166" t="s">
        <v>26</v>
      </c>
      <c r="P101" s="169">
        <v>3</v>
      </c>
      <c r="Q101" s="169"/>
      <c r="R101" s="169"/>
      <c r="S101" s="169"/>
      <c r="T101" s="169"/>
      <c r="U101" s="169"/>
      <c r="V101" s="169"/>
      <c r="W101" s="169">
        <f t="shared" si="7"/>
        <v>3</v>
      </c>
      <c r="X101" s="171">
        <v>98000</v>
      </c>
      <c r="Y101" s="286">
        <f>P101*X101</f>
        <v>294000</v>
      </c>
      <c r="Z101" s="164"/>
      <c r="AA101" s="225" t="s">
        <v>37</v>
      </c>
      <c r="AB101" s="95">
        <f t="shared" si="8"/>
        <v>3</v>
      </c>
      <c r="AC101" s="96">
        <f t="shared" si="9"/>
        <v>15000</v>
      </c>
    </row>
    <row r="102" spans="1:30" s="172" customFormat="1" ht="116.4" customHeight="1" x14ac:dyDescent="0.3">
      <c r="A102" s="164"/>
      <c r="B102" s="341"/>
      <c r="C102" s="334"/>
      <c r="D102" s="347"/>
      <c r="E102" s="167" t="s">
        <v>533</v>
      </c>
      <c r="F102" s="167"/>
      <c r="G102" s="167"/>
      <c r="H102" s="167">
        <v>2</v>
      </c>
      <c r="I102" s="167">
        <f t="shared" si="11"/>
        <v>2</v>
      </c>
      <c r="J102" s="164" t="s">
        <v>634</v>
      </c>
      <c r="K102" s="164"/>
      <c r="L102" s="181" t="s">
        <v>482</v>
      </c>
      <c r="M102" s="181" t="s">
        <v>33</v>
      </c>
      <c r="N102" s="225" t="s">
        <v>37</v>
      </c>
      <c r="O102" s="166" t="s">
        <v>39</v>
      </c>
      <c r="P102" s="169"/>
      <c r="Q102" s="169"/>
      <c r="R102" s="169"/>
      <c r="S102" s="169"/>
      <c r="T102" s="169">
        <v>2</v>
      </c>
      <c r="U102" s="169"/>
      <c r="V102" s="169"/>
      <c r="W102" s="169">
        <f t="shared" si="7"/>
        <v>2</v>
      </c>
      <c r="X102" s="171">
        <v>52000</v>
      </c>
      <c r="Y102" s="286">
        <f>T102*X102</f>
        <v>104000</v>
      </c>
      <c r="Z102" s="164"/>
      <c r="AA102" s="225" t="s">
        <v>37</v>
      </c>
      <c r="AB102" s="95">
        <f t="shared" si="8"/>
        <v>2</v>
      </c>
      <c r="AC102" s="96">
        <f t="shared" si="9"/>
        <v>10000</v>
      </c>
    </row>
    <row r="103" spans="1:30" s="172" customFormat="1" ht="46.8" customHeight="1" x14ac:dyDescent="0.3">
      <c r="A103" s="164">
        <v>5</v>
      </c>
      <c r="B103" s="165" t="s">
        <v>628</v>
      </c>
      <c r="C103" s="166" t="s">
        <v>635</v>
      </c>
      <c r="D103" s="167" t="s">
        <v>30</v>
      </c>
      <c r="E103" s="167" t="s">
        <v>533</v>
      </c>
      <c r="F103" s="167"/>
      <c r="G103" s="167">
        <v>10</v>
      </c>
      <c r="H103" s="167"/>
      <c r="I103" s="167">
        <f t="shared" si="11"/>
        <v>10</v>
      </c>
      <c r="J103" s="164" t="s">
        <v>634</v>
      </c>
      <c r="K103" s="164"/>
      <c r="L103" s="181" t="s">
        <v>482</v>
      </c>
      <c r="M103" s="181" t="s">
        <v>33</v>
      </c>
      <c r="N103" s="225" t="s">
        <v>37</v>
      </c>
      <c r="O103" s="166" t="s">
        <v>26</v>
      </c>
      <c r="P103" s="169">
        <v>10</v>
      </c>
      <c r="Q103" s="169"/>
      <c r="R103" s="169"/>
      <c r="S103" s="169"/>
      <c r="T103" s="169"/>
      <c r="U103" s="169"/>
      <c r="V103" s="169">
        <v>1</v>
      </c>
      <c r="W103" s="169">
        <f t="shared" si="7"/>
        <v>11</v>
      </c>
      <c r="X103" s="171">
        <v>98000</v>
      </c>
      <c r="Y103" s="286">
        <f>P103*X103</f>
        <v>980000</v>
      </c>
      <c r="Z103" s="164"/>
      <c r="AA103" s="225" t="s">
        <v>37</v>
      </c>
      <c r="AB103" s="95">
        <f t="shared" si="8"/>
        <v>10</v>
      </c>
      <c r="AC103" s="96">
        <f t="shared" si="9"/>
        <v>50000</v>
      </c>
    </row>
    <row r="104" spans="1:30" s="172" customFormat="1" ht="76.2" customHeight="1" x14ac:dyDescent="0.3">
      <c r="A104" s="164">
        <v>7</v>
      </c>
      <c r="B104" s="165" t="s">
        <v>628</v>
      </c>
      <c r="C104" s="166" t="s">
        <v>639</v>
      </c>
      <c r="D104" s="167" t="s">
        <v>30</v>
      </c>
      <c r="E104" s="167" t="s">
        <v>214</v>
      </c>
      <c r="F104" s="167"/>
      <c r="G104" s="167">
        <v>11</v>
      </c>
      <c r="H104" s="167"/>
      <c r="I104" s="167">
        <f t="shared" si="11"/>
        <v>11</v>
      </c>
      <c r="J104" s="164" t="s">
        <v>634</v>
      </c>
      <c r="K104" s="164"/>
      <c r="L104" s="181" t="s">
        <v>482</v>
      </c>
      <c r="M104" s="175" t="s">
        <v>45</v>
      </c>
      <c r="N104" s="175" t="s">
        <v>637</v>
      </c>
      <c r="O104" s="166" t="s">
        <v>26</v>
      </c>
      <c r="P104" s="169">
        <v>10</v>
      </c>
      <c r="Q104" s="169"/>
      <c r="R104" s="169"/>
      <c r="S104" s="169"/>
      <c r="T104" s="169"/>
      <c r="U104" s="169"/>
      <c r="V104" s="169">
        <v>1</v>
      </c>
      <c r="W104" s="169">
        <f t="shared" si="7"/>
        <v>11</v>
      </c>
      <c r="X104" s="171">
        <v>98000</v>
      </c>
      <c r="Y104" s="286">
        <f>P104*X104</f>
        <v>980000</v>
      </c>
      <c r="Z104" s="164"/>
      <c r="AA104" s="170"/>
      <c r="AB104" s="95">
        <f t="shared" si="8"/>
        <v>10</v>
      </c>
      <c r="AC104" s="96">
        <f t="shared" si="9"/>
        <v>50000</v>
      </c>
    </row>
    <row r="105" spans="1:30" s="172" customFormat="1" ht="55.2" customHeight="1" x14ac:dyDescent="0.3">
      <c r="A105" s="164">
        <v>8</v>
      </c>
      <c r="B105" s="165" t="s">
        <v>628</v>
      </c>
      <c r="C105" s="285" t="s">
        <v>644</v>
      </c>
      <c r="D105" s="167" t="s">
        <v>30</v>
      </c>
      <c r="E105" s="167" t="s">
        <v>533</v>
      </c>
      <c r="F105" s="167"/>
      <c r="G105" s="167"/>
      <c r="H105" s="167">
        <v>25</v>
      </c>
      <c r="I105" s="167">
        <f t="shared" si="11"/>
        <v>25</v>
      </c>
      <c r="J105" s="164" t="s">
        <v>634</v>
      </c>
      <c r="K105" s="164" t="s">
        <v>238</v>
      </c>
      <c r="L105" s="181" t="s">
        <v>482</v>
      </c>
      <c r="M105" s="175" t="s">
        <v>45</v>
      </c>
      <c r="N105" s="175" t="s">
        <v>638</v>
      </c>
      <c r="O105" s="166" t="s">
        <v>39</v>
      </c>
      <c r="P105" s="169"/>
      <c r="Q105" s="169"/>
      <c r="R105" s="169"/>
      <c r="S105" s="169"/>
      <c r="T105" s="169">
        <v>25</v>
      </c>
      <c r="U105" s="169"/>
      <c r="V105" s="169"/>
      <c r="W105" s="169">
        <f t="shared" si="7"/>
        <v>25</v>
      </c>
      <c r="X105" s="171">
        <v>52000</v>
      </c>
      <c r="Y105" s="286">
        <f>T105*X105</f>
        <v>1300000</v>
      </c>
      <c r="Z105" s="164"/>
      <c r="AA105" s="34" t="s">
        <v>48</v>
      </c>
      <c r="AB105" s="95">
        <f t="shared" si="8"/>
        <v>25</v>
      </c>
      <c r="AC105" s="96">
        <f t="shared" si="9"/>
        <v>125000</v>
      </c>
    </row>
    <row r="106" spans="1:30" s="172" customFormat="1" ht="55.2" customHeight="1" x14ac:dyDescent="0.3">
      <c r="A106" s="164">
        <v>9</v>
      </c>
      <c r="B106" s="165" t="s">
        <v>628</v>
      </c>
      <c r="C106" s="166" t="s">
        <v>645</v>
      </c>
      <c r="D106" s="167" t="s">
        <v>30</v>
      </c>
      <c r="E106" s="167" t="s">
        <v>533</v>
      </c>
      <c r="F106" s="167"/>
      <c r="G106" s="167"/>
      <c r="H106" s="167">
        <v>2</v>
      </c>
      <c r="I106" s="167">
        <f t="shared" si="11"/>
        <v>2</v>
      </c>
      <c r="J106" s="164" t="s">
        <v>646</v>
      </c>
      <c r="K106" s="164"/>
      <c r="L106" s="181" t="s">
        <v>482</v>
      </c>
      <c r="M106" s="175" t="s">
        <v>528</v>
      </c>
      <c r="N106" s="10" t="s">
        <v>211</v>
      </c>
      <c r="O106" s="166" t="s">
        <v>39</v>
      </c>
      <c r="P106" s="169"/>
      <c r="Q106" s="169"/>
      <c r="R106" s="169"/>
      <c r="S106" s="169"/>
      <c r="T106" s="169">
        <v>2</v>
      </c>
      <c r="U106" s="169"/>
      <c r="V106" s="169"/>
      <c r="W106" s="169">
        <f t="shared" si="7"/>
        <v>2</v>
      </c>
      <c r="X106" s="171">
        <v>52000</v>
      </c>
      <c r="Y106" s="286">
        <f>T106*X106</f>
        <v>104000</v>
      </c>
      <c r="Z106" s="164"/>
      <c r="AA106" s="10" t="s">
        <v>211</v>
      </c>
      <c r="AB106" s="95">
        <f t="shared" si="8"/>
        <v>2</v>
      </c>
      <c r="AC106" s="96">
        <f t="shared" si="9"/>
        <v>10000</v>
      </c>
    </row>
    <row r="107" spans="1:30" s="172" customFormat="1" ht="55.2" customHeight="1" x14ac:dyDescent="0.3">
      <c r="A107" s="164">
        <v>10</v>
      </c>
      <c r="B107" s="165" t="s">
        <v>628</v>
      </c>
      <c r="C107" s="166" t="s">
        <v>660</v>
      </c>
      <c r="D107" s="167" t="s">
        <v>30</v>
      </c>
      <c r="E107" s="167" t="s">
        <v>533</v>
      </c>
      <c r="F107" s="167"/>
      <c r="G107" s="167"/>
      <c r="H107" s="167">
        <v>2</v>
      </c>
      <c r="I107" s="167">
        <f t="shared" si="11"/>
        <v>2</v>
      </c>
      <c r="J107" s="164" t="s">
        <v>647</v>
      </c>
      <c r="K107" s="164"/>
      <c r="L107" s="181" t="s">
        <v>482</v>
      </c>
      <c r="M107" s="175" t="s">
        <v>528</v>
      </c>
      <c r="N107" s="225" t="s">
        <v>37</v>
      </c>
      <c r="O107" s="166" t="s">
        <v>39</v>
      </c>
      <c r="P107" s="169"/>
      <c r="Q107" s="169"/>
      <c r="R107" s="169"/>
      <c r="S107" s="169"/>
      <c r="T107" s="169">
        <v>2</v>
      </c>
      <c r="U107" s="169"/>
      <c r="V107" s="169"/>
      <c r="W107" s="169">
        <f t="shared" si="7"/>
        <v>2</v>
      </c>
      <c r="X107" s="171">
        <v>52000</v>
      </c>
      <c r="Y107" s="286">
        <f>T107*X107</f>
        <v>104000</v>
      </c>
      <c r="Z107" s="164"/>
      <c r="AA107" s="225" t="s">
        <v>37</v>
      </c>
      <c r="AB107" s="95">
        <f t="shared" si="8"/>
        <v>2</v>
      </c>
      <c r="AC107" s="96">
        <f t="shared" si="9"/>
        <v>10000</v>
      </c>
    </row>
    <row r="108" spans="1:30" s="172" customFormat="1" ht="71.400000000000006" customHeight="1" x14ac:dyDescent="0.3">
      <c r="A108" s="164">
        <v>11</v>
      </c>
      <c r="B108" s="165" t="s">
        <v>628</v>
      </c>
      <c r="C108" s="166" t="s">
        <v>648</v>
      </c>
      <c r="D108" s="167" t="s">
        <v>30</v>
      </c>
      <c r="E108" s="167" t="s">
        <v>533</v>
      </c>
      <c r="F108" s="167"/>
      <c r="G108" s="167"/>
      <c r="H108" s="167">
        <v>1</v>
      </c>
      <c r="I108" s="167">
        <f t="shared" si="11"/>
        <v>1</v>
      </c>
      <c r="J108" s="164" t="s">
        <v>385</v>
      </c>
      <c r="K108" s="164"/>
      <c r="L108" s="181" t="s">
        <v>482</v>
      </c>
      <c r="M108" s="175" t="s">
        <v>528</v>
      </c>
      <c r="N108" s="10" t="s">
        <v>88</v>
      </c>
      <c r="O108" s="166" t="s">
        <v>39</v>
      </c>
      <c r="P108" s="169"/>
      <c r="Q108" s="169"/>
      <c r="R108" s="169"/>
      <c r="S108" s="169"/>
      <c r="T108" s="169">
        <v>1</v>
      </c>
      <c r="U108" s="169"/>
      <c r="V108" s="169"/>
      <c r="W108" s="169">
        <f t="shared" si="7"/>
        <v>1</v>
      </c>
      <c r="X108" s="171">
        <v>52000</v>
      </c>
      <c r="Y108" s="286">
        <f>T108*X108</f>
        <v>52000</v>
      </c>
      <c r="Z108" s="164" t="s">
        <v>682</v>
      </c>
      <c r="AA108" s="10" t="s">
        <v>88</v>
      </c>
      <c r="AB108" s="95">
        <f t="shared" si="8"/>
        <v>1</v>
      </c>
      <c r="AC108" s="96">
        <f t="shared" si="9"/>
        <v>5000</v>
      </c>
    </row>
    <row r="109" spans="1:30" s="172" customFormat="1" ht="69" customHeight="1" x14ac:dyDescent="0.3">
      <c r="A109" s="164">
        <v>12</v>
      </c>
      <c r="B109" s="165" t="s">
        <v>628</v>
      </c>
      <c r="C109" s="166" t="s">
        <v>649</v>
      </c>
      <c r="D109" s="167" t="s">
        <v>30</v>
      </c>
      <c r="E109" s="167" t="s">
        <v>80</v>
      </c>
      <c r="F109" s="167"/>
      <c r="G109" s="167">
        <v>3</v>
      </c>
      <c r="H109" s="167"/>
      <c r="I109" s="167">
        <f t="shared" si="11"/>
        <v>3</v>
      </c>
      <c r="J109" s="164" t="s">
        <v>377</v>
      </c>
      <c r="K109" s="164"/>
      <c r="L109" s="181" t="s">
        <v>482</v>
      </c>
      <c r="M109" s="175" t="s">
        <v>528</v>
      </c>
      <c r="N109" s="10" t="s">
        <v>126</v>
      </c>
      <c r="O109" s="166" t="s">
        <v>26</v>
      </c>
      <c r="P109" s="169">
        <v>3</v>
      </c>
      <c r="Q109" s="169"/>
      <c r="R109" s="169"/>
      <c r="S109" s="169"/>
      <c r="T109" s="169"/>
      <c r="U109" s="169"/>
      <c r="V109" s="169"/>
      <c r="W109" s="169">
        <f t="shared" si="7"/>
        <v>3</v>
      </c>
      <c r="X109" s="171">
        <v>98000</v>
      </c>
      <c r="Y109" s="286"/>
      <c r="Z109" s="164"/>
      <c r="AA109" s="225" t="s">
        <v>126</v>
      </c>
      <c r="AB109" s="95">
        <f t="shared" si="8"/>
        <v>3</v>
      </c>
      <c r="AC109" s="96">
        <f t="shared" si="9"/>
        <v>15000</v>
      </c>
    </row>
    <row r="110" spans="1:30" s="172" customFormat="1" ht="55.8" customHeight="1" x14ac:dyDescent="0.3">
      <c r="A110" s="164">
        <v>13</v>
      </c>
      <c r="B110" s="165" t="s">
        <v>628</v>
      </c>
      <c r="C110" s="166" t="s">
        <v>650</v>
      </c>
      <c r="D110" s="167" t="s">
        <v>30</v>
      </c>
      <c r="E110" s="167" t="s">
        <v>80</v>
      </c>
      <c r="F110" s="167"/>
      <c r="G110" s="167">
        <v>1</v>
      </c>
      <c r="H110" s="167"/>
      <c r="I110" s="167">
        <f t="shared" si="11"/>
        <v>1</v>
      </c>
      <c r="J110" s="10" t="s">
        <v>129</v>
      </c>
      <c r="K110" s="164"/>
      <c r="L110" s="181" t="s">
        <v>482</v>
      </c>
      <c r="M110" s="175" t="s">
        <v>528</v>
      </c>
      <c r="N110" s="10" t="s">
        <v>129</v>
      </c>
      <c r="O110" s="166" t="s">
        <v>26</v>
      </c>
      <c r="P110" s="169">
        <v>1</v>
      </c>
      <c r="Q110" s="169"/>
      <c r="R110" s="169"/>
      <c r="S110" s="169"/>
      <c r="T110" s="169"/>
      <c r="U110" s="169"/>
      <c r="V110" s="169"/>
      <c r="W110" s="169">
        <f t="shared" si="7"/>
        <v>1</v>
      </c>
      <c r="X110" s="171">
        <v>98000</v>
      </c>
      <c r="Y110" s="286">
        <f>P110*X110</f>
        <v>98000</v>
      </c>
      <c r="Z110" s="164"/>
      <c r="AA110" s="10" t="s">
        <v>129</v>
      </c>
      <c r="AB110" s="95">
        <f t="shared" si="8"/>
        <v>1</v>
      </c>
      <c r="AC110" s="96">
        <f t="shared" si="9"/>
        <v>5000</v>
      </c>
    </row>
    <row r="111" spans="1:30" s="172" customFormat="1" ht="57.6" customHeight="1" x14ac:dyDescent="0.3">
      <c r="A111" s="164">
        <v>14</v>
      </c>
      <c r="B111" s="165" t="s">
        <v>628</v>
      </c>
      <c r="C111" s="166" t="s">
        <v>658</v>
      </c>
      <c r="D111" s="167" t="s">
        <v>30</v>
      </c>
      <c r="E111" s="167" t="s">
        <v>214</v>
      </c>
      <c r="F111" s="167"/>
      <c r="G111" s="167"/>
      <c r="H111" s="167">
        <v>11</v>
      </c>
      <c r="I111" s="167">
        <f t="shared" si="11"/>
        <v>11</v>
      </c>
      <c r="J111" s="231" t="s">
        <v>583</v>
      </c>
      <c r="K111" s="164"/>
      <c r="L111" s="181" t="s">
        <v>482</v>
      </c>
      <c r="M111" s="175" t="s">
        <v>33</v>
      </c>
      <c r="N111" s="10" t="s">
        <v>37</v>
      </c>
      <c r="O111" s="166" t="s">
        <v>42</v>
      </c>
      <c r="P111" s="169"/>
      <c r="Q111" s="169"/>
      <c r="R111" s="169"/>
      <c r="S111" s="169"/>
      <c r="T111" s="169"/>
      <c r="U111" s="169">
        <v>10</v>
      </c>
      <c r="V111" s="169">
        <v>1</v>
      </c>
      <c r="W111" s="169">
        <f t="shared" si="7"/>
        <v>11</v>
      </c>
      <c r="X111" s="171">
        <v>48000</v>
      </c>
      <c r="Y111" s="286">
        <f>U111*X111</f>
        <v>480000</v>
      </c>
      <c r="Z111" s="164"/>
      <c r="AA111" s="10" t="s">
        <v>37</v>
      </c>
      <c r="AB111" s="95">
        <f t="shared" si="8"/>
        <v>10</v>
      </c>
      <c r="AC111" s="96">
        <f t="shared" si="9"/>
        <v>50000</v>
      </c>
    </row>
    <row r="112" spans="1:30" s="172" customFormat="1" ht="50.4" customHeight="1" x14ac:dyDescent="0.3">
      <c r="A112" s="164">
        <v>15</v>
      </c>
      <c r="B112" s="165" t="s">
        <v>628</v>
      </c>
      <c r="C112" s="166" t="s">
        <v>659</v>
      </c>
      <c r="D112" s="167" t="s">
        <v>30</v>
      </c>
      <c r="E112" s="167" t="s">
        <v>214</v>
      </c>
      <c r="F112" s="167"/>
      <c r="G112" s="167"/>
      <c r="H112" s="167">
        <v>2</v>
      </c>
      <c r="I112" s="167">
        <f t="shared" si="11"/>
        <v>2</v>
      </c>
      <c r="J112" s="231" t="s">
        <v>46</v>
      </c>
      <c r="K112" s="164"/>
      <c r="L112" s="181" t="s">
        <v>482</v>
      </c>
      <c r="M112" s="175" t="s">
        <v>33</v>
      </c>
      <c r="N112" s="10" t="s">
        <v>235</v>
      </c>
      <c r="O112" s="166" t="s">
        <v>42</v>
      </c>
      <c r="P112" s="169"/>
      <c r="Q112" s="169"/>
      <c r="R112" s="169"/>
      <c r="S112" s="169"/>
      <c r="T112" s="169"/>
      <c r="U112" s="169">
        <v>2</v>
      </c>
      <c r="V112" s="169"/>
      <c r="W112" s="169">
        <f t="shared" si="7"/>
        <v>2</v>
      </c>
      <c r="X112" s="171">
        <v>48000</v>
      </c>
      <c r="Y112" s="286">
        <f>U112*X112</f>
        <v>96000</v>
      </c>
      <c r="Z112" s="164"/>
      <c r="AA112" s="231" t="s">
        <v>46</v>
      </c>
      <c r="AB112" s="95">
        <f t="shared" si="8"/>
        <v>2</v>
      </c>
      <c r="AC112" s="96">
        <f t="shared" si="9"/>
        <v>10000</v>
      </c>
    </row>
    <row r="113" spans="1:30" s="172" customFormat="1" ht="54" customHeight="1" x14ac:dyDescent="0.3">
      <c r="A113" s="164"/>
      <c r="B113" s="165"/>
      <c r="C113" s="166"/>
      <c r="D113" s="167"/>
      <c r="E113" s="167" t="s">
        <v>533</v>
      </c>
      <c r="F113" s="167"/>
      <c r="G113" s="167"/>
      <c r="H113" s="167">
        <v>1</v>
      </c>
      <c r="I113" s="167">
        <f t="shared" si="11"/>
        <v>1</v>
      </c>
      <c r="J113" s="231"/>
      <c r="K113" s="164"/>
      <c r="L113" s="181" t="s">
        <v>482</v>
      </c>
      <c r="M113" s="175" t="s">
        <v>33</v>
      </c>
      <c r="N113" s="10" t="s">
        <v>88</v>
      </c>
      <c r="O113" s="166" t="s">
        <v>39</v>
      </c>
      <c r="P113" s="169"/>
      <c r="Q113" s="169"/>
      <c r="R113" s="169"/>
      <c r="S113" s="169"/>
      <c r="T113" s="169">
        <v>1</v>
      </c>
      <c r="U113" s="169"/>
      <c r="V113" s="169"/>
      <c r="W113" s="169">
        <f t="shared" si="7"/>
        <v>1</v>
      </c>
      <c r="X113" s="171">
        <v>52000</v>
      </c>
      <c r="Y113" s="286">
        <f>W113*X113</f>
        <v>52000</v>
      </c>
      <c r="Z113" s="164"/>
      <c r="AA113" s="231" t="s">
        <v>46</v>
      </c>
      <c r="AB113" s="95">
        <f t="shared" si="8"/>
        <v>1</v>
      </c>
      <c r="AC113" s="96">
        <f t="shared" si="9"/>
        <v>5000</v>
      </c>
    </row>
    <row r="114" spans="1:30" s="172" customFormat="1" ht="94.2" customHeight="1" x14ac:dyDescent="0.3">
      <c r="A114" s="336">
        <v>2</v>
      </c>
      <c r="B114" s="339" t="s">
        <v>641</v>
      </c>
      <c r="C114" s="342" t="s">
        <v>642</v>
      </c>
      <c r="D114" s="345" t="s">
        <v>643</v>
      </c>
      <c r="E114" s="398" t="s">
        <v>613</v>
      </c>
      <c r="F114" s="167">
        <v>3</v>
      </c>
      <c r="G114" s="167"/>
      <c r="H114" s="167">
        <v>15</v>
      </c>
      <c r="I114" s="167">
        <f t="shared" si="11"/>
        <v>15</v>
      </c>
      <c r="J114" s="164"/>
      <c r="K114" s="164"/>
      <c r="L114" s="181"/>
      <c r="M114" s="175" t="s">
        <v>33</v>
      </c>
      <c r="N114" s="224" t="s">
        <v>94</v>
      </c>
      <c r="O114" s="166" t="s">
        <v>39</v>
      </c>
      <c r="P114" s="169"/>
      <c r="Q114" s="169"/>
      <c r="R114" s="169"/>
      <c r="S114" s="169"/>
      <c r="T114" s="169">
        <v>6</v>
      </c>
      <c r="U114" s="169"/>
      <c r="V114" s="169"/>
      <c r="W114" s="169">
        <f t="shared" si="7"/>
        <v>6</v>
      </c>
      <c r="X114" s="164">
        <v>52000</v>
      </c>
      <c r="Y114" s="287">
        <f>T114*X114</f>
        <v>312000</v>
      </c>
      <c r="Z114" s="170"/>
      <c r="AA114" s="169" t="s">
        <v>675</v>
      </c>
      <c r="AB114" s="95">
        <f t="shared" si="8"/>
        <v>6</v>
      </c>
      <c r="AC114" s="96">
        <f t="shared" si="9"/>
        <v>30000</v>
      </c>
    </row>
    <row r="115" spans="1:30" s="172" customFormat="1" ht="85.8" customHeight="1" x14ac:dyDescent="0.3">
      <c r="A115" s="337"/>
      <c r="B115" s="340"/>
      <c r="C115" s="343"/>
      <c r="D115" s="346"/>
      <c r="E115" s="398" t="s">
        <v>613</v>
      </c>
      <c r="F115" s="167"/>
      <c r="G115" s="167"/>
      <c r="H115" s="167"/>
      <c r="I115" s="167">
        <f t="shared" si="11"/>
        <v>0</v>
      </c>
      <c r="J115" s="164"/>
      <c r="K115" s="164"/>
      <c r="L115" s="164"/>
      <c r="M115" s="175" t="s">
        <v>33</v>
      </c>
      <c r="N115" s="224" t="s">
        <v>94</v>
      </c>
      <c r="O115" s="166" t="s">
        <v>42</v>
      </c>
      <c r="P115" s="169"/>
      <c r="Q115" s="169"/>
      <c r="R115" s="169"/>
      <c r="S115" s="169"/>
      <c r="T115" s="169"/>
      <c r="U115" s="169">
        <v>9</v>
      </c>
      <c r="V115" s="169"/>
      <c r="W115" s="169">
        <f t="shared" si="7"/>
        <v>9</v>
      </c>
      <c r="X115" s="171">
        <v>48000</v>
      </c>
      <c r="Y115" s="286">
        <f>U115*X115</f>
        <v>432000</v>
      </c>
      <c r="Z115" s="164"/>
      <c r="AA115" s="169" t="s">
        <v>675</v>
      </c>
      <c r="AB115" s="95">
        <f t="shared" si="8"/>
        <v>9</v>
      </c>
      <c r="AC115" s="96">
        <f t="shared" si="9"/>
        <v>45000</v>
      </c>
    </row>
    <row r="116" spans="1:30" s="172" customFormat="1" ht="55.2" customHeight="1" x14ac:dyDescent="0.3">
      <c r="A116" s="338"/>
      <c r="B116" s="341"/>
      <c r="C116" s="344"/>
      <c r="D116" s="347"/>
      <c r="E116" s="398" t="s">
        <v>613</v>
      </c>
      <c r="F116" s="167"/>
      <c r="G116" s="167"/>
      <c r="H116" s="167"/>
      <c r="I116" s="167">
        <f t="shared" si="11"/>
        <v>0</v>
      </c>
      <c r="J116" s="164"/>
      <c r="K116" s="164"/>
      <c r="L116" s="164"/>
      <c r="M116" s="175" t="s">
        <v>33</v>
      </c>
      <c r="N116" s="224" t="s">
        <v>94</v>
      </c>
      <c r="O116" s="166" t="s">
        <v>38</v>
      </c>
      <c r="P116" s="169"/>
      <c r="Q116" s="169"/>
      <c r="R116" s="169"/>
      <c r="S116" s="169">
        <v>3</v>
      </c>
      <c r="T116" s="169"/>
      <c r="U116" s="169"/>
      <c r="V116" s="169"/>
      <c r="W116" s="169">
        <f t="shared" si="7"/>
        <v>3</v>
      </c>
      <c r="X116" s="171">
        <v>93000</v>
      </c>
      <c r="Y116" s="286">
        <f>S116*X116</f>
        <v>279000</v>
      </c>
      <c r="Z116" s="164"/>
      <c r="AA116" s="169" t="s">
        <v>675</v>
      </c>
      <c r="AB116" s="95">
        <f t="shared" si="8"/>
        <v>3</v>
      </c>
      <c r="AC116" s="96">
        <f t="shared" si="9"/>
        <v>15000</v>
      </c>
    </row>
    <row r="117" spans="1:30" s="172" customFormat="1" ht="55.2" customHeight="1" x14ac:dyDescent="0.3">
      <c r="A117" s="164">
        <v>3</v>
      </c>
      <c r="B117" s="288" t="s">
        <v>641</v>
      </c>
      <c r="C117" s="285" t="s">
        <v>656</v>
      </c>
      <c r="D117" s="167" t="s">
        <v>30</v>
      </c>
      <c r="E117" s="167" t="s">
        <v>533</v>
      </c>
      <c r="F117" s="167"/>
      <c r="G117" s="167">
        <v>11</v>
      </c>
      <c r="H117" s="167"/>
      <c r="I117" s="167">
        <f t="shared" si="11"/>
        <v>11</v>
      </c>
      <c r="J117" s="164" t="s">
        <v>634</v>
      </c>
      <c r="K117" s="164"/>
      <c r="L117" s="164"/>
      <c r="M117" s="181" t="s">
        <v>45</v>
      </c>
      <c r="N117" s="10"/>
      <c r="O117" s="166" t="s">
        <v>26</v>
      </c>
      <c r="P117" s="169">
        <v>10</v>
      </c>
      <c r="Q117" s="169"/>
      <c r="R117" s="169"/>
      <c r="S117" s="169"/>
      <c r="T117" s="169"/>
      <c r="U117" s="169"/>
      <c r="V117" s="169">
        <v>1</v>
      </c>
      <c r="W117" s="169">
        <f t="shared" si="7"/>
        <v>11</v>
      </c>
      <c r="X117" s="171">
        <v>98000</v>
      </c>
      <c r="Y117" s="247">
        <v>50000</v>
      </c>
      <c r="Z117" s="164" t="s">
        <v>655</v>
      </c>
      <c r="AA117" s="170" t="s">
        <v>583</v>
      </c>
      <c r="AB117" s="95">
        <f t="shared" si="8"/>
        <v>10</v>
      </c>
      <c r="AC117" s="96">
        <f t="shared" si="9"/>
        <v>50000</v>
      </c>
    </row>
    <row r="118" spans="1:30" s="172" customFormat="1" ht="55.2" customHeight="1" x14ac:dyDescent="0.3">
      <c r="A118" s="164">
        <v>5</v>
      </c>
      <c r="B118" s="288" t="s">
        <v>641</v>
      </c>
      <c r="C118" s="166" t="s">
        <v>651</v>
      </c>
      <c r="D118" s="167" t="s">
        <v>30</v>
      </c>
      <c r="E118" s="167" t="s">
        <v>533</v>
      </c>
      <c r="F118" s="167"/>
      <c r="G118" s="167">
        <v>22</v>
      </c>
      <c r="H118" s="167"/>
      <c r="I118" s="167">
        <f t="shared" si="11"/>
        <v>22</v>
      </c>
      <c r="J118" s="164" t="s">
        <v>634</v>
      </c>
      <c r="K118" s="164"/>
      <c r="L118" s="164"/>
      <c r="M118" s="181" t="s">
        <v>652</v>
      </c>
      <c r="N118" s="166"/>
      <c r="O118" s="166" t="s">
        <v>26</v>
      </c>
      <c r="P118" s="169">
        <v>20</v>
      </c>
      <c r="Q118" s="169"/>
      <c r="R118" s="169"/>
      <c r="S118" s="169"/>
      <c r="T118" s="169"/>
      <c r="U118" s="169"/>
      <c r="V118" s="169">
        <v>2</v>
      </c>
      <c r="W118" s="169">
        <f t="shared" si="7"/>
        <v>22</v>
      </c>
      <c r="X118" s="171">
        <v>98000</v>
      </c>
      <c r="Y118" s="292">
        <f>P118*X118</f>
        <v>1960000</v>
      </c>
      <c r="Z118" s="164"/>
      <c r="AA118" s="170" t="s">
        <v>583</v>
      </c>
      <c r="AB118" s="95">
        <f t="shared" si="8"/>
        <v>20</v>
      </c>
      <c r="AC118" s="96">
        <f t="shared" si="9"/>
        <v>100000</v>
      </c>
    </row>
    <row r="119" spans="1:30" s="172" customFormat="1" ht="87.6" customHeight="1" x14ac:dyDescent="0.3">
      <c r="A119" s="164">
        <v>6</v>
      </c>
      <c r="B119" s="288" t="s">
        <v>641</v>
      </c>
      <c r="C119" s="166" t="s">
        <v>653</v>
      </c>
      <c r="D119" s="167" t="s">
        <v>30</v>
      </c>
      <c r="E119" s="167" t="s">
        <v>214</v>
      </c>
      <c r="F119" s="167"/>
      <c r="G119" s="167">
        <v>11</v>
      </c>
      <c r="H119" s="167"/>
      <c r="I119" s="167">
        <f t="shared" si="11"/>
        <v>11</v>
      </c>
      <c r="J119" s="164" t="s">
        <v>634</v>
      </c>
      <c r="K119" s="164"/>
      <c r="L119" s="164" t="s">
        <v>482</v>
      </c>
      <c r="M119" s="181" t="s">
        <v>47</v>
      </c>
      <c r="N119" s="166"/>
      <c r="O119" s="166" t="s">
        <v>29</v>
      </c>
      <c r="P119" s="169"/>
      <c r="Q119" s="169">
        <v>10</v>
      </c>
      <c r="R119" s="169"/>
      <c r="S119" s="169"/>
      <c r="T119" s="169"/>
      <c r="U119" s="169"/>
      <c r="V119" s="169">
        <v>1</v>
      </c>
      <c r="W119" s="169">
        <f t="shared" si="7"/>
        <v>11</v>
      </c>
      <c r="X119" s="171">
        <f>P119*85000</f>
        <v>0</v>
      </c>
      <c r="Y119" s="247">
        <v>85000</v>
      </c>
      <c r="Z119" s="164"/>
      <c r="AA119" s="170" t="s">
        <v>583</v>
      </c>
      <c r="AB119" s="95">
        <f t="shared" si="8"/>
        <v>10</v>
      </c>
      <c r="AC119" s="96">
        <f t="shared" si="9"/>
        <v>50000</v>
      </c>
    </row>
    <row r="120" spans="1:30" s="172" customFormat="1" ht="64.8" customHeight="1" x14ac:dyDescent="0.3">
      <c r="A120" s="164">
        <v>7</v>
      </c>
      <c r="B120" s="288" t="s">
        <v>641</v>
      </c>
      <c r="C120" s="166" t="s">
        <v>654</v>
      </c>
      <c r="D120" s="167" t="s">
        <v>30</v>
      </c>
      <c r="E120" s="167" t="s">
        <v>214</v>
      </c>
      <c r="F120" s="167"/>
      <c r="G120" s="167">
        <v>20</v>
      </c>
      <c r="H120" s="167"/>
      <c r="I120" s="167">
        <f t="shared" si="11"/>
        <v>20</v>
      </c>
      <c r="J120" s="164" t="s">
        <v>634</v>
      </c>
      <c r="K120" s="164"/>
      <c r="L120" s="164" t="s">
        <v>482</v>
      </c>
      <c r="M120" s="181" t="s">
        <v>45</v>
      </c>
      <c r="N120" s="166"/>
      <c r="O120" s="166" t="s">
        <v>26</v>
      </c>
      <c r="P120" s="169">
        <v>20</v>
      </c>
      <c r="Q120" s="169"/>
      <c r="R120" s="169"/>
      <c r="S120" s="169"/>
      <c r="T120" s="169"/>
      <c r="U120" s="169"/>
      <c r="V120" s="169"/>
      <c r="W120" s="169">
        <f t="shared" si="7"/>
        <v>20</v>
      </c>
      <c r="X120" s="171">
        <v>98000</v>
      </c>
      <c r="Y120" s="292">
        <f>P120*X120</f>
        <v>1960000</v>
      </c>
      <c r="Z120" s="164"/>
      <c r="AA120" s="170" t="s">
        <v>583</v>
      </c>
      <c r="AB120" s="95">
        <f t="shared" si="8"/>
        <v>20</v>
      </c>
      <c r="AC120" s="96">
        <f t="shared" si="9"/>
        <v>100000</v>
      </c>
    </row>
    <row r="121" spans="1:30" s="172" customFormat="1" ht="64.8" customHeight="1" x14ac:dyDescent="0.3">
      <c r="A121" s="164">
        <v>8</v>
      </c>
      <c r="B121" s="288" t="s">
        <v>641</v>
      </c>
      <c r="C121" s="314" t="s">
        <v>657</v>
      </c>
      <c r="D121" s="167" t="s">
        <v>30</v>
      </c>
      <c r="E121" s="167" t="s">
        <v>533</v>
      </c>
      <c r="F121" s="167"/>
      <c r="G121" s="167">
        <v>55</v>
      </c>
      <c r="H121" s="167"/>
      <c r="I121" s="167">
        <f t="shared" si="11"/>
        <v>55</v>
      </c>
      <c r="J121" s="164" t="s">
        <v>634</v>
      </c>
      <c r="K121" s="164"/>
      <c r="L121" s="164"/>
      <c r="M121" s="175" t="s">
        <v>33</v>
      </c>
      <c r="N121" s="10" t="s">
        <v>37</v>
      </c>
      <c r="O121" s="166" t="s">
        <v>26</v>
      </c>
      <c r="P121" s="169">
        <v>50</v>
      </c>
      <c r="Q121" s="169"/>
      <c r="R121" s="169"/>
      <c r="S121" s="169"/>
      <c r="T121" s="169"/>
      <c r="U121" s="169"/>
      <c r="V121" s="169">
        <v>5</v>
      </c>
      <c r="W121" s="169">
        <f t="shared" si="7"/>
        <v>55</v>
      </c>
      <c r="X121" s="171">
        <v>98000</v>
      </c>
      <c r="Y121" s="292">
        <f>P121*X121</f>
        <v>4900000</v>
      </c>
      <c r="Z121" s="164"/>
      <c r="AA121" s="170" t="s">
        <v>583</v>
      </c>
      <c r="AB121" s="95">
        <f t="shared" si="8"/>
        <v>50</v>
      </c>
      <c r="AC121" s="96">
        <f t="shared" si="9"/>
        <v>250000</v>
      </c>
    </row>
    <row r="122" spans="1:30" s="172" customFormat="1" ht="64.8" customHeight="1" x14ac:dyDescent="0.3">
      <c r="A122" s="164">
        <v>9</v>
      </c>
      <c r="B122" s="288" t="s">
        <v>641</v>
      </c>
      <c r="C122" s="166" t="s">
        <v>662</v>
      </c>
      <c r="D122" s="167" t="s">
        <v>663</v>
      </c>
      <c r="E122" s="167" t="s">
        <v>663</v>
      </c>
      <c r="F122" s="167"/>
      <c r="G122" s="167">
        <v>55</v>
      </c>
      <c r="H122" s="167"/>
      <c r="I122" s="167">
        <f t="shared" si="11"/>
        <v>55</v>
      </c>
      <c r="J122" s="164" t="s">
        <v>634</v>
      </c>
      <c r="K122" s="164"/>
      <c r="L122" s="164"/>
      <c r="M122" s="181" t="s">
        <v>557</v>
      </c>
      <c r="N122" s="166"/>
      <c r="O122" s="166"/>
      <c r="P122" s="169"/>
      <c r="Q122" s="169">
        <v>50</v>
      </c>
      <c r="R122" s="169"/>
      <c r="S122" s="169"/>
      <c r="T122" s="169"/>
      <c r="U122" s="169"/>
      <c r="V122" s="169">
        <v>5</v>
      </c>
      <c r="W122" s="169">
        <f t="shared" si="7"/>
        <v>55</v>
      </c>
      <c r="X122" s="171">
        <f t="shared" si="12"/>
        <v>0</v>
      </c>
      <c r="Y122" s="292">
        <f t="shared" ref="Y122:Y126" si="13">P122*X122</f>
        <v>0</v>
      </c>
      <c r="Z122" s="164"/>
      <c r="AA122" s="170" t="s">
        <v>583</v>
      </c>
      <c r="AB122" s="95">
        <f t="shared" si="8"/>
        <v>50</v>
      </c>
      <c r="AC122" s="96">
        <f t="shared" si="9"/>
        <v>250000</v>
      </c>
    </row>
    <row r="123" spans="1:30" s="172" customFormat="1" ht="64.8" customHeight="1" x14ac:dyDescent="0.3">
      <c r="A123" s="164">
        <v>10</v>
      </c>
      <c r="B123" s="288" t="s">
        <v>641</v>
      </c>
      <c r="C123" s="166" t="s">
        <v>664</v>
      </c>
      <c r="D123" s="167" t="s">
        <v>30</v>
      </c>
      <c r="E123" s="167" t="s">
        <v>533</v>
      </c>
      <c r="F123" s="167"/>
      <c r="G123" s="167">
        <v>2</v>
      </c>
      <c r="H123" s="167"/>
      <c r="I123" s="167">
        <f t="shared" si="11"/>
        <v>2</v>
      </c>
      <c r="J123" s="36" t="s">
        <v>88</v>
      </c>
      <c r="K123" s="164"/>
      <c r="L123" s="164" t="s">
        <v>482</v>
      </c>
      <c r="M123" s="175" t="s">
        <v>33</v>
      </c>
      <c r="N123" s="10" t="s">
        <v>117</v>
      </c>
      <c r="O123" s="166" t="s">
        <v>29</v>
      </c>
      <c r="P123" s="169"/>
      <c r="Q123" s="169">
        <v>2</v>
      </c>
      <c r="R123" s="169"/>
      <c r="S123" s="169"/>
      <c r="T123" s="169"/>
      <c r="U123" s="169"/>
      <c r="V123" s="169"/>
      <c r="W123" s="169">
        <f t="shared" si="7"/>
        <v>2</v>
      </c>
      <c r="X123" s="171">
        <v>85000</v>
      </c>
      <c r="Y123" s="292">
        <f>Q123*X123</f>
        <v>170000</v>
      </c>
      <c r="Z123" s="164"/>
      <c r="AA123" s="36" t="s">
        <v>88</v>
      </c>
      <c r="AB123" s="95">
        <f t="shared" si="8"/>
        <v>2</v>
      </c>
      <c r="AC123" s="96">
        <f t="shared" si="9"/>
        <v>10000</v>
      </c>
    </row>
    <row r="124" spans="1:30" s="172" customFormat="1" ht="64.8" customHeight="1" x14ac:dyDescent="0.3">
      <c r="A124" s="164">
        <v>11</v>
      </c>
      <c r="B124" s="288" t="s">
        <v>641</v>
      </c>
      <c r="C124" s="166" t="s">
        <v>667</v>
      </c>
      <c r="D124" s="167" t="s">
        <v>30</v>
      </c>
      <c r="E124" s="167" t="s">
        <v>214</v>
      </c>
      <c r="F124" s="167"/>
      <c r="G124" s="167"/>
      <c r="H124" s="167">
        <v>2</v>
      </c>
      <c r="I124" s="167">
        <f t="shared" si="11"/>
        <v>2</v>
      </c>
      <c r="J124" s="164" t="s">
        <v>583</v>
      </c>
      <c r="K124" s="164"/>
      <c r="L124" s="164" t="s">
        <v>482</v>
      </c>
      <c r="M124" s="181" t="s">
        <v>45</v>
      </c>
      <c r="N124" s="10"/>
      <c r="O124" s="166" t="s">
        <v>42</v>
      </c>
      <c r="P124" s="169"/>
      <c r="Q124" s="169"/>
      <c r="R124" s="169"/>
      <c r="S124" s="169"/>
      <c r="T124" s="169"/>
      <c r="U124" s="169">
        <v>2</v>
      </c>
      <c r="V124" s="169"/>
      <c r="W124" s="169">
        <f t="shared" si="7"/>
        <v>2</v>
      </c>
      <c r="X124" s="171">
        <v>48000</v>
      </c>
      <c r="Y124" s="292">
        <f>U124*X124</f>
        <v>96000</v>
      </c>
      <c r="Z124" s="164" t="s">
        <v>676</v>
      </c>
      <c r="AA124" s="170" t="s">
        <v>583</v>
      </c>
      <c r="AB124" s="95">
        <f t="shared" si="8"/>
        <v>2</v>
      </c>
      <c r="AC124" s="96">
        <f t="shared" si="9"/>
        <v>10000</v>
      </c>
    </row>
    <row r="125" spans="1:30" s="172" customFormat="1" ht="64.8" customHeight="1" x14ac:dyDescent="0.3">
      <c r="A125" s="164"/>
      <c r="B125" s="288" t="s">
        <v>641</v>
      </c>
      <c r="C125" s="166" t="s">
        <v>672</v>
      </c>
      <c r="D125" s="167" t="s">
        <v>30</v>
      </c>
      <c r="E125" s="167" t="s">
        <v>533</v>
      </c>
      <c r="F125" s="167"/>
      <c r="G125" s="167">
        <v>2</v>
      </c>
      <c r="H125" s="167"/>
      <c r="I125" s="167">
        <f t="shared" si="11"/>
        <v>2</v>
      </c>
      <c r="J125" s="243" t="s">
        <v>166</v>
      </c>
      <c r="K125" s="164"/>
      <c r="L125" s="164" t="s">
        <v>482</v>
      </c>
      <c r="M125" s="175" t="s">
        <v>33</v>
      </c>
      <c r="N125" s="36" t="s">
        <v>166</v>
      </c>
      <c r="O125" s="166" t="s">
        <v>26</v>
      </c>
      <c r="P125" s="169">
        <v>2</v>
      </c>
      <c r="Q125" s="169"/>
      <c r="R125" s="169"/>
      <c r="S125" s="169"/>
      <c r="T125" s="169"/>
      <c r="U125" s="169"/>
      <c r="V125" s="169"/>
      <c r="W125" s="169">
        <f t="shared" si="7"/>
        <v>2</v>
      </c>
      <c r="X125" s="171">
        <v>98000</v>
      </c>
      <c r="Y125" s="292">
        <f t="shared" si="13"/>
        <v>196000</v>
      </c>
      <c r="Z125" s="164"/>
      <c r="AA125" s="36" t="s">
        <v>166</v>
      </c>
      <c r="AB125" s="95">
        <f t="shared" si="8"/>
        <v>2</v>
      </c>
      <c r="AC125" s="96">
        <f t="shared" si="9"/>
        <v>10000</v>
      </c>
    </row>
    <row r="126" spans="1:30" s="172" customFormat="1" ht="64.8" customHeight="1" x14ac:dyDescent="0.3">
      <c r="A126" s="289"/>
      <c r="B126" s="288" t="s">
        <v>641</v>
      </c>
      <c r="C126" s="298" t="s">
        <v>673</v>
      </c>
      <c r="D126" s="167" t="s">
        <v>30</v>
      </c>
      <c r="E126" s="167" t="s">
        <v>533</v>
      </c>
      <c r="F126" s="290"/>
      <c r="G126" s="290">
        <v>4</v>
      </c>
      <c r="H126" s="290"/>
      <c r="I126" s="290">
        <f t="shared" si="11"/>
        <v>4</v>
      </c>
      <c r="J126" s="225" t="s">
        <v>209</v>
      </c>
      <c r="K126" s="289"/>
      <c r="L126" s="289" t="s">
        <v>482</v>
      </c>
      <c r="M126" s="175" t="s">
        <v>33</v>
      </c>
      <c r="N126" s="10" t="s">
        <v>209</v>
      </c>
      <c r="O126" s="166" t="s">
        <v>26</v>
      </c>
      <c r="P126" s="270"/>
      <c r="Q126" s="270"/>
      <c r="R126" s="270"/>
      <c r="S126" s="270"/>
      <c r="T126" s="270"/>
      <c r="U126" s="270"/>
      <c r="V126" s="270">
        <v>4</v>
      </c>
      <c r="W126" s="270">
        <f t="shared" si="7"/>
        <v>4</v>
      </c>
      <c r="X126" s="299">
        <v>98000</v>
      </c>
      <c r="Y126" s="300">
        <f t="shared" si="13"/>
        <v>0</v>
      </c>
      <c r="Z126" s="289"/>
      <c r="AA126" s="10" t="s">
        <v>209</v>
      </c>
      <c r="AB126" s="95">
        <f t="shared" si="8"/>
        <v>0</v>
      </c>
      <c r="AC126" s="301">
        <f t="shared" si="9"/>
        <v>0</v>
      </c>
    </row>
    <row r="127" spans="1:30" s="172" customFormat="1" ht="64.8" customHeight="1" x14ac:dyDescent="0.3">
      <c r="A127" s="289"/>
      <c r="B127" s="288" t="s">
        <v>641</v>
      </c>
      <c r="C127" s="166" t="s">
        <v>605</v>
      </c>
      <c r="D127" s="167" t="s">
        <v>30</v>
      </c>
      <c r="E127" s="167" t="s">
        <v>214</v>
      </c>
      <c r="F127" s="290"/>
      <c r="G127" s="290">
        <v>3</v>
      </c>
      <c r="H127" s="290"/>
      <c r="I127" s="290">
        <f t="shared" si="11"/>
        <v>3</v>
      </c>
      <c r="J127" s="10" t="s">
        <v>225</v>
      </c>
      <c r="K127" s="289"/>
      <c r="L127" s="289" t="s">
        <v>482</v>
      </c>
      <c r="M127" s="175" t="s">
        <v>33</v>
      </c>
      <c r="N127" s="10" t="s">
        <v>225</v>
      </c>
      <c r="O127" s="166" t="s">
        <v>26</v>
      </c>
      <c r="P127" s="270">
        <v>3</v>
      </c>
      <c r="Q127" s="270"/>
      <c r="R127" s="270"/>
      <c r="S127" s="270"/>
      <c r="T127" s="270"/>
      <c r="U127" s="270"/>
      <c r="V127" s="270"/>
      <c r="W127" s="270">
        <f t="shared" si="7"/>
        <v>3</v>
      </c>
      <c r="X127" s="299">
        <v>98000</v>
      </c>
      <c r="Y127" s="300"/>
      <c r="Z127" s="289"/>
      <c r="AA127" s="10" t="s">
        <v>225</v>
      </c>
      <c r="AB127" s="95">
        <f t="shared" si="8"/>
        <v>3</v>
      </c>
      <c r="AC127" s="301">
        <v>15000</v>
      </c>
    </row>
    <row r="128" spans="1:30" s="172" customFormat="1" ht="39.6" customHeight="1" x14ac:dyDescent="0.3">
      <c r="A128" s="89">
        <v>1</v>
      </c>
      <c r="B128" s="89" t="s">
        <v>666</v>
      </c>
      <c r="C128" s="167" t="s">
        <v>705</v>
      </c>
      <c r="D128" s="109" t="s">
        <v>30</v>
      </c>
      <c r="E128" s="167" t="s">
        <v>214</v>
      </c>
      <c r="F128" s="109"/>
      <c r="G128" s="109"/>
      <c r="H128" s="109">
        <v>33</v>
      </c>
      <c r="I128" s="290">
        <f t="shared" si="11"/>
        <v>33</v>
      </c>
      <c r="J128" s="89" t="s">
        <v>707</v>
      </c>
      <c r="K128" s="89" t="s">
        <v>706</v>
      </c>
      <c r="L128" s="289" t="s">
        <v>482</v>
      </c>
      <c r="M128" s="89" t="s">
        <v>62</v>
      </c>
      <c r="N128" s="163"/>
      <c r="O128" s="95"/>
      <c r="P128" s="95"/>
      <c r="Q128" s="95"/>
      <c r="R128" s="95"/>
      <c r="S128" s="95"/>
      <c r="T128" s="95"/>
      <c r="U128" s="95"/>
      <c r="V128" s="95"/>
      <c r="W128" s="270">
        <f t="shared" si="7"/>
        <v>0</v>
      </c>
      <c r="X128" s="95"/>
      <c r="Y128" s="95"/>
      <c r="Z128" s="247"/>
      <c r="AA128" s="89"/>
      <c r="AB128" s="89"/>
      <c r="AC128" s="95"/>
      <c r="AD128" s="79"/>
    </row>
    <row r="129" spans="1:30" s="172" customFormat="1" ht="52.8" customHeight="1" x14ac:dyDescent="0.3">
      <c r="A129" s="289">
        <v>2</v>
      </c>
      <c r="B129" s="311" t="s">
        <v>674</v>
      </c>
      <c r="C129" s="322" t="s">
        <v>640</v>
      </c>
      <c r="D129" s="290" t="s">
        <v>30</v>
      </c>
      <c r="E129" s="290" t="s">
        <v>214</v>
      </c>
      <c r="F129" s="290"/>
      <c r="G129" s="290"/>
      <c r="H129" s="290">
        <v>15</v>
      </c>
      <c r="I129" s="290">
        <f t="shared" si="11"/>
        <v>15</v>
      </c>
      <c r="J129" s="289" t="s">
        <v>634</v>
      </c>
      <c r="K129" s="289"/>
      <c r="L129" s="323"/>
      <c r="M129" s="324" t="s">
        <v>33</v>
      </c>
      <c r="N129" s="325" t="s">
        <v>37</v>
      </c>
      <c r="O129" s="298" t="s">
        <v>42</v>
      </c>
      <c r="P129" s="270"/>
      <c r="Q129" s="270"/>
      <c r="R129" s="270"/>
      <c r="S129" s="270"/>
      <c r="T129" s="270"/>
      <c r="U129" s="270">
        <v>14</v>
      </c>
      <c r="V129" s="270">
        <v>1</v>
      </c>
      <c r="W129" s="270">
        <f t="shared" si="7"/>
        <v>15</v>
      </c>
      <c r="X129" s="289">
        <v>48000</v>
      </c>
      <c r="Y129" s="326">
        <f>U129*X129</f>
        <v>672000</v>
      </c>
      <c r="Z129" s="327"/>
      <c r="AA129" s="270"/>
      <c r="AB129" s="328">
        <f t="shared" ref="AB129:AB144" si="14">W129-V129</f>
        <v>14</v>
      </c>
      <c r="AC129" s="301">
        <f t="shared" ref="AC129" si="15">AB129*5000</f>
        <v>70000</v>
      </c>
    </row>
    <row r="130" spans="1:30" s="172" customFormat="1" ht="31.2" customHeight="1" x14ac:dyDescent="0.3">
      <c r="A130" s="89">
        <v>3</v>
      </c>
      <c r="B130" s="165" t="s">
        <v>674</v>
      </c>
      <c r="C130" s="315" t="s">
        <v>678</v>
      </c>
      <c r="D130" s="167" t="s">
        <v>30</v>
      </c>
      <c r="E130" s="92" t="s">
        <v>214</v>
      </c>
      <c r="F130" s="92"/>
      <c r="G130" s="92">
        <v>11</v>
      </c>
      <c r="H130" s="92"/>
      <c r="I130" s="167">
        <f t="shared" si="11"/>
        <v>11</v>
      </c>
      <c r="J130" s="89" t="s">
        <v>634</v>
      </c>
      <c r="K130" s="89"/>
      <c r="L130" s="93" t="s">
        <v>482</v>
      </c>
      <c r="M130" s="89" t="s">
        <v>33</v>
      </c>
      <c r="N130" s="7" t="s">
        <v>188</v>
      </c>
      <c r="O130" s="166" t="s">
        <v>26</v>
      </c>
      <c r="P130" s="95">
        <v>10</v>
      </c>
      <c r="Q130" s="95"/>
      <c r="R130" s="95"/>
      <c r="S130" s="95"/>
      <c r="T130" s="95"/>
      <c r="U130" s="95"/>
      <c r="V130" s="95">
        <v>1</v>
      </c>
      <c r="W130" s="169">
        <f t="shared" si="7"/>
        <v>11</v>
      </c>
      <c r="X130" s="97">
        <v>98000</v>
      </c>
      <c r="Y130" s="292">
        <f>P130*X130</f>
        <v>980000</v>
      </c>
      <c r="Z130" s="241"/>
      <c r="AA130" s="95" t="s">
        <v>583</v>
      </c>
      <c r="AB130" s="95">
        <f t="shared" si="14"/>
        <v>10</v>
      </c>
      <c r="AC130" s="96">
        <f t="shared" si="9"/>
        <v>50000</v>
      </c>
      <c r="AD130" s="79"/>
    </row>
    <row r="131" spans="1:30" s="172" customFormat="1" ht="43.2" customHeight="1" x14ac:dyDescent="0.3">
      <c r="A131" s="302">
        <v>4</v>
      </c>
      <c r="B131" s="312" t="s">
        <v>674</v>
      </c>
      <c r="C131" s="329" t="s">
        <v>700</v>
      </c>
      <c r="D131" s="291" t="s">
        <v>30</v>
      </c>
      <c r="E131" s="303" t="s">
        <v>80</v>
      </c>
      <c r="F131" s="303">
        <v>3</v>
      </c>
      <c r="G131" s="303"/>
      <c r="H131" s="303"/>
      <c r="I131" s="291">
        <f>H131+G131+F131</f>
        <v>3</v>
      </c>
      <c r="J131" s="302" t="s">
        <v>634</v>
      </c>
      <c r="K131" s="302"/>
      <c r="L131" s="304"/>
      <c r="M131" s="302" t="s">
        <v>33</v>
      </c>
      <c r="N131" s="225" t="s">
        <v>94</v>
      </c>
      <c r="O131" s="305" t="s">
        <v>38</v>
      </c>
      <c r="P131" s="306"/>
      <c r="Q131" s="306"/>
      <c r="R131" s="306"/>
      <c r="S131" s="306">
        <v>3</v>
      </c>
      <c r="T131" s="306"/>
      <c r="U131" s="306"/>
      <c r="V131" s="306"/>
      <c r="W131" s="307">
        <f t="shared" si="7"/>
        <v>3</v>
      </c>
      <c r="X131" s="308">
        <v>93000</v>
      </c>
      <c r="Y131" s="313">
        <f>S131*X131</f>
        <v>279000</v>
      </c>
      <c r="Z131" s="309"/>
      <c r="AA131" s="306" t="s">
        <v>583</v>
      </c>
      <c r="AB131" s="306">
        <f t="shared" si="14"/>
        <v>3</v>
      </c>
      <c r="AC131" s="310">
        <f t="shared" si="9"/>
        <v>15000</v>
      </c>
      <c r="AD131"/>
    </row>
    <row r="132" spans="1:30" s="172" customFormat="1" ht="123.6" customHeight="1" x14ac:dyDescent="0.3">
      <c r="A132" s="89">
        <v>5</v>
      </c>
      <c r="B132" s="165" t="s">
        <v>674</v>
      </c>
      <c r="C132" s="92" t="s">
        <v>680</v>
      </c>
      <c r="D132" s="167" t="s">
        <v>30</v>
      </c>
      <c r="E132" s="92" t="s">
        <v>80</v>
      </c>
      <c r="F132" s="92"/>
      <c r="G132" s="92">
        <v>3</v>
      </c>
      <c r="H132" s="92"/>
      <c r="I132" s="291">
        <f t="shared" si="11"/>
        <v>3</v>
      </c>
      <c r="J132" s="94" t="s">
        <v>681</v>
      </c>
      <c r="K132" s="89"/>
      <c r="L132" s="93"/>
      <c r="M132" s="302" t="s">
        <v>33</v>
      </c>
      <c r="N132" s="94" t="s">
        <v>681</v>
      </c>
      <c r="O132" s="166" t="s">
        <v>26</v>
      </c>
      <c r="P132" s="95">
        <v>3</v>
      </c>
      <c r="Q132" s="95"/>
      <c r="R132" s="95"/>
      <c r="S132" s="95"/>
      <c r="T132" s="95"/>
      <c r="U132" s="95"/>
      <c r="V132" s="95"/>
      <c r="W132" s="169">
        <f t="shared" si="7"/>
        <v>3</v>
      </c>
      <c r="X132" s="96" t="e">
        <f>SUMIFS('[1]Đơn giá'!C:C,'[1]Đơn giá'!B:B,[1]XUẤT!O132)</f>
        <v>#VALUE!</v>
      </c>
      <c r="Y132" s="97" t="e">
        <f t="shared" ref="Y132:Y138" si="16">X132*P132</f>
        <v>#VALUE!</v>
      </c>
      <c r="Z132" s="247" t="s">
        <v>682</v>
      </c>
      <c r="AA132" s="94" t="s">
        <v>681</v>
      </c>
      <c r="AB132" s="95">
        <f t="shared" si="14"/>
        <v>3</v>
      </c>
      <c r="AC132" s="96">
        <f t="shared" si="9"/>
        <v>15000</v>
      </c>
      <c r="AD132" s="95"/>
    </row>
    <row r="133" spans="1:30" s="172" customFormat="1" ht="69" customHeight="1" x14ac:dyDescent="0.3">
      <c r="A133" s="89">
        <v>6</v>
      </c>
      <c r="B133" s="165" t="s">
        <v>674</v>
      </c>
      <c r="C133" s="92" t="s">
        <v>680</v>
      </c>
      <c r="D133" s="167" t="s">
        <v>30</v>
      </c>
      <c r="E133" s="92" t="s">
        <v>80</v>
      </c>
      <c r="F133" s="92"/>
      <c r="G133" s="92">
        <v>2</v>
      </c>
      <c r="H133" s="92"/>
      <c r="I133" s="291">
        <f t="shared" si="11"/>
        <v>2</v>
      </c>
      <c r="J133" s="94" t="s">
        <v>681</v>
      </c>
      <c r="K133" s="89"/>
      <c r="L133" s="93"/>
      <c r="M133" s="302" t="s">
        <v>33</v>
      </c>
      <c r="N133" s="94" t="s">
        <v>681</v>
      </c>
      <c r="O133" s="166" t="s">
        <v>26</v>
      </c>
      <c r="P133" s="95">
        <v>2</v>
      </c>
      <c r="Q133" s="95"/>
      <c r="R133" s="95"/>
      <c r="S133" s="95"/>
      <c r="T133" s="95"/>
      <c r="U133" s="95"/>
      <c r="V133" s="95"/>
      <c r="W133" s="169">
        <f t="shared" si="7"/>
        <v>2</v>
      </c>
      <c r="X133" s="96" t="e">
        <f>SUMIFS('[1]Đơn giá'!C:C,'[1]Đơn giá'!B:B,[1]XUẤT!O133)</f>
        <v>#VALUE!</v>
      </c>
      <c r="Y133" s="97" t="e">
        <f t="shared" si="16"/>
        <v>#VALUE!</v>
      </c>
      <c r="Z133" s="247" t="s">
        <v>685</v>
      </c>
      <c r="AA133" s="94" t="s">
        <v>681</v>
      </c>
      <c r="AB133" s="95">
        <f t="shared" si="14"/>
        <v>2</v>
      </c>
      <c r="AC133" s="96">
        <f t="shared" si="9"/>
        <v>10000</v>
      </c>
      <c r="AD133" s="95"/>
    </row>
    <row r="134" spans="1:30" s="172" customFormat="1" ht="117" customHeight="1" x14ac:dyDescent="0.3">
      <c r="A134" s="89">
        <v>7</v>
      </c>
      <c r="B134" s="165" t="s">
        <v>674</v>
      </c>
      <c r="C134" s="92" t="s">
        <v>686</v>
      </c>
      <c r="D134" s="167" t="s">
        <v>30</v>
      </c>
      <c r="E134" s="92" t="s">
        <v>214</v>
      </c>
      <c r="F134" s="92"/>
      <c r="G134" s="92">
        <v>22</v>
      </c>
      <c r="H134" s="92"/>
      <c r="I134" s="291">
        <f t="shared" si="11"/>
        <v>22</v>
      </c>
      <c r="J134" s="94" t="s">
        <v>583</v>
      </c>
      <c r="K134" s="89"/>
      <c r="L134" s="93"/>
      <c r="M134" s="181" t="s">
        <v>687</v>
      </c>
      <c r="N134" s="94"/>
      <c r="O134" s="166" t="s">
        <v>29</v>
      </c>
      <c r="P134" s="95"/>
      <c r="Q134" s="95">
        <v>20</v>
      </c>
      <c r="R134" s="95"/>
      <c r="S134" s="95"/>
      <c r="T134" s="95"/>
      <c r="U134" s="95"/>
      <c r="V134" s="95">
        <v>2</v>
      </c>
      <c r="W134" s="169">
        <f t="shared" si="7"/>
        <v>22</v>
      </c>
      <c r="X134" s="96">
        <v>85000</v>
      </c>
      <c r="Y134" s="97">
        <f>X134*Q134</f>
        <v>1700000</v>
      </c>
      <c r="Z134" s="247"/>
      <c r="AA134" s="94" t="s">
        <v>583</v>
      </c>
      <c r="AB134" s="95">
        <f t="shared" si="14"/>
        <v>20</v>
      </c>
      <c r="AC134" s="96">
        <f t="shared" ref="AC134:AC144" si="17">AB134*5000</f>
        <v>100000</v>
      </c>
      <c r="AD134" s="95"/>
    </row>
    <row r="135" spans="1:30" s="172" customFormat="1" ht="69" customHeight="1" x14ac:dyDescent="0.3">
      <c r="A135" s="89">
        <v>8</v>
      </c>
      <c r="B135" s="165" t="s">
        <v>674</v>
      </c>
      <c r="C135" s="92" t="s">
        <v>688</v>
      </c>
      <c r="D135" s="167" t="s">
        <v>30</v>
      </c>
      <c r="E135" s="92" t="s">
        <v>214</v>
      </c>
      <c r="F135" s="92"/>
      <c r="G135" s="92"/>
      <c r="H135" s="92">
        <v>1</v>
      </c>
      <c r="I135" s="291">
        <f t="shared" si="11"/>
        <v>1</v>
      </c>
      <c r="J135" s="236" t="s">
        <v>46</v>
      </c>
      <c r="K135" s="89"/>
      <c r="L135" s="93"/>
      <c r="M135" s="302" t="s">
        <v>45</v>
      </c>
      <c r="N135" s="94" t="s">
        <v>67</v>
      </c>
      <c r="O135" s="166" t="s">
        <v>39</v>
      </c>
      <c r="P135" s="95"/>
      <c r="Q135" s="95"/>
      <c r="R135" s="95"/>
      <c r="S135" s="95"/>
      <c r="T135" s="95">
        <v>1</v>
      </c>
      <c r="U135" s="95"/>
      <c r="V135" s="95"/>
      <c r="W135" s="169">
        <f t="shared" si="7"/>
        <v>1</v>
      </c>
      <c r="X135" s="96">
        <v>52000</v>
      </c>
      <c r="Y135" s="97">
        <f>X135*T135</f>
        <v>52000</v>
      </c>
      <c r="Z135" s="247"/>
      <c r="AA135" s="94" t="s">
        <v>583</v>
      </c>
      <c r="AB135" s="95">
        <f t="shared" si="14"/>
        <v>1</v>
      </c>
      <c r="AC135" s="96">
        <f t="shared" si="17"/>
        <v>5000</v>
      </c>
      <c r="AD135" s="95"/>
    </row>
    <row r="136" spans="1:30" s="172" customFormat="1" ht="69" customHeight="1" x14ac:dyDescent="0.3">
      <c r="A136" s="89">
        <v>9</v>
      </c>
      <c r="B136" s="165" t="s">
        <v>674</v>
      </c>
      <c r="C136" s="319" t="s">
        <v>691</v>
      </c>
      <c r="D136" s="167" t="s">
        <v>30</v>
      </c>
      <c r="E136" s="92" t="s">
        <v>214</v>
      </c>
      <c r="F136" s="92"/>
      <c r="G136" s="92"/>
      <c r="H136" s="92">
        <v>8</v>
      </c>
      <c r="I136" s="291">
        <f t="shared" si="11"/>
        <v>8</v>
      </c>
      <c r="J136" s="94" t="s">
        <v>583</v>
      </c>
      <c r="K136" s="89" t="s">
        <v>690</v>
      </c>
      <c r="L136" s="93" t="s">
        <v>482</v>
      </c>
      <c r="M136" s="302" t="s">
        <v>45</v>
      </c>
      <c r="N136" s="94" t="s">
        <v>689</v>
      </c>
      <c r="O136" s="166" t="s">
        <v>39</v>
      </c>
      <c r="P136" s="95"/>
      <c r="Q136" s="95"/>
      <c r="R136" s="95"/>
      <c r="S136" s="95"/>
      <c r="T136" s="95">
        <v>5</v>
      </c>
      <c r="U136" s="95"/>
      <c r="V136" s="95">
        <v>3</v>
      </c>
      <c r="W136" s="169">
        <f t="shared" si="7"/>
        <v>8</v>
      </c>
      <c r="X136" s="96" t="e">
        <f>SUMIFS('[1]Đơn giá'!C:C,'[1]Đơn giá'!B:B,[1]XUẤT!O136)</f>
        <v>#VALUE!</v>
      </c>
      <c r="Y136" s="97" t="e">
        <f>X136*T136</f>
        <v>#VALUE!</v>
      </c>
      <c r="Z136" s="247"/>
      <c r="AA136" s="241" t="s">
        <v>583</v>
      </c>
      <c r="AB136" s="95">
        <f t="shared" si="14"/>
        <v>5</v>
      </c>
      <c r="AC136" s="96">
        <f t="shared" si="17"/>
        <v>25000</v>
      </c>
      <c r="AD136" s="95"/>
    </row>
    <row r="137" spans="1:30" s="172" customFormat="1" ht="69" customHeight="1" x14ac:dyDescent="0.3">
      <c r="A137" s="302">
        <v>10</v>
      </c>
      <c r="B137" s="165" t="s">
        <v>674</v>
      </c>
      <c r="C137" s="315" t="s">
        <v>692</v>
      </c>
      <c r="D137" s="167" t="s">
        <v>30</v>
      </c>
      <c r="E137" s="92" t="s">
        <v>214</v>
      </c>
      <c r="F137" s="303"/>
      <c r="G137" s="303"/>
      <c r="H137" s="303">
        <v>2</v>
      </c>
      <c r="I137" s="291">
        <f t="shared" si="11"/>
        <v>2</v>
      </c>
      <c r="J137" s="302" t="s">
        <v>129</v>
      </c>
      <c r="K137" s="302"/>
      <c r="L137" s="304"/>
      <c r="M137" s="302" t="s">
        <v>45</v>
      </c>
      <c r="N137" s="94" t="s">
        <v>67</v>
      </c>
      <c r="O137" s="166" t="s">
        <v>39</v>
      </c>
      <c r="P137" s="306"/>
      <c r="Q137" s="306"/>
      <c r="R137" s="306"/>
      <c r="S137" s="306"/>
      <c r="T137" s="306">
        <v>2</v>
      </c>
      <c r="U137" s="306"/>
      <c r="V137" s="306"/>
      <c r="W137" s="307">
        <f t="shared" si="7"/>
        <v>2</v>
      </c>
      <c r="X137" s="308">
        <v>52000</v>
      </c>
      <c r="Y137" s="97">
        <f>X137*T137</f>
        <v>104000</v>
      </c>
      <c r="Z137" s="309"/>
      <c r="AA137" s="10" t="s">
        <v>129</v>
      </c>
      <c r="AB137" s="306">
        <f t="shared" si="14"/>
        <v>2</v>
      </c>
      <c r="AC137" s="310">
        <f t="shared" si="17"/>
        <v>10000</v>
      </c>
      <c r="AD137"/>
    </row>
    <row r="138" spans="1:30" s="172" customFormat="1" ht="69" customHeight="1" x14ac:dyDescent="0.3">
      <c r="A138" s="89">
        <v>11</v>
      </c>
      <c r="B138" s="165" t="s">
        <v>674</v>
      </c>
      <c r="C138" s="320" t="s">
        <v>693</v>
      </c>
      <c r="D138" s="167" t="s">
        <v>30</v>
      </c>
      <c r="E138" s="92" t="s">
        <v>533</v>
      </c>
      <c r="F138" s="92"/>
      <c r="G138" s="92">
        <v>11</v>
      </c>
      <c r="H138" s="92"/>
      <c r="I138" s="167">
        <f t="shared" si="11"/>
        <v>11</v>
      </c>
      <c r="J138" s="94" t="s">
        <v>583</v>
      </c>
      <c r="K138" s="89"/>
      <c r="L138" s="93"/>
      <c r="M138" s="302" t="s">
        <v>45</v>
      </c>
      <c r="N138" s="94" t="s">
        <v>694</v>
      </c>
      <c r="O138" s="166" t="s">
        <v>26</v>
      </c>
      <c r="P138" s="95">
        <v>10</v>
      </c>
      <c r="Q138" s="95"/>
      <c r="R138" s="95"/>
      <c r="S138" s="95"/>
      <c r="T138" s="95"/>
      <c r="U138" s="95"/>
      <c r="V138" s="95">
        <v>1</v>
      </c>
      <c r="W138" s="169">
        <f t="shared" ref="W138:W144" si="18">SUM(P138:V138)</f>
        <v>11</v>
      </c>
      <c r="X138" s="96" t="e">
        <f>SUMIFS('[1]Đơn giá'!C:C,'[1]Đơn giá'!B:B,[1]XUẤT!O138)</f>
        <v>#VALUE!</v>
      </c>
      <c r="Y138" s="97" t="e">
        <f t="shared" si="16"/>
        <v>#VALUE!</v>
      </c>
      <c r="Z138" s="247" t="s">
        <v>676</v>
      </c>
      <c r="AA138" s="241"/>
      <c r="AB138" s="95">
        <f t="shared" si="14"/>
        <v>10</v>
      </c>
      <c r="AC138" s="96">
        <f t="shared" si="17"/>
        <v>50000</v>
      </c>
      <c r="AD138" s="95"/>
    </row>
    <row r="139" spans="1:30" s="172" customFormat="1" ht="69" customHeight="1" x14ac:dyDescent="0.3">
      <c r="A139" s="89">
        <v>12</v>
      </c>
      <c r="B139" s="165" t="s">
        <v>674</v>
      </c>
      <c r="C139" s="320" t="s">
        <v>697</v>
      </c>
      <c r="D139" s="167" t="s">
        <v>30</v>
      </c>
      <c r="E139" s="92" t="s">
        <v>696</v>
      </c>
      <c r="F139" s="92"/>
      <c r="G139" s="92"/>
      <c r="H139" s="92">
        <v>3</v>
      </c>
      <c r="I139" s="167">
        <f t="shared" si="11"/>
        <v>3</v>
      </c>
      <c r="J139" s="94" t="s">
        <v>49</v>
      </c>
      <c r="K139" s="89"/>
      <c r="L139" s="93" t="s">
        <v>482</v>
      </c>
      <c r="M139" s="89" t="s">
        <v>45</v>
      </c>
      <c r="N139" s="94" t="s">
        <v>695</v>
      </c>
      <c r="O139" s="166" t="s">
        <v>39</v>
      </c>
      <c r="P139" s="95"/>
      <c r="Q139" s="95"/>
      <c r="R139" s="95"/>
      <c r="S139" s="95"/>
      <c r="T139" s="95">
        <v>3</v>
      </c>
      <c r="U139" s="95"/>
      <c r="V139" s="95"/>
      <c r="W139" s="169">
        <f t="shared" si="18"/>
        <v>3</v>
      </c>
      <c r="X139" s="96" t="e">
        <f>SUMIFS('[1]Đơn giá'!C:C,'[1]Đơn giá'!B:B,[1]XUẤT!O139)</f>
        <v>#VALUE!</v>
      </c>
      <c r="Y139" s="97" t="e">
        <f>X139*T139</f>
        <v>#VALUE!</v>
      </c>
      <c r="Z139" s="247" t="s">
        <v>682</v>
      </c>
      <c r="AA139" s="241" t="s">
        <v>583</v>
      </c>
      <c r="AB139" s="95">
        <f t="shared" si="14"/>
        <v>3</v>
      </c>
      <c r="AC139" s="96">
        <f t="shared" si="17"/>
        <v>15000</v>
      </c>
      <c r="AD139" s="95"/>
    </row>
    <row r="140" spans="1:30" s="172" customFormat="1" ht="69" customHeight="1" x14ac:dyDescent="0.3">
      <c r="A140" s="89">
        <v>13</v>
      </c>
      <c r="B140" s="165" t="s">
        <v>674</v>
      </c>
      <c r="C140" s="315" t="s">
        <v>698</v>
      </c>
      <c r="D140" s="167" t="s">
        <v>30</v>
      </c>
      <c r="E140" s="92" t="s">
        <v>533</v>
      </c>
      <c r="F140" s="92"/>
      <c r="G140" s="92">
        <v>11</v>
      </c>
      <c r="H140" s="92"/>
      <c r="I140" s="167">
        <f t="shared" si="11"/>
        <v>11</v>
      </c>
      <c r="J140" s="89" t="s">
        <v>583</v>
      </c>
      <c r="K140" s="89"/>
      <c r="L140" s="93"/>
      <c r="M140" s="89" t="s">
        <v>33</v>
      </c>
      <c r="N140" s="7" t="s">
        <v>37</v>
      </c>
      <c r="O140" s="166" t="s">
        <v>29</v>
      </c>
      <c r="P140" s="95"/>
      <c r="Q140" s="95">
        <v>10</v>
      </c>
      <c r="R140" s="95"/>
      <c r="S140" s="95"/>
      <c r="T140" s="95"/>
      <c r="U140" s="95"/>
      <c r="V140" s="95">
        <v>1</v>
      </c>
      <c r="W140" s="169">
        <f t="shared" si="18"/>
        <v>11</v>
      </c>
      <c r="X140" s="96" t="e">
        <f>SUMIFS('[1]Đơn giá'!C:C,'[1]Đơn giá'!B:B,[1]XUẤT!O140)</f>
        <v>#VALUE!</v>
      </c>
      <c r="Y140" s="97" t="e">
        <f>X140*Q140</f>
        <v>#VALUE!</v>
      </c>
      <c r="Z140" s="247"/>
      <c r="AA140" s="241"/>
      <c r="AB140" s="95">
        <f t="shared" si="14"/>
        <v>10</v>
      </c>
      <c r="AC140" s="96">
        <f t="shared" si="17"/>
        <v>50000</v>
      </c>
      <c r="AD140" s="95"/>
    </row>
    <row r="141" spans="1:30" s="172" customFormat="1" ht="69" customHeight="1" x14ac:dyDescent="0.3">
      <c r="A141" s="302"/>
      <c r="B141" s="165" t="s">
        <v>674</v>
      </c>
      <c r="C141" s="315" t="s">
        <v>701</v>
      </c>
      <c r="D141" s="167" t="s">
        <v>30</v>
      </c>
      <c r="E141" s="92" t="s">
        <v>533</v>
      </c>
      <c r="F141" s="303"/>
      <c r="G141" s="303">
        <v>1</v>
      </c>
      <c r="H141" s="303"/>
      <c r="I141" s="291">
        <f t="shared" si="11"/>
        <v>1</v>
      </c>
      <c r="J141" s="302" t="s">
        <v>702</v>
      </c>
      <c r="K141" s="302"/>
      <c r="L141" s="304" t="s">
        <v>482</v>
      </c>
      <c r="M141" s="302" t="s">
        <v>33</v>
      </c>
      <c r="N141" s="7" t="s">
        <v>98</v>
      </c>
      <c r="O141" s="166" t="s">
        <v>26</v>
      </c>
      <c r="P141" s="306">
        <v>1</v>
      </c>
      <c r="Q141" s="306"/>
      <c r="R141" s="306"/>
      <c r="S141" s="306"/>
      <c r="T141" s="306"/>
      <c r="U141" s="306"/>
      <c r="V141" s="306"/>
      <c r="W141" s="307">
        <f t="shared" si="18"/>
        <v>1</v>
      </c>
      <c r="X141" s="308">
        <v>98000</v>
      </c>
      <c r="Y141" s="97">
        <f>X141*P141</f>
        <v>98000</v>
      </c>
      <c r="Z141" s="309"/>
      <c r="AA141" s="10" t="s">
        <v>98</v>
      </c>
      <c r="AB141" s="306">
        <f t="shared" si="14"/>
        <v>1</v>
      </c>
      <c r="AC141" s="310">
        <f t="shared" si="17"/>
        <v>5000</v>
      </c>
      <c r="AD141"/>
    </row>
    <row r="142" spans="1:30" s="172" customFormat="1" ht="69" customHeight="1" x14ac:dyDescent="0.3">
      <c r="A142" s="89"/>
      <c r="B142" s="165" t="s">
        <v>674</v>
      </c>
      <c r="C142" s="321" t="s">
        <v>703</v>
      </c>
      <c r="D142" s="92" t="s">
        <v>679</v>
      </c>
      <c r="E142" s="92" t="s">
        <v>80</v>
      </c>
      <c r="F142" s="92"/>
      <c r="G142" s="92">
        <v>1</v>
      </c>
      <c r="H142" s="92"/>
      <c r="I142" s="167">
        <f t="shared" si="11"/>
        <v>1</v>
      </c>
      <c r="J142" s="89" t="s">
        <v>451</v>
      </c>
      <c r="K142" s="89"/>
      <c r="L142" s="93" t="s">
        <v>482</v>
      </c>
      <c r="M142" s="175" t="s">
        <v>33</v>
      </c>
      <c r="N142" s="7" t="s">
        <v>127</v>
      </c>
      <c r="O142" s="166" t="s">
        <v>26</v>
      </c>
      <c r="P142" s="95">
        <v>1</v>
      </c>
      <c r="Q142" s="95"/>
      <c r="R142" s="95"/>
      <c r="S142" s="95"/>
      <c r="T142" s="95"/>
      <c r="U142" s="95"/>
      <c r="V142" s="95"/>
      <c r="W142" s="169">
        <f t="shared" si="18"/>
        <v>1</v>
      </c>
      <c r="X142" s="96" t="e">
        <f>SUMIFS('[1]Đơn giá'!C:C,'[1]Đơn giá'!B:B,[1]XUẤT!O142)</f>
        <v>#VALUE!</v>
      </c>
      <c r="Y142" s="97" t="e">
        <f t="shared" ref="Y142:Y144" si="19">X142*P142</f>
        <v>#VALUE!</v>
      </c>
      <c r="Z142" s="247"/>
      <c r="AA142" s="10" t="s">
        <v>127</v>
      </c>
      <c r="AB142" s="95">
        <f t="shared" si="14"/>
        <v>1</v>
      </c>
      <c r="AC142" s="96">
        <f t="shared" si="17"/>
        <v>5000</v>
      </c>
      <c r="AD142" s="95"/>
    </row>
    <row r="143" spans="1:30" s="79" customFormat="1" ht="63" customHeight="1" x14ac:dyDescent="0.3">
      <c r="A143" s="89"/>
      <c r="B143" s="165" t="s">
        <v>674</v>
      </c>
      <c r="C143" s="315" t="s">
        <v>708</v>
      </c>
      <c r="D143" s="92" t="s">
        <v>679</v>
      </c>
      <c r="E143" s="92" t="s">
        <v>214</v>
      </c>
      <c r="F143" s="92"/>
      <c r="G143" s="92">
        <v>1</v>
      </c>
      <c r="H143" s="92"/>
      <c r="I143" s="167">
        <f t="shared" si="11"/>
        <v>1</v>
      </c>
      <c r="J143" s="89" t="s">
        <v>578</v>
      </c>
      <c r="K143" s="89"/>
      <c r="L143" s="93" t="s">
        <v>482</v>
      </c>
      <c r="M143" s="175" t="s">
        <v>33</v>
      </c>
      <c r="N143" s="94"/>
      <c r="O143" s="166" t="s">
        <v>26</v>
      </c>
      <c r="P143" s="95"/>
      <c r="Q143" s="95"/>
      <c r="R143" s="95"/>
      <c r="S143" s="95"/>
      <c r="T143" s="95"/>
      <c r="U143" s="95"/>
      <c r="V143" s="95">
        <v>1</v>
      </c>
      <c r="W143" s="169">
        <f t="shared" si="18"/>
        <v>1</v>
      </c>
      <c r="X143" s="96" t="e">
        <f>SUMIFS('[1]Đơn giá'!C:C,'[1]Đơn giá'!B:B,[1]XUẤT!O143)</f>
        <v>#VALUE!</v>
      </c>
      <c r="Y143" s="97" t="e">
        <f t="shared" si="19"/>
        <v>#VALUE!</v>
      </c>
      <c r="Z143" s="247"/>
      <c r="AA143" s="241"/>
      <c r="AB143" s="95">
        <f t="shared" si="14"/>
        <v>0</v>
      </c>
      <c r="AC143" s="96">
        <f t="shared" si="17"/>
        <v>0</v>
      </c>
      <c r="AD143" s="95"/>
    </row>
    <row r="144" spans="1:30" s="79" customFormat="1" ht="86.4" customHeight="1" x14ac:dyDescent="0.3">
      <c r="A144" s="89"/>
      <c r="B144" s="90" t="s">
        <v>716</v>
      </c>
      <c r="C144" s="321" t="s">
        <v>699</v>
      </c>
      <c r="D144" s="92" t="s">
        <v>679</v>
      </c>
      <c r="E144" s="92" t="s">
        <v>214</v>
      </c>
      <c r="F144" s="92"/>
      <c r="G144" s="92">
        <v>11</v>
      </c>
      <c r="H144" s="92"/>
      <c r="I144" s="167">
        <f t="shared" si="11"/>
        <v>11</v>
      </c>
      <c r="J144" s="89" t="s">
        <v>634</v>
      </c>
      <c r="K144" s="89"/>
      <c r="L144" s="93"/>
      <c r="M144" s="175" t="s">
        <v>33</v>
      </c>
      <c r="N144" s="10" t="s">
        <v>97</v>
      </c>
      <c r="O144" s="166" t="s">
        <v>26</v>
      </c>
      <c r="P144" s="95">
        <v>10</v>
      </c>
      <c r="Q144" s="95"/>
      <c r="R144" s="95"/>
      <c r="S144" s="95"/>
      <c r="T144" s="95"/>
      <c r="U144" s="95"/>
      <c r="V144" s="95">
        <v>1</v>
      </c>
      <c r="W144" s="169">
        <f t="shared" si="18"/>
        <v>11</v>
      </c>
      <c r="X144" s="96" t="e">
        <f>SUMIFS('[1]Đơn giá'!C:C,'[1]Đơn giá'!B:B,[1]XUẤT!O145)</f>
        <v>#VALUE!</v>
      </c>
      <c r="Y144" s="97" t="e">
        <f t="shared" si="19"/>
        <v>#VALUE!</v>
      </c>
      <c r="Z144" s="247"/>
      <c r="AA144" s="241" t="s">
        <v>583</v>
      </c>
      <c r="AB144" s="95">
        <f t="shared" si="14"/>
        <v>10</v>
      </c>
      <c r="AC144" s="96">
        <f t="shared" si="17"/>
        <v>50000</v>
      </c>
      <c r="AD144" s="95"/>
    </row>
    <row r="145" spans="1:30" x14ac:dyDescent="0.3">
      <c r="A145" s="89"/>
      <c r="B145" s="90"/>
      <c r="C145" s="79"/>
      <c r="D145" s="92"/>
      <c r="E145" s="92"/>
      <c r="F145" s="92"/>
      <c r="G145" s="92"/>
      <c r="H145" s="92"/>
      <c r="I145" s="167">
        <f t="shared" ref="I145:I148" si="20">H145+G145</f>
        <v>0</v>
      </c>
      <c r="J145" s="89"/>
      <c r="K145" s="89"/>
      <c r="L145" s="89"/>
      <c r="M145" s="89"/>
      <c r="N145" s="94"/>
      <c r="O145" s="95"/>
      <c r="P145" s="95"/>
      <c r="Q145" s="95"/>
      <c r="R145" s="95"/>
      <c r="S145" s="95"/>
      <c r="T145" s="95"/>
      <c r="U145" s="95"/>
      <c r="V145" s="95"/>
      <c r="W145" s="169">
        <f t="shared" ref="W145:W147" si="21">SUM(P145:V145)</f>
        <v>0</v>
      </c>
      <c r="X145" s="96">
        <f>SUMIFS('Đơn giá'!C:C,'Đơn giá'!B:B,XUẤT!O145)</f>
        <v>0</v>
      </c>
      <c r="Y145" s="97">
        <f t="shared" ref="Y145:Y148" si="22">X145*P145</f>
        <v>0</v>
      </c>
      <c r="Z145" s="247"/>
      <c r="AA145" s="89"/>
      <c r="AB145" s="95">
        <f t="shared" ref="AB145:AB148" si="23">W145-V145</f>
        <v>0</v>
      </c>
      <c r="AC145" s="96">
        <f t="shared" ref="AC145:AC148" si="24">AB145*5000</f>
        <v>0</v>
      </c>
      <c r="AD145" s="95"/>
    </row>
    <row r="146" spans="1:30" x14ac:dyDescent="0.3">
      <c r="A146" s="89"/>
      <c r="B146" s="90"/>
      <c r="C146" s="91"/>
      <c r="D146" s="92"/>
      <c r="E146" s="92"/>
      <c r="F146" s="92"/>
      <c r="G146" s="92"/>
      <c r="H146" s="92"/>
      <c r="I146" s="167">
        <f t="shared" si="20"/>
        <v>0</v>
      </c>
      <c r="J146" s="89"/>
      <c r="K146" s="89"/>
      <c r="L146" s="89"/>
      <c r="M146" s="89"/>
      <c r="N146" s="94"/>
      <c r="O146" s="95"/>
      <c r="P146" s="95"/>
      <c r="Q146" s="95"/>
      <c r="R146" s="95"/>
      <c r="S146" s="95"/>
      <c r="T146" s="95"/>
      <c r="U146" s="95"/>
      <c r="V146" s="95"/>
      <c r="W146" s="169">
        <f t="shared" si="21"/>
        <v>0</v>
      </c>
      <c r="X146" s="96">
        <f>SUMIFS('Đơn giá'!C:C,'Đơn giá'!B:B,XUẤT!O146)</f>
        <v>0</v>
      </c>
      <c r="Y146" s="97">
        <f t="shared" si="22"/>
        <v>0</v>
      </c>
      <c r="Z146" s="247"/>
      <c r="AA146" s="89"/>
      <c r="AB146" s="95">
        <f t="shared" si="23"/>
        <v>0</v>
      </c>
      <c r="AC146" s="96">
        <f t="shared" si="24"/>
        <v>0</v>
      </c>
      <c r="AD146" s="95"/>
    </row>
    <row r="147" spans="1:30" x14ac:dyDescent="0.3">
      <c r="A147" s="109"/>
      <c r="B147" s="90"/>
      <c r="C147" s="111"/>
      <c r="D147" s="109"/>
      <c r="E147" s="109"/>
      <c r="F147" s="109"/>
      <c r="G147" s="109"/>
      <c r="H147" s="109"/>
      <c r="I147" s="167">
        <f t="shared" si="20"/>
        <v>0</v>
      </c>
      <c r="J147" s="109"/>
      <c r="K147" s="109"/>
      <c r="L147" s="95"/>
      <c r="M147" s="89"/>
      <c r="N147" s="163"/>
      <c r="O147" s="95"/>
      <c r="P147" s="95"/>
      <c r="Q147" s="95"/>
      <c r="R147" s="95"/>
      <c r="S147" s="95"/>
      <c r="T147" s="95"/>
      <c r="U147" s="95"/>
      <c r="V147" s="95"/>
      <c r="W147" s="169">
        <f t="shared" si="21"/>
        <v>0</v>
      </c>
      <c r="X147" s="96">
        <f>SUMIFS('Đơn giá'!C:C,'Đơn giá'!B:B,XUẤT!O147)</f>
        <v>0</v>
      </c>
      <c r="Y147" s="97">
        <f t="shared" si="22"/>
        <v>0</v>
      </c>
      <c r="Z147" s="247"/>
      <c r="AA147" s="89"/>
      <c r="AB147" s="95">
        <f t="shared" si="23"/>
        <v>0</v>
      </c>
      <c r="AC147" s="96">
        <f t="shared" si="24"/>
        <v>0</v>
      </c>
      <c r="AD147" s="95"/>
    </row>
    <row r="148" spans="1:30" x14ac:dyDescent="0.3">
      <c r="A148" s="109"/>
      <c r="B148" s="90"/>
      <c r="C148" s="111"/>
      <c r="D148" s="109"/>
      <c r="E148" s="109"/>
      <c r="F148" s="109"/>
      <c r="G148" s="109"/>
      <c r="H148" s="109"/>
      <c r="I148" s="167">
        <f t="shared" si="20"/>
        <v>0</v>
      </c>
      <c r="J148" s="109"/>
      <c r="K148" s="109"/>
      <c r="L148" s="95"/>
      <c r="M148" s="89"/>
      <c r="N148" s="163"/>
      <c r="O148" s="95"/>
      <c r="P148" s="95"/>
      <c r="Q148" s="95"/>
      <c r="R148" s="95"/>
      <c r="S148" s="95"/>
      <c r="T148" s="95"/>
      <c r="U148" s="95"/>
      <c r="V148" s="95"/>
      <c r="W148" s="95">
        <f t="shared" ref="W148" si="25">SUM(P148:V148)</f>
        <v>0</v>
      </c>
      <c r="X148" s="96">
        <f>SUMIFS('Đơn giá'!C:C,'Đơn giá'!B:B,XUẤT!O148)</f>
        <v>0</v>
      </c>
      <c r="Y148" s="97">
        <f t="shared" si="22"/>
        <v>0</v>
      </c>
      <c r="Z148" s="247"/>
      <c r="AA148" s="89"/>
      <c r="AB148" s="95">
        <f t="shared" si="23"/>
        <v>0</v>
      </c>
      <c r="AC148" s="96">
        <f t="shared" si="24"/>
        <v>0</v>
      </c>
      <c r="AD148" s="95"/>
    </row>
    <row r="149" spans="1:30" s="116" customFormat="1" x14ac:dyDescent="0.3">
      <c r="A149" s="106"/>
      <c r="B149" s="106"/>
      <c r="C149" s="107" t="s">
        <v>23</v>
      </c>
      <c r="D149" s="107"/>
      <c r="E149" s="107"/>
      <c r="F149" s="107"/>
      <c r="G149" s="107">
        <f>SUM(G6:G148)</f>
        <v>971</v>
      </c>
      <c r="H149" s="107">
        <f>SUM(H6:H148)</f>
        <v>260</v>
      </c>
      <c r="I149" s="107">
        <f>SUM(I6:I148)</f>
        <v>1251</v>
      </c>
      <c r="J149" s="106"/>
      <c r="K149" s="106"/>
      <c r="L149" s="113"/>
      <c r="M149" s="106"/>
      <c r="N149" s="162"/>
      <c r="O149" s="95"/>
      <c r="P149" s="113">
        <f>SUM(P6:P148)</f>
        <v>727</v>
      </c>
      <c r="Q149" s="113">
        <f>SUM(Q6:Q148)</f>
        <v>183</v>
      </c>
      <c r="R149" s="113">
        <f>SUM(R6:R148)</f>
        <v>10</v>
      </c>
      <c r="S149" s="113">
        <f>SUM(S6:S148)</f>
        <v>8</v>
      </c>
      <c r="T149" s="113">
        <f>SUM(T6:T148)</f>
        <v>146</v>
      </c>
      <c r="U149" s="113">
        <f>SUM(U6:U148)</f>
        <v>59</v>
      </c>
      <c r="V149" s="113">
        <f>SUM(V6:V148)</f>
        <v>81</v>
      </c>
      <c r="W149" s="113">
        <f>SUM(W6:W148)</f>
        <v>1214</v>
      </c>
      <c r="X149" s="114"/>
      <c r="Y149" s="115" t="e">
        <f>SUM(Y6:Y148)</f>
        <v>#VALUE!</v>
      </c>
      <c r="Z149" s="254"/>
      <c r="AA149" s="106"/>
      <c r="AB149" s="106"/>
      <c r="AC149" s="114">
        <f>SUM(AC6:AC148)</f>
        <v>5665000</v>
      </c>
      <c r="AD149" s="113"/>
    </row>
    <row r="152" spans="1:30" x14ac:dyDescent="0.3">
      <c r="O152" s="98" t="s">
        <v>80</v>
      </c>
      <c r="P152" s="98">
        <f>SUMIF($E$6:$E$144,"Văn phòng",P6:P144)</f>
        <v>70</v>
      </c>
      <c r="Q152" s="98">
        <f>SUMIF($E$6:$E$144,"Văn phòng",Q6:Q144)</f>
        <v>0</v>
      </c>
      <c r="R152" s="98">
        <f>SUMIF($E$6:$E$144,"Văn phòng",R6:R144)</f>
        <v>0</v>
      </c>
      <c r="S152" s="98">
        <f>SUMIF($E$6:$E$144,"Văn phòng",S6:S144)</f>
        <v>5</v>
      </c>
      <c r="T152" s="98">
        <f>SUMIF($E$6:$E$144,"Văn phòng",T6:T144)</f>
        <v>14</v>
      </c>
      <c r="U152" s="98">
        <f>SUMIF($E$6:$E$144,"Văn phòng",U6:U144)</f>
        <v>0</v>
      </c>
      <c r="V152" s="98">
        <f>SUMIF($E$6:$E$144,"Văn phòng",V6:V144)</f>
        <v>5</v>
      </c>
    </row>
    <row r="153" spans="1:30" x14ac:dyDescent="0.3">
      <c r="O153" s="98" t="s">
        <v>709</v>
      </c>
      <c r="P153" s="98">
        <f>SUMIF($E$6:$E$144,"Kho Hà lầm",P6:P144)</f>
        <v>0</v>
      </c>
      <c r="Q153" s="98">
        <f>SUMIF($E$6:$E$144,"Kho Hà lầm",Q6:Q144)</f>
        <v>0</v>
      </c>
      <c r="R153" s="98">
        <f>SUMIF($E$6:$E$144,"Kho Hà lầm",R6:R144)</f>
        <v>0</v>
      </c>
      <c r="S153" s="98">
        <f>SUMIF($E$6:$E$144,"Kho Hà lầm",S6:S144)</f>
        <v>0</v>
      </c>
      <c r="T153" s="98">
        <f>SUMIF($E$6:$E$144,"Kho Hà lầm",T6:T144)</f>
        <v>0</v>
      </c>
      <c r="U153" s="98">
        <f>SUMIF($E$6:$E$144,"Kho Hà lầm",U6:U144)</f>
        <v>0</v>
      </c>
      <c r="V153" s="98">
        <f>SUMIF($E$6:$E$144,"Kho Hà lầm",V6:V144)</f>
        <v>0</v>
      </c>
    </row>
    <row r="154" spans="1:30" x14ac:dyDescent="0.3">
      <c r="O154" s="98" t="s">
        <v>533</v>
      </c>
      <c r="P154" s="98">
        <f>SUMIF($E$6:$E$144,"Tăng áp",P6:P144)</f>
        <v>302</v>
      </c>
      <c r="Q154" s="98">
        <f>SUMIF($E$6:$E$144,"Tăng áp",Q6:Q144)</f>
        <v>83</v>
      </c>
      <c r="R154" s="98">
        <f>SUMIF($E$6:$E$144,"Tăng áp",R6:R144)</f>
        <v>0</v>
      </c>
      <c r="S154" s="98">
        <f>SUMIF($E$6:$E$144,"Tăng áp",S6:S144)</f>
        <v>0</v>
      </c>
      <c r="T154" s="98">
        <f>SUMIF($E$6:$E$144,"Tăng áp",T6:T144)</f>
        <v>81</v>
      </c>
      <c r="U154" s="98">
        <f>SUMIF($E$6:$E$144,"Tăng áp",U6:U144)</f>
        <v>4</v>
      </c>
      <c r="V154" s="98">
        <f>SUMIF($E$6:$E$144,"Tăng áp",V6:V144)</f>
        <v>32</v>
      </c>
    </row>
    <row r="155" spans="1:30" x14ac:dyDescent="0.3">
      <c r="O155" s="98" t="s">
        <v>710</v>
      </c>
      <c r="P155" s="98">
        <f>SUMIF($E$6:$E$144,"xe điện",P6:P144)</f>
        <v>82</v>
      </c>
      <c r="Q155" s="98">
        <f>SUMIF($E$6:$E$144,"xe điện",Q6:Q144)</f>
        <v>0</v>
      </c>
      <c r="R155" s="98">
        <f>SUMIF($E$6:$E$144,"xe điện",R6:R144)</f>
        <v>0</v>
      </c>
      <c r="S155" s="98">
        <f>SUMIF($E$6:$E$144,"xe điện",S6:S144)</f>
        <v>0</v>
      </c>
      <c r="T155" s="98">
        <f>SUMIF($E$6:$E$144,"xe điện",T6:T144)</f>
        <v>0</v>
      </c>
      <c r="U155" s="98">
        <f>SUMIF($E$6:$E$144,"xe điện",U6:U144)</f>
        <v>0</v>
      </c>
      <c r="V155" s="98">
        <f>SUMIF($E$6:$E$144,"xe điện",V6:V144)</f>
        <v>8</v>
      </c>
    </row>
    <row r="156" spans="1:30" x14ac:dyDescent="0.3">
      <c r="O156" s="98" t="s">
        <v>712</v>
      </c>
      <c r="P156" s="98">
        <f>SUMIF($E$6:$E$144,"vay quảng yên",P6:P144)</f>
        <v>10</v>
      </c>
      <c r="Q156" s="98">
        <f>SUMIF($E$6:$E$144,"vay quảng yên",Q6:Q144)</f>
        <v>0</v>
      </c>
      <c r="R156" s="98">
        <f>SUMIF($E$6:$E$144,"vay quảng yên",R6:R144)</f>
        <v>0</v>
      </c>
      <c r="S156" s="98">
        <f>SUMIF($E$6:$E$144,"vay quảng yên",S6:S144)</f>
        <v>0</v>
      </c>
      <c r="T156" s="98">
        <f>SUMIF($E$6:$E$144,"vay quảng yên",T6:T144)</f>
        <v>0</v>
      </c>
      <c r="U156" s="98">
        <f>SUMIF($E$6:$E$144,"vay quảng yên",U6:U144)</f>
        <v>0</v>
      </c>
      <c r="V156" s="98">
        <f>SUMIF($E$6:$E$144,"vay quảng yên",V6:V144)</f>
        <v>1</v>
      </c>
    </row>
    <row r="157" spans="1:30" x14ac:dyDescent="0.3">
      <c r="O157" s="98" t="s">
        <v>711</v>
      </c>
      <c r="P157" s="98">
        <f>SUMIF($E$6:$E$144,"vay cẩm phả",P6:P144)</f>
        <v>10</v>
      </c>
      <c r="Q157" s="98">
        <f>SUMIF($E$6:$E$144,"vay cẩm phả",Q6:Q144)</f>
        <v>0</v>
      </c>
      <c r="R157" s="98">
        <f>SUMIF($E$6:$E$144,"vay cẩm phả",R6:R144)</f>
        <v>0</v>
      </c>
      <c r="S157" s="98">
        <f>SUMIF($E$6:$E$144,"vay cẩm phả",S6:S144)</f>
        <v>3</v>
      </c>
      <c r="T157" s="98">
        <f>SUMIF($E$6:$E$144,"vay cẩm phả",T6:T144)</f>
        <v>6</v>
      </c>
      <c r="U157" s="98">
        <f>SUMIF($E$6:$E$144,"vay cẩm phả",U6:U144)</f>
        <v>11</v>
      </c>
      <c r="V157" s="98">
        <f>SUMIF($E$6:$E$144,"vay cẩm phả",V6:V144)</f>
        <v>1</v>
      </c>
    </row>
    <row r="158" spans="1:30" x14ac:dyDescent="0.3">
      <c r="P158" s="98">
        <f>SUM(P152:P152:P157)</f>
        <v>474</v>
      </c>
      <c r="Q158" s="98">
        <f>SUM(Q152:Q152:Q157)</f>
        <v>83</v>
      </c>
      <c r="R158" s="98">
        <f>SUM(R152:R152:R157)</f>
        <v>0</v>
      </c>
      <c r="S158" s="98">
        <f>SUM(S152:S152:S157)</f>
        <v>8</v>
      </c>
      <c r="T158" s="98">
        <f>SUM(T152:T152:T157)</f>
        <v>101</v>
      </c>
      <c r="U158" s="98">
        <f>SUM(U152:U152:U157)</f>
        <v>15</v>
      </c>
      <c r="V158" s="98">
        <f>SUM(V152:V152:V157)</f>
        <v>47</v>
      </c>
      <c r="W158" s="98">
        <f>SUM(P158:V158)</f>
        <v>728</v>
      </c>
    </row>
  </sheetData>
  <autoFilter ref="A3:AE149" xr:uid="{00000000-0001-0000-0000-000000000000}">
    <filterColumn colId="5" showButton="0"/>
    <filterColumn colId="6" showButton="0"/>
    <filterColumn colId="7" showButton="0"/>
    <filterColumn colId="15" showButton="0"/>
    <filterColumn colId="16" showButton="0"/>
    <filterColumn colId="17" showButton="0"/>
    <filterColumn colId="18" showButton="0"/>
    <filterColumn colId="19" showButton="0"/>
    <filterColumn colId="20" showButton="0"/>
    <filterColumn colId="21" showButton="0"/>
  </autoFilter>
  <mergeCells count="45">
    <mergeCell ref="D101:D102"/>
    <mergeCell ref="A114:A116"/>
    <mergeCell ref="B114:B116"/>
    <mergeCell ref="C114:C116"/>
    <mergeCell ref="D114:D116"/>
    <mergeCell ref="A92:A93"/>
    <mergeCell ref="B92:B93"/>
    <mergeCell ref="C92:C93"/>
    <mergeCell ref="B101:B102"/>
    <mergeCell ref="C101:C102"/>
    <mergeCell ref="A88:A89"/>
    <mergeCell ref="B88:B89"/>
    <mergeCell ref="C88:C89"/>
    <mergeCell ref="A90:A91"/>
    <mergeCell ref="B90:B91"/>
    <mergeCell ref="C90:C91"/>
    <mergeCell ref="A82:A83"/>
    <mergeCell ref="B82:B83"/>
    <mergeCell ref="C82:C83"/>
    <mergeCell ref="D82:D83"/>
    <mergeCell ref="B39:B40"/>
    <mergeCell ref="C39:C40"/>
    <mergeCell ref="N39:N40"/>
    <mergeCell ref="A47:A48"/>
    <mergeCell ref="B47:B48"/>
    <mergeCell ref="C47:C48"/>
    <mergeCell ref="D47:D48"/>
    <mergeCell ref="A29:A30"/>
    <mergeCell ref="B29:B30"/>
    <mergeCell ref="C29:C30"/>
    <mergeCell ref="D29:D30"/>
    <mergeCell ref="L29:L30"/>
    <mergeCell ref="B55:B56"/>
    <mergeCell ref="C55:C56"/>
    <mergeCell ref="A55:A56"/>
    <mergeCell ref="C3:C4"/>
    <mergeCell ref="D3:D4"/>
    <mergeCell ref="E3:E4"/>
    <mergeCell ref="F3:I3"/>
    <mergeCell ref="P3:W3"/>
    <mergeCell ref="L3:L4"/>
    <mergeCell ref="J3:J4"/>
    <mergeCell ref="K3:K4"/>
    <mergeCell ref="A3:A4"/>
    <mergeCell ref="B3:B4"/>
  </mergeCells>
  <conditionalFormatting sqref="N145:N146">
    <cfRule type="duplicateValues" dxfId="295" priority="419"/>
  </conditionalFormatting>
  <conditionalFormatting sqref="C49">
    <cfRule type="duplicateValues" dxfId="208" priority="144"/>
  </conditionalFormatting>
  <conditionalFormatting sqref="C50:C52">
    <cfRule type="duplicateValues" dxfId="207" priority="143"/>
  </conditionalFormatting>
  <conditionalFormatting sqref="J37">
    <cfRule type="duplicateValues" dxfId="206" priority="172"/>
  </conditionalFormatting>
  <conditionalFormatting sqref="J41">
    <cfRule type="duplicateValues" dxfId="205" priority="166"/>
  </conditionalFormatting>
  <conditionalFormatting sqref="J42">
    <cfRule type="duplicateValues" dxfId="204" priority="160"/>
  </conditionalFormatting>
  <conditionalFormatting sqref="J43">
    <cfRule type="duplicateValues" dxfId="203" priority="156"/>
  </conditionalFormatting>
  <conditionalFormatting sqref="J45:J46">
    <cfRule type="duplicateValues" dxfId="202" priority="153"/>
  </conditionalFormatting>
  <conditionalFormatting sqref="J47">
    <cfRule type="duplicateValues" dxfId="201" priority="149"/>
  </conditionalFormatting>
  <conditionalFormatting sqref="J48:J49">
    <cfRule type="duplicateValues" dxfId="200" priority="148"/>
  </conditionalFormatting>
  <conditionalFormatting sqref="J51">
    <cfRule type="duplicateValues" dxfId="199" priority="140"/>
  </conditionalFormatting>
  <conditionalFormatting sqref="J52">
    <cfRule type="duplicateValues" dxfId="198" priority="136"/>
  </conditionalFormatting>
  <conditionalFormatting sqref="J57">
    <cfRule type="duplicateValues" dxfId="197" priority="130"/>
  </conditionalFormatting>
  <conditionalFormatting sqref="J58">
    <cfRule type="duplicateValues" dxfId="196" priority="127"/>
  </conditionalFormatting>
  <conditionalFormatting sqref="J61">
    <cfRule type="duplicateValues" dxfId="195" priority="124"/>
  </conditionalFormatting>
  <conditionalFormatting sqref="J62">
    <cfRule type="duplicateValues" dxfId="194" priority="123"/>
  </conditionalFormatting>
  <conditionalFormatting sqref="J64">
    <cfRule type="duplicateValues" dxfId="193" priority="119"/>
  </conditionalFormatting>
  <conditionalFormatting sqref="J66">
    <cfRule type="duplicateValues" dxfId="192" priority="115"/>
  </conditionalFormatting>
  <conditionalFormatting sqref="J67">
    <cfRule type="duplicateValues" dxfId="191" priority="107"/>
  </conditionalFormatting>
  <conditionalFormatting sqref="J68">
    <cfRule type="duplicateValues" dxfId="190" priority="112"/>
  </conditionalFormatting>
  <conditionalFormatting sqref="J69:J74">
    <cfRule type="duplicateValues" dxfId="189" priority="111"/>
  </conditionalFormatting>
  <conditionalFormatting sqref="J78">
    <cfRule type="duplicateValues" dxfId="188" priority="101"/>
  </conditionalFormatting>
  <conditionalFormatting sqref="J96">
    <cfRule type="duplicateValues" dxfId="187" priority="84"/>
  </conditionalFormatting>
  <conditionalFormatting sqref="J110:J113">
    <cfRule type="duplicateValues" dxfId="186" priority="66"/>
  </conditionalFormatting>
  <conditionalFormatting sqref="J123">
    <cfRule type="duplicateValues" dxfId="185" priority="23"/>
  </conditionalFormatting>
  <conditionalFormatting sqref="J125">
    <cfRule type="duplicateValues" dxfId="184" priority="20"/>
  </conditionalFormatting>
  <conditionalFormatting sqref="J126">
    <cfRule type="duplicateValues" dxfId="183" priority="17"/>
  </conditionalFormatting>
  <conditionalFormatting sqref="J127">
    <cfRule type="duplicateValues" dxfId="182" priority="14"/>
  </conditionalFormatting>
  <conditionalFormatting sqref="J135">
    <cfRule type="duplicateValues" dxfId="181" priority="8"/>
  </conditionalFormatting>
  <conditionalFormatting sqref="N6">
    <cfRule type="duplicateValues" dxfId="180" priority="192"/>
  </conditionalFormatting>
  <conditionalFormatting sqref="N7">
    <cfRule type="duplicateValues" dxfId="179" priority="191"/>
  </conditionalFormatting>
  <conditionalFormatting sqref="N9">
    <cfRule type="duplicateValues" dxfId="178" priority="187"/>
  </conditionalFormatting>
  <conditionalFormatting sqref="N10">
    <cfRule type="duplicateValues" dxfId="177" priority="186"/>
  </conditionalFormatting>
  <conditionalFormatting sqref="N15">
    <cfRule type="duplicateValues" dxfId="176" priority="184"/>
  </conditionalFormatting>
  <conditionalFormatting sqref="N16">
    <cfRule type="duplicateValues" dxfId="175" priority="183"/>
  </conditionalFormatting>
  <conditionalFormatting sqref="N17">
    <cfRule type="duplicateValues" dxfId="174" priority="194"/>
  </conditionalFormatting>
  <conditionalFormatting sqref="N18:N19">
    <cfRule type="duplicateValues" dxfId="173" priority="185"/>
  </conditionalFormatting>
  <conditionalFormatting sqref="N20">
    <cfRule type="duplicateValues" dxfId="172" priority="193"/>
  </conditionalFormatting>
  <conditionalFormatting sqref="N21">
    <cfRule type="duplicateValues" dxfId="171" priority="189"/>
  </conditionalFormatting>
  <conditionalFormatting sqref="N22">
    <cfRule type="duplicateValues" dxfId="170" priority="190"/>
  </conditionalFormatting>
  <conditionalFormatting sqref="N24">
    <cfRule type="duplicateValues" dxfId="169" priority="188"/>
  </conditionalFormatting>
  <conditionalFormatting sqref="N26">
    <cfRule type="duplicateValues" dxfId="168" priority="182"/>
  </conditionalFormatting>
  <conditionalFormatting sqref="N27">
    <cfRule type="duplicateValues" dxfId="167" priority="180"/>
  </conditionalFormatting>
  <conditionalFormatting sqref="N28">
    <cfRule type="duplicateValues" dxfId="166" priority="178"/>
  </conditionalFormatting>
  <conditionalFormatting sqref="N29:N30">
    <cfRule type="duplicateValues" dxfId="165" priority="177"/>
  </conditionalFormatting>
  <conditionalFormatting sqref="N31">
    <cfRule type="duplicateValues" dxfId="164" priority="176"/>
  </conditionalFormatting>
  <conditionalFormatting sqref="N33">
    <cfRule type="duplicateValues" dxfId="163" priority="173"/>
  </conditionalFormatting>
  <conditionalFormatting sqref="N37">
    <cfRule type="duplicateValues" dxfId="162" priority="171"/>
  </conditionalFormatting>
  <conditionalFormatting sqref="N38">
    <cfRule type="duplicateValues" dxfId="161" priority="169"/>
  </conditionalFormatting>
  <conditionalFormatting sqref="N41">
    <cfRule type="duplicateValues" dxfId="160" priority="165"/>
  </conditionalFormatting>
  <conditionalFormatting sqref="N42">
    <cfRule type="duplicateValues" dxfId="159" priority="159"/>
  </conditionalFormatting>
  <conditionalFormatting sqref="N43">
    <cfRule type="duplicateValues" dxfId="158" priority="155"/>
  </conditionalFormatting>
  <conditionalFormatting sqref="N44">
    <cfRule type="duplicateValues" dxfId="157" priority="157"/>
  </conditionalFormatting>
  <conditionalFormatting sqref="N46">
    <cfRule type="duplicateValues" dxfId="156" priority="151"/>
  </conditionalFormatting>
  <conditionalFormatting sqref="N50">
    <cfRule type="duplicateValues" dxfId="155" priority="142"/>
  </conditionalFormatting>
  <conditionalFormatting sqref="N51">
    <cfRule type="duplicateValues" dxfId="154" priority="139"/>
  </conditionalFormatting>
  <conditionalFormatting sqref="N52">
    <cfRule type="duplicateValues" dxfId="153" priority="135"/>
  </conditionalFormatting>
  <conditionalFormatting sqref="N53">
    <cfRule type="duplicateValues" dxfId="152" priority="27"/>
  </conditionalFormatting>
  <conditionalFormatting sqref="N54">
    <cfRule type="duplicateValues" dxfId="151" priority="24"/>
  </conditionalFormatting>
  <conditionalFormatting sqref="N55:N56">
    <cfRule type="duplicateValues" dxfId="150" priority="133"/>
  </conditionalFormatting>
  <conditionalFormatting sqref="N57">
    <cfRule type="duplicateValues" dxfId="149" priority="129"/>
  </conditionalFormatting>
  <conditionalFormatting sqref="N58">
    <cfRule type="duplicateValues" dxfId="148" priority="126"/>
  </conditionalFormatting>
  <conditionalFormatting sqref="N59">
    <cfRule type="duplicateValues" dxfId="147" priority="37"/>
  </conditionalFormatting>
  <conditionalFormatting sqref="N61">
    <cfRule type="duplicateValues" dxfId="146" priority="122"/>
  </conditionalFormatting>
  <conditionalFormatting sqref="N64">
    <cfRule type="duplicateValues" dxfId="145" priority="118"/>
  </conditionalFormatting>
  <conditionalFormatting sqref="N65">
    <cfRule type="duplicateValues" dxfId="144" priority="116"/>
  </conditionalFormatting>
  <conditionalFormatting sqref="N66">
    <cfRule type="duplicateValues" dxfId="143" priority="114"/>
  </conditionalFormatting>
  <conditionalFormatting sqref="N67">
    <cfRule type="duplicateValues" dxfId="142" priority="98"/>
  </conditionalFormatting>
  <conditionalFormatting sqref="N68">
    <cfRule type="duplicateValues" dxfId="141" priority="113"/>
  </conditionalFormatting>
  <conditionalFormatting sqref="N69">
    <cfRule type="duplicateValues" dxfId="140" priority="110"/>
  </conditionalFormatting>
  <conditionalFormatting sqref="N70">
    <cfRule type="duplicateValues" dxfId="139" priority="106"/>
  </conditionalFormatting>
  <conditionalFormatting sqref="N71">
    <cfRule type="duplicateValues" dxfId="138" priority="105"/>
  </conditionalFormatting>
  <conditionalFormatting sqref="N72">
    <cfRule type="duplicateValues" dxfId="137" priority="104"/>
  </conditionalFormatting>
  <conditionalFormatting sqref="N73">
    <cfRule type="duplicateValues" dxfId="136" priority="91"/>
  </conditionalFormatting>
  <conditionalFormatting sqref="N74">
    <cfRule type="duplicateValues" dxfId="135" priority="34"/>
  </conditionalFormatting>
  <conditionalFormatting sqref="N78">
    <cfRule type="duplicateValues" dxfId="134" priority="100"/>
  </conditionalFormatting>
  <conditionalFormatting sqref="N80">
    <cfRule type="duplicateValues" dxfId="133" priority="95"/>
  </conditionalFormatting>
  <conditionalFormatting sqref="N85">
    <cfRule type="duplicateValues" dxfId="132" priority="58"/>
  </conditionalFormatting>
  <conditionalFormatting sqref="N86">
    <cfRule type="duplicateValues" dxfId="131" priority="93"/>
  </conditionalFormatting>
  <conditionalFormatting sqref="N88:N89">
    <cfRule type="duplicateValues" dxfId="130" priority="40"/>
  </conditionalFormatting>
  <conditionalFormatting sqref="N90">
    <cfRule type="duplicateValues" dxfId="129" priority="86"/>
  </conditionalFormatting>
  <conditionalFormatting sqref="N91">
    <cfRule type="duplicateValues" dxfId="128" priority="85"/>
  </conditionalFormatting>
  <conditionalFormatting sqref="N92">
    <cfRule type="duplicateValues" dxfId="127" priority="79"/>
  </conditionalFormatting>
  <conditionalFormatting sqref="N93">
    <cfRule type="duplicateValues" dxfId="126" priority="78"/>
  </conditionalFormatting>
  <conditionalFormatting sqref="N95">
    <cfRule type="duplicateValues" dxfId="125" priority="90"/>
  </conditionalFormatting>
  <conditionalFormatting sqref="N96">
    <cfRule type="duplicateValues" dxfId="124" priority="83"/>
  </conditionalFormatting>
  <conditionalFormatting sqref="N97">
    <cfRule type="duplicateValues" dxfId="123" priority="81"/>
  </conditionalFormatting>
  <conditionalFormatting sqref="N98">
    <cfRule type="duplicateValues" dxfId="122" priority="77"/>
  </conditionalFormatting>
  <conditionalFormatting sqref="N100">
    <cfRule type="duplicateValues" dxfId="121" priority="75"/>
  </conditionalFormatting>
  <conditionalFormatting sqref="N101:N103">
    <cfRule type="duplicateValues" dxfId="120" priority="74"/>
  </conditionalFormatting>
  <conditionalFormatting sqref="N106">
    <cfRule type="duplicateValues" dxfId="119" priority="70"/>
  </conditionalFormatting>
  <conditionalFormatting sqref="N107">
    <cfRule type="duplicateValues" dxfId="118" priority="38"/>
  </conditionalFormatting>
  <conditionalFormatting sqref="N108">
    <cfRule type="duplicateValues" dxfId="117" priority="68"/>
  </conditionalFormatting>
  <conditionalFormatting sqref="N109">
    <cfRule type="duplicateValues" dxfId="116" priority="67"/>
  </conditionalFormatting>
  <conditionalFormatting sqref="N110">
    <cfRule type="duplicateValues" dxfId="115" priority="65"/>
  </conditionalFormatting>
  <conditionalFormatting sqref="N111">
    <cfRule type="duplicateValues" dxfId="114" priority="62"/>
  </conditionalFormatting>
  <conditionalFormatting sqref="N112">
    <cfRule type="duplicateValues" dxfId="113" priority="60"/>
  </conditionalFormatting>
  <conditionalFormatting sqref="N113">
    <cfRule type="duplicateValues" dxfId="112" priority="57"/>
  </conditionalFormatting>
  <conditionalFormatting sqref="N114:N116">
    <cfRule type="duplicateValues" dxfId="111" priority="73"/>
  </conditionalFormatting>
  <conditionalFormatting sqref="N117">
    <cfRule type="duplicateValues" dxfId="110" priority="71"/>
  </conditionalFormatting>
  <conditionalFormatting sqref="N121">
    <cfRule type="duplicateValues" dxfId="109" priority="59"/>
  </conditionalFormatting>
  <conditionalFormatting sqref="N123:N124">
    <cfRule type="duplicateValues" dxfId="108" priority="39"/>
  </conditionalFormatting>
  <conditionalFormatting sqref="N125">
    <cfRule type="duplicateValues" dxfId="107" priority="19"/>
  </conditionalFormatting>
  <conditionalFormatting sqref="N126">
    <cfRule type="duplicateValues" dxfId="106" priority="16"/>
  </conditionalFormatting>
  <conditionalFormatting sqref="N127">
    <cfRule type="duplicateValues" dxfId="105" priority="13"/>
  </conditionalFormatting>
  <conditionalFormatting sqref="N129">
    <cfRule type="duplicateValues" dxfId="104" priority="15"/>
  </conditionalFormatting>
  <conditionalFormatting sqref="N130">
    <cfRule type="duplicateValues" dxfId="103" priority="10"/>
  </conditionalFormatting>
  <conditionalFormatting sqref="N131">
    <cfRule type="duplicateValues" dxfId="102" priority="9"/>
  </conditionalFormatting>
  <conditionalFormatting sqref="N140">
    <cfRule type="duplicateValues" dxfId="101" priority="6"/>
  </conditionalFormatting>
  <conditionalFormatting sqref="N141">
    <cfRule type="duplicateValues" dxfId="100" priority="5"/>
  </conditionalFormatting>
  <conditionalFormatting sqref="N142">
    <cfRule type="duplicateValues" dxfId="99" priority="2"/>
  </conditionalFormatting>
  <conditionalFormatting sqref="N144">
    <cfRule type="duplicateValues" dxfId="98" priority="3"/>
  </conditionalFormatting>
  <conditionalFormatting sqref="N8 N11:N14">
    <cfRule type="duplicateValues" dxfId="97" priority="195"/>
  </conditionalFormatting>
  <conditionalFormatting sqref="AA14">
    <cfRule type="duplicateValues" dxfId="96" priority="53"/>
    <cfRule type="duplicateValues" dxfId="95" priority="54"/>
  </conditionalFormatting>
  <conditionalFormatting sqref="AA15">
    <cfRule type="duplicateValues" dxfId="94" priority="51"/>
    <cfRule type="duplicateValues" dxfId="93" priority="52"/>
  </conditionalFormatting>
  <conditionalFormatting sqref="AA16">
    <cfRule type="duplicateValues" dxfId="92" priority="49"/>
    <cfRule type="duplicateValues" dxfId="91" priority="50"/>
  </conditionalFormatting>
  <conditionalFormatting sqref="AA19">
    <cfRule type="duplicateValues" dxfId="90" priority="47"/>
  </conditionalFormatting>
  <conditionalFormatting sqref="AA20">
    <cfRule type="duplicateValues" dxfId="89" priority="48"/>
  </conditionalFormatting>
  <conditionalFormatting sqref="AA21">
    <cfRule type="duplicateValues" dxfId="88" priority="45"/>
  </conditionalFormatting>
  <conditionalFormatting sqref="AA22">
    <cfRule type="duplicateValues" dxfId="87" priority="46"/>
  </conditionalFormatting>
  <conditionalFormatting sqref="AA23">
    <cfRule type="duplicateValues" dxfId="86" priority="41"/>
    <cfRule type="duplicateValues" dxfId="85" priority="42"/>
  </conditionalFormatting>
  <conditionalFormatting sqref="AA24">
    <cfRule type="duplicateValues" dxfId="84" priority="44"/>
  </conditionalFormatting>
  <conditionalFormatting sqref="AA25">
    <cfRule type="duplicateValues" dxfId="83" priority="43"/>
  </conditionalFormatting>
  <conditionalFormatting sqref="AA26">
    <cfRule type="duplicateValues" dxfId="82" priority="181"/>
  </conditionalFormatting>
  <conditionalFormatting sqref="AA27">
    <cfRule type="duplicateValues" dxfId="81" priority="179"/>
  </conditionalFormatting>
  <conditionalFormatting sqref="AA28">
    <cfRule type="duplicateValues" dxfId="80" priority="175"/>
  </conditionalFormatting>
  <conditionalFormatting sqref="AA29">
    <cfRule type="duplicateValues" dxfId="79" priority="56"/>
  </conditionalFormatting>
  <conditionalFormatting sqref="AA30">
    <cfRule type="duplicateValues" dxfId="78" priority="55"/>
  </conditionalFormatting>
  <conditionalFormatting sqref="AA31:AA33">
    <cfRule type="duplicateValues" dxfId="77" priority="174"/>
  </conditionalFormatting>
  <conditionalFormatting sqref="AA34">
    <cfRule type="duplicateValues" dxfId="76" priority="163"/>
  </conditionalFormatting>
  <conditionalFormatting sqref="AA35">
    <cfRule type="duplicateValues" dxfId="75" priority="162"/>
  </conditionalFormatting>
  <conditionalFormatting sqref="AA36">
    <cfRule type="duplicateValues" dxfId="74" priority="161"/>
  </conditionalFormatting>
  <conditionalFormatting sqref="AA37">
    <cfRule type="duplicateValues" dxfId="73" priority="170"/>
  </conditionalFormatting>
  <conditionalFormatting sqref="AA38">
    <cfRule type="duplicateValues" dxfId="72" priority="168"/>
  </conditionalFormatting>
  <conditionalFormatting sqref="AA39">
    <cfRule type="duplicateValues" dxfId="71" priority="167"/>
  </conditionalFormatting>
  <conditionalFormatting sqref="AA40">
    <cfRule type="duplicateValues" dxfId="70" priority="145"/>
  </conditionalFormatting>
  <conditionalFormatting sqref="AA41">
    <cfRule type="duplicateValues" dxfId="69" priority="164"/>
  </conditionalFormatting>
  <conditionalFormatting sqref="AA42">
    <cfRule type="duplicateValues" dxfId="68" priority="158"/>
  </conditionalFormatting>
  <conditionalFormatting sqref="AA43">
    <cfRule type="duplicateValues" dxfId="67" priority="154"/>
  </conditionalFormatting>
  <conditionalFormatting sqref="AA45">
    <cfRule type="duplicateValues" dxfId="66" priority="152"/>
  </conditionalFormatting>
  <conditionalFormatting sqref="AA46">
    <cfRule type="duplicateValues" dxfId="65" priority="150"/>
  </conditionalFormatting>
  <conditionalFormatting sqref="AA47">
    <cfRule type="duplicateValues" dxfId="64" priority="147"/>
  </conditionalFormatting>
  <conditionalFormatting sqref="AA48">
    <cfRule type="duplicateValues" dxfId="63" priority="146"/>
  </conditionalFormatting>
  <conditionalFormatting sqref="AA49">
    <cfRule type="duplicateValues" dxfId="62" priority="141"/>
  </conditionalFormatting>
  <conditionalFormatting sqref="AA50">
    <cfRule type="duplicateValues" dxfId="61" priority="137"/>
  </conditionalFormatting>
  <conditionalFormatting sqref="AA51">
    <cfRule type="duplicateValues" dxfId="60" priority="138"/>
  </conditionalFormatting>
  <conditionalFormatting sqref="AA52">
    <cfRule type="duplicateValues" dxfId="59" priority="134"/>
  </conditionalFormatting>
  <conditionalFormatting sqref="AA53">
    <cfRule type="duplicateValues" dxfId="58" priority="26"/>
  </conditionalFormatting>
  <conditionalFormatting sqref="AA54">
    <cfRule type="duplicateValues" dxfId="57" priority="25"/>
  </conditionalFormatting>
  <conditionalFormatting sqref="AA55">
    <cfRule type="duplicateValues" dxfId="56" priority="132"/>
  </conditionalFormatting>
  <conditionalFormatting sqref="AA56">
    <cfRule type="duplicateValues" dxfId="55" priority="131"/>
  </conditionalFormatting>
  <conditionalFormatting sqref="AA57">
    <cfRule type="duplicateValues" dxfId="54" priority="128"/>
  </conditionalFormatting>
  <conditionalFormatting sqref="AA58">
    <cfRule type="duplicateValues" dxfId="53" priority="125"/>
  </conditionalFormatting>
  <conditionalFormatting sqref="AA61">
    <cfRule type="duplicateValues" dxfId="52" priority="121"/>
  </conditionalFormatting>
  <conditionalFormatting sqref="AA63">
    <cfRule type="duplicateValues" dxfId="51" priority="120"/>
  </conditionalFormatting>
  <conditionalFormatting sqref="AA64">
    <cfRule type="duplicateValues" dxfId="50" priority="117"/>
  </conditionalFormatting>
  <conditionalFormatting sqref="AA65">
    <cfRule type="duplicateValues" dxfId="49" priority="21"/>
  </conditionalFormatting>
  <conditionalFormatting sqref="AA66">
    <cfRule type="duplicateValues" dxfId="48" priority="36"/>
  </conditionalFormatting>
  <conditionalFormatting sqref="AA67">
    <cfRule type="duplicateValues" dxfId="47" priority="97"/>
  </conditionalFormatting>
  <conditionalFormatting sqref="AA68">
    <cfRule type="duplicateValues" dxfId="46" priority="109"/>
  </conditionalFormatting>
  <conditionalFormatting sqref="AA69:AA73">
    <cfRule type="duplicateValues" dxfId="45" priority="108"/>
  </conditionalFormatting>
  <conditionalFormatting sqref="AA74">
    <cfRule type="duplicateValues" dxfId="44" priority="35"/>
  </conditionalFormatting>
  <conditionalFormatting sqref="AA75">
    <cfRule type="duplicateValues" dxfId="43" priority="103"/>
  </conditionalFormatting>
  <conditionalFormatting sqref="AA78">
    <cfRule type="duplicateValues" dxfId="42" priority="99"/>
  </conditionalFormatting>
  <conditionalFormatting sqref="AA79">
    <cfRule type="duplicateValues" dxfId="41" priority="96"/>
  </conditionalFormatting>
  <conditionalFormatting sqref="AA84">
    <cfRule type="duplicateValues" dxfId="40" priority="94"/>
  </conditionalFormatting>
  <conditionalFormatting sqref="AA85">
    <cfRule type="duplicateValues" dxfId="39" priority="33"/>
  </conditionalFormatting>
  <conditionalFormatting sqref="AA86:AA87">
    <cfRule type="duplicateValues" dxfId="38" priority="92"/>
  </conditionalFormatting>
  <conditionalFormatting sqref="AA90">
    <cfRule type="duplicateValues" dxfId="37" priority="88"/>
  </conditionalFormatting>
  <conditionalFormatting sqref="AA91">
    <cfRule type="duplicateValues" dxfId="36" priority="87"/>
  </conditionalFormatting>
  <conditionalFormatting sqref="AA94:AA95">
    <cfRule type="duplicateValues" dxfId="35" priority="89"/>
  </conditionalFormatting>
  <conditionalFormatting sqref="AA96">
    <cfRule type="duplicateValues" dxfId="34" priority="82"/>
  </conditionalFormatting>
  <conditionalFormatting sqref="AA97">
    <cfRule type="duplicateValues" dxfId="33" priority="80"/>
  </conditionalFormatting>
  <conditionalFormatting sqref="AA98">
    <cfRule type="duplicateValues" dxfId="32" priority="76"/>
  </conditionalFormatting>
  <conditionalFormatting sqref="AA101">
    <cfRule type="duplicateValues" dxfId="31" priority="32"/>
  </conditionalFormatting>
  <conditionalFormatting sqref="AA102">
    <cfRule type="duplicateValues" dxfId="30" priority="31"/>
  </conditionalFormatting>
  <conditionalFormatting sqref="AA103">
    <cfRule type="duplicateValues" dxfId="29" priority="30"/>
  </conditionalFormatting>
  <conditionalFormatting sqref="AA105">
    <cfRule type="duplicateValues" dxfId="28" priority="72"/>
  </conditionalFormatting>
  <conditionalFormatting sqref="AA106">
    <cfRule type="duplicateValues" dxfId="27" priority="69"/>
  </conditionalFormatting>
  <conditionalFormatting sqref="AA107">
    <cfRule type="duplicateValues" dxfId="26" priority="29"/>
  </conditionalFormatting>
  <conditionalFormatting sqref="AA108">
    <cfRule type="duplicateValues" dxfId="25" priority="28"/>
  </conditionalFormatting>
  <conditionalFormatting sqref="AA109">
    <cfRule type="duplicateValues" dxfId="24" priority="63"/>
  </conditionalFormatting>
  <conditionalFormatting sqref="AA110">
    <cfRule type="duplicateValues" dxfId="23" priority="64"/>
  </conditionalFormatting>
  <conditionalFormatting sqref="AA111:AA113">
    <cfRule type="duplicateValues" dxfId="22" priority="61"/>
  </conditionalFormatting>
  <conditionalFormatting sqref="AA123">
    <cfRule type="duplicateValues" dxfId="21" priority="22"/>
  </conditionalFormatting>
  <conditionalFormatting sqref="AA125">
    <cfRule type="duplicateValues" dxfId="20" priority="18"/>
  </conditionalFormatting>
  <conditionalFormatting sqref="AA126">
    <cfRule type="duplicateValues" dxfId="19" priority="11"/>
  </conditionalFormatting>
  <conditionalFormatting sqref="AA127">
    <cfRule type="duplicateValues" dxfId="18" priority="12"/>
  </conditionalFormatting>
  <conditionalFormatting sqref="AA137">
    <cfRule type="duplicateValues" dxfId="17" priority="7"/>
  </conditionalFormatting>
  <conditionalFormatting sqref="AA141">
    <cfRule type="duplicateValues" dxfId="16" priority="4"/>
  </conditionalFormatting>
  <conditionalFormatting sqref="AA142">
    <cfRule type="duplicateValues" dxfId="15" priority="1"/>
  </conditionalFormatting>
  <conditionalFormatting sqref="AD75">
    <cfRule type="duplicateValues" dxfId="14" priority="102"/>
  </conditionalFormatting>
  <pageMargins left="0.7" right="0.7" top="0.75" bottom="0.75" header="0.511811023622047" footer="0.511811023622047"/>
  <pageSetup paperSize="9" orientation="portrait" horizontalDpi="300" verticalDpi="300" r:id="rId1"/>
  <extLst>
    <ext xmlns:x14="http://schemas.microsoft.com/office/spreadsheetml/2009/9/main" uri="{CCE6A557-97BC-4b89-ADB6-D9C93CAAB3DF}">
      <x14:dataValidations xmlns:xm="http://schemas.microsoft.com/office/excel/2006/main" count="2">
        <x14:dataValidation type="list" allowBlank="1" showInputMessage="1" showErrorMessage="1" xr:uid="{BC4BF4A5-AD76-4A62-AD76-3FF57B79CC26}">
          <x14:formula1>
            <xm:f>'Đơn giá'!$B$4:$B$9</xm:f>
          </x14:formula1>
          <xm:sqref>O145:P148</xm:sqref>
        </x14:dataValidation>
        <x14:dataValidation type="list" allowBlank="1" showInputMessage="1" showErrorMessage="1" xr:uid="{BBEC7CF6-1194-4942-844A-DCCFA4D13B8F}">
          <x14:formula1>
            <xm:f>'Đơn giá'!$F$4:$F$5</xm:f>
          </x14:formula1>
          <xm:sqref>M145:M148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T200"/>
  <sheetViews>
    <sheetView workbookViewId="0">
      <selection sqref="A1:A3"/>
    </sheetView>
  </sheetViews>
  <sheetFormatPr defaultColWidth="9.109375" defaultRowHeight="18" x14ac:dyDescent="0.3"/>
  <cols>
    <col min="1" max="1" width="7.6640625" style="14" customWidth="1"/>
    <col min="2" max="2" width="31.44140625" style="14" customWidth="1"/>
    <col min="3" max="3" width="26" style="17" customWidth="1"/>
    <col min="4" max="4" width="20.6640625" style="17" customWidth="1"/>
    <col min="5" max="15" width="15" style="14" customWidth="1"/>
    <col min="16" max="16" width="17.109375" style="14" customWidth="1"/>
    <col min="17" max="17" width="12.33203125" style="18" bestFit="1" customWidth="1"/>
    <col min="18" max="18" width="9.109375" style="18"/>
    <col min="19" max="19" width="43" style="14" customWidth="1"/>
    <col min="20" max="20" width="16.33203125" style="14" customWidth="1"/>
    <col min="21" max="16384" width="9.109375" style="14"/>
  </cols>
  <sheetData>
    <row r="1" spans="1:20" ht="18.75" customHeight="1" x14ac:dyDescent="0.3">
      <c r="A1" s="360" t="s">
        <v>73</v>
      </c>
      <c r="B1" s="360" t="s">
        <v>74</v>
      </c>
      <c r="C1" s="360" t="s">
        <v>75</v>
      </c>
      <c r="D1" s="360" t="s">
        <v>76</v>
      </c>
      <c r="E1" s="158" t="s">
        <v>12</v>
      </c>
      <c r="F1" s="20"/>
      <c r="G1" s="20"/>
      <c r="H1" s="20"/>
      <c r="I1" s="20"/>
      <c r="J1" s="20"/>
      <c r="K1" s="20"/>
      <c r="L1" s="20"/>
      <c r="M1" s="20"/>
      <c r="N1" s="20"/>
      <c r="O1" s="20"/>
      <c r="P1" s="20"/>
      <c r="Q1" s="19"/>
    </row>
    <row r="2" spans="1:20" x14ac:dyDescent="0.3">
      <c r="A2" s="360"/>
      <c r="B2" s="360"/>
      <c r="C2" s="360"/>
      <c r="D2" s="360"/>
      <c r="E2" s="20" t="s">
        <v>26</v>
      </c>
      <c r="F2" s="20"/>
      <c r="G2" s="20" t="s">
        <v>29</v>
      </c>
      <c r="H2" s="20"/>
      <c r="I2" s="20" t="s">
        <v>35</v>
      </c>
      <c r="J2" s="20"/>
      <c r="K2" s="20" t="s">
        <v>38</v>
      </c>
      <c r="L2" s="20"/>
      <c r="M2" s="20" t="s">
        <v>39</v>
      </c>
      <c r="N2" s="20"/>
      <c r="O2" s="20" t="s">
        <v>42</v>
      </c>
      <c r="P2" s="20"/>
      <c r="Q2" s="21"/>
    </row>
    <row r="3" spans="1:20" x14ac:dyDescent="0.3">
      <c r="A3" s="360"/>
      <c r="B3" s="360"/>
      <c r="C3" s="360"/>
      <c r="D3" s="360"/>
      <c r="E3" s="1" t="s">
        <v>7</v>
      </c>
      <c r="F3" s="1" t="s">
        <v>77</v>
      </c>
      <c r="G3" s="1" t="s">
        <v>7</v>
      </c>
      <c r="H3" s="1" t="s">
        <v>77</v>
      </c>
      <c r="I3" s="1" t="s">
        <v>7</v>
      </c>
      <c r="J3" s="1" t="s">
        <v>77</v>
      </c>
      <c r="K3" s="1" t="s">
        <v>7</v>
      </c>
      <c r="L3" s="1" t="s">
        <v>77</v>
      </c>
      <c r="M3" s="1" t="s">
        <v>7</v>
      </c>
      <c r="N3" s="1" t="s">
        <v>77</v>
      </c>
      <c r="O3" s="1" t="s">
        <v>7</v>
      </c>
      <c r="P3" s="1" t="s">
        <v>77</v>
      </c>
      <c r="Q3" s="189" t="s">
        <v>33</v>
      </c>
    </row>
    <row r="4" spans="1:20" s="27" customFormat="1" ht="17.399999999999999" x14ac:dyDescent="0.3">
      <c r="A4" s="190"/>
      <c r="B4" s="190" t="s">
        <v>23</v>
      </c>
      <c r="C4" s="191"/>
      <c r="D4" s="191"/>
      <c r="E4" s="192">
        <f t="shared" ref="E4:P4" si="0">SUM(E7:E200)</f>
        <v>545</v>
      </c>
      <c r="F4" s="192">
        <f t="shared" si="0"/>
        <v>53410000</v>
      </c>
      <c r="G4" s="192">
        <f t="shared" si="0"/>
        <v>39</v>
      </c>
      <c r="H4" s="192">
        <f t="shared" si="0"/>
        <v>3315000</v>
      </c>
      <c r="I4" s="192">
        <f t="shared" si="0"/>
        <v>10</v>
      </c>
      <c r="J4" s="192">
        <f t="shared" si="0"/>
        <v>930000</v>
      </c>
      <c r="K4" s="192">
        <f t="shared" si="0"/>
        <v>6</v>
      </c>
      <c r="L4" s="192">
        <f t="shared" si="0"/>
        <v>636000</v>
      </c>
      <c r="M4" s="192">
        <f t="shared" si="0"/>
        <v>61</v>
      </c>
      <c r="N4" s="192">
        <f t="shared" si="0"/>
        <v>3172000</v>
      </c>
      <c r="O4" s="192">
        <f t="shared" si="0"/>
        <v>41</v>
      </c>
      <c r="P4" s="192">
        <f t="shared" si="0"/>
        <v>1968000</v>
      </c>
      <c r="Q4" s="25"/>
      <c r="R4" s="25"/>
    </row>
    <row r="5" spans="1:20" s="27" customFormat="1" ht="17.399999999999999" x14ac:dyDescent="0.3">
      <c r="A5" s="190"/>
      <c r="B5" s="190" t="s">
        <v>484</v>
      </c>
      <c r="C5" s="191"/>
      <c r="D5" s="191"/>
      <c r="E5" s="192">
        <f>SUMIFS(XUẤT!P:P,XUẤT!$M:$M,CBCNV!$Q$3)-E4</f>
        <v>0</v>
      </c>
      <c r="F5" s="192"/>
      <c r="G5" s="192">
        <f>SUMIFS(XUẤT!Q:Q,XUẤT!M:M,CBCNV!$Q$3)-CBCNV!G4</f>
        <v>0</v>
      </c>
      <c r="H5" s="192"/>
      <c r="I5" s="192">
        <f>SUMIFS(XUẤT!R:R,XUẤT!$M:$M,CBCNV!$Q$3)-CBCNV!I4</f>
        <v>0</v>
      </c>
      <c r="J5" s="192"/>
      <c r="K5" s="192">
        <f>SUMIFS(XUẤT!S:S,XUẤT!M:M,CBCNV!$Q$3)-CBCNV!K4</f>
        <v>0</v>
      </c>
      <c r="L5" s="192"/>
      <c r="M5" s="192">
        <f>SUMIFS(XUẤT!T:T,XUẤT!M:M,CBCNV!$Q$3)-CBCNV!M4</f>
        <v>-20</v>
      </c>
      <c r="N5" s="192"/>
      <c r="O5" s="192">
        <f>SUMIFS(XUẤT!U:U,XUẤT!M:M,CBCNV!$Q$3)-CBCNV!O4</f>
        <v>0</v>
      </c>
      <c r="P5" s="192"/>
      <c r="Q5" s="25"/>
      <c r="R5" s="25"/>
    </row>
    <row r="6" spans="1:20" s="27" customFormat="1" ht="17.399999999999999" x14ac:dyDescent="0.3">
      <c r="A6" s="22"/>
      <c r="B6" s="22"/>
      <c r="C6" s="23"/>
      <c r="D6" s="23"/>
      <c r="E6" s="24"/>
      <c r="F6" s="24"/>
      <c r="G6" s="24"/>
      <c r="H6" s="24"/>
      <c r="I6" s="24"/>
      <c r="J6" s="24"/>
      <c r="K6" s="24"/>
      <c r="L6" s="24"/>
      <c r="M6" s="24"/>
      <c r="N6" s="24"/>
      <c r="O6" s="24"/>
      <c r="P6" s="24"/>
      <c r="Q6" s="25"/>
      <c r="R6" s="26"/>
    </row>
    <row r="7" spans="1:20" s="148" customFormat="1" x14ac:dyDescent="0.3">
      <c r="A7" s="144">
        <v>1</v>
      </c>
      <c r="B7" s="28" t="s">
        <v>78</v>
      </c>
      <c r="C7" s="145" t="s">
        <v>79</v>
      </c>
      <c r="D7" s="145" t="s">
        <v>80</v>
      </c>
      <c r="E7" s="146">
        <f>SUMIFS(XUẤT!P:P,XUẤT!N:N,CBCNV!B7,XUẤT!O:O,CBCNV!$E$2)</f>
        <v>0</v>
      </c>
      <c r="F7" s="147">
        <f t="shared" ref="F7:F39" si="1">E7*$T$10</f>
        <v>0</v>
      </c>
      <c r="G7" s="146">
        <f>SUMIFS(XUẤT!Q:Q,XUẤT!N:N,CBCNV!B7,XUẤT!O:O,CBCNV!$G$2)</f>
        <v>0</v>
      </c>
      <c r="H7" s="146">
        <f t="shared" ref="H7:H39" si="2">G7*$T$8</f>
        <v>0</v>
      </c>
      <c r="I7" s="146">
        <f>SUMIFS(XUẤT!R:R,XUẤT!N:N,CBCNV!B7,XUẤT!O:O,CBCNV!$I$2)</f>
        <v>0</v>
      </c>
      <c r="J7" s="147">
        <f t="shared" ref="J7:J39" si="3">I7*$T$9</f>
        <v>0</v>
      </c>
      <c r="K7" s="146">
        <f>SUMIFS(XUẤT!S:S,XUẤT!N:N,CBCNV!B7,XUẤT!O:O,CBCNV!$K$2)</f>
        <v>0</v>
      </c>
      <c r="L7" s="147">
        <f t="shared" ref="L7:L39" si="4">K7*$T$11</f>
        <v>0</v>
      </c>
      <c r="M7" s="146">
        <f>SUMIFS(XUẤT!T:T,XUẤT!N:N,CBCNV!B7,XUẤT!O:O,CBCNV!$M$2)</f>
        <v>0</v>
      </c>
      <c r="N7" s="147">
        <f t="shared" ref="N7:N39" si="5">M7*$T$12</f>
        <v>0</v>
      </c>
      <c r="O7" s="146">
        <f>SUMIFS(XUẤT!U:U,XUẤT!N:N,CBCNV!B7,XUẤT!O:O,CBCNV!$O$2)</f>
        <v>0</v>
      </c>
      <c r="P7" s="147">
        <f t="shared" ref="P7:P39" si="6">O7*$T$13</f>
        <v>0</v>
      </c>
      <c r="Q7" s="29"/>
      <c r="R7" s="30" t="s">
        <v>3</v>
      </c>
      <c r="S7" s="4" t="s">
        <v>19</v>
      </c>
      <c r="T7" s="4" t="s">
        <v>20</v>
      </c>
    </row>
    <row r="8" spans="1:20" s="152" customFormat="1" x14ac:dyDescent="0.3">
      <c r="A8" s="149">
        <v>2</v>
      </c>
      <c r="B8" s="10" t="s">
        <v>81</v>
      </c>
      <c r="C8" s="149" t="s">
        <v>82</v>
      </c>
      <c r="D8" s="149" t="s">
        <v>80</v>
      </c>
      <c r="E8" s="146">
        <f>SUMIFS(XUẤT!P:P,XUẤT!N:N,CBCNV!B8,XUẤT!O:O,CBCNV!$E$2)</f>
        <v>0</v>
      </c>
      <c r="F8" s="151">
        <f t="shared" si="1"/>
        <v>0</v>
      </c>
      <c r="G8" s="146">
        <f>SUMIFS(XUẤT!Q:Q,XUẤT!N:N,CBCNV!B8,XUẤT!O:O,CBCNV!$G$2)</f>
        <v>0</v>
      </c>
      <c r="H8" s="150">
        <f t="shared" si="2"/>
        <v>0</v>
      </c>
      <c r="I8" s="146">
        <f>SUMIFS(XUẤT!R:R,XUẤT!N:N,CBCNV!B8,XUẤT!O:O,CBCNV!$I$2)</f>
        <v>0</v>
      </c>
      <c r="J8" s="151">
        <f t="shared" si="3"/>
        <v>0</v>
      </c>
      <c r="K8" s="146">
        <f>SUMIFS(XUẤT!S:S,XUẤT!N:N,CBCNV!B8,XUẤT!O:O,CBCNV!$K$2)</f>
        <v>0</v>
      </c>
      <c r="L8" s="151">
        <f t="shared" si="4"/>
        <v>0</v>
      </c>
      <c r="M8" s="146">
        <f>SUMIFS(XUẤT!T:T,XUẤT!N:N,CBCNV!B8,XUẤT!O:O,CBCNV!$M$2)</f>
        <v>0</v>
      </c>
      <c r="N8" s="151">
        <f t="shared" si="5"/>
        <v>0</v>
      </c>
      <c r="O8" s="146">
        <f>SUMIFS(XUẤT!U:U,XUẤT!N:N,CBCNV!B8,XUẤT!O:O,CBCNV!$O$2)</f>
        <v>0</v>
      </c>
      <c r="P8" s="151">
        <f t="shared" si="6"/>
        <v>0</v>
      </c>
      <c r="Q8" s="29"/>
      <c r="R8" s="31">
        <v>1</v>
      </c>
      <c r="S8" s="5" t="s">
        <v>29</v>
      </c>
      <c r="T8" s="6">
        <v>85000</v>
      </c>
    </row>
    <row r="9" spans="1:20" s="152" customFormat="1" x14ac:dyDescent="0.3">
      <c r="A9" s="149">
        <v>3</v>
      </c>
      <c r="B9" s="10" t="s">
        <v>83</v>
      </c>
      <c r="C9" s="149" t="s">
        <v>84</v>
      </c>
      <c r="D9" s="149" t="s">
        <v>80</v>
      </c>
      <c r="E9" s="146">
        <f>SUMIFS(XUẤT!P:P,XUẤT!N:N,CBCNV!B9,XUẤT!O:O,CBCNV!$E$2)</f>
        <v>0</v>
      </c>
      <c r="F9" s="151">
        <f t="shared" si="1"/>
        <v>0</v>
      </c>
      <c r="G9" s="146">
        <f>SUMIFS(XUẤT!Q:Q,XUẤT!N:N,CBCNV!B9,XUẤT!O:O,CBCNV!$G$2)</f>
        <v>0</v>
      </c>
      <c r="H9" s="150">
        <f t="shared" si="2"/>
        <v>0</v>
      </c>
      <c r="I9" s="146">
        <f>SUMIFS(XUẤT!R:R,XUẤT!N:N,CBCNV!B9,XUẤT!O:O,CBCNV!$I$2)</f>
        <v>0</v>
      </c>
      <c r="J9" s="151">
        <f t="shared" si="3"/>
        <v>0</v>
      </c>
      <c r="K9" s="146">
        <f>SUMIFS(XUẤT!S:S,XUẤT!N:N,CBCNV!B9,XUẤT!O:O,CBCNV!$K$2)</f>
        <v>0</v>
      </c>
      <c r="L9" s="151">
        <f t="shared" si="4"/>
        <v>0</v>
      </c>
      <c r="M9" s="146">
        <f>SUMIFS(XUẤT!T:T,XUẤT!N:N,CBCNV!B9,XUẤT!O:O,CBCNV!$M$2)</f>
        <v>0</v>
      </c>
      <c r="N9" s="151">
        <f t="shared" si="5"/>
        <v>0</v>
      </c>
      <c r="O9" s="146">
        <f>SUMIFS(XUẤT!U:U,XUẤT!N:N,CBCNV!B9,XUẤT!O:O,CBCNV!$O$2)</f>
        <v>0</v>
      </c>
      <c r="P9" s="151">
        <f t="shared" si="6"/>
        <v>0</v>
      </c>
      <c r="Q9" s="29"/>
      <c r="R9" s="31">
        <v>2</v>
      </c>
      <c r="S9" s="5" t="s">
        <v>35</v>
      </c>
      <c r="T9" s="6">
        <v>93000</v>
      </c>
    </row>
    <row r="10" spans="1:20" s="152" customFormat="1" x14ac:dyDescent="0.3">
      <c r="A10" s="149">
        <v>4</v>
      </c>
      <c r="B10" s="10" t="s">
        <v>85</v>
      </c>
      <c r="C10" s="149" t="s">
        <v>84</v>
      </c>
      <c r="D10" s="149" t="s">
        <v>80</v>
      </c>
      <c r="E10" s="146">
        <f>SUMIFS(XUẤT!P:P,XUẤT!N:N,CBCNV!B10,XUẤT!O:O,CBCNV!$E$2)</f>
        <v>0</v>
      </c>
      <c r="F10" s="151">
        <f t="shared" si="1"/>
        <v>0</v>
      </c>
      <c r="G10" s="146">
        <f>SUMIFS(XUẤT!Q:Q,XUẤT!N:N,CBCNV!B10,XUẤT!O:O,CBCNV!$G$2)</f>
        <v>0</v>
      </c>
      <c r="H10" s="150">
        <f t="shared" si="2"/>
        <v>0</v>
      </c>
      <c r="I10" s="146">
        <f>SUMIFS(XUẤT!R:R,XUẤT!N:N,CBCNV!B10,XUẤT!O:O,CBCNV!$I$2)</f>
        <v>0</v>
      </c>
      <c r="J10" s="151">
        <f t="shared" si="3"/>
        <v>0</v>
      </c>
      <c r="K10" s="146">
        <f>SUMIFS(XUẤT!S:S,XUẤT!N:N,CBCNV!B10,XUẤT!O:O,CBCNV!$K$2)</f>
        <v>0</v>
      </c>
      <c r="L10" s="151">
        <f t="shared" si="4"/>
        <v>0</v>
      </c>
      <c r="M10" s="146">
        <f>SUMIFS(XUẤT!T:T,XUẤT!N:N,CBCNV!B10,XUẤT!O:O,CBCNV!$M$2)</f>
        <v>0</v>
      </c>
      <c r="N10" s="151">
        <f t="shared" si="5"/>
        <v>0</v>
      </c>
      <c r="O10" s="146">
        <f>SUMIFS(XUẤT!U:U,XUẤT!N:N,CBCNV!B10,XUẤT!O:O,CBCNV!$O$2)</f>
        <v>0</v>
      </c>
      <c r="P10" s="151">
        <f t="shared" si="6"/>
        <v>0</v>
      </c>
      <c r="Q10" s="29"/>
      <c r="R10" s="31">
        <v>3</v>
      </c>
      <c r="S10" s="5" t="s">
        <v>26</v>
      </c>
      <c r="T10" s="6">
        <v>98000</v>
      </c>
    </row>
    <row r="11" spans="1:20" s="152" customFormat="1" x14ac:dyDescent="0.3">
      <c r="A11" s="149">
        <v>5</v>
      </c>
      <c r="B11" s="10" t="s">
        <v>86</v>
      </c>
      <c r="C11" s="149" t="s">
        <v>87</v>
      </c>
      <c r="D11" s="149" t="s">
        <v>80</v>
      </c>
      <c r="E11" s="146">
        <f>SUMIFS(XUẤT!P:P,XUẤT!N:N,CBCNV!B11,XUẤT!O:O,CBCNV!$E$2)</f>
        <v>2</v>
      </c>
      <c r="F11" s="151">
        <f t="shared" si="1"/>
        <v>196000</v>
      </c>
      <c r="G11" s="146">
        <f>SUMIFS(XUẤT!Q:Q,XUẤT!N:N,CBCNV!B11,XUẤT!O:O,CBCNV!$G$2)</f>
        <v>5</v>
      </c>
      <c r="H11" s="150">
        <f t="shared" si="2"/>
        <v>425000</v>
      </c>
      <c r="I11" s="146">
        <f>SUMIFS(XUẤT!R:R,XUẤT!N:N,CBCNV!B11,XUẤT!O:O,CBCNV!$I$2)</f>
        <v>0</v>
      </c>
      <c r="J11" s="151">
        <f t="shared" si="3"/>
        <v>0</v>
      </c>
      <c r="K11" s="146">
        <f>SUMIFS(XUẤT!S:S,XUẤT!N:N,CBCNV!B11,XUẤT!O:O,CBCNV!$K$2)</f>
        <v>0</v>
      </c>
      <c r="L11" s="151">
        <f t="shared" si="4"/>
        <v>0</v>
      </c>
      <c r="M11" s="146">
        <f>SUMIFS(XUẤT!T:T,XUẤT!N:N,CBCNV!B11,XUẤT!O:O,CBCNV!$M$2)</f>
        <v>0</v>
      </c>
      <c r="N11" s="151">
        <f t="shared" si="5"/>
        <v>0</v>
      </c>
      <c r="O11" s="146">
        <f>SUMIFS(XUẤT!U:U,XUẤT!N:N,CBCNV!B11,XUẤT!O:O,CBCNV!$O$2)</f>
        <v>0</v>
      </c>
      <c r="P11" s="151">
        <f t="shared" si="6"/>
        <v>0</v>
      </c>
      <c r="Q11" s="29"/>
      <c r="R11" s="31">
        <v>4</v>
      </c>
      <c r="S11" s="5" t="s">
        <v>38</v>
      </c>
      <c r="T11" s="6">
        <v>106000</v>
      </c>
    </row>
    <row r="12" spans="1:20" s="152" customFormat="1" x14ac:dyDescent="0.3">
      <c r="A12" s="149">
        <v>6</v>
      </c>
      <c r="B12" s="10" t="s">
        <v>88</v>
      </c>
      <c r="C12" s="149" t="s">
        <v>89</v>
      </c>
      <c r="D12" s="149" t="s">
        <v>80</v>
      </c>
      <c r="E12" s="146">
        <f>SUMIFS(XUẤT!P:P,XUẤT!N:N,CBCNV!B12,XUẤT!O:O,CBCNV!$E$2)</f>
        <v>2</v>
      </c>
      <c r="F12" s="151">
        <f t="shared" si="1"/>
        <v>196000</v>
      </c>
      <c r="G12" s="146">
        <f>SUMIFS(XUẤT!Q:Q,XUẤT!N:N,CBCNV!B12,XUẤT!O:O,CBCNV!$G$2)</f>
        <v>0</v>
      </c>
      <c r="H12" s="150">
        <f t="shared" si="2"/>
        <v>0</v>
      </c>
      <c r="I12" s="146">
        <f>SUMIFS(XUẤT!R:R,XUẤT!N:N,CBCNV!B12,XUẤT!O:O,CBCNV!$I$2)</f>
        <v>0</v>
      </c>
      <c r="J12" s="151">
        <f t="shared" si="3"/>
        <v>0</v>
      </c>
      <c r="K12" s="146">
        <f>SUMIFS(XUẤT!S:S,XUẤT!N:N,CBCNV!B12,XUẤT!O:O,CBCNV!$K$2)</f>
        <v>0</v>
      </c>
      <c r="L12" s="151">
        <f t="shared" si="4"/>
        <v>0</v>
      </c>
      <c r="M12" s="146">
        <f>SUMIFS(XUẤT!T:T,XUẤT!N:N,CBCNV!B12,XUẤT!O:O,CBCNV!$M$2)</f>
        <v>3</v>
      </c>
      <c r="N12" s="151">
        <f t="shared" si="5"/>
        <v>156000</v>
      </c>
      <c r="O12" s="146">
        <f>SUMIFS(XUẤT!U:U,XUẤT!N:N,CBCNV!B12,XUẤT!O:O,CBCNV!$O$2)</f>
        <v>0</v>
      </c>
      <c r="P12" s="151">
        <f t="shared" si="6"/>
        <v>0</v>
      </c>
      <c r="Q12" s="29"/>
      <c r="R12" s="31">
        <v>5</v>
      </c>
      <c r="S12" s="5" t="s">
        <v>39</v>
      </c>
      <c r="T12" s="6">
        <v>52000</v>
      </c>
    </row>
    <row r="13" spans="1:20" s="152" customFormat="1" x14ac:dyDescent="0.3">
      <c r="A13" s="149">
        <v>7</v>
      </c>
      <c r="B13" s="10" t="s">
        <v>90</v>
      </c>
      <c r="C13" s="149" t="s">
        <v>89</v>
      </c>
      <c r="D13" s="149" t="s">
        <v>80</v>
      </c>
      <c r="E13" s="146">
        <f>SUMIFS(XUẤT!P:P,XUẤT!N:N,CBCNV!B13,XUẤT!O:O,CBCNV!$E$2)</f>
        <v>0</v>
      </c>
      <c r="F13" s="151">
        <f t="shared" si="1"/>
        <v>0</v>
      </c>
      <c r="G13" s="146">
        <f>SUMIFS(XUẤT!Q:Q,XUẤT!N:N,CBCNV!B13,XUẤT!O:O,CBCNV!$G$2)</f>
        <v>0</v>
      </c>
      <c r="H13" s="150">
        <f t="shared" si="2"/>
        <v>0</v>
      </c>
      <c r="I13" s="146">
        <f>SUMIFS(XUẤT!R:R,XUẤT!N:N,CBCNV!B13,XUẤT!O:O,CBCNV!$I$2)</f>
        <v>0</v>
      </c>
      <c r="J13" s="151">
        <f t="shared" si="3"/>
        <v>0</v>
      </c>
      <c r="K13" s="146">
        <f>SUMIFS(XUẤT!S:S,XUẤT!N:N,CBCNV!B13,XUẤT!O:O,CBCNV!$K$2)</f>
        <v>0</v>
      </c>
      <c r="L13" s="151">
        <f t="shared" si="4"/>
        <v>0</v>
      </c>
      <c r="M13" s="146">
        <f>SUMIFS(XUẤT!T:T,XUẤT!N:N,CBCNV!B13,XUẤT!O:O,CBCNV!$M$2)</f>
        <v>0</v>
      </c>
      <c r="N13" s="151">
        <f t="shared" si="5"/>
        <v>0</v>
      </c>
      <c r="O13" s="146">
        <f>SUMIFS(XUẤT!U:U,XUẤT!N:N,CBCNV!B13,XUẤT!O:O,CBCNV!$O$2)</f>
        <v>0</v>
      </c>
      <c r="P13" s="151">
        <f t="shared" si="6"/>
        <v>0</v>
      </c>
      <c r="Q13" s="29"/>
      <c r="R13" s="31">
        <v>6</v>
      </c>
      <c r="S13" s="5" t="s">
        <v>42</v>
      </c>
      <c r="T13" s="6">
        <v>48000</v>
      </c>
    </row>
    <row r="14" spans="1:20" s="152" customFormat="1" x14ac:dyDescent="0.3">
      <c r="A14" s="149">
        <v>8</v>
      </c>
      <c r="B14" s="10" t="s">
        <v>91</v>
      </c>
      <c r="C14" s="149" t="s">
        <v>89</v>
      </c>
      <c r="D14" s="149" t="s">
        <v>80</v>
      </c>
      <c r="E14" s="146">
        <f>SUMIFS(XUẤT!P:P,XUẤT!N:N,CBCNV!B14,XUẤT!O:O,CBCNV!$E$2)</f>
        <v>4</v>
      </c>
      <c r="F14" s="151">
        <f t="shared" si="1"/>
        <v>392000</v>
      </c>
      <c r="G14" s="146">
        <f>SUMIFS(XUẤT!Q:Q,XUẤT!N:N,CBCNV!B14,XUẤT!O:O,CBCNV!$G$2)</f>
        <v>0</v>
      </c>
      <c r="H14" s="150">
        <f t="shared" si="2"/>
        <v>0</v>
      </c>
      <c r="I14" s="146">
        <f>SUMIFS(XUẤT!R:R,XUẤT!N:N,CBCNV!B14,XUẤT!O:O,CBCNV!$I$2)</f>
        <v>0</v>
      </c>
      <c r="J14" s="151">
        <f t="shared" si="3"/>
        <v>0</v>
      </c>
      <c r="K14" s="146">
        <f>SUMIFS(XUẤT!S:S,XUẤT!N:N,CBCNV!B14,XUẤT!O:O,CBCNV!$K$2)</f>
        <v>0</v>
      </c>
      <c r="L14" s="151">
        <f t="shared" si="4"/>
        <v>0</v>
      </c>
      <c r="M14" s="146">
        <f>SUMIFS(XUẤT!T:T,XUẤT!N:N,CBCNV!B14,XUẤT!O:O,CBCNV!$M$2)</f>
        <v>0</v>
      </c>
      <c r="N14" s="151">
        <f t="shared" si="5"/>
        <v>0</v>
      </c>
      <c r="O14" s="146">
        <f>SUMIFS(XUẤT!U:U,XUẤT!N:N,CBCNV!B14,XUẤT!O:O,CBCNV!$O$2)</f>
        <v>0</v>
      </c>
      <c r="P14" s="151">
        <f t="shared" si="6"/>
        <v>0</v>
      </c>
      <c r="Q14" s="32"/>
      <c r="R14" s="18"/>
    </row>
    <row r="15" spans="1:20" s="152" customFormat="1" x14ac:dyDescent="0.3">
      <c r="A15" s="149">
        <v>9</v>
      </c>
      <c r="B15" s="10" t="s">
        <v>92</v>
      </c>
      <c r="C15" s="149" t="s">
        <v>89</v>
      </c>
      <c r="D15" s="149" t="s">
        <v>80</v>
      </c>
      <c r="E15" s="146">
        <f>SUMIFS(XUẤT!P:P,XUẤT!N:N,CBCNV!B15,XUẤT!O:O,CBCNV!$E$2)</f>
        <v>0</v>
      </c>
      <c r="F15" s="151">
        <f t="shared" si="1"/>
        <v>0</v>
      </c>
      <c r="G15" s="146">
        <f>SUMIFS(XUẤT!Q:Q,XUẤT!N:N,CBCNV!B15,XUẤT!O:O,CBCNV!$G$2)</f>
        <v>0</v>
      </c>
      <c r="H15" s="150">
        <f t="shared" si="2"/>
        <v>0</v>
      </c>
      <c r="I15" s="146">
        <f>SUMIFS(XUẤT!R:R,XUẤT!N:N,CBCNV!B15,XUẤT!O:O,CBCNV!$I$2)</f>
        <v>0</v>
      </c>
      <c r="J15" s="151">
        <f t="shared" si="3"/>
        <v>0</v>
      </c>
      <c r="K15" s="146">
        <f>SUMIFS(XUẤT!S:S,XUẤT!N:N,CBCNV!B15,XUẤT!O:O,CBCNV!$K$2)</f>
        <v>0</v>
      </c>
      <c r="L15" s="151">
        <f t="shared" si="4"/>
        <v>0</v>
      </c>
      <c r="M15" s="146">
        <f>SUMIFS(XUẤT!T:T,XUẤT!N:N,CBCNV!B15,XUẤT!O:O,CBCNV!$M$2)</f>
        <v>0</v>
      </c>
      <c r="N15" s="151">
        <f t="shared" si="5"/>
        <v>0</v>
      </c>
      <c r="O15" s="146">
        <f>SUMIFS(XUẤT!U:U,XUẤT!N:N,CBCNV!B15,XUẤT!O:O,CBCNV!$O$2)</f>
        <v>0</v>
      </c>
      <c r="P15" s="151">
        <f t="shared" si="6"/>
        <v>0</v>
      </c>
      <c r="Q15" s="32"/>
      <c r="R15" s="18"/>
    </row>
    <row r="16" spans="1:20" s="152" customFormat="1" x14ac:dyDescent="0.3">
      <c r="A16" s="149">
        <v>10</v>
      </c>
      <c r="B16" s="10" t="s">
        <v>93</v>
      </c>
      <c r="C16" s="149" t="s">
        <v>89</v>
      </c>
      <c r="D16" s="149" t="s">
        <v>80</v>
      </c>
      <c r="E16" s="146">
        <f>SUMIFS(XUẤT!P:P,XUẤT!N:N,CBCNV!B16,XUẤT!O:O,CBCNV!$E$2)</f>
        <v>20</v>
      </c>
      <c r="F16" s="151">
        <f t="shared" si="1"/>
        <v>1960000</v>
      </c>
      <c r="G16" s="146">
        <f>SUMIFS(XUẤT!Q:Q,XUẤT!N:N,CBCNV!B16,XUẤT!O:O,CBCNV!$G$2)</f>
        <v>0</v>
      </c>
      <c r="H16" s="150">
        <f t="shared" si="2"/>
        <v>0</v>
      </c>
      <c r="I16" s="146">
        <f>SUMIFS(XUẤT!R:R,XUẤT!N:N,CBCNV!B16,XUẤT!O:O,CBCNV!$I$2)</f>
        <v>0</v>
      </c>
      <c r="J16" s="151">
        <f t="shared" si="3"/>
        <v>0</v>
      </c>
      <c r="K16" s="146">
        <f>SUMIFS(XUẤT!S:S,XUẤT!N:N,CBCNV!B16,XUẤT!O:O,CBCNV!$K$2)</f>
        <v>0</v>
      </c>
      <c r="L16" s="151">
        <f t="shared" si="4"/>
        <v>0</v>
      </c>
      <c r="M16" s="146">
        <f>SUMIFS(XUẤT!T:T,XUẤT!N:N,CBCNV!B16,XUẤT!O:O,CBCNV!$M$2)</f>
        <v>0</v>
      </c>
      <c r="N16" s="151">
        <f t="shared" si="5"/>
        <v>0</v>
      </c>
      <c r="O16" s="146">
        <f>SUMIFS(XUẤT!U:U,XUẤT!N:N,CBCNV!B16,XUẤT!O:O,CBCNV!$O$2)</f>
        <v>4</v>
      </c>
      <c r="P16" s="151">
        <f t="shared" si="6"/>
        <v>192000</v>
      </c>
      <c r="Q16" s="32"/>
      <c r="R16" s="18"/>
    </row>
    <row r="17" spans="1:20" s="152" customFormat="1" x14ac:dyDescent="0.3">
      <c r="A17" s="149">
        <v>11</v>
      </c>
      <c r="B17" s="10" t="s">
        <v>94</v>
      </c>
      <c r="C17" s="149" t="s">
        <v>89</v>
      </c>
      <c r="D17" s="149" t="s">
        <v>80</v>
      </c>
      <c r="E17" s="146">
        <f>SUMIFS(XUẤT!P:P,XUẤT!N:N,CBCNV!B17,XUẤT!O:O,CBCNV!$E$2)</f>
        <v>10</v>
      </c>
      <c r="F17" s="151">
        <f t="shared" si="1"/>
        <v>980000</v>
      </c>
      <c r="G17" s="146">
        <f>SUMIFS(XUẤT!Q:Q,XUẤT!N:N,CBCNV!B17,XUẤT!O:O,CBCNV!$G$2)</f>
        <v>0</v>
      </c>
      <c r="H17" s="150">
        <f t="shared" si="2"/>
        <v>0</v>
      </c>
      <c r="I17" s="146">
        <f>SUMIFS(XUẤT!R:R,XUẤT!N:N,CBCNV!B17,XUẤT!O:O,CBCNV!$I$2)</f>
        <v>0</v>
      </c>
      <c r="J17" s="151">
        <f t="shared" si="3"/>
        <v>0</v>
      </c>
      <c r="K17" s="146">
        <f>SUMIFS(XUẤT!S:S,XUẤT!N:N,CBCNV!B17,XUẤT!O:O,CBCNV!$K$2)</f>
        <v>6</v>
      </c>
      <c r="L17" s="151">
        <f t="shared" si="4"/>
        <v>636000</v>
      </c>
      <c r="M17" s="146">
        <f>SUMIFS(XUẤT!T:T,XUẤT!N:N,CBCNV!B17,XUẤT!O:O,CBCNV!$M$2)</f>
        <v>6</v>
      </c>
      <c r="N17" s="151">
        <f t="shared" si="5"/>
        <v>312000</v>
      </c>
      <c r="O17" s="146">
        <f>SUMIFS(XUẤT!U:U,XUẤT!N:N,CBCNV!B17,XUẤT!O:O,CBCNV!$O$2)</f>
        <v>9</v>
      </c>
      <c r="P17" s="151">
        <f t="shared" si="6"/>
        <v>432000</v>
      </c>
      <c r="Q17" s="32"/>
      <c r="R17" s="18"/>
    </row>
    <row r="18" spans="1:20" s="152" customFormat="1" x14ac:dyDescent="0.3">
      <c r="A18" s="149">
        <v>12</v>
      </c>
      <c r="B18" s="10" t="s">
        <v>95</v>
      </c>
      <c r="C18" s="149" t="s">
        <v>89</v>
      </c>
      <c r="D18" s="149" t="s">
        <v>80</v>
      </c>
      <c r="E18" s="146">
        <f>SUMIFS(XUẤT!P:P,XUẤT!N:N,CBCNV!B18,XUẤT!O:O,CBCNV!$E$2)</f>
        <v>0</v>
      </c>
      <c r="F18" s="151">
        <f t="shared" si="1"/>
        <v>0</v>
      </c>
      <c r="G18" s="146">
        <f>SUMIFS(XUẤT!Q:Q,XUẤT!N:N,CBCNV!B18,XUẤT!O:O,CBCNV!$G$2)</f>
        <v>0</v>
      </c>
      <c r="H18" s="150">
        <f t="shared" si="2"/>
        <v>0</v>
      </c>
      <c r="I18" s="146">
        <f>SUMIFS(XUẤT!R:R,XUẤT!N:N,CBCNV!B18,XUẤT!O:O,CBCNV!$I$2)</f>
        <v>0</v>
      </c>
      <c r="J18" s="151">
        <f t="shared" si="3"/>
        <v>0</v>
      </c>
      <c r="K18" s="146">
        <f>SUMIFS(XUẤT!S:S,XUẤT!N:N,CBCNV!B18,XUẤT!O:O,CBCNV!$K$2)</f>
        <v>0</v>
      </c>
      <c r="L18" s="151">
        <f t="shared" si="4"/>
        <v>0</v>
      </c>
      <c r="M18" s="146">
        <f>SUMIFS(XUẤT!T:T,XUẤT!N:N,CBCNV!B18,XUẤT!O:O,CBCNV!$M$2)</f>
        <v>0</v>
      </c>
      <c r="N18" s="151">
        <f t="shared" si="5"/>
        <v>0</v>
      </c>
      <c r="O18" s="146">
        <f>SUMIFS(XUẤT!U:U,XUẤT!N:N,CBCNV!B18,XUẤT!O:O,CBCNV!$O$2)</f>
        <v>0</v>
      </c>
      <c r="P18" s="151">
        <f t="shared" si="6"/>
        <v>0</v>
      </c>
      <c r="Q18" s="32"/>
      <c r="R18" s="18"/>
    </row>
    <row r="19" spans="1:20" s="152" customFormat="1" x14ac:dyDescent="0.3">
      <c r="A19" s="149">
        <v>13</v>
      </c>
      <c r="B19" s="10" t="s">
        <v>96</v>
      </c>
      <c r="C19" s="149" t="s">
        <v>89</v>
      </c>
      <c r="D19" s="149" t="s">
        <v>80</v>
      </c>
      <c r="E19" s="146">
        <f>SUMIFS(XUẤT!P:P,XUẤT!N:N,CBCNV!B19,XUẤT!O:O,CBCNV!$E$2)</f>
        <v>0</v>
      </c>
      <c r="F19" s="151">
        <f t="shared" si="1"/>
        <v>0</v>
      </c>
      <c r="G19" s="146">
        <f>SUMIFS(XUẤT!Q:Q,XUẤT!N:N,CBCNV!B19,XUẤT!O:O,CBCNV!$G$2)</f>
        <v>0</v>
      </c>
      <c r="H19" s="150">
        <f t="shared" si="2"/>
        <v>0</v>
      </c>
      <c r="I19" s="146">
        <f>SUMIFS(XUẤT!R:R,XUẤT!N:N,CBCNV!B19,XUẤT!O:O,CBCNV!$I$2)</f>
        <v>0</v>
      </c>
      <c r="J19" s="151">
        <f t="shared" si="3"/>
        <v>0</v>
      </c>
      <c r="K19" s="146">
        <f>SUMIFS(XUẤT!S:S,XUẤT!N:N,CBCNV!B19,XUẤT!O:O,CBCNV!$K$2)</f>
        <v>0</v>
      </c>
      <c r="L19" s="151">
        <f t="shared" si="4"/>
        <v>0</v>
      </c>
      <c r="M19" s="146">
        <f>SUMIFS(XUẤT!T:T,XUẤT!N:N,CBCNV!B19,XUẤT!O:O,CBCNV!$M$2)</f>
        <v>0</v>
      </c>
      <c r="N19" s="151">
        <f t="shared" si="5"/>
        <v>0</v>
      </c>
      <c r="O19" s="146">
        <f>SUMIFS(XUẤT!U:U,XUẤT!N:N,CBCNV!B19,XUẤT!O:O,CBCNV!$O$2)</f>
        <v>0</v>
      </c>
      <c r="P19" s="151">
        <f t="shared" si="6"/>
        <v>0</v>
      </c>
      <c r="Q19" s="32"/>
      <c r="R19" s="18"/>
    </row>
    <row r="20" spans="1:20" s="152" customFormat="1" x14ac:dyDescent="0.3">
      <c r="A20" s="149">
        <v>14</v>
      </c>
      <c r="B20" s="10" t="s">
        <v>50</v>
      </c>
      <c r="C20" s="149" t="s">
        <v>89</v>
      </c>
      <c r="D20" s="149" t="s">
        <v>80</v>
      </c>
      <c r="E20" s="146">
        <f>SUMIFS(XUẤT!P:P,XUẤT!N:N,CBCNV!B20,XUẤT!O:O,CBCNV!$E$2)</f>
        <v>10</v>
      </c>
      <c r="F20" s="151">
        <f t="shared" si="1"/>
        <v>980000</v>
      </c>
      <c r="G20" s="146">
        <f>SUMIFS(XUẤT!Q:Q,XUẤT!N:N,CBCNV!B20,XUẤT!O:O,CBCNV!$G$2)</f>
        <v>0</v>
      </c>
      <c r="H20" s="150">
        <f t="shared" si="2"/>
        <v>0</v>
      </c>
      <c r="I20" s="146">
        <f>SUMIFS(XUẤT!R:R,XUẤT!N:N,CBCNV!B20,XUẤT!O:O,CBCNV!$I$2)</f>
        <v>0</v>
      </c>
      <c r="J20" s="151">
        <f t="shared" si="3"/>
        <v>0</v>
      </c>
      <c r="K20" s="146">
        <f>SUMIFS(XUẤT!S:S,XUẤT!N:N,CBCNV!B20,XUẤT!O:O,CBCNV!$K$2)</f>
        <v>0</v>
      </c>
      <c r="L20" s="151">
        <f t="shared" si="4"/>
        <v>0</v>
      </c>
      <c r="M20" s="146">
        <f>SUMIFS(XUẤT!T:T,XUẤT!N:N,CBCNV!B20,XUẤT!O:O,CBCNV!$M$2)</f>
        <v>0</v>
      </c>
      <c r="N20" s="151">
        <f t="shared" si="5"/>
        <v>0</v>
      </c>
      <c r="O20" s="146">
        <f>SUMIFS(XUẤT!U:U,XUẤT!N:N,CBCNV!B20,XUẤT!O:O,CBCNV!$O$2)</f>
        <v>0</v>
      </c>
      <c r="P20" s="151">
        <f t="shared" si="6"/>
        <v>0</v>
      </c>
      <c r="Q20" s="32"/>
      <c r="R20" s="18"/>
    </row>
    <row r="21" spans="1:20" s="152" customFormat="1" x14ac:dyDescent="0.3">
      <c r="A21" s="149">
        <v>15</v>
      </c>
      <c r="B21" s="10" t="s">
        <v>97</v>
      </c>
      <c r="C21" s="149" t="s">
        <v>89</v>
      </c>
      <c r="D21" s="149" t="s">
        <v>80</v>
      </c>
      <c r="E21" s="146">
        <f>SUMIFS(XUẤT!P:P,XUẤT!N:N,CBCNV!B21,XUẤT!O:O,CBCNV!$E$2)</f>
        <v>13</v>
      </c>
      <c r="F21" s="151">
        <f t="shared" si="1"/>
        <v>1274000</v>
      </c>
      <c r="G21" s="146">
        <f>SUMIFS(XUẤT!Q:Q,XUẤT!N:N,CBCNV!B21,XUẤT!O:O,CBCNV!$G$2)</f>
        <v>0</v>
      </c>
      <c r="H21" s="150">
        <f t="shared" si="2"/>
        <v>0</v>
      </c>
      <c r="I21" s="146">
        <f>SUMIFS(XUẤT!R:R,XUẤT!N:N,CBCNV!B21,XUẤT!O:O,CBCNV!$I$2)</f>
        <v>0</v>
      </c>
      <c r="J21" s="151">
        <f t="shared" si="3"/>
        <v>0</v>
      </c>
      <c r="K21" s="146">
        <f>SUMIFS(XUẤT!S:S,XUẤT!N:N,CBCNV!B21,XUẤT!O:O,CBCNV!$K$2)</f>
        <v>0</v>
      </c>
      <c r="L21" s="151">
        <f t="shared" si="4"/>
        <v>0</v>
      </c>
      <c r="M21" s="146">
        <f>SUMIFS(XUẤT!T:T,XUẤT!N:N,CBCNV!B21,XUẤT!O:O,CBCNV!$M$2)</f>
        <v>0</v>
      </c>
      <c r="N21" s="151">
        <f t="shared" si="5"/>
        <v>0</v>
      </c>
      <c r="O21" s="146">
        <f>SUMIFS(XUẤT!U:U,XUẤT!N:N,CBCNV!B21,XUẤT!O:O,CBCNV!$O$2)</f>
        <v>0</v>
      </c>
      <c r="P21" s="151">
        <f t="shared" si="6"/>
        <v>0</v>
      </c>
      <c r="Q21" s="32"/>
      <c r="R21" s="18"/>
    </row>
    <row r="22" spans="1:20" s="152" customFormat="1" x14ac:dyDescent="0.3">
      <c r="A22" s="149">
        <v>16</v>
      </c>
      <c r="B22" s="10" t="s">
        <v>98</v>
      </c>
      <c r="C22" s="149" t="s">
        <v>99</v>
      </c>
      <c r="D22" s="149" t="s">
        <v>80</v>
      </c>
      <c r="E22" s="146">
        <f>SUMIFS(XUẤT!P:P,XUẤT!N:N,CBCNV!B22,XUẤT!O:O,CBCNV!$E$2)</f>
        <v>1</v>
      </c>
      <c r="F22" s="151">
        <f t="shared" si="1"/>
        <v>98000</v>
      </c>
      <c r="G22" s="146">
        <f>SUMIFS(XUẤT!Q:Q,XUẤT!N:N,CBCNV!B22,XUẤT!O:O,CBCNV!$G$2)</f>
        <v>0</v>
      </c>
      <c r="H22" s="150">
        <f t="shared" si="2"/>
        <v>0</v>
      </c>
      <c r="I22" s="146">
        <f>SUMIFS(XUẤT!R:R,XUẤT!N:N,CBCNV!B22,XUẤT!O:O,CBCNV!$I$2)</f>
        <v>10</v>
      </c>
      <c r="J22" s="151">
        <f t="shared" si="3"/>
        <v>930000</v>
      </c>
      <c r="K22" s="146">
        <f>SUMIFS(XUẤT!S:S,XUẤT!N:N,CBCNV!B22,XUẤT!O:O,CBCNV!$K$2)</f>
        <v>0</v>
      </c>
      <c r="L22" s="151">
        <f t="shared" si="4"/>
        <v>0</v>
      </c>
      <c r="M22" s="146">
        <f>SUMIFS(XUẤT!T:T,XUẤT!N:N,CBCNV!B22,XUẤT!O:O,CBCNV!$M$2)</f>
        <v>0</v>
      </c>
      <c r="N22" s="151">
        <f t="shared" si="5"/>
        <v>0</v>
      </c>
      <c r="O22" s="146">
        <f>SUMIFS(XUẤT!U:U,XUẤT!N:N,CBCNV!B22,XUẤT!O:O,CBCNV!$O$2)</f>
        <v>0</v>
      </c>
      <c r="P22" s="151">
        <f t="shared" si="6"/>
        <v>0</v>
      </c>
      <c r="Q22" s="32"/>
      <c r="R22" s="18"/>
    </row>
    <row r="23" spans="1:20" s="152" customFormat="1" x14ac:dyDescent="0.3">
      <c r="A23" s="149">
        <v>17</v>
      </c>
      <c r="B23" s="10" t="s">
        <v>100</v>
      </c>
      <c r="C23" s="149" t="s">
        <v>101</v>
      </c>
      <c r="D23" s="149" t="s">
        <v>80</v>
      </c>
      <c r="E23" s="146">
        <f>SUMIFS(XUẤT!P:P,XUẤT!N:N,CBCNV!B23,XUẤT!O:O,CBCNV!$E$2)</f>
        <v>0</v>
      </c>
      <c r="F23" s="151">
        <f t="shared" si="1"/>
        <v>0</v>
      </c>
      <c r="G23" s="146">
        <f>SUMIFS(XUẤT!Q:Q,XUẤT!N:N,CBCNV!B23,XUẤT!O:O,CBCNV!$G$2)</f>
        <v>0</v>
      </c>
      <c r="H23" s="150">
        <f t="shared" si="2"/>
        <v>0</v>
      </c>
      <c r="I23" s="146">
        <f>SUMIFS(XUẤT!R:R,XUẤT!N:N,CBCNV!B23,XUẤT!O:O,CBCNV!$I$2)</f>
        <v>0</v>
      </c>
      <c r="J23" s="151">
        <f t="shared" si="3"/>
        <v>0</v>
      </c>
      <c r="K23" s="146">
        <f>SUMIFS(XUẤT!S:S,XUẤT!N:N,CBCNV!B23,XUẤT!O:O,CBCNV!$K$2)</f>
        <v>0</v>
      </c>
      <c r="L23" s="151">
        <f t="shared" si="4"/>
        <v>0</v>
      </c>
      <c r="M23" s="146">
        <f>SUMIFS(XUẤT!T:T,XUẤT!N:N,CBCNV!B23,XUẤT!O:O,CBCNV!$M$2)</f>
        <v>0</v>
      </c>
      <c r="N23" s="151">
        <f t="shared" si="5"/>
        <v>0</v>
      </c>
      <c r="O23" s="146">
        <f>SUMIFS(XUẤT!U:U,XUẤT!N:N,CBCNV!B23,XUẤT!O:O,CBCNV!$O$2)</f>
        <v>0</v>
      </c>
      <c r="P23" s="151">
        <f t="shared" si="6"/>
        <v>0</v>
      </c>
      <c r="Q23" s="32"/>
      <c r="R23" s="18"/>
    </row>
    <row r="24" spans="1:20" s="148" customFormat="1" x14ac:dyDescent="0.3">
      <c r="A24" s="149">
        <v>18</v>
      </c>
      <c r="B24" s="33" t="s">
        <v>102</v>
      </c>
      <c r="C24" s="149" t="s">
        <v>103</v>
      </c>
      <c r="D24" s="149" t="s">
        <v>80</v>
      </c>
      <c r="E24" s="146">
        <f>SUMIFS(XUẤT!P:P,XUẤT!N:N,CBCNV!B24,XUẤT!O:O,CBCNV!$E$2)</f>
        <v>0</v>
      </c>
      <c r="F24" s="151">
        <f t="shared" si="1"/>
        <v>0</v>
      </c>
      <c r="G24" s="146">
        <f>SUMIFS(XUẤT!Q:Q,XUẤT!N:N,CBCNV!B24,XUẤT!O:O,CBCNV!$G$2)</f>
        <v>0</v>
      </c>
      <c r="H24" s="150">
        <f t="shared" si="2"/>
        <v>0</v>
      </c>
      <c r="I24" s="146">
        <f>SUMIFS(XUẤT!R:R,XUẤT!N:N,CBCNV!B24,XUẤT!O:O,CBCNV!$I$2)</f>
        <v>0</v>
      </c>
      <c r="J24" s="151">
        <f t="shared" si="3"/>
        <v>0</v>
      </c>
      <c r="K24" s="146">
        <f>SUMIFS(XUẤT!S:S,XUẤT!N:N,CBCNV!B24,XUẤT!O:O,CBCNV!$K$2)</f>
        <v>0</v>
      </c>
      <c r="L24" s="151">
        <f t="shared" si="4"/>
        <v>0</v>
      </c>
      <c r="M24" s="146">
        <f>SUMIFS(XUẤT!T:T,XUẤT!N:N,CBCNV!B24,XUẤT!O:O,CBCNV!$M$2)</f>
        <v>0</v>
      </c>
      <c r="N24" s="151">
        <f t="shared" si="5"/>
        <v>0</v>
      </c>
      <c r="O24" s="146">
        <f>SUMIFS(XUẤT!U:U,XUẤT!N:N,CBCNV!B24,XUẤT!O:O,CBCNV!$O$2)</f>
        <v>0</v>
      </c>
      <c r="P24" s="151">
        <f t="shared" si="6"/>
        <v>0</v>
      </c>
      <c r="Q24" s="32"/>
      <c r="R24" s="18"/>
      <c r="S24" s="152"/>
      <c r="T24" s="152"/>
    </row>
    <row r="25" spans="1:20" s="152" customFormat="1" x14ac:dyDescent="0.3">
      <c r="A25" s="149">
        <v>19</v>
      </c>
      <c r="B25" s="33" t="s">
        <v>104</v>
      </c>
      <c r="C25" s="149" t="s">
        <v>103</v>
      </c>
      <c r="D25" s="149" t="s">
        <v>80</v>
      </c>
      <c r="E25" s="146">
        <f>SUMIFS(XUẤT!P:P,XUẤT!N:N,CBCNV!B25,XUẤT!O:O,CBCNV!$E$2)</f>
        <v>0</v>
      </c>
      <c r="F25" s="151">
        <f t="shared" si="1"/>
        <v>0</v>
      </c>
      <c r="G25" s="146">
        <f>SUMIFS(XUẤT!Q:Q,XUẤT!N:N,CBCNV!B25,XUẤT!O:O,CBCNV!$G$2)</f>
        <v>0</v>
      </c>
      <c r="H25" s="150">
        <f t="shared" si="2"/>
        <v>0</v>
      </c>
      <c r="I25" s="146">
        <f>SUMIFS(XUẤT!R:R,XUẤT!N:N,CBCNV!B25,XUẤT!O:O,CBCNV!$I$2)</f>
        <v>0</v>
      </c>
      <c r="J25" s="151">
        <f t="shared" si="3"/>
        <v>0</v>
      </c>
      <c r="K25" s="146">
        <f>SUMIFS(XUẤT!S:S,XUẤT!N:N,CBCNV!B25,XUẤT!O:O,CBCNV!$K$2)</f>
        <v>0</v>
      </c>
      <c r="L25" s="151">
        <f t="shared" si="4"/>
        <v>0</v>
      </c>
      <c r="M25" s="146">
        <f>SUMIFS(XUẤT!T:T,XUẤT!N:N,CBCNV!B25,XUẤT!O:O,CBCNV!$M$2)</f>
        <v>0</v>
      </c>
      <c r="N25" s="151">
        <f t="shared" si="5"/>
        <v>0</v>
      </c>
      <c r="O25" s="146">
        <f>SUMIFS(XUẤT!U:U,XUẤT!N:N,CBCNV!B25,XUẤT!O:O,CBCNV!$O$2)</f>
        <v>0</v>
      </c>
      <c r="P25" s="151">
        <f t="shared" si="6"/>
        <v>0</v>
      </c>
      <c r="Q25" s="32"/>
      <c r="R25" s="18"/>
    </row>
    <row r="26" spans="1:20" s="152" customFormat="1" x14ac:dyDescent="0.3">
      <c r="A26" s="149"/>
      <c r="B26" s="33" t="s">
        <v>681</v>
      </c>
      <c r="C26" s="149" t="s">
        <v>683</v>
      </c>
      <c r="D26" s="149" t="s">
        <v>80</v>
      </c>
      <c r="E26" s="146">
        <f>SUMIFS(XUẤT!P:P,XUẤT!N:N,CBCNV!B26,XUẤT!O:O,CBCNV!$E$2)</f>
        <v>5</v>
      </c>
      <c r="F26" s="151">
        <f t="shared" ref="F26" si="7">E26*$T$10</f>
        <v>490000</v>
      </c>
      <c r="G26" s="146">
        <f>SUMIFS(XUẤT!Q:Q,XUẤT!N:N,CBCNV!B26,XUẤT!O:O,CBCNV!$G$2)</f>
        <v>0</v>
      </c>
      <c r="H26" s="150">
        <f t="shared" ref="H26" si="8">G26*$T$8</f>
        <v>0</v>
      </c>
      <c r="I26" s="146">
        <f>SUMIFS(XUẤT!R:R,XUẤT!N:N,CBCNV!B26,XUẤT!O:O,CBCNV!$I$2)</f>
        <v>0</v>
      </c>
      <c r="J26" s="151">
        <f t="shared" ref="J26" si="9">I26*$T$9</f>
        <v>0</v>
      </c>
      <c r="K26" s="146">
        <f>SUMIFS(XUẤT!S:S,XUẤT!N:N,CBCNV!B26,XUẤT!O:O,CBCNV!$K$2)</f>
        <v>0</v>
      </c>
      <c r="L26" s="151">
        <f t="shared" ref="L26" si="10">K26*$T$11</f>
        <v>0</v>
      </c>
      <c r="M26" s="146">
        <f>SUMIFS(XUẤT!T:T,XUẤT!N:N,CBCNV!B26,XUẤT!O:O,CBCNV!$M$2)</f>
        <v>0</v>
      </c>
      <c r="N26" s="151">
        <f t="shared" ref="N26" si="11">M26*$T$12</f>
        <v>0</v>
      </c>
      <c r="O26" s="146">
        <f>SUMIFS(XUẤT!U:U,XUẤT!N:N,CBCNV!B26,XUẤT!O:O,CBCNV!$O$2)</f>
        <v>0</v>
      </c>
      <c r="P26" s="151">
        <f t="shared" ref="P26" si="12">O26*$T$13</f>
        <v>0</v>
      </c>
      <c r="Q26" s="32"/>
      <c r="R26" s="18"/>
    </row>
    <row r="27" spans="1:20" s="152" customFormat="1" x14ac:dyDescent="0.3">
      <c r="A27" s="149">
        <v>20</v>
      </c>
      <c r="B27" s="34" t="s">
        <v>105</v>
      </c>
      <c r="C27" s="153" t="s">
        <v>106</v>
      </c>
      <c r="D27" s="153" t="s">
        <v>80</v>
      </c>
      <c r="E27" s="146">
        <f>SUMIFS(XUẤT!P:P,XUẤT!N:N,CBCNV!B27,XUẤT!O:O,CBCNV!$E$2)</f>
        <v>0</v>
      </c>
      <c r="F27" s="151">
        <f t="shared" si="1"/>
        <v>0</v>
      </c>
      <c r="G27" s="146">
        <f>SUMIFS(XUẤT!Q:Q,XUẤT!N:N,CBCNV!B27,XUẤT!O:O,CBCNV!$G$2)</f>
        <v>0</v>
      </c>
      <c r="H27" s="150">
        <f t="shared" si="2"/>
        <v>0</v>
      </c>
      <c r="I27" s="146">
        <f>SUMIFS(XUẤT!R:R,XUẤT!N:N,CBCNV!B27,XUẤT!O:O,CBCNV!$I$2)</f>
        <v>0</v>
      </c>
      <c r="J27" s="151">
        <f t="shared" si="3"/>
        <v>0</v>
      </c>
      <c r="K27" s="146">
        <f>SUMIFS(XUẤT!S:S,XUẤT!N:N,CBCNV!B27,XUẤT!O:O,CBCNV!$K$2)</f>
        <v>0</v>
      </c>
      <c r="L27" s="151">
        <f t="shared" si="4"/>
        <v>0</v>
      </c>
      <c r="M27" s="146">
        <f>SUMIFS(XUẤT!T:T,XUẤT!N:N,CBCNV!B27,XUẤT!O:O,CBCNV!$M$2)</f>
        <v>0</v>
      </c>
      <c r="N27" s="151">
        <f t="shared" si="5"/>
        <v>0</v>
      </c>
      <c r="O27" s="146">
        <f>SUMIFS(XUẤT!U:U,XUẤT!N:N,CBCNV!B27,XUẤT!O:O,CBCNV!$O$2)</f>
        <v>0</v>
      </c>
      <c r="P27" s="151">
        <f t="shared" si="6"/>
        <v>0</v>
      </c>
      <c r="Q27" s="32"/>
      <c r="R27" s="21"/>
      <c r="S27" s="148"/>
      <c r="T27" s="148"/>
    </row>
    <row r="28" spans="1:20" s="152" customFormat="1" x14ac:dyDescent="0.3">
      <c r="A28" s="149">
        <v>21</v>
      </c>
      <c r="B28" s="10" t="s">
        <v>44</v>
      </c>
      <c r="C28" s="149" t="s">
        <v>107</v>
      </c>
      <c r="D28" s="149" t="s">
        <v>80</v>
      </c>
      <c r="E28" s="146">
        <f>SUMIFS(XUẤT!P:P,XUẤT!N:N,CBCNV!B28,XUẤT!O:O,CBCNV!$E$2)</f>
        <v>0</v>
      </c>
      <c r="F28" s="151">
        <f t="shared" si="1"/>
        <v>0</v>
      </c>
      <c r="G28" s="146">
        <f>SUMIFS(XUẤT!Q:Q,XUẤT!N:N,CBCNV!B28,XUẤT!O:O,CBCNV!$G$2)</f>
        <v>0</v>
      </c>
      <c r="H28" s="150">
        <f t="shared" si="2"/>
        <v>0</v>
      </c>
      <c r="I28" s="146">
        <f>SUMIFS(XUẤT!R:R,XUẤT!N:N,CBCNV!B28,XUẤT!O:O,CBCNV!$I$2)</f>
        <v>0</v>
      </c>
      <c r="J28" s="151">
        <f t="shared" si="3"/>
        <v>0</v>
      </c>
      <c r="K28" s="146">
        <f>SUMIFS(XUẤT!S:S,XUẤT!N:N,CBCNV!B28,XUẤT!O:O,CBCNV!$K$2)</f>
        <v>0</v>
      </c>
      <c r="L28" s="151">
        <f t="shared" si="4"/>
        <v>0</v>
      </c>
      <c r="M28" s="146">
        <f>SUMIFS(XUẤT!T:T,XUẤT!N:N,CBCNV!B28,XUẤT!O:O,CBCNV!$M$2)</f>
        <v>0</v>
      </c>
      <c r="N28" s="151">
        <f t="shared" si="5"/>
        <v>0</v>
      </c>
      <c r="O28" s="146">
        <f>SUMIFS(XUẤT!U:U,XUẤT!N:N,CBCNV!B28,XUẤT!O:O,CBCNV!$O$2)</f>
        <v>0</v>
      </c>
      <c r="P28" s="151">
        <f t="shared" si="6"/>
        <v>0</v>
      </c>
      <c r="Q28" s="32"/>
      <c r="R28" s="18"/>
    </row>
    <row r="29" spans="1:20" s="152" customFormat="1" x14ac:dyDescent="0.3">
      <c r="A29" s="149">
        <v>22</v>
      </c>
      <c r="B29" s="10" t="s">
        <v>108</v>
      </c>
      <c r="C29" s="149" t="s">
        <v>109</v>
      </c>
      <c r="D29" s="149" t="s">
        <v>80</v>
      </c>
      <c r="E29" s="146">
        <f>SUMIFS(XUẤT!P:P,XUẤT!N:N,CBCNV!B29,XUẤT!O:O,CBCNV!$E$2)</f>
        <v>0</v>
      </c>
      <c r="F29" s="151">
        <f t="shared" si="1"/>
        <v>0</v>
      </c>
      <c r="G29" s="146">
        <f>SUMIFS(XUẤT!Q:Q,XUẤT!N:N,CBCNV!B29,XUẤT!O:O,CBCNV!$G$2)</f>
        <v>0</v>
      </c>
      <c r="H29" s="150">
        <f t="shared" si="2"/>
        <v>0</v>
      </c>
      <c r="I29" s="146">
        <f>SUMIFS(XUẤT!R:R,XUẤT!N:N,CBCNV!B29,XUẤT!O:O,CBCNV!$I$2)</f>
        <v>0</v>
      </c>
      <c r="J29" s="151">
        <f t="shared" si="3"/>
        <v>0</v>
      </c>
      <c r="K29" s="146">
        <f>SUMIFS(XUẤT!S:S,XUẤT!N:N,CBCNV!B29,XUẤT!O:O,CBCNV!$K$2)</f>
        <v>0</v>
      </c>
      <c r="L29" s="151">
        <f t="shared" si="4"/>
        <v>0</v>
      </c>
      <c r="M29" s="146">
        <f>SUMIFS(XUẤT!T:T,XUẤT!N:N,CBCNV!B29,XUẤT!O:O,CBCNV!$M$2)</f>
        <v>0</v>
      </c>
      <c r="N29" s="151">
        <f t="shared" si="5"/>
        <v>0</v>
      </c>
      <c r="O29" s="146">
        <f>SUMIFS(XUẤT!U:U,XUẤT!N:N,CBCNV!B29,XUẤT!O:O,CBCNV!$O$2)</f>
        <v>0</v>
      </c>
      <c r="P29" s="151">
        <f t="shared" si="6"/>
        <v>0</v>
      </c>
      <c r="Q29" s="32"/>
      <c r="R29" s="18"/>
    </row>
    <row r="30" spans="1:20" s="148" customFormat="1" x14ac:dyDescent="0.3">
      <c r="A30" s="149">
        <v>23</v>
      </c>
      <c r="B30" s="10" t="s">
        <v>110</v>
      </c>
      <c r="C30" s="149" t="s">
        <v>109</v>
      </c>
      <c r="D30" s="149" t="s">
        <v>80</v>
      </c>
      <c r="E30" s="146">
        <f>SUMIFS(XUẤT!P:P,XUẤT!N:N,CBCNV!B30,XUẤT!O:O,CBCNV!$E$2)</f>
        <v>0</v>
      </c>
      <c r="F30" s="151">
        <f t="shared" si="1"/>
        <v>0</v>
      </c>
      <c r="G30" s="146">
        <f>SUMIFS(XUẤT!Q:Q,XUẤT!N:N,CBCNV!B30,XUẤT!O:O,CBCNV!$G$2)</f>
        <v>0</v>
      </c>
      <c r="H30" s="150">
        <f t="shared" si="2"/>
        <v>0</v>
      </c>
      <c r="I30" s="146">
        <f>SUMIFS(XUẤT!R:R,XUẤT!N:N,CBCNV!B30,XUẤT!O:O,CBCNV!$I$2)</f>
        <v>0</v>
      </c>
      <c r="J30" s="151">
        <f t="shared" si="3"/>
        <v>0</v>
      </c>
      <c r="K30" s="146">
        <f>SUMIFS(XUẤT!S:S,XUẤT!N:N,CBCNV!B30,XUẤT!O:O,CBCNV!$K$2)</f>
        <v>0</v>
      </c>
      <c r="L30" s="151">
        <f t="shared" si="4"/>
        <v>0</v>
      </c>
      <c r="M30" s="146">
        <f>SUMIFS(XUẤT!T:T,XUẤT!N:N,CBCNV!B30,XUẤT!O:O,CBCNV!$M$2)</f>
        <v>0</v>
      </c>
      <c r="N30" s="151">
        <f t="shared" si="5"/>
        <v>0</v>
      </c>
      <c r="O30" s="146">
        <f>SUMIFS(XUẤT!U:U,XUẤT!N:N,CBCNV!B30,XUẤT!O:O,CBCNV!$O$2)</f>
        <v>0</v>
      </c>
      <c r="P30" s="151">
        <f t="shared" si="6"/>
        <v>0</v>
      </c>
      <c r="Q30" s="32"/>
      <c r="R30" s="18"/>
      <c r="S30" s="152"/>
      <c r="T30" s="152"/>
    </row>
    <row r="31" spans="1:20" s="152" customFormat="1" x14ac:dyDescent="0.3">
      <c r="A31" s="149">
        <v>24</v>
      </c>
      <c r="B31" s="10" t="s">
        <v>111</v>
      </c>
      <c r="C31" s="149" t="s">
        <v>109</v>
      </c>
      <c r="D31" s="149" t="s">
        <v>80</v>
      </c>
      <c r="E31" s="146">
        <f>SUMIFS(XUẤT!P:P,XUẤT!N:N,CBCNV!B31,XUẤT!O:O,CBCNV!$E$2)</f>
        <v>0</v>
      </c>
      <c r="F31" s="151">
        <f t="shared" si="1"/>
        <v>0</v>
      </c>
      <c r="G31" s="146">
        <f>SUMIFS(XUẤT!Q:Q,XUẤT!N:N,CBCNV!B31,XUẤT!O:O,CBCNV!$G$2)</f>
        <v>0</v>
      </c>
      <c r="H31" s="150">
        <f t="shared" si="2"/>
        <v>0</v>
      </c>
      <c r="I31" s="146">
        <f>SUMIFS(XUẤT!R:R,XUẤT!N:N,CBCNV!B31,XUẤT!O:O,CBCNV!$I$2)</f>
        <v>0</v>
      </c>
      <c r="J31" s="151">
        <f t="shared" si="3"/>
        <v>0</v>
      </c>
      <c r="K31" s="146">
        <f>SUMIFS(XUẤT!S:S,XUẤT!N:N,CBCNV!B31,XUẤT!O:O,CBCNV!$K$2)</f>
        <v>0</v>
      </c>
      <c r="L31" s="151">
        <f t="shared" si="4"/>
        <v>0</v>
      </c>
      <c r="M31" s="146">
        <f>SUMIFS(XUẤT!T:T,XUẤT!N:N,CBCNV!B31,XUẤT!O:O,CBCNV!$M$2)</f>
        <v>0</v>
      </c>
      <c r="N31" s="151">
        <f t="shared" si="5"/>
        <v>0</v>
      </c>
      <c r="O31" s="146">
        <f>SUMIFS(XUẤT!U:U,XUẤT!N:N,CBCNV!B31,XUẤT!O:O,CBCNV!$O$2)</f>
        <v>0</v>
      </c>
      <c r="P31" s="151">
        <f t="shared" si="6"/>
        <v>0</v>
      </c>
      <c r="Q31" s="32"/>
      <c r="R31" s="18"/>
    </row>
    <row r="32" spans="1:20" s="152" customFormat="1" x14ac:dyDescent="0.3">
      <c r="A32" s="149">
        <v>25</v>
      </c>
      <c r="B32" s="10" t="s">
        <v>112</v>
      </c>
      <c r="C32" s="149" t="s">
        <v>109</v>
      </c>
      <c r="D32" s="149" t="s">
        <v>80</v>
      </c>
      <c r="E32" s="146">
        <f>SUMIFS(XUẤT!P:P,XUẤT!N:N,CBCNV!B32,XUẤT!O:O,CBCNV!$E$2)</f>
        <v>0</v>
      </c>
      <c r="F32" s="151">
        <f t="shared" si="1"/>
        <v>0</v>
      </c>
      <c r="G32" s="146">
        <f>SUMIFS(XUẤT!Q:Q,XUẤT!N:N,CBCNV!B32,XUẤT!O:O,CBCNV!$G$2)</f>
        <v>0</v>
      </c>
      <c r="H32" s="150">
        <f t="shared" si="2"/>
        <v>0</v>
      </c>
      <c r="I32" s="146">
        <f>SUMIFS(XUẤT!R:R,XUẤT!N:N,CBCNV!B32,XUẤT!O:O,CBCNV!$I$2)</f>
        <v>0</v>
      </c>
      <c r="J32" s="151">
        <f t="shared" si="3"/>
        <v>0</v>
      </c>
      <c r="K32" s="146">
        <f>SUMIFS(XUẤT!S:S,XUẤT!N:N,CBCNV!B32,XUẤT!O:O,CBCNV!$K$2)</f>
        <v>0</v>
      </c>
      <c r="L32" s="151">
        <f t="shared" si="4"/>
        <v>0</v>
      </c>
      <c r="M32" s="146">
        <f>SUMIFS(XUẤT!T:T,XUẤT!N:N,CBCNV!B32,XUẤT!O:O,CBCNV!$M$2)</f>
        <v>0</v>
      </c>
      <c r="N32" s="151">
        <f t="shared" si="5"/>
        <v>0</v>
      </c>
      <c r="O32" s="146">
        <f>SUMIFS(XUẤT!U:U,XUẤT!N:N,CBCNV!B32,XUẤT!O:O,CBCNV!$O$2)</f>
        <v>0</v>
      </c>
      <c r="P32" s="151">
        <f t="shared" si="6"/>
        <v>0</v>
      </c>
      <c r="Q32" s="32"/>
      <c r="R32" s="18"/>
    </row>
    <row r="33" spans="1:20" s="152" customFormat="1" x14ac:dyDescent="0.3">
      <c r="A33" s="149">
        <v>26</v>
      </c>
      <c r="B33" s="34" t="s">
        <v>113</v>
      </c>
      <c r="C33" s="153" t="s">
        <v>114</v>
      </c>
      <c r="D33" s="153" t="s">
        <v>80</v>
      </c>
      <c r="E33" s="146">
        <f>SUMIFS(XUẤT!P:P,XUẤT!N:N,CBCNV!B33,XUẤT!O:O,CBCNV!$E$2)</f>
        <v>0</v>
      </c>
      <c r="F33" s="151">
        <f t="shared" si="1"/>
        <v>0</v>
      </c>
      <c r="G33" s="146">
        <f>SUMIFS(XUẤT!Q:Q,XUẤT!N:N,CBCNV!B33,XUẤT!O:O,CBCNV!$G$2)</f>
        <v>0</v>
      </c>
      <c r="H33" s="150">
        <f t="shared" si="2"/>
        <v>0</v>
      </c>
      <c r="I33" s="146">
        <f>SUMIFS(XUẤT!R:R,XUẤT!N:N,CBCNV!B33,XUẤT!O:O,CBCNV!$I$2)</f>
        <v>0</v>
      </c>
      <c r="J33" s="151">
        <f t="shared" si="3"/>
        <v>0</v>
      </c>
      <c r="K33" s="146">
        <f>SUMIFS(XUẤT!S:S,XUẤT!N:N,CBCNV!B33,XUẤT!O:O,CBCNV!$K$2)</f>
        <v>0</v>
      </c>
      <c r="L33" s="151">
        <f t="shared" si="4"/>
        <v>0</v>
      </c>
      <c r="M33" s="146">
        <f>SUMIFS(XUẤT!T:T,XUẤT!N:N,CBCNV!B33,XUẤT!O:O,CBCNV!$M$2)</f>
        <v>0</v>
      </c>
      <c r="N33" s="151">
        <f t="shared" si="5"/>
        <v>0</v>
      </c>
      <c r="O33" s="146">
        <f>SUMIFS(XUẤT!U:U,XUẤT!N:N,CBCNV!B33,XUẤT!O:O,CBCNV!$O$2)</f>
        <v>0</v>
      </c>
      <c r="P33" s="151">
        <f t="shared" si="6"/>
        <v>0</v>
      </c>
      <c r="Q33" s="32"/>
      <c r="R33" s="21"/>
      <c r="S33" s="148"/>
      <c r="T33" s="148"/>
    </row>
    <row r="34" spans="1:20" s="152" customFormat="1" x14ac:dyDescent="0.3">
      <c r="A34" s="149">
        <v>27</v>
      </c>
      <c r="B34" s="10" t="s">
        <v>115</v>
      </c>
      <c r="C34" s="149" t="s">
        <v>116</v>
      </c>
      <c r="D34" s="149" t="s">
        <v>80</v>
      </c>
      <c r="E34" s="146">
        <f>SUMIFS(XUẤT!P:P,XUẤT!N:N,CBCNV!B34,XUẤT!O:O,CBCNV!$E$2)</f>
        <v>0</v>
      </c>
      <c r="F34" s="151">
        <f t="shared" si="1"/>
        <v>0</v>
      </c>
      <c r="G34" s="146">
        <f>SUMIFS(XUẤT!Q:Q,XUẤT!N:N,CBCNV!B34,XUẤT!O:O,CBCNV!$G$2)</f>
        <v>10</v>
      </c>
      <c r="H34" s="150">
        <f t="shared" si="2"/>
        <v>850000</v>
      </c>
      <c r="I34" s="146">
        <f>SUMIFS(XUẤT!R:R,XUẤT!N:N,CBCNV!B34,XUẤT!O:O,CBCNV!$I$2)</f>
        <v>0</v>
      </c>
      <c r="J34" s="151">
        <f t="shared" si="3"/>
        <v>0</v>
      </c>
      <c r="K34" s="146">
        <f>SUMIFS(XUẤT!S:S,XUẤT!N:N,CBCNV!B34,XUẤT!O:O,CBCNV!$K$2)</f>
        <v>0</v>
      </c>
      <c r="L34" s="151">
        <f t="shared" si="4"/>
        <v>0</v>
      </c>
      <c r="M34" s="146">
        <f>SUMIFS(XUẤT!T:T,XUẤT!N:N,CBCNV!B34,XUẤT!O:O,CBCNV!$M$2)</f>
        <v>0</v>
      </c>
      <c r="N34" s="151">
        <f t="shared" si="5"/>
        <v>0</v>
      </c>
      <c r="O34" s="146">
        <f>SUMIFS(XUẤT!U:U,XUẤT!N:N,CBCNV!B34,XUẤT!O:O,CBCNV!$O$2)</f>
        <v>0</v>
      </c>
      <c r="P34" s="151">
        <f t="shared" si="6"/>
        <v>0</v>
      </c>
      <c r="Q34" s="32"/>
      <c r="R34" s="18"/>
    </row>
    <row r="35" spans="1:20" s="152" customFormat="1" x14ac:dyDescent="0.3">
      <c r="A35" s="149">
        <v>28</v>
      </c>
      <c r="B35" s="10" t="s">
        <v>117</v>
      </c>
      <c r="C35" s="149" t="s">
        <v>118</v>
      </c>
      <c r="D35" s="149" t="s">
        <v>80</v>
      </c>
      <c r="E35" s="146">
        <f>SUMIFS(XUẤT!P:P,XUẤT!N:N,CBCNV!B35,XUẤT!O:O,CBCNV!$E$2)</f>
        <v>0</v>
      </c>
      <c r="F35" s="151">
        <f t="shared" si="1"/>
        <v>0</v>
      </c>
      <c r="G35" s="146">
        <f>SUMIFS(XUẤT!Q:Q,XUẤT!N:N,CBCNV!B35,XUẤT!O:O,CBCNV!$G$2)</f>
        <v>2</v>
      </c>
      <c r="H35" s="150">
        <f t="shared" si="2"/>
        <v>170000</v>
      </c>
      <c r="I35" s="146">
        <f>SUMIFS(XUẤT!R:R,XUẤT!N:N,CBCNV!B35,XUẤT!O:O,CBCNV!$I$2)</f>
        <v>0</v>
      </c>
      <c r="J35" s="151">
        <f t="shared" si="3"/>
        <v>0</v>
      </c>
      <c r="K35" s="146">
        <f>SUMIFS(XUẤT!S:S,XUẤT!N:N,CBCNV!B35,XUẤT!O:O,CBCNV!$K$2)</f>
        <v>0</v>
      </c>
      <c r="L35" s="151">
        <f t="shared" si="4"/>
        <v>0</v>
      </c>
      <c r="M35" s="146">
        <f>SUMIFS(XUẤT!T:T,XUẤT!N:N,CBCNV!B35,XUẤT!O:O,CBCNV!$M$2)</f>
        <v>0</v>
      </c>
      <c r="N35" s="151">
        <f t="shared" si="5"/>
        <v>0</v>
      </c>
      <c r="O35" s="146">
        <f>SUMIFS(XUẤT!U:U,XUẤT!N:N,CBCNV!B35,XUẤT!O:O,CBCNV!$O$2)</f>
        <v>0</v>
      </c>
      <c r="P35" s="151">
        <f t="shared" si="6"/>
        <v>0</v>
      </c>
      <c r="Q35" s="32"/>
      <c r="R35" s="18"/>
    </row>
    <row r="36" spans="1:20" s="152" customFormat="1" x14ac:dyDescent="0.3">
      <c r="A36" s="149">
        <v>29</v>
      </c>
      <c r="B36" s="10" t="s">
        <v>119</v>
      </c>
      <c r="C36" s="149" t="s">
        <v>120</v>
      </c>
      <c r="D36" s="149" t="s">
        <v>80</v>
      </c>
      <c r="E36" s="146">
        <f>SUMIFS(XUẤT!P:P,XUẤT!N:N,CBCNV!B36,XUẤT!O:O,CBCNV!$E$2)</f>
        <v>0</v>
      </c>
      <c r="F36" s="151">
        <f t="shared" si="1"/>
        <v>0</v>
      </c>
      <c r="G36" s="146">
        <f>SUMIFS(XUẤT!Q:Q,XUẤT!N:N,CBCNV!B36,XUẤT!O:O,CBCNV!$G$2)</f>
        <v>0</v>
      </c>
      <c r="H36" s="150">
        <f t="shared" si="2"/>
        <v>0</v>
      </c>
      <c r="I36" s="146">
        <f>SUMIFS(XUẤT!R:R,XUẤT!N:N,CBCNV!B36,XUẤT!O:O,CBCNV!$I$2)</f>
        <v>0</v>
      </c>
      <c r="J36" s="151">
        <f t="shared" si="3"/>
        <v>0</v>
      </c>
      <c r="K36" s="146">
        <f>SUMIFS(XUẤT!S:S,XUẤT!N:N,CBCNV!B36,XUẤT!O:O,CBCNV!$K$2)</f>
        <v>0</v>
      </c>
      <c r="L36" s="151">
        <f t="shared" si="4"/>
        <v>0</v>
      </c>
      <c r="M36" s="146">
        <f>SUMIFS(XUẤT!T:T,XUẤT!N:N,CBCNV!B36,XUẤT!O:O,CBCNV!$M$2)</f>
        <v>0</v>
      </c>
      <c r="N36" s="151">
        <f t="shared" si="5"/>
        <v>0</v>
      </c>
      <c r="O36" s="146">
        <f>SUMIFS(XUẤT!U:U,XUẤT!N:N,CBCNV!B36,XUẤT!O:O,CBCNV!$O$2)</f>
        <v>0</v>
      </c>
      <c r="P36" s="151">
        <f t="shared" si="6"/>
        <v>0</v>
      </c>
      <c r="Q36" s="32"/>
      <c r="R36" s="18"/>
    </row>
    <row r="37" spans="1:20" s="152" customFormat="1" x14ac:dyDescent="0.3">
      <c r="A37" s="149">
        <v>30</v>
      </c>
      <c r="B37" s="10" t="s">
        <v>121</v>
      </c>
      <c r="C37" s="149" t="s">
        <v>120</v>
      </c>
      <c r="D37" s="149" t="s">
        <v>80</v>
      </c>
      <c r="E37" s="146">
        <f>SUMIFS(XUẤT!P:P,XUẤT!N:N,CBCNV!B37,XUẤT!O:O,CBCNV!$E$2)</f>
        <v>0</v>
      </c>
      <c r="F37" s="151">
        <f t="shared" si="1"/>
        <v>0</v>
      </c>
      <c r="G37" s="146">
        <f>SUMIFS(XUẤT!Q:Q,XUẤT!N:N,CBCNV!B37,XUẤT!O:O,CBCNV!$G$2)</f>
        <v>0</v>
      </c>
      <c r="H37" s="150">
        <f t="shared" si="2"/>
        <v>0</v>
      </c>
      <c r="I37" s="146">
        <f>SUMIFS(XUẤT!R:R,XUẤT!N:N,CBCNV!B37,XUẤT!O:O,CBCNV!$I$2)</f>
        <v>0</v>
      </c>
      <c r="J37" s="151">
        <f t="shared" si="3"/>
        <v>0</v>
      </c>
      <c r="K37" s="146">
        <f>SUMIFS(XUẤT!S:S,XUẤT!N:N,CBCNV!B37,XUẤT!O:O,CBCNV!$K$2)</f>
        <v>0</v>
      </c>
      <c r="L37" s="151">
        <f t="shared" si="4"/>
        <v>0</v>
      </c>
      <c r="M37" s="146">
        <f>SUMIFS(XUẤT!T:T,XUẤT!N:N,CBCNV!B37,XUẤT!O:O,CBCNV!$M$2)</f>
        <v>0</v>
      </c>
      <c r="N37" s="151">
        <f t="shared" si="5"/>
        <v>0</v>
      </c>
      <c r="O37" s="146">
        <f>SUMIFS(XUẤT!U:U,XUẤT!N:N,CBCNV!B37,XUẤT!O:O,CBCNV!$O$2)</f>
        <v>0</v>
      </c>
      <c r="P37" s="151">
        <f t="shared" si="6"/>
        <v>0</v>
      </c>
      <c r="Q37" s="32"/>
      <c r="R37" s="18"/>
    </row>
    <row r="38" spans="1:20" s="152" customFormat="1" x14ac:dyDescent="0.3">
      <c r="A38" s="149">
        <v>31</v>
      </c>
      <c r="B38" s="10" t="s">
        <v>122</v>
      </c>
      <c r="C38" s="149" t="s">
        <v>123</v>
      </c>
      <c r="D38" s="149" t="s">
        <v>80</v>
      </c>
      <c r="E38" s="146">
        <f>SUMIFS(XUẤT!P:P,XUẤT!N:N,CBCNV!B38,XUẤT!O:O,CBCNV!$E$2)</f>
        <v>1</v>
      </c>
      <c r="F38" s="151">
        <f t="shared" si="1"/>
        <v>98000</v>
      </c>
      <c r="G38" s="146">
        <f>SUMIFS(XUẤT!Q:Q,XUẤT!N:N,CBCNV!B38,XUẤT!O:O,CBCNV!$G$2)</f>
        <v>0</v>
      </c>
      <c r="H38" s="150">
        <f t="shared" si="2"/>
        <v>0</v>
      </c>
      <c r="I38" s="146">
        <f>SUMIFS(XUẤT!R:R,XUẤT!N:N,CBCNV!B38,XUẤT!O:O,CBCNV!$I$2)</f>
        <v>0</v>
      </c>
      <c r="J38" s="151">
        <f t="shared" si="3"/>
        <v>0</v>
      </c>
      <c r="K38" s="146">
        <f>SUMIFS(XUẤT!S:S,XUẤT!N:N,CBCNV!B38,XUẤT!O:O,CBCNV!$K$2)</f>
        <v>0</v>
      </c>
      <c r="L38" s="151">
        <f t="shared" si="4"/>
        <v>0</v>
      </c>
      <c r="M38" s="146">
        <f>SUMIFS(XUẤT!T:T,XUẤT!N:N,CBCNV!B38,XUẤT!O:O,CBCNV!$M$2)</f>
        <v>0</v>
      </c>
      <c r="N38" s="151">
        <f t="shared" si="5"/>
        <v>0</v>
      </c>
      <c r="O38" s="146">
        <f>SUMIFS(XUẤT!U:U,XUẤT!N:N,CBCNV!B38,XUẤT!O:O,CBCNV!$O$2)</f>
        <v>0</v>
      </c>
      <c r="P38" s="151">
        <f t="shared" si="6"/>
        <v>0</v>
      </c>
      <c r="Q38" s="32"/>
      <c r="R38" s="18"/>
    </row>
    <row r="39" spans="1:20" s="152" customFormat="1" x14ac:dyDescent="0.3">
      <c r="A39" s="149">
        <v>32</v>
      </c>
      <c r="B39" s="10" t="s">
        <v>124</v>
      </c>
      <c r="C39" s="149" t="s">
        <v>125</v>
      </c>
      <c r="D39" s="149" t="s">
        <v>80</v>
      </c>
      <c r="E39" s="146">
        <f>SUMIFS(XUẤT!P:P,XUẤT!N:N,CBCNV!B39,XUẤT!O:O,CBCNV!$E$2)</f>
        <v>0</v>
      </c>
      <c r="F39" s="151">
        <f t="shared" si="1"/>
        <v>0</v>
      </c>
      <c r="G39" s="146">
        <f>SUMIFS(XUẤT!Q:Q,XUẤT!N:N,CBCNV!B39,XUẤT!O:O,CBCNV!$G$2)</f>
        <v>0</v>
      </c>
      <c r="H39" s="150">
        <f t="shared" si="2"/>
        <v>0</v>
      </c>
      <c r="I39" s="146">
        <f>SUMIFS(XUẤT!R:R,XUẤT!N:N,CBCNV!B39,XUẤT!O:O,CBCNV!$I$2)</f>
        <v>0</v>
      </c>
      <c r="J39" s="151">
        <f t="shared" si="3"/>
        <v>0</v>
      </c>
      <c r="K39" s="146">
        <f>SUMIFS(XUẤT!S:S,XUẤT!N:N,CBCNV!B39,XUẤT!O:O,CBCNV!$K$2)</f>
        <v>0</v>
      </c>
      <c r="L39" s="151">
        <f t="shared" si="4"/>
        <v>0</v>
      </c>
      <c r="M39" s="146">
        <f>SUMIFS(XUẤT!T:T,XUẤT!N:N,CBCNV!B39,XUẤT!O:O,CBCNV!$M$2)</f>
        <v>0</v>
      </c>
      <c r="N39" s="151">
        <f t="shared" si="5"/>
        <v>0</v>
      </c>
      <c r="O39" s="146">
        <f>SUMIFS(XUẤT!U:U,XUẤT!N:N,CBCNV!B39,XUẤT!O:O,CBCNV!$O$2)</f>
        <v>0</v>
      </c>
      <c r="P39" s="151">
        <f t="shared" si="6"/>
        <v>0</v>
      </c>
      <c r="Q39" s="32"/>
      <c r="R39" s="18"/>
    </row>
    <row r="40" spans="1:20" s="152" customFormat="1" x14ac:dyDescent="0.3">
      <c r="A40" s="149">
        <v>33</v>
      </c>
      <c r="B40" s="10" t="s">
        <v>126</v>
      </c>
      <c r="C40" s="149" t="s">
        <v>125</v>
      </c>
      <c r="D40" s="149" t="s">
        <v>80</v>
      </c>
      <c r="E40" s="146">
        <f>SUMIFS(XUẤT!P:P,XUẤT!N:N,CBCNV!B40,XUẤT!O:O,CBCNV!$E$2)</f>
        <v>18</v>
      </c>
      <c r="F40" s="151">
        <f t="shared" ref="F40:F71" si="13">E40*$T$10</f>
        <v>1764000</v>
      </c>
      <c r="G40" s="146">
        <f>SUMIFS(XUẤT!Q:Q,XUẤT!N:N,CBCNV!B40,XUẤT!O:O,CBCNV!$G$2)</f>
        <v>0</v>
      </c>
      <c r="H40" s="150">
        <f t="shared" ref="H40:H71" si="14">G40*$T$8</f>
        <v>0</v>
      </c>
      <c r="I40" s="146">
        <f>SUMIFS(XUẤT!R:R,XUẤT!N:N,CBCNV!B40,XUẤT!O:O,CBCNV!$I$2)</f>
        <v>0</v>
      </c>
      <c r="J40" s="151">
        <f t="shared" ref="J40:J71" si="15">I40*$T$9</f>
        <v>0</v>
      </c>
      <c r="K40" s="146">
        <f>SUMIFS(XUẤT!S:S,XUẤT!N:N,CBCNV!B40,XUẤT!O:O,CBCNV!$K$2)</f>
        <v>0</v>
      </c>
      <c r="L40" s="151">
        <f t="shared" ref="L40:L71" si="16">K40*$T$11</f>
        <v>0</v>
      </c>
      <c r="M40" s="146">
        <f>SUMIFS(XUẤT!T:T,XUẤT!N:N,CBCNV!B40,XUẤT!O:O,CBCNV!$M$2)</f>
        <v>0</v>
      </c>
      <c r="N40" s="151">
        <f t="shared" ref="N40:N71" si="17">M40*$T$12</f>
        <v>0</v>
      </c>
      <c r="O40" s="146">
        <f>SUMIFS(XUẤT!U:U,XUẤT!N:N,CBCNV!B40,XUẤT!O:O,CBCNV!$O$2)</f>
        <v>0</v>
      </c>
      <c r="P40" s="151">
        <f t="shared" ref="P40:P71" si="18">O40*$T$13</f>
        <v>0</v>
      </c>
      <c r="Q40" s="32"/>
      <c r="R40" s="18"/>
    </row>
    <row r="41" spans="1:20" s="152" customFormat="1" x14ac:dyDescent="0.3">
      <c r="A41" s="149">
        <v>34</v>
      </c>
      <c r="B41" s="10" t="s">
        <v>127</v>
      </c>
      <c r="C41" s="149" t="s">
        <v>125</v>
      </c>
      <c r="D41" s="149" t="s">
        <v>80</v>
      </c>
      <c r="E41" s="146">
        <f>SUMIFS(XUẤT!P:P,XUẤT!N:N,CBCNV!B41,XUẤT!O:O,CBCNV!$E$2)</f>
        <v>1</v>
      </c>
      <c r="F41" s="151">
        <f t="shared" si="13"/>
        <v>98000</v>
      </c>
      <c r="G41" s="146">
        <f>SUMIFS(XUẤT!Q:Q,XUẤT!N:N,CBCNV!B41,XUẤT!O:O,CBCNV!$G$2)</f>
        <v>0</v>
      </c>
      <c r="H41" s="150">
        <f t="shared" si="14"/>
        <v>0</v>
      </c>
      <c r="I41" s="146">
        <f>SUMIFS(XUẤT!R:R,XUẤT!N:N,CBCNV!B41,XUẤT!O:O,CBCNV!$I$2)</f>
        <v>0</v>
      </c>
      <c r="J41" s="151">
        <f t="shared" si="15"/>
        <v>0</v>
      </c>
      <c r="K41" s="146">
        <f>SUMIFS(XUẤT!S:S,XUẤT!N:N,CBCNV!B41,XUẤT!O:O,CBCNV!$K$2)</f>
        <v>0</v>
      </c>
      <c r="L41" s="151">
        <f t="shared" si="16"/>
        <v>0</v>
      </c>
      <c r="M41" s="146">
        <f>SUMIFS(XUẤT!T:T,XUẤT!N:N,CBCNV!B41,XUẤT!O:O,CBCNV!$M$2)</f>
        <v>0</v>
      </c>
      <c r="N41" s="151">
        <f t="shared" si="17"/>
        <v>0</v>
      </c>
      <c r="O41" s="146">
        <f>SUMIFS(XUẤT!U:U,XUẤT!N:N,CBCNV!B41,XUẤT!O:O,CBCNV!$O$2)</f>
        <v>0</v>
      </c>
      <c r="P41" s="151">
        <f t="shared" si="18"/>
        <v>0</v>
      </c>
      <c r="Q41" s="32"/>
      <c r="R41" s="18"/>
    </row>
    <row r="42" spans="1:20" s="152" customFormat="1" x14ac:dyDescent="0.3">
      <c r="A42" s="149">
        <v>35</v>
      </c>
      <c r="B42" s="10" t="s">
        <v>128</v>
      </c>
      <c r="C42" s="149" t="s">
        <v>125</v>
      </c>
      <c r="D42" s="149" t="s">
        <v>80</v>
      </c>
      <c r="E42" s="146">
        <f>SUMIFS(XUẤT!P:P,XUẤT!N:N,CBCNV!B42,XUẤT!O:O,CBCNV!$E$2)</f>
        <v>0</v>
      </c>
      <c r="F42" s="151">
        <f t="shared" si="13"/>
        <v>0</v>
      </c>
      <c r="G42" s="146">
        <f>SUMIFS(XUẤT!Q:Q,XUẤT!N:N,CBCNV!B42,XUẤT!O:O,CBCNV!$G$2)</f>
        <v>0</v>
      </c>
      <c r="H42" s="150">
        <f t="shared" si="14"/>
        <v>0</v>
      </c>
      <c r="I42" s="146">
        <f>SUMIFS(XUẤT!R:R,XUẤT!N:N,CBCNV!B42,XUẤT!O:O,CBCNV!$I$2)</f>
        <v>0</v>
      </c>
      <c r="J42" s="151">
        <f t="shared" si="15"/>
        <v>0</v>
      </c>
      <c r="K42" s="146">
        <f>SUMIFS(XUẤT!S:S,XUẤT!N:N,CBCNV!B42,XUẤT!O:O,CBCNV!$K$2)</f>
        <v>0</v>
      </c>
      <c r="L42" s="151">
        <f t="shared" si="16"/>
        <v>0</v>
      </c>
      <c r="M42" s="146">
        <f>SUMIFS(XUẤT!T:T,XUẤT!N:N,CBCNV!B42,XUẤT!O:O,CBCNV!$M$2)</f>
        <v>0</v>
      </c>
      <c r="N42" s="151">
        <f t="shared" si="17"/>
        <v>0</v>
      </c>
      <c r="O42" s="146">
        <f>SUMIFS(XUẤT!U:U,XUẤT!N:N,CBCNV!B42,XUẤT!O:O,CBCNV!$O$2)</f>
        <v>0</v>
      </c>
      <c r="P42" s="151">
        <f t="shared" si="18"/>
        <v>0</v>
      </c>
      <c r="Q42" s="32"/>
      <c r="R42" s="18"/>
    </row>
    <row r="43" spans="1:20" s="152" customFormat="1" x14ac:dyDescent="0.3">
      <c r="A43" s="149">
        <v>36</v>
      </c>
      <c r="B43" s="10" t="s">
        <v>129</v>
      </c>
      <c r="C43" s="149" t="s">
        <v>125</v>
      </c>
      <c r="D43" s="149" t="s">
        <v>80</v>
      </c>
      <c r="E43" s="146">
        <f>SUMIFS(XUẤT!P:P,XUẤT!N:N,CBCNV!B43,XUẤT!O:O,CBCNV!$E$2)</f>
        <v>1</v>
      </c>
      <c r="F43" s="151">
        <f t="shared" si="13"/>
        <v>98000</v>
      </c>
      <c r="G43" s="146">
        <f>SUMIFS(XUẤT!Q:Q,XUẤT!N:N,CBCNV!B43,XUẤT!O:O,CBCNV!$G$2)</f>
        <v>0</v>
      </c>
      <c r="H43" s="150">
        <f t="shared" si="14"/>
        <v>0</v>
      </c>
      <c r="I43" s="146">
        <f>SUMIFS(XUẤT!R:R,XUẤT!N:N,CBCNV!B43,XUẤT!O:O,CBCNV!$I$2)</f>
        <v>0</v>
      </c>
      <c r="J43" s="151">
        <f t="shared" si="15"/>
        <v>0</v>
      </c>
      <c r="K43" s="146">
        <f>SUMIFS(XUẤT!S:S,XUẤT!N:N,CBCNV!B43,XUẤT!O:O,CBCNV!$K$2)</f>
        <v>0</v>
      </c>
      <c r="L43" s="151">
        <f t="shared" si="16"/>
        <v>0</v>
      </c>
      <c r="M43" s="146">
        <f>SUMIFS(XUẤT!T:T,XUẤT!N:N,CBCNV!B43,XUẤT!O:O,CBCNV!$M$2)</f>
        <v>0</v>
      </c>
      <c r="N43" s="151">
        <f t="shared" si="17"/>
        <v>0</v>
      </c>
      <c r="O43" s="146">
        <f>SUMIFS(XUẤT!U:U,XUẤT!N:N,CBCNV!B43,XUẤT!O:O,CBCNV!$O$2)</f>
        <v>0</v>
      </c>
      <c r="P43" s="151">
        <f t="shared" si="18"/>
        <v>0</v>
      </c>
      <c r="Q43" s="32"/>
      <c r="R43" s="18"/>
    </row>
    <row r="44" spans="1:20" s="152" customFormat="1" x14ac:dyDescent="0.3">
      <c r="A44" s="149">
        <v>37</v>
      </c>
      <c r="B44" s="10" t="s">
        <v>130</v>
      </c>
      <c r="C44" s="149" t="s">
        <v>131</v>
      </c>
      <c r="D44" s="149" t="s">
        <v>80</v>
      </c>
      <c r="E44" s="146">
        <f>SUMIFS(XUẤT!P:P,XUẤT!N:N,CBCNV!B44,XUẤT!O:O,CBCNV!$E$2)</f>
        <v>0</v>
      </c>
      <c r="F44" s="151">
        <f t="shared" si="13"/>
        <v>0</v>
      </c>
      <c r="G44" s="146">
        <f>SUMIFS(XUẤT!Q:Q,XUẤT!N:N,CBCNV!B44,XUẤT!O:O,CBCNV!$G$2)</f>
        <v>0</v>
      </c>
      <c r="H44" s="150">
        <f t="shared" si="14"/>
        <v>0</v>
      </c>
      <c r="I44" s="146">
        <f>SUMIFS(XUẤT!R:R,XUẤT!N:N,CBCNV!B44,XUẤT!O:O,CBCNV!$I$2)</f>
        <v>0</v>
      </c>
      <c r="J44" s="151">
        <f t="shared" si="15"/>
        <v>0</v>
      </c>
      <c r="K44" s="146">
        <f>SUMIFS(XUẤT!S:S,XUẤT!N:N,CBCNV!B44,XUẤT!O:O,CBCNV!$K$2)</f>
        <v>0</v>
      </c>
      <c r="L44" s="151">
        <f t="shared" si="16"/>
        <v>0</v>
      </c>
      <c r="M44" s="146">
        <f>SUMIFS(XUẤT!T:T,XUẤT!N:N,CBCNV!B44,XUẤT!O:O,CBCNV!$M$2)</f>
        <v>0</v>
      </c>
      <c r="N44" s="151">
        <f t="shared" si="17"/>
        <v>0</v>
      </c>
      <c r="O44" s="146">
        <f>SUMIFS(XUẤT!U:U,XUẤT!N:N,CBCNV!B44,XUẤT!O:O,CBCNV!$O$2)</f>
        <v>0</v>
      </c>
      <c r="P44" s="151">
        <f t="shared" si="18"/>
        <v>0</v>
      </c>
      <c r="Q44" s="32"/>
      <c r="R44" s="18"/>
    </row>
    <row r="45" spans="1:20" s="152" customFormat="1" x14ac:dyDescent="0.3">
      <c r="A45" s="149">
        <v>38</v>
      </c>
      <c r="B45" s="10" t="s">
        <v>132</v>
      </c>
      <c r="C45" s="149" t="s">
        <v>133</v>
      </c>
      <c r="D45" s="149" t="s">
        <v>80</v>
      </c>
      <c r="E45" s="146">
        <f>SUMIFS(XUẤT!P:P,XUẤT!N:N,CBCNV!B45,XUẤT!O:O,CBCNV!$E$2)</f>
        <v>0</v>
      </c>
      <c r="F45" s="151">
        <f t="shared" si="13"/>
        <v>0</v>
      </c>
      <c r="G45" s="146">
        <f>SUMIFS(XUẤT!Q:Q,XUẤT!N:N,CBCNV!B45,XUẤT!O:O,CBCNV!$G$2)</f>
        <v>0</v>
      </c>
      <c r="H45" s="150">
        <f t="shared" si="14"/>
        <v>0</v>
      </c>
      <c r="I45" s="146">
        <f>SUMIFS(XUẤT!R:R,XUẤT!N:N,CBCNV!B45,XUẤT!O:O,CBCNV!$I$2)</f>
        <v>0</v>
      </c>
      <c r="J45" s="151">
        <f t="shared" si="15"/>
        <v>0</v>
      </c>
      <c r="K45" s="146">
        <f>SUMIFS(XUẤT!S:S,XUẤT!N:N,CBCNV!B45,XUẤT!O:O,CBCNV!$K$2)</f>
        <v>0</v>
      </c>
      <c r="L45" s="151">
        <f t="shared" si="16"/>
        <v>0</v>
      </c>
      <c r="M45" s="146">
        <f>SUMIFS(XUẤT!T:T,XUẤT!N:N,CBCNV!B45,XUẤT!O:O,CBCNV!$M$2)</f>
        <v>0</v>
      </c>
      <c r="N45" s="151">
        <f t="shared" si="17"/>
        <v>0</v>
      </c>
      <c r="O45" s="146">
        <f>SUMIFS(XUẤT!U:U,XUẤT!N:N,CBCNV!B45,XUẤT!O:O,CBCNV!$O$2)</f>
        <v>0</v>
      </c>
      <c r="P45" s="151">
        <f t="shared" si="18"/>
        <v>0</v>
      </c>
      <c r="Q45" s="32"/>
      <c r="R45" s="18"/>
    </row>
    <row r="46" spans="1:20" s="152" customFormat="1" x14ac:dyDescent="0.3">
      <c r="A46" s="149">
        <v>39</v>
      </c>
      <c r="B46" s="10" t="s">
        <v>134</v>
      </c>
      <c r="C46" s="149" t="s">
        <v>135</v>
      </c>
      <c r="D46" s="149" t="s">
        <v>80</v>
      </c>
      <c r="E46" s="146">
        <f>SUMIFS(XUẤT!P:P,XUẤT!N:N,CBCNV!B46,XUẤT!O:O,CBCNV!$E$2)</f>
        <v>4</v>
      </c>
      <c r="F46" s="151">
        <f t="shared" si="13"/>
        <v>392000</v>
      </c>
      <c r="G46" s="146">
        <f>SUMIFS(XUẤT!Q:Q,XUẤT!N:N,CBCNV!B46,XUẤT!O:O,CBCNV!$G$2)</f>
        <v>0</v>
      </c>
      <c r="H46" s="150">
        <f t="shared" si="14"/>
        <v>0</v>
      </c>
      <c r="I46" s="146">
        <f>SUMIFS(XUẤT!R:R,XUẤT!N:N,CBCNV!B46,XUẤT!O:O,CBCNV!$I$2)</f>
        <v>0</v>
      </c>
      <c r="J46" s="151">
        <f t="shared" si="15"/>
        <v>0</v>
      </c>
      <c r="K46" s="146">
        <f>SUMIFS(XUẤT!S:S,XUẤT!N:N,CBCNV!B46,XUẤT!O:O,CBCNV!$K$2)</f>
        <v>0</v>
      </c>
      <c r="L46" s="151">
        <f t="shared" si="16"/>
        <v>0</v>
      </c>
      <c r="M46" s="146">
        <f>SUMIFS(XUẤT!T:T,XUẤT!N:N,CBCNV!B46,XUẤT!O:O,CBCNV!$M$2)</f>
        <v>0</v>
      </c>
      <c r="N46" s="151">
        <f t="shared" si="17"/>
        <v>0</v>
      </c>
      <c r="O46" s="146">
        <f>SUMIFS(XUẤT!U:U,XUẤT!N:N,CBCNV!B46,XUẤT!O:O,CBCNV!$O$2)</f>
        <v>0</v>
      </c>
      <c r="P46" s="151">
        <f t="shared" si="18"/>
        <v>0</v>
      </c>
      <c r="Q46" s="32"/>
      <c r="R46" s="18"/>
    </row>
    <row r="47" spans="1:20" s="152" customFormat="1" x14ac:dyDescent="0.3">
      <c r="A47" s="149">
        <v>40</v>
      </c>
      <c r="B47" s="10" t="s">
        <v>136</v>
      </c>
      <c r="C47" s="149" t="s">
        <v>137</v>
      </c>
      <c r="D47" s="149" t="s">
        <v>80</v>
      </c>
      <c r="E47" s="146">
        <f>SUMIFS(XUẤT!P:P,XUẤT!N:N,CBCNV!B47,XUẤT!O:O,CBCNV!$E$2)</f>
        <v>0</v>
      </c>
      <c r="F47" s="151">
        <f t="shared" si="13"/>
        <v>0</v>
      </c>
      <c r="G47" s="146">
        <f>SUMIFS(XUẤT!Q:Q,XUẤT!N:N,CBCNV!B47,XUẤT!O:O,CBCNV!$G$2)</f>
        <v>0</v>
      </c>
      <c r="H47" s="150">
        <f t="shared" si="14"/>
        <v>0</v>
      </c>
      <c r="I47" s="146">
        <f>SUMIFS(XUẤT!R:R,XUẤT!N:N,CBCNV!B47,XUẤT!O:O,CBCNV!$I$2)</f>
        <v>0</v>
      </c>
      <c r="J47" s="151">
        <f t="shared" si="15"/>
        <v>0</v>
      </c>
      <c r="K47" s="146">
        <f>SUMIFS(XUẤT!S:S,XUẤT!N:N,CBCNV!B47,XUẤT!O:O,CBCNV!$K$2)</f>
        <v>0</v>
      </c>
      <c r="L47" s="151">
        <f t="shared" si="16"/>
        <v>0</v>
      </c>
      <c r="M47" s="146">
        <f>SUMIFS(XUẤT!T:T,XUẤT!N:N,CBCNV!B47,XUẤT!O:O,CBCNV!$M$2)</f>
        <v>0</v>
      </c>
      <c r="N47" s="151">
        <f t="shared" si="17"/>
        <v>0</v>
      </c>
      <c r="O47" s="146">
        <f>SUMIFS(XUẤT!U:U,XUẤT!N:N,CBCNV!B47,XUẤT!O:O,CBCNV!$O$2)</f>
        <v>0</v>
      </c>
      <c r="P47" s="151">
        <f t="shared" si="18"/>
        <v>0</v>
      </c>
      <c r="Q47" s="32"/>
      <c r="R47" s="18"/>
    </row>
    <row r="48" spans="1:20" s="152" customFormat="1" x14ac:dyDescent="0.3">
      <c r="A48" s="149">
        <v>41</v>
      </c>
      <c r="B48" s="10" t="s">
        <v>138</v>
      </c>
      <c r="C48" s="149" t="s">
        <v>137</v>
      </c>
      <c r="D48" s="149" t="s">
        <v>80</v>
      </c>
      <c r="E48" s="146">
        <f>SUMIFS(XUẤT!P:P,XUẤT!N:N,CBCNV!B48,XUẤT!O:O,CBCNV!$E$2)</f>
        <v>0</v>
      </c>
      <c r="F48" s="151">
        <f t="shared" si="13"/>
        <v>0</v>
      </c>
      <c r="G48" s="146">
        <f>SUMIFS(XUẤT!Q:Q,XUẤT!N:N,CBCNV!B48,XUẤT!O:O,CBCNV!$G$2)</f>
        <v>0</v>
      </c>
      <c r="H48" s="150">
        <f t="shared" si="14"/>
        <v>0</v>
      </c>
      <c r="I48" s="146">
        <f>SUMIFS(XUẤT!R:R,XUẤT!N:N,CBCNV!B48,XUẤT!O:O,CBCNV!$I$2)</f>
        <v>0</v>
      </c>
      <c r="J48" s="151">
        <f t="shared" si="15"/>
        <v>0</v>
      </c>
      <c r="K48" s="146">
        <f>SUMIFS(XUẤT!S:S,XUẤT!N:N,CBCNV!B48,XUẤT!O:O,CBCNV!$K$2)</f>
        <v>0</v>
      </c>
      <c r="L48" s="151">
        <f t="shared" si="16"/>
        <v>0</v>
      </c>
      <c r="M48" s="146">
        <f>SUMIFS(XUẤT!T:T,XUẤT!N:N,CBCNV!B48,XUẤT!O:O,CBCNV!$M$2)</f>
        <v>0</v>
      </c>
      <c r="N48" s="151">
        <f t="shared" si="17"/>
        <v>0</v>
      </c>
      <c r="O48" s="146">
        <f>SUMIFS(XUẤT!U:U,XUẤT!N:N,CBCNV!B48,XUẤT!O:O,CBCNV!$O$2)</f>
        <v>0</v>
      </c>
      <c r="P48" s="151">
        <f t="shared" si="18"/>
        <v>0</v>
      </c>
      <c r="Q48" s="32"/>
      <c r="R48" s="18"/>
    </row>
    <row r="49" spans="1:20" s="152" customFormat="1" x14ac:dyDescent="0.3">
      <c r="A49" s="149">
        <v>42</v>
      </c>
      <c r="B49" s="10" t="s">
        <v>51</v>
      </c>
      <c r="C49" s="149" t="s">
        <v>137</v>
      </c>
      <c r="D49" s="149" t="s">
        <v>80</v>
      </c>
      <c r="E49" s="146">
        <f>SUMIFS(XUẤT!P:P,XUẤT!N:N,CBCNV!B49,XUẤT!O:O,CBCNV!$E$2)</f>
        <v>10</v>
      </c>
      <c r="F49" s="151">
        <f t="shared" si="13"/>
        <v>980000</v>
      </c>
      <c r="G49" s="146">
        <f>SUMIFS(XUẤT!Q:Q,XUẤT!N:N,CBCNV!B49,XUẤT!O:O,CBCNV!$G$2)</f>
        <v>0</v>
      </c>
      <c r="H49" s="150">
        <f t="shared" si="14"/>
        <v>0</v>
      </c>
      <c r="I49" s="146">
        <f>SUMIFS(XUẤT!R:R,XUẤT!N:N,CBCNV!B49,XUẤT!O:O,CBCNV!$I$2)</f>
        <v>0</v>
      </c>
      <c r="J49" s="151">
        <f t="shared" si="15"/>
        <v>0</v>
      </c>
      <c r="K49" s="146">
        <f>SUMIFS(XUẤT!S:S,XUẤT!N:N,CBCNV!B49,XUẤT!O:O,CBCNV!$K$2)</f>
        <v>0</v>
      </c>
      <c r="L49" s="151">
        <f t="shared" si="16"/>
        <v>0</v>
      </c>
      <c r="M49" s="146">
        <f>SUMIFS(XUẤT!T:T,XUẤT!N:N,CBCNV!B49,XUẤT!O:O,CBCNV!$M$2)</f>
        <v>0</v>
      </c>
      <c r="N49" s="151">
        <f t="shared" si="17"/>
        <v>0</v>
      </c>
      <c r="O49" s="146">
        <f>SUMIFS(XUẤT!U:U,XUẤT!N:N,CBCNV!B49,XUẤT!O:O,CBCNV!$O$2)</f>
        <v>0</v>
      </c>
      <c r="P49" s="151">
        <f t="shared" si="18"/>
        <v>0</v>
      </c>
      <c r="Q49" s="32"/>
      <c r="R49" s="18"/>
    </row>
    <row r="50" spans="1:20" s="152" customFormat="1" x14ac:dyDescent="0.3">
      <c r="A50" s="149">
        <v>43</v>
      </c>
      <c r="B50" s="10" t="s">
        <v>139</v>
      </c>
      <c r="C50" s="149" t="s">
        <v>137</v>
      </c>
      <c r="D50" s="149" t="s">
        <v>80</v>
      </c>
      <c r="E50" s="146">
        <f>SUMIFS(XUẤT!P:P,XUẤT!N:N,CBCNV!B50,XUẤT!O:O,CBCNV!$E$2)</f>
        <v>0</v>
      </c>
      <c r="F50" s="151">
        <f t="shared" si="13"/>
        <v>0</v>
      </c>
      <c r="G50" s="146">
        <f>SUMIFS(XUẤT!Q:Q,XUẤT!N:N,CBCNV!B50,XUẤT!O:O,CBCNV!$G$2)</f>
        <v>0</v>
      </c>
      <c r="H50" s="150">
        <f t="shared" si="14"/>
        <v>0</v>
      </c>
      <c r="I50" s="146">
        <f>SUMIFS(XUẤT!R:R,XUẤT!N:N,CBCNV!B50,XUẤT!O:O,CBCNV!$I$2)</f>
        <v>0</v>
      </c>
      <c r="J50" s="151">
        <f t="shared" si="15"/>
        <v>0</v>
      </c>
      <c r="K50" s="146">
        <f>SUMIFS(XUẤT!S:S,XUẤT!N:N,CBCNV!B50,XUẤT!O:O,CBCNV!$K$2)</f>
        <v>0</v>
      </c>
      <c r="L50" s="151">
        <f t="shared" si="16"/>
        <v>0</v>
      </c>
      <c r="M50" s="146">
        <f>SUMIFS(XUẤT!T:T,XUẤT!N:N,CBCNV!B50,XUẤT!O:O,CBCNV!$M$2)</f>
        <v>0</v>
      </c>
      <c r="N50" s="151">
        <f t="shared" si="17"/>
        <v>0</v>
      </c>
      <c r="O50" s="146">
        <f>SUMIFS(XUẤT!U:U,XUẤT!N:N,CBCNV!B50,XUẤT!O:O,CBCNV!$O$2)</f>
        <v>0</v>
      </c>
      <c r="P50" s="151">
        <f t="shared" si="18"/>
        <v>0</v>
      </c>
      <c r="Q50" s="32"/>
      <c r="R50" s="18"/>
    </row>
    <row r="51" spans="1:20" s="152" customFormat="1" x14ac:dyDescent="0.3">
      <c r="A51" s="149">
        <v>44</v>
      </c>
      <c r="B51" s="10" t="s">
        <v>140</v>
      </c>
      <c r="C51" s="149" t="s">
        <v>141</v>
      </c>
      <c r="D51" s="149" t="s">
        <v>80</v>
      </c>
      <c r="E51" s="146">
        <f>SUMIFS(XUẤT!P:P,XUẤT!N:N,CBCNV!B51,XUẤT!O:O,CBCNV!$E$2)</f>
        <v>0</v>
      </c>
      <c r="F51" s="151">
        <f t="shared" si="13"/>
        <v>0</v>
      </c>
      <c r="G51" s="146">
        <f>SUMIFS(XUẤT!Q:Q,XUẤT!N:N,CBCNV!B51,XUẤT!O:O,CBCNV!$G$2)</f>
        <v>0</v>
      </c>
      <c r="H51" s="150">
        <f t="shared" si="14"/>
        <v>0</v>
      </c>
      <c r="I51" s="146">
        <f>SUMIFS(XUẤT!R:R,XUẤT!N:N,CBCNV!B51,XUẤT!O:O,CBCNV!$I$2)</f>
        <v>0</v>
      </c>
      <c r="J51" s="151">
        <f t="shared" si="15"/>
        <v>0</v>
      </c>
      <c r="K51" s="146">
        <f>SUMIFS(XUẤT!S:S,XUẤT!N:N,CBCNV!B51,XUẤT!O:O,CBCNV!$K$2)</f>
        <v>0</v>
      </c>
      <c r="L51" s="151">
        <f t="shared" si="16"/>
        <v>0</v>
      </c>
      <c r="M51" s="146">
        <f>SUMIFS(XUẤT!T:T,XUẤT!N:N,CBCNV!B51,XUẤT!O:O,CBCNV!$M$2)</f>
        <v>0</v>
      </c>
      <c r="N51" s="151">
        <f t="shared" si="17"/>
        <v>0</v>
      </c>
      <c r="O51" s="146">
        <f>SUMIFS(XUẤT!U:U,XUẤT!N:N,CBCNV!B51,XUẤT!O:O,CBCNV!$O$2)</f>
        <v>0</v>
      </c>
      <c r="P51" s="151">
        <f t="shared" si="18"/>
        <v>0</v>
      </c>
      <c r="Q51" s="32"/>
      <c r="R51" s="18"/>
    </row>
    <row r="52" spans="1:20" s="152" customFormat="1" x14ac:dyDescent="0.3">
      <c r="A52" s="149">
        <v>45</v>
      </c>
      <c r="B52" s="10" t="s">
        <v>142</v>
      </c>
      <c r="C52" s="149" t="s">
        <v>137</v>
      </c>
      <c r="D52" s="149" t="s">
        <v>80</v>
      </c>
      <c r="E52" s="146">
        <f>SUMIFS(XUẤT!P:P,XUẤT!N:N,CBCNV!B52,XUẤT!O:O,CBCNV!$E$2)</f>
        <v>0</v>
      </c>
      <c r="F52" s="151">
        <f t="shared" si="13"/>
        <v>0</v>
      </c>
      <c r="G52" s="146">
        <f>SUMIFS(XUẤT!Q:Q,XUẤT!N:N,CBCNV!B52,XUẤT!O:O,CBCNV!$G$2)</f>
        <v>0</v>
      </c>
      <c r="H52" s="150">
        <f t="shared" si="14"/>
        <v>0</v>
      </c>
      <c r="I52" s="146">
        <f>SUMIFS(XUẤT!R:R,XUẤT!N:N,CBCNV!B52,XUẤT!O:O,CBCNV!$I$2)</f>
        <v>0</v>
      </c>
      <c r="J52" s="151">
        <f t="shared" si="15"/>
        <v>0</v>
      </c>
      <c r="K52" s="146">
        <f>SUMIFS(XUẤT!S:S,XUẤT!N:N,CBCNV!B52,XUẤT!O:O,CBCNV!$K$2)</f>
        <v>0</v>
      </c>
      <c r="L52" s="151">
        <f t="shared" si="16"/>
        <v>0</v>
      </c>
      <c r="M52" s="146">
        <f>SUMIFS(XUẤT!T:T,XUẤT!N:N,CBCNV!B52,XUẤT!O:O,CBCNV!$M$2)</f>
        <v>0</v>
      </c>
      <c r="N52" s="151">
        <f t="shared" si="17"/>
        <v>0</v>
      </c>
      <c r="O52" s="146">
        <f>SUMIFS(XUẤT!U:U,XUẤT!N:N,CBCNV!B52,XUẤT!O:O,CBCNV!$O$2)</f>
        <v>0</v>
      </c>
      <c r="P52" s="151">
        <f t="shared" si="18"/>
        <v>0</v>
      </c>
      <c r="Q52" s="32"/>
      <c r="R52" s="18"/>
    </row>
    <row r="53" spans="1:20" s="152" customFormat="1" x14ac:dyDescent="0.3">
      <c r="A53" s="149">
        <v>46</v>
      </c>
      <c r="B53" s="10" t="s">
        <v>143</v>
      </c>
      <c r="C53" s="149" t="s">
        <v>144</v>
      </c>
      <c r="D53" s="149" t="s">
        <v>80</v>
      </c>
      <c r="E53" s="146">
        <f>SUMIFS(XUẤT!P:P,XUẤT!N:N,CBCNV!B53,XUẤT!O:O,CBCNV!$E$2)</f>
        <v>4</v>
      </c>
      <c r="F53" s="151">
        <f t="shared" si="13"/>
        <v>392000</v>
      </c>
      <c r="G53" s="146">
        <f>SUMIFS(XUẤT!Q:Q,XUẤT!N:N,CBCNV!B53,XUẤT!O:O,CBCNV!$G$2)</f>
        <v>0</v>
      </c>
      <c r="H53" s="150">
        <f t="shared" si="14"/>
        <v>0</v>
      </c>
      <c r="I53" s="146">
        <f>SUMIFS(XUẤT!R:R,XUẤT!N:N,CBCNV!B53,XUẤT!O:O,CBCNV!$I$2)</f>
        <v>0</v>
      </c>
      <c r="J53" s="151">
        <f t="shared" si="15"/>
        <v>0</v>
      </c>
      <c r="K53" s="146">
        <f>SUMIFS(XUẤT!S:S,XUẤT!N:N,CBCNV!B53,XUẤT!O:O,CBCNV!$K$2)</f>
        <v>0</v>
      </c>
      <c r="L53" s="151">
        <f t="shared" si="16"/>
        <v>0</v>
      </c>
      <c r="M53" s="146">
        <f>SUMIFS(XUẤT!T:T,XUẤT!N:N,CBCNV!B53,XUẤT!O:O,CBCNV!$M$2)</f>
        <v>0</v>
      </c>
      <c r="N53" s="151">
        <f t="shared" si="17"/>
        <v>0</v>
      </c>
      <c r="O53" s="146">
        <f>SUMIFS(XUẤT!U:U,XUẤT!N:N,CBCNV!B53,XUẤT!O:O,CBCNV!$O$2)</f>
        <v>0</v>
      </c>
      <c r="P53" s="151">
        <f t="shared" si="18"/>
        <v>0</v>
      </c>
      <c r="Q53" s="32"/>
      <c r="R53" s="18"/>
    </row>
    <row r="54" spans="1:20" s="152" customFormat="1" x14ac:dyDescent="0.3">
      <c r="A54" s="149">
        <v>47</v>
      </c>
      <c r="B54" s="10" t="s">
        <v>145</v>
      </c>
      <c r="C54" s="149" t="s">
        <v>146</v>
      </c>
      <c r="D54" s="149" t="s">
        <v>80</v>
      </c>
      <c r="E54" s="146">
        <f>SUMIFS(XUẤT!P:P,XUẤT!N:N,CBCNV!B54,XUẤT!O:O,CBCNV!$E$2)</f>
        <v>0</v>
      </c>
      <c r="F54" s="151">
        <f t="shared" si="13"/>
        <v>0</v>
      </c>
      <c r="G54" s="146">
        <f>SUMIFS(XUẤT!Q:Q,XUẤT!N:N,CBCNV!B54,XUẤT!O:O,CBCNV!$G$2)</f>
        <v>0</v>
      </c>
      <c r="H54" s="150">
        <f t="shared" si="14"/>
        <v>0</v>
      </c>
      <c r="I54" s="146">
        <f>SUMIFS(XUẤT!R:R,XUẤT!N:N,CBCNV!B54,XUẤT!O:O,CBCNV!$I$2)</f>
        <v>0</v>
      </c>
      <c r="J54" s="151">
        <f t="shared" si="15"/>
        <v>0</v>
      </c>
      <c r="K54" s="146">
        <f>SUMIFS(XUẤT!S:S,XUẤT!N:N,CBCNV!B54,XUẤT!O:O,CBCNV!$K$2)</f>
        <v>0</v>
      </c>
      <c r="L54" s="151">
        <f t="shared" si="16"/>
        <v>0</v>
      </c>
      <c r="M54" s="146">
        <f>SUMIFS(XUẤT!T:T,XUẤT!N:N,CBCNV!B54,XUẤT!O:O,CBCNV!$M$2)</f>
        <v>0</v>
      </c>
      <c r="N54" s="151">
        <f t="shared" si="17"/>
        <v>0</v>
      </c>
      <c r="O54" s="146">
        <f>SUMIFS(XUẤT!U:U,XUẤT!N:N,CBCNV!B54,XUẤT!O:O,CBCNV!$O$2)</f>
        <v>0</v>
      </c>
      <c r="P54" s="151">
        <f t="shared" si="18"/>
        <v>0</v>
      </c>
      <c r="Q54" s="32"/>
      <c r="R54" s="18"/>
    </row>
    <row r="55" spans="1:20" s="152" customFormat="1" x14ac:dyDescent="0.3">
      <c r="A55" s="149">
        <v>48</v>
      </c>
      <c r="B55" s="10" t="s">
        <v>147</v>
      </c>
      <c r="C55" s="149" t="s">
        <v>137</v>
      </c>
      <c r="D55" s="149" t="s">
        <v>80</v>
      </c>
      <c r="E55" s="146">
        <f>SUMIFS(XUẤT!P:P,XUẤT!N:N,CBCNV!B55,XUẤT!O:O,CBCNV!$E$2)</f>
        <v>0</v>
      </c>
      <c r="F55" s="151">
        <f t="shared" si="13"/>
        <v>0</v>
      </c>
      <c r="G55" s="146">
        <f>SUMIFS(XUẤT!Q:Q,XUẤT!N:N,CBCNV!B55,XUẤT!O:O,CBCNV!$G$2)</f>
        <v>0</v>
      </c>
      <c r="H55" s="150">
        <f t="shared" si="14"/>
        <v>0</v>
      </c>
      <c r="I55" s="146">
        <f>SUMIFS(XUẤT!R:R,XUẤT!N:N,CBCNV!B55,XUẤT!O:O,CBCNV!$I$2)</f>
        <v>0</v>
      </c>
      <c r="J55" s="151">
        <f t="shared" si="15"/>
        <v>0</v>
      </c>
      <c r="K55" s="146">
        <f>SUMIFS(XUẤT!S:S,XUẤT!N:N,CBCNV!B55,XUẤT!O:O,CBCNV!$K$2)</f>
        <v>0</v>
      </c>
      <c r="L55" s="151">
        <f t="shared" si="16"/>
        <v>0</v>
      </c>
      <c r="M55" s="146">
        <f>SUMIFS(XUẤT!T:T,XUẤT!N:N,CBCNV!B55,XUẤT!O:O,CBCNV!$M$2)</f>
        <v>0</v>
      </c>
      <c r="N55" s="151">
        <f t="shared" si="17"/>
        <v>0</v>
      </c>
      <c r="O55" s="146">
        <f>SUMIFS(XUẤT!U:U,XUẤT!N:N,CBCNV!B55,XUẤT!O:O,CBCNV!$O$2)</f>
        <v>0</v>
      </c>
      <c r="P55" s="151">
        <f t="shared" si="18"/>
        <v>0</v>
      </c>
      <c r="Q55" s="32"/>
      <c r="R55" s="18"/>
    </row>
    <row r="56" spans="1:20" s="148" customFormat="1" x14ac:dyDescent="0.3">
      <c r="A56" s="149">
        <v>49</v>
      </c>
      <c r="B56" s="10" t="s">
        <v>148</v>
      </c>
      <c r="C56" s="149" t="s">
        <v>149</v>
      </c>
      <c r="D56" s="149" t="s">
        <v>80</v>
      </c>
      <c r="E56" s="146">
        <f>SUMIFS(XUẤT!P:P,XUẤT!N:N,CBCNV!B56,XUẤT!O:O,CBCNV!$E$2)</f>
        <v>0</v>
      </c>
      <c r="F56" s="151">
        <f t="shared" si="13"/>
        <v>0</v>
      </c>
      <c r="G56" s="146">
        <f>SUMIFS(XUẤT!Q:Q,XUẤT!N:N,CBCNV!B56,XUẤT!O:O,CBCNV!$G$2)</f>
        <v>0</v>
      </c>
      <c r="H56" s="150">
        <f t="shared" si="14"/>
        <v>0</v>
      </c>
      <c r="I56" s="146">
        <f>SUMIFS(XUẤT!R:R,XUẤT!N:N,CBCNV!B56,XUẤT!O:O,CBCNV!$I$2)</f>
        <v>0</v>
      </c>
      <c r="J56" s="151">
        <f t="shared" si="15"/>
        <v>0</v>
      </c>
      <c r="K56" s="146">
        <f>SUMIFS(XUẤT!S:S,XUẤT!N:N,CBCNV!B56,XUẤT!O:O,CBCNV!$K$2)</f>
        <v>0</v>
      </c>
      <c r="L56" s="151">
        <f t="shared" si="16"/>
        <v>0</v>
      </c>
      <c r="M56" s="146">
        <f>SUMIFS(XUẤT!T:T,XUẤT!N:N,CBCNV!B56,XUẤT!O:O,CBCNV!$M$2)</f>
        <v>0</v>
      </c>
      <c r="N56" s="151">
        <f t="shared" si="17"/>
        <v>0</v>
      </c>
      <c r="O56" s="146">
        <f>SUMIFS(XUẤT!U:U,XUẤT!N:N,CBCNV!B56,XUẤT!O:O,CBCNV!$O$2)</f>
        <v>0</v>
      </c>
      <c r="P56" s="151">
        <f t="shared" si="18"/>
        <v>0</v>
      </c>
      <c r="Q56" s="32"/>
      <c r="R56" s="18"/>
      <c r="S56" s="152"/>
      <c r="T56" s="152"/>
    </row>
    <row r="57" spans="1:20" s="152" customFormat="1" x14ac:dyDescent="0.3">
      <c r="A57" s="149">
        <v>50</v>
      </c>
      <c r="B57" s="10" t="s">
        <v>37</v>
      </c>
      <c r="C57" s="149" t="s">
        <v>150</v>
      </c>
      <c r="D57" s="149" t="s">
        <v>80</v>
      </c>
      <c r="E57" s="146">
        <f>SUMIFS(XUẤT!P:P,XUẤT!N:N,CBCNV!B57,XUẤT!O:O,CBCNV!$E$2)</f>
        <v>133</v>
      </c>
      <c r="F57" s="151">
        <f t="shared" si="13"/>
        <v>13034000</v>
      </c>
      <c r="G57" s="146">
        <f>SUMIFS(XUẤT!Q:Q,XUẤT!N:N,CBCNV!B57,XUẤT!O:O,CBCNV!$G$2)</f>
        <v>20</v>
      </c>
      <c r="H57" s="150">
        <f t="shared" si="14"/>
        <v>1700000</v>
      </c>
      <c r="I57" s="146">
        <f>SUMIFS(XUẤT!R:R,XUẤT!N:N,CBCNV!B57,XUẤT!O:O,CBCNV!$I$2)</f>
        <v>0</v>
      </c>
      <c r="J57" s="151">
        <f t="shared" si="15"/>
        <v>0</v>
      </c>
      <c r="K57" s="146">
        <f>SUMIFS(XUẤT!S:S,XUẤT!N:N,CBCNV!B57,XUẤT!O:O,CBCNV!$K$2)</f>
        <v>0</v>
      </c>
      <c r="L57" s="151">
        <f t="shared" si="16"/>
        <v>0</v>
      </c>
      <c r="M57" s="146">
        <f>SUMIFS(XUẤT!T:T,XUẤT!N:N,CBCNV!B57,XUẤT!O:O,CBCNV!$M$2)</f>
        <v>4</v>
      </c>
      <c r="N57" s="151">
        <f t="shared" si="17"/>
        <v>208000</v>
      </c>
      <c r="O57" s="146">
        <f>SUMIFS(XUẤT!U:U,XUẤT!N:N,CBCNV!B57,XUẤT!O:O,CBCNV!$O$2)</f>
        <v>24</v>
      </c>
      <c r="P57" s="151">
        <f t="shared" si="18"/>
        <v>1152000</v>
      </c>
      <c r="Q57" s="32"/>
      <c r="R57" s="18"/>
    </row>
    <row r="58" spans="1:20" s="152" customFormat="1" x14ac:dyDescent="0.3">
      <c r="A58" s="149">
        <v>51</v>
      </c>
      <c r="B58" s="154" t="s">
        <v>151</v>
      </c>
      <c r="C58" s="149" t="s">
        <v>150</v>
      </c>
      <c r="D58" s="149" t="s">
        <v>80</v>
      </c>
      <c r="E58" s="146">
        <f>SUMIFS(XUẤT!P:P,XUẤT!N:N,CBCNV!B58,XUẤT!O:O,CBCNV!$E$2)</f>
        <v>0</v>
      </c>
      <c r="F58" s="151">
        <f t="shared" si="13"/>
        <v>0</v>
      </c>
      <c r="G58" s="146">
        <f>SUMIFS(XUẤT!Q:Q,XUẤT!N:N,CBCNV!B58,XUẤT!O:O,CBCNV!$G$2)</f>
        <v>0</v>
      </c>
      <c r="H58" s="150">
        <f t="shared" si="14"/>
        <v>0</v>
      </c>
      <c r="I58" s="146">
        <f>SUMIFS(XUẤT!R:R,XUẤT!N:N,CBCNV!B58,XUẤT!O:O,CBCNV!$I$2)</f>
        <v>0</v>
      </c>
      <c r="J58" s="151">
        <f t="shared" si="15"/>
        <v>0</v>
      </c>
      <c r="K58" s="146">
        <f>SUMIFS(XUẤT!S:S,XUẤT!N:N,CBCNV!B58,XUẤT!O:O,CBCNV!$K$2)</f>
        <v>0</v>
      </c>
      <c r="L58" s="151">
        <f t="shared" si="16"/>
        <v>0</v>
      </c>
      <c r="M58" s="146">
        <f>SUMIFS(XUẤT!T:T,XUẤT!N:N,CBCNV!B58,XUẤT!O:O,CBCNV!$M$2)</f>
        <v>0</v>
      </c>
      <c r="N58" s="151">
        <f t="shared" si="17"/>
        <v>0</v>
      </c>
      <c r="O58" s="146">
        <f>SUMIFS(XUẤT!U:U,XUẤT!N:N,CBCNV!B58,XUẤT!O:O,CBCNV!$O$2)</f>
        <v>0</v>
      </c>
      <c r="P58" s="151">
        <f t="shared" si="18"/>
        <v>0</v>
      </c>
      <c r="Q58" s="32"/>
      <c r="R58" s="18"/>
    </row>
    <row r="59" spans="1:20" s="152" customFormat="1" x14ac:dyDescent="0.3">
      <c r="A59" s="149">
        <v>52</v>
      </c>
      <c r="B59" s="34" t="s">
        <v>152</v>
      </c>
      <c r="C59" s="153" t="s">
        <v>153</v>
      </c>
      <c r="D59" s="153" t="s">
        <v>154</v>
      </c>
      <c r="E59" s="146">
        <f>SUMIFS(XUẤT!P:P,XUẤT!N:N,CBCNV!B59,XUẤT!O:O,CBCNV!$E$2)</f>
        <v>0</v>
      </c>
      <c r="F59" s="151">
        <f t="shared" si="13"/>
        <v>0</v>
      </c>
      <c r="G59" s="146">
        <f>SUMIFS(XUẤT!Q:Q,XUẤT!N:N,CBCNV!B59,XUẤT!O:O,CBCNV!$G$2)</f>
        <v>0</v>
      </c>
      <c r="H59" s="150">
        <f t="shared" si="14"/>
        <v>0</v>
      </c>
      <c r="I59" s="146">
        <f>SUMIFS(XUẤT!R:R,XUẤT!N:N,CBCNV!B59,XUẤT!O:O,CBCNV!$I$2)</f>
        <v>0</v>
      </c>
      <c r="J59" s="151">
        <f t="shared" si="15"/>
        <v>0</v>
      </c>
      <c r="K59" s="146">
        <f>SUMIFS(XUẤT!S:S,XUẤT!N:N,CBCNV!B59,XUẤT!O:O,CBCNV!$K$2)</f>
        <v>0</v>
      </c>
      <c r="L59" s="151">
        <f t="shared" si="16"/>
        <v>0</v>
      </c>
      <c r="M59" s="146">
        <f>SUMIFS(XUẤT!T:T,XUẤT!N:N,CBCNV!B59,XUẤT!O:O,CBCNV!$M$2)</f>
        <v>0</v>
      </c>
      <c r="N59" s="151">
        <f t="shared" si="17"/>
        <v>0</v>
      </c>
      <c r="O59" s="146">
        <f>SUMIFS(XUẤT!U:U,XUẤT!N:N,CBCNV!B59,XUẤT!O:O,CBCNV!$O$2)</f>
        <v>0</v>
      </c>
      <c r="P59" s="151">
        <f t="shared" si="18"/>
        <v>0</v>
      </c>
      <c r="Q59" s="32"/>
      <c r="R59" s="21"/>
      <c r="S59" s="148"/>
      <c r="T59" s="148"/>
    </row>
    <row r="60" spans="1:20" s="152" customFormat="1" x14ac:dyDescent="0.3">
      <c r="A60" s="149">
        <v>53</v>
      </c>
      <c r="B60" s="10" t="s">
        <v>155</v>
      </c>
      <c r="C60" s="149" t="s">
        <v>156</v>
      </c>
      <c r="D60" s="149" t="s">
        <v>154</v>
      </c>
      <c r="E60" s="146">
        <f>SUMIFS(XUẤT!P:P,XUẤT!N:N,CBCNV!B60,XUẤT!O:O,CBCNV!$E$2)</f>
        <v>0</v>
      </c>
      <c r="F60" s="151">
        <f t="shared" si="13"/>
        <v>0</v>
      </c>
      <c r="G60" s="146">
        <f>SUMIFS(XUẤT!Q:Q,XUẤT!N:N,CBCNV!B60,XUẤT!O:O,CBCNV!$G$2)</f>
        <v>0</v>
      </c>
      <c r="H60" s="150">
        <f t="shared" si="14"/>
        <v>0</v>
      </c>
      <c r="I60" s="146">
        <f>SUMIFS(XUẤT!R:R,XUẤT!N:N,CBCNV!B60,XUẤT!O:O,CBCNV!$I$2)</f>
        <v>0</v>
      </c>
      <c r="J60" s="151">
        <f t="shared" si="15"/>
        <v>0</v>
      </c>
      <c r="K60" s="146">
        <f>SUMIFS(XUẤT!S:S,XUẤT!N:N,CBCNV!B60,XUẤT!O:O,CBCNV!$K$2)</f>
        <v>0</v>
      </c>
      <c r="L60" s="151">
        <f t="shared" si="16"/>
        <v>0</v>
      </c>
      <c r="M60" s="146">
        <f>SUMIFS(XUẤT!T:T,XUẤT!N:N,CBCNV!B60,XUẤT!O:O,CBCNV!$M$2)</f>
        <v>0</v>
      </c>
      <c r="N60" s="151">
        <f t="shared" si="17"/>
        <v>0</v>
      </c>
      <c r="O60" s="146">
        <f>SUMIFS(XUẤT!U:U,XUẤT!N:N,CBCNV!B60,XUẤT!O:O,CBCNV!$O$2)</f>
        <v>0</v>
      </c>
      <c r="P60" s="151">
        <f t="shared" si="18"/>
        <v>0</v>
      </c>
      <c r="Q60" s="32"/>
      <c r="R60" s="18"/>
    </row>
    <row r="61" spans="1:20" s="152" customFormat="1" x14ac:dyDescent="0.3">
      <c r="A61" s="149">
        <v>54</v>
      </c>
      <c r="B61" s="10" t="s">
        <v>43</v>
      </c>
      <c r="C61" s="149" t="s">
        <v>156</v>
      </c>
      <c r="D61" s="149" t="s">
        <v>154</v>
      </c>
      <c r="E61" s="146">
        <f>SUMIFS(XUẤT!P:P,XUẤT!N:N,CBCNV!B61,XUẤT!O:O,CBCNV!$E$2)</f>
        <v>0</v>
      </c>
      <c r="F61" s="151">
        <f t="shared" si="13"/>
        <v>0</v>
      </c>
      <c r="G61" s="146">
        <f>SUMIFS(XUẤT!Q:Q,XUẤT!N:N,CBCNV!B61,XUẤT!O:O,CBCNV!$G$2)</f>
        <v>0</v>
      </c>
      <c r="H61" s="150">
        <f t="shared" si="14"/>
        <v>0</v>
      </c>
      <c r="I61" s="146">
        <f>SUMIFS(XUẤT!R:R,XUẤT!N:N,CBCNV!B61,XUẤT!O:O,CBCNV!$I$2)</f>
        <v>0</v>
      </c>
      <c r="J61" s="151">
        <f t="shared" si="15"/>
        <v>0</v>
      </c>
      <c r="K61" s="146">
        <f>SUMIFS(XUẤT!S:S,XUẤT!N:N,CBCNV!B61,XUẤT!O:O,CBCNV!$K$2)</f>
        <v>0</v>
      </c>
      <c r="L61" s="151">
        <f t="shared" si="16"/>
        <v>0</v>
      </c>
      <c r="M61" s="146">
        <f>SUMIFS(XUẤT!T:T,XUẤT!N:N,CBCNV!B61,XUẤT!O:O,CBCNV!$M$2)</f>
        <v>0</v>
      </c>
      <c r="N61" s="151">
        <f t="shared" si="17"/>
        <v>0</v>
      </c>
      <c r="O61" s="146">
        <f>SUMIFS(XUẤT!U:U,XUẤT!N:N,CBCNV!B61,XUẤT!O:O,CBCNV!$O$2)</f>
        <v>0</v>
      </c>
      <c r="P61" s="151">
        <f t="shared" si="18"/>
        <v>0</v>
      </c>
      <c r="Q61" s="32"/>
      <c r="R61" s="18"/>
    </row>
    <row r="62" spans="1:20" s="152" customFormat="1" x14ac:dyDescent="0.3">
      <c r="A62" s="149">
        <v>55</v>
      </c>
      <c r="B62" s="10" t="s">
        <v>157</v>
      </c>
      <c r="C62" s="149" t="s">
        <v>101</v>
      </c>
      <c r="D62" s="149" t="s">
        <v>154</v>
      </c>
      <c r="E62" s="146">
        <f>SUMIFS(XUẤT!P:P,XUẤT!N:N,CBCNV!B62,XUẤT!O:O,CBCNV!$E$2)</f>
        <v>0</v>
      </c>
      <c r="F62" s="151">
        <f t="shared" si="13"/>
        <v>0</v>
      </c>
      <c r="G62" s="146">
        <f>SUMIFS(XUẤT!Q:Q,XUẤT!N:N,CBCNV!B62,XUẤT!O:O,CBCNV!$G$2)</f>
        <v>0</v>
      </c>
      <c r="H62" s="150">
        <f t="shared" si="14"/>
        <v>0</v>
      </c>
      <c r="I62" s="146">
        <f>SUMIFS(XUẤT!R:R,XUẤT!N:N,CBCNV!B62,XUẤT!O:O,CBCNV!$I$2)</f>
        <v>0</v>
      </c>
      <c r="J62" s="151">
        <f t="shared" si="15"/>
        <v>0</v>
      </c>
      <c r="K62" s="146">
        <f>SUMIFS(XUẤT!S:S,XUẤT!N:N,CBCNV!B62,XUẤT!O:O,CBCNV!$K$2)</f>
        <v>0</v>
      </c>
      <c r="L62" s="151">
        <f t="shared" si="16"/>
        <v>0</v>
      </c>
      <c r="M62" s="146">
        <f>SUMIFS(XUẤT!T:T,XUẤT!N:N,CBCNV!B62,XUẤT!O:O,CBCNV!$M$2)</f>
        <v>0</v>
      </c>
      <c r="N62" s="151">
        <f t="shared" si="17"/>
        <v>0</v>
      </c>
      <c r="O62" s="146">
        <f>SUMIFS(XUẤT!U:U,XUẤT!N:N,CBCNV!B62,XUẤT!O:O,CBCNV!$O$2)</f>
        <v>0</v>
      </c>
      <c r="P62" s="151">
        <f t="shared" si="18"/>
        <v>0</v>
      </c>
      <c r="Q62" s="32"/>
      <c r="R62" s="18"/>
    </row>
    <row r="63" spans="1:20" s="152" customFormat="1" x14ac:dyDescent="0.3">
      <c r="A63" s="149">
        <v>56</v>
      </c>
      <c r="B63" s="10" t="s">
        <v>158</v>
      </c>
      <c r="C63" s="149" t="s">
        <v>101</v>
      </c>
      <c r="D63" s="149" t="s">
        <v>154</v>
      </c>
      <c r="E63" s="146">
        <f>SUMIFS(XUẤT!P:P,XUẤT!N:N,CBCNV!B63,XUẤT!O:O,CBCNV!$E$2)</f>
        <v>0</v>
      </c>
      <c r="F63" s="151">
        <f t="shared" si="13"/>
        <v>0</v>
      </c>
      <c r="G63" s="146">
        <f>SUMIFS(XUẤT!Q:Q,XUẤT!N:N,CBCNV!B63,XUẤT!O:O,CBCNV!$G$2)</f>
        <v>0</v>
      </c>
      <c r="H63" s="150">
        <f t="shared" si="14"/>
        <v>0</v>
      </c>
      <c r="I63" s="146">
        <f>SUMIFS(XUẤT!R:R,XUẤT!N:N,CBCNV!B63,XUẤT!O:O,CBCNV!$I$2)</f>
        <v>0</v>
      </c>
      <c r="J63" s="151">
        <f t="shared" si="15"/>
        <v>0</v>
      </c>
      <c r="K63" s="146">
        <f>SUMIFS(XUẤT!S:S,XUẤT!N:N,CBCNV!B63,XUẤT!O:O,CBCNV!$K$2)</f>
        <v>0</v>
      </c>
      <c r="L63" s="151">
        <f t="shared" si="16"/>
        <v>0</v>
      </c>
      <c r="M63" s="146">
        <f>SUMIFS(XUẤT!T:T,XUẤT!N:N,CBCNV!B63,XUẤT!O:O,CBCNV!$M$2)</f>
        <v>0</v>
      </c>
      <c r="N63" s="151">
        <f t="shared" si="17"/>
        <v>0</v>
      </c>
      <c r="O63" s="146">
        <f>SUMIFS(XUẤT!U:U,XUẤT!N:N,CBCNV!B63,XUẤT!O:O,CBCNV!$O$2)</f>
        <v>0</v>
      </c>
      <c r="P63" s="151">
        <f t="shared" si="18"/>
        <v>0</v>
      </c>
      <c r="Q63" s="32"/>
      <c r="R63" s="18"/>
    </row>
    <row r="64" spans="1:20" s="152" customFormat="1" x14ac:dyDescent="0.3">
      <c r="A64" s="149">
        <v>57</v>
      </c>
      <c r="B64" s="10" t="s">
        <v>159</v>
      </c>
      <c r="C64" s="149" t="s">
        <v>101</v>
      </c>
      <c r="D64" s="149" t="s">
        <v>154</v>
      </c>
      <c r="E64" s="146">
        <f>SUMIFS(XUẤT!P:P,XUẤT!N:N,CBCNV!B64,XUẤT!O:O,CBCNV!$E$2)</f>
        <v>0</v>
      </c>
      <c r="F64" s="151">
        <f t="shared" si="13"/>
        <v>0</v>
      </c>
      <c r="G64" s="146">
        <f>SUMIFS(XUẤT!Q:Q,XUẤT!N:N,CBCNV!B64,XUẤT!O:O,CBCNV!$G$2)</f>
        <v>0</v>
      </c>
      <c r="H64" s="150">
        <f t="shared" si="14"/>
        <v>0</v>
      </c>
      <c r="I64" s="146">
        <f>SUMIFS(XUẤT!R:R,XUẤT!N:N,CBCNV!B64,XUẤT!O:O,CBCNV!$I$2)</f>
        <v>0</v>
      </c>
      <c r="J64" s="151">
        <f t="shared" si="15"/>
        <v>0</v>
      </c>
      <c r="K64" s="146">
        <f>SUMIFS(XUẤT!S:S,XUẤT!N:N,CBCNV!B64,XUẤT!O:O,CBCNV!$K$2)</f>
        <v>0</v>
      </c>
      <c r="L64" s="151">
        <f t="shared" si="16"/>
        <v>0</v>
      </c>
      <c r="M64" s="146">
        <f>SUMIFS(XUẤT!T:T,XUẤT!N:N,CBCNV!B64,XUẤT!O:O,CBCNV!$M$2)</f>
        <v>0</v>
      </c>
      <c r="N64" s="151">
        <f t="shared" si="17"/>
        <v>0</v>
      </c>
      <c r="O64" s="146">
        <f>SUMIFS(XUẤT!U:U,XUẤT!N:N,CBCNV!B64,XUẤT!O:O,CBCNV!$O$2)</f>
        <v>0</v>
      </c>
      <c r="P64" s="151">
        <f t="shared" si="18"/>
        <v>0</v>
      </c>
      <c r="Q64" s="32"/>
      <c r="R64" s="18"/>
    </row>
    <row r="65" spans="1:20" s="152" customFormat="1" x14ac:dyDescent="0.3">
      <c r="A65" s="149">
        <v>58</v>
      </c>
      <c r="B65" s="10" t="s">
        <v>160</v>
      </c>
      <c r="C65" s="149" t="s">
        <v>101</v>
      </c>
      <c r="D65" s="149" t="s">
        <v>154</v>
      </c>
      <c r="E65" s="146">
        <f>SUMIFS(XUẤT!P:P,XUẤT!N:N,CBCNV!B65,XUẤT!O:O,CBCNV!$E$2)</f>
        <v>0</v>
      </c>
      <c r="F65" s="151">
        <f t="shared" si="13"/>
        <v>0</v>
      </c>
      <c r="G65" s="146">
        <f>SUMIFS(XUẤT!Q:Q,XUẤT!N:N,CBCNV!B65,XUẤT!O:O,CBCNV!$G$2)</f>
        <v>0</v>
      </c>
      <c r="H65" s="150">
        <f t="shared" si="14"/>
        <v>0</v>
      </c>
      <c r="I65" s="146">
        <f>SUMIFS(XUẤT!R:R,XUẤT!N:N,CBCNV!B65,XUẤT!O:O,CBCNV!$I$2)</f>
        <v>0</v>
      </c>
      <c r="J65" s="151">
        <f t="shared" si="15"/>
        <v>0</v>
      </c>
      <c r="K65" s="146">
        <f>SUMIFS(XUẤT!S:S,XUẤT!N:N,CBCNV!B65,XUẤT!O:O,CBCNV!$K$2)</f>
        <v>0</v>
      </c>
      <c r="L65" s="151">
        <f t="shared" si="16"/>
        <v>0</v>
      </c>
      <c r="M65" s="146">
        <f>SUMIFS(XUẤT!T:T,XUẤT!N:N,CBCNV!B65,XUẤT!O:O,CBCNV!$M$2)</f>
        <v>0</v>
      </c>
      <c r="N65" s="151">
        <f t="shared" si="17"/>
        <v>0</v>
      </c>
      <c r="O65" s="146">
        <f>SUMIFS(XUẤT!U:U,XUẤT!N:N,CBCNV!B65,XUẤT!O:O,CBCNV!$O$2)</f>
        <v>0</v>
      </c>
      <c r="P65" s="151">
        <f t="shared" si="18"/>
        <v>0</v>
      </c>
      <c r="Q65" s="32"/>
      <c r="R65" s="18"/>
    </row>
    <row r="66" spans="1:20" s="152" customFormat="1" x14ac:dyDescent="0.3">
      <c r="A66" s="149">
        <v>59</v>
      </c>
      <c r="B66" s="10" t="s">
        <v>161</v>
      </c>
      <c r="C66" s="149" t="s">
        <v>101</v>
      </c>
      <c r="D66" s="149" t="s">
        <v>154</v>
      </c>
      <c r="E66" s="146">
        <f>SUMIFS(XUẤT!P:P,XUẤT!N:N,CBCNV!B66,XUẤT!O:O,CBCNV!$E$2)</f>
        <v>10</v>
      </c>
      <c r="F66" s="151">
        <f t="shared" si="13"/>
        <v>980000</v>
      </c>
      <c r="G66" s="146">
        <f>SUMIFS(XUẤT!Q:Q,XUẤT!N:N,CBCNV!B66,XUẤT!O:O,CBCNV!$G$2)</f>
        <v>0</v>
      </c>
      <c r="H66" s="150">
        <f t="shared" si="14"/>
        <v>0</v>
      </c>
      <c r="I66" s="146">
        <f>SUMIFS(XUẤT!R:R,XUẤT!N:N,CBCNV!B66,XUẤT!O:O,CBCNV!$I$2)</f>
        <v>0</v>
      </c>
      <c r="J66" s="151">
        <f t="shared" si="15"/>
        <v>0</v>
      </c>
      <c r="K66" s="146">
        <f>SUMIFS(XUẤT!S:S,XUẤT!N:N,CBCNV!B66,XUẤT!O:O,CBCNV!$K$2)</f>
        <v>0</v>
      </c>
      <c r="L66" s="151">
        <f t="shared" si="16"/>
        <v>0</v>
      </c>
      <c r="M66" s="146">
        <f>SUMIFS(XUẤT!T:T,XUẤT!N:N,CBCNV!B66,XUẤT!O:O,CBCNV!$M$2)</f>
        <v>0</v>
      </c>
      <c r="N66" s="151">
        <f t="shared" si="17"/>
        <v>0</v>
      </c>
      <c r="O66" s="146">
        <f>SUMIFS(XUẤT!U:U,XUẤT!N:N,CBCNV!B66,XUẤT!O:O,CBCNV!$O$2)</f>
        <v>0</v>
      </c>
      <c r="P66" s="151">
        <f t="shared" si="18"/>
        <v>0</v>
      </c>
      <c r="Q66" s="32"/>
      <c r="R66" s="18"/>
    </row>
    <row r="67" spans="1:20" s="152" customFormat="1" x14ac:dyDescent="0.3">
      <c r="A67" s="149">
        <v>60</v>
      </c>
      <c r="B67" s="10" t="s">
        <v>162</v>
      </c>
      <c r="C67" s="149" t="s">
        <v>101</v>
      </c>
      <c r="D67" s="149" t="s">
        <v>154</v>
      </c>
      <c r="E67" s="146">
        <f>SUMIFS(XUẤT!P:P,XUẤT!N:N,CBCNV!B67,XUẤT!O:O,CBCNV!$E$2)</f>
        <v>0</v>
      </c>
      <c r="F67" s="151">
        <f t="shared" si="13"/>
        <v>0</v>
      </c>
      <c r="G67" s="146">
        <f>SUMIFS(XUẤT!Q:Q,XUẤT!N:N,CBCNV!B67,XUẤT!O:O,CBCNV!$G$2)</f>
        <v>0</v>
      </c>
      <c r="H67" s="150">
        <f t="shared" si="14"/>
        <v>0</v>
      </c>
      <c r="I67" s="146">
        <f>SUMIFS(XUẤT!R:R,XUẤT!N:N,CBCNV!B67,XUẤT!O:O,CBCNV!$I$2)</f>
        <v>0</v>
      </c>
      <c r="J67" s="151">
        <f t="shared" si="15"/>
        <v>0</v>
      </c>
      <c r="K67" s="146">
        <f>SUMIFS(XUẤT!S:S,XUẤT!N:N,CBCNV!B67,XUẤT!O:O,CBCNV!$K$2)</f>
        <v>0</v>
      </c>
      <c r="L67" s="151">
        <f t="shared" si="16"/>
        <v>0</v>
      </c>
      <c r="M67" s="146">
        <f>SUMIFS(XUẤT!T:T,XUẤT!N:N,CBCNV!B67,XUẤT!O:O,CBCNV!$M$2)</f>
        <v>0</v>
      </c>
      <c r="N67" s="151">
        <f t="shared" si="17"/>
        <v>0</v>
      </c>
      <c r="O67" s="146">
        <f>SUMIFS(XUẤT!U:U,XUẤT!N:N,CBCNV!B67,XUẤT!O:O,CBCNV!$O$2)</f>
        <v>0</v>
      </c>
      <c r="P67" s="151">
        <f t="shared" si="18"/>
        <v>0</v>
      </c>
      <c r="Q67" s="32"/>
      <c r="R67" s="18"/>
    </row>
    <row r="68" spans="1:20" s="152" customFormat="1" x14ac:dyDescent="0.3">
      <c r="A68" s="149">
        <v>61</v>
      </c>
      <c r="B68" s="10" t="s">
        <v>163</v>
      </c>
      <c r="C68" s="149" t="s">
        <v>164</v>
      </c>
      <c r="D68" s="149" t="s">
        <v>154</v>
      </c>
      <c r="E68" s="146">
        <f>SUMIFS(XUẤT!P:P,XUẤT!N:N,CBCNV!B68,XUẤT!O:O,CBCNV!$E$2)</f>
        <v>0</v>
      </c>
      <c r="F68" s="151">
        <f t="shared" si="13"/>
        <v>0</v>
      </c>
      <c r="G68" s="146">
        <f>SUMIFS(XUẤT!Q:Q,XUẤT!N:N,CBCNV!B68,XUẤT!O:O,CBCNV!$G$2)</f>
        <v>0</v>
      </c>
      <c r="H68" s="150">
        <f t="shared" si="14"/>
        <v>0</v>
      </c>
      <c r="I68" s="146">
        <f>SUMIFS(XUẤT!R:R,XUẤT!N:N,CBCNV!B68,XUẤT!O:O,CBCNV!$I$2)</f>
        <v>0</v>
      </c>
      <c r="J68" s="151">
        <f t="shared" si="15"/>
        <v>0</v>
      </c>
      <c r="K68" s="146">
        <f>SUMIFS(XUẤT!S:S,XUẤT!N:N,CBCNV!B68,XUẤT!O:O,CBCNV!$K$2)</f>
        <v>0</v>
      </c>
      <c r="L68" s="151">
        <f t="shared" si="16"/>
        <v>0</v>
      </c>
      <c r="M68" s="146">
        <f>SUMIFS(XUẤT!T:T,XUẤT!N:N,CBCNV!B68,XUẤT!O:O,CBCNV!$M$2)</f>
        <v>0</v>
      </c>
      <c r="N68" s="151">
        <f t="shared" si="17"/>
        <v>0</v>
      </c>
      <c r="O68" s="146">
        <f>SUMIFS(XUẤT!U:U,XUẤT!N:N,CBCNV!B68,XUẤT!O:O,CBCNV!$O$2)</f>
        <v>0</v>
      </c>
      <c r="P68" s="151">
        <f t="shared" si="18"/>
        <v>0</v>
      </c>
      <c r="Q68" s="32"/>
      <c r="R68" s="18"/>
    </row>
    <row r="69" spans="1:20" s="152" customFormat="1" x14ac:dyDescent="0.3">
      <c r="A69" s="149">
        <v>62</v>
      </c>
      <c r="B69" s="10" t="s">
        <v>165</v>
      </c>
      <c r="C69" s="149" t="s">
        <v>164</v>
      </c>
      <c r="D69" s="149" t="s">
        <v>154</v>
      </c>
      <c r="E69" s="146">
        <f>SUMIFS(XUẤT!P:P,XUẤT!N:N,CBCNV!B69,XUẤT!O:O,CBCNV!$E$2)</f>
        <v>0</v>
      </c>
      <c r="F69" s="151">
        <f t="shared" si="13"/>
        <v>0</v>
      </c>
      <c r="G69" s="146">
        <f>SUMIFS(XUẤT!Q:Q,XUẤT!N:N,CBCNV!B69,XUẤT!O:O,CBCNV!$G$2)</f>
        <v>0</v>
      </c>
      <c r="H69" s="150">
        <f t="shared" si="14"/>
        <v>0</v>
      </c>
      <c r="I69" s="146">
        <f>SUMIFS(XUẤT!R:R,XUẤT!N:N,CBCNV!B69,XUẤT!O:O,CBCNV!$I$2)</f>
        <v>0</v>
      </c>
      <c r="J69" s="151">
        <f t="shared" si="15"/>
        <v>0</v>
      </c>
      <c r="K69" s="146">
        <f>SUMIFS(XUẤT!S:S,XUẤT!N:N,CBCNV!B69,XUẤT!O:O,CBCNV!$K$2)</f>
        <v>0</v>
      </c>
      <c r="L69" s="151">
        <f t="shared" si="16"/>
        <v>0</v>
      </c>
      <c r="M69" s="146">
        <f>SUMIFS(XUẤT!T:T,XUẤT!N:N,CBCNV!B69,XUẤT!O:O,CBCNV!$M$2)</f>
        <v>0</v>
      </c>
      <c r="N69" s="151">
        <f t="shared" si="17"/>
        <v>0</v>
      </c>
      <c r="O69" s="146">
        <f>SUMIFS(XUẤT!U:U,XUẤT!N:N,CBCNV!B69,XUẤT!O:O,CBCNV!$O$2)</f>
        <v>0</v>
      </c>
      <c r="P69" s="151">
        <f t="shared" si="18"/>
        <v>0</v>
      </c>
      <c r="Q69" s="32"/>
      <c r="R69" s="18"/>
    </row>
    <row r="70" spans="1:20" s="152" customFormat="1" x14ac:dyDescent="0.3">
      <c r="A70" s="149">
        <v>63</v>
      </c>
      <c r="B70" s="10" t="s">
        <v>166</v>
      </c>
      <c r="C70" s="149" t="s">
        <v>164</v>
      </c>
      <c r="D70" s="149" t="s">
        <v>154</v>
      </c>
      <c r="E70" s="146">
        <f>SUMIFS(XUẤT!P:P,XUẤT!N:N,CBCNV!B70,XUẤT!O:O,CBCNV!$E$2)</f>
        <v>22</v>
      </c>
      <c r="F70" s="151">
        <f t="shared" si="13"/>
        <v>2156000</v>
      </c>
      <c r="G70" s="146">
        <f>SUMIFS(XUẤT!Q:Q,XUẤT!N:N,CBCNV!B70,XUẤT!O:O,CBCNV!$G$2)</f>
        <v>0</v>
      </c>
      <c r="H70" s="150">
        <f t="shared" si="14"/>
        <v>0</v>
      </c>
      <c r="I70" s="146">
        <f>SUMIFS(XUẤT!R:R,XUẤT!N:N,CBCNV!B70,XUẤT!O:O,CBCNV!$I$2)</f>
        <v>0</v>
      </c>
      <c r="J70" s="151">
        <f t="shared" si="15"/>
        <v>0</v>
      </c>
      <c r="K70" s="146">
        <f>SUMIFS(XUẤT!S:S,XUẤT!N:N,CBCNV!B70,XUẤT!O:O,CBCNV!$K$2)</f>
        <v>0</v>
      </c>
      <c r="L70" s="151">
        <f t="shared" si="16"/>
        <v>0</v>
      </c>
      <c r="M70" s="146">
        <f>SUMIFS(XUẤT!T:T,XUẤT!N:N,CBCNV!B70,XUẤT!O:O,CBCNV!$M$2)</f>
        <v>0</v>
      </c>
      <c r="N70" s="151">
        <f t="shared" si="17"/>
        <v>0</v>
      </c>
      <c r="O70" s="146">
        <f>SUMIFS(XUẤT!U:U,XUẤT!N:N,CBCNV!B70,XUẤT!O:O,CBCNV!$O$2)</f>
        <v>0</v>
      </c>
      <c r="P70" s="151">
        <f t="shared" si="18"/>
        <v>0</v>
      </c>
      <c r="Q70" s="32"/>
      <c r="R70" s="18"/>
    </row>
    <row r="71" spans="1:20" s="148" customFormat="1" x14ac:dyDescent="0.3">
      <c r="A71" s="149">
        <v>64</v>
      </c>
      <c r="B71" s="10" t="s">
        <v>167</v>
      </c>
      <c r="C71" s="149" t="s">
        <v>164</v>
      </c>
      <c r="D71" s="149" t="s">
        <v>154</v>
      </c>
      <c r="E71" s="146">
        <f>SUMIFS(XUẤT!P:P,XUẤT!N:N,CBCNV!B71,XUẤT!O:O,CBCNV!$E$2)</f>
        <v>0</v>
      </c>
      <c r="F71" s="151">
        <f t="shared" si="13"/>
        <v>0</v>
      </c>
      <c r="G71" s="146">
        <f>SUMIFS(XUẤT!Q:Q,XUẤT!N:N,CBCNV!B71,XUẤT!O:O,CBCNV!$G$2)</f>
        <v>0</v>
      </c>
      <c r="H71" s="150">
        <f t="shared" si="14"/>
        <v>0</v>
      </c>
      <c r="I71" s="146">
        <f>SUMIFS(XUẤT!R:R,XUẤT!N:N,CBCNV!B71,XUẤT!O:O,CBCNV!$I$2)</f>
        <v>0</v>
      </c>
      <c r="J71" s="151">
        <f t="shared" si="15"/>
        <v>0</v>
      </c>
      <c r="K71" s="146">
        <f>SUMIFS(XUẤT!S:S,XUẤT!N:N,CBCNV!B71,XUẤT!O:O,CBCNV!$K$2)</f>
        <v>0</v>
      </c>
      <c r="L71" s="151">
        <f t="shared" si="16"/>
        <v>0</v>
      </c>
      <c r="M71" s="146">
        <f>SUMIFS(XUẤT!T:T,XUẤT!N:N,CBCNV!B71,XUẤT!O:O,CBCNV!$M$2)</f>
        <v>0</v>
      </c>
      <c r="N71" s="151">
        <f t="shared" si="17"/>
        <v>0</v>
      </c>
      <c r="O71" s="146">
        <f>SUMIFS(XUẤT!U:U,XUẤT!N:N,CBCNV!B71,XUẤT!O:O,CBCNV!$O$2)</f>
        <v>0</v>
      </c>
      <c r="P71" s="151">
        <f t="shared" si="18"/>
        <v>0</v>
      </c>
      <c r="Q71" s="32"/>
      <c r="R71" s="18"/>
      <c r="S71" s="152"/>
      <c r="T71" s="152"/>
    </row>
    <row r="72" spans="1:20" s="152" customFormat="1" x14ac:dyDescent="0.3">
      <c r="A72" s="149">
        <v>65</v>
      </c>
      <c r="B72" s="10" t="s">
        <v>168</v>
      </c>
      <c r="C72" s="149" t="s">
        <v>164</v>
      </c>
      <c r="D72" s="149" t="s">
        <v>154</v>
      </c>
      <c r="E72" s="146">
        <f>SUMIFS(XUẤT!P:P,XUẤT!N:N,CBCNV!B72,XUẤT!O:O,CBCNV!$E$2)</f>
        <v>10</v>
      </c>
      <c r="F72" s="151">
        <f t="shared" ref="F72:F103" si="19">E72*$T$10</f>
        <v>980000</v>
      </c>
      <c r="G72" s="146">
        <f>SUMIFS(XUẤT!Q:Q,XUẤT!N:N,CBCNV!B72,XUẤT!O:O,CBCNV!$G$2)</f>
        <v>0</v>
      </c>
      <c r="H72" s="150">
        <f t="shared" ref="H72:H103" si="20">G72*$T$8</f>
        <v>0</v>
      </c>
      <c r="I72" s="146">
        <f>SUMIFS(XUẤT!R:R,XUẤT!N:N,CBCNV!B72,XUẤT!O:O,CBCNV!$I$2)</f>
        <v>0</v>
      </c>
      <c r="J72" s="151">
        <f t="shared" ref="J72:J103" si="21">I72*$T$9</f>
        <v>0</v>
      </c>
      <c r="K72" s="146">
        <f>SUMIFS(XUẤT!S:S,XUẤT!N:N,CBCNV!B72,XUẤT!O:O,CBCNV!$K$2)</f>
        <v>0</v>
      </c>
      <c r="L72" s="151">
        <f t="shared" ref="L72:L103" si="22">K72*$T$11</f>
        <v>0</v>
      </c>
      <c r="M72" s="146">
        <f>SUMIFS(XUẤT!T:T,XUẤT!N:N,CBCNV!B72,XUẤT!O:O,CBCNV!$M$2)</f>
        <v>0</v>
      </c>
      <c r="N72" s="151">
        <f t="shared" ref="N72:N103" si="23">M72*$T$12</f>
        <v>0</v>
      </c>
      <c r="O72" s="146">
        <f>SUMIFS(XUẤT!U:U,XUẤT!N:N,CBCNV!B72,XUẤT!O:O,CBCNV!$O$2)</f>
        <v>0</v>
      </c>
      <c r="P72" s="151">
        <f t="shared" ref="P72:P103" si="24">O72*$T$13</f>
        <v>0</v>
      </c>
      <c r="Q72" s="32"/>
      <c r="R72" s="18"/>
    </row>
    <row r="73" spans="1:20" s="152" customFormat="1" x14ac:dyDescent="0.3">
      <c r="A73" s="149">
        <v>66</v>
      </c>
      <c r="B73" s="154" t="s">
        <v>169</v>
      </c>
      <c r="C73" s="149" t="s">
        <v>170</v>
      </c>
      <c r="D73" s="149" t="s">
        <v>154</v>
      </c>
      <c r="E73" s="146">
        <f>SUMIFS(XUẤT!P:P,XUẤT!N:N,CBCNV!B73,XUẤT!O:O,CBCNV!$E$2)</f>
        <v>10</v>
      </c>
      <c r="F73" s="151">
        <f t="shared" si="19"/>
        <v>980000</v>
      </c>
      <c r="G73" s="146">
        <f>SUMIFS(XUẤT!Q:Q,XUẤT!N:N,CBCNV!B73,XUẤT!O:O,CBCNV!$G$2)</f>
        <v>0</v>
      </c>
      <c r="H73" s="150">
        <f t="shared" si="20"/>
        <v>0</v>
      </c>
      <c r="I73" s="146">
        <f>SUMIFS(XUẤT!R:R,XUẤT!N:N,CBCNV!B73,XUẤT!O:O,CBCNV!$I$2)</f>
        <v>0</v>
      </c>
      <c r="J73" s="151">
        <f t="shared" si="21"/>
        <v>0</v>
      </c>
      <c r="K73" s="146">
        <f>SUMIFS(XUẤT!S:S,XUẤT!N:N,CBCNV!B73,XUẤT!O:O,CBCNV!$K$2)</f>
        <v>0</v>
      </c>
      <c r="L73" s="151">
        <f t="shared" si="22"/>
        <v>0</v>
      </c>
      <c r="M73" s="146">
        <f>SUMIFS(XUẤT!T:T,XUẤT!N:N,CBCNV!B73,XUẤT!O:O,CBCNV!$M$2)</f>
        <v>0</v>
      </c>
      <c r="N73" s="151">
        <f t="shared" si="23"/>
        <v>0</v>
      </c>
      <c r="O73" s="146">
        <f>SUMIFS(XUẤT!U:U,XUẤT!N:N,CBCNV!B73,XUẤT!O:O,CBCNV!$O$2)</f>
        <v>0</v>
      </c>
      <c r="P73" s="151">
        <f t="shared" si="24"/>
        <v>0</v>
      </c>
      <c r="Q73" s="32"/>
      <c r="R73" s="18"/>
    </row>
    <row r="74" spans="1:20" s="152" customFormat="1" x14ac:dyDescent="0.3">
      <c r="A74" s="149">
        <v>67</v>
      </c>
      <c r="B74" s="34" t="s">
        <v>171</v>
      </c>
      <c r="C74" s="153" t="s">
        <v>172</v>
      </c>
      <c r="D74" s="153" t="s">
        <v>173</v>
      </c>
      <c r="E74" s="146">
        <f>SUMIFS(XUẤT!P:P,XUẤT!N:N,CBCNV!B74,XUẤT!O:O,CBCNV!$E$2)</f>
        <v>0</v>
      </c>
      <c r="F74" s="151">
        <f t="shared" si="19"/>
        <v>0</v>
      </c>
      <c r="G74" s="146">
        <f>SUMIFS(XUẤT!Q:Q,XUẤT!N:N,CBCNV!B74,XUẤT!O:O,CBCNV!$G$2)</f>
        <v>0</v>
      </c>
      <c r="H74" s="150">
        <f t="shared" si="20"/>
        <v>0</v>
      </c>
      <c r="I74" s="146">
        <f>SUMIFS(XUẤT!R:R,XUẤT!N:N,CBCNV!B74,XUẤT!O:O,CBCNV!$I$2)</f>
        <v>0</v>
      </c>
      <c r="J74" s="151">
        <f t="shared" si="21"/>
        <v>0</v>
      </c>
      <c r="K74" s="146">
        <f>SUMIFS(XUẤT!S:S,XUẤT!N:N,CBCNV!B74,XUẤT!O:O,CBCNV!$K$2)</f>
        <v>0</v>
      </c>
      <c r="L74" s="151">
        <f t="shared" si="22"/>
        <v>0</v>
      </c>
      <c r="M74" s="146">
        <f>SUMIFS(XUẤT!T:T,XUẤT!N:N,CBCNV!B74,XUẤT!O:O,CBCNV!$M$2)</f>
        <v>0</v>
      </c>
      <c r="N74" s="151">
        <f t="shared" si="23"/>
        <v>0</v>
      </c>
      <c r="O74" s="146">
        <f>SUMIFS(XUẤT!U:U,XUẤT!N:N,CBCNV!B74,XUẤT!O:O,CBCNV!$O$2)</f>
        <v>0</v>
      </c>
      <c r="P74" s="151">
        <f t="shared" si="24"/>
        <v>0</v>
      </c>
      <c r="Q74" s="32"/>
      <c r="R74" s="21"/>
      <c r="S74" s="148"/>
      <c r="T74" s="148"/>
    </row>
    <row r="75" spans="1:20" s="152" customFormat="1" x14ac:dyDescent="0.3">
      <c r="A75" s="149">
        <v>68</v>
      </c>
      <c r="B75" s="10" t="s">
        <v>174</v>
      </c>
      <c r="C75" s="149" t="s">
        <v>175</v>
      </c>
      <c r="D75" s="149" t="s">
        <v>173</v>
      </c>
      <c r="E75" s="146">
        <f>SUMIFS(XUẤT!P:P,XUẤT!N:N,CBCNV!B75,XUẤT!O:O,CBCNV!$E$2)</f>
        <v>0</v>
      </c>
      <c r="F75" s="151">
        <f t="shared" si="19"/>
        <v>0</v>
      </c>
      <c r="G75" s="146">
        <f>SUMIFS(XUẤT!Q:Q,XUẤT!N:N,CBCNV!B75,XUẤT!O:O,CBCNV!$G$2)</f>
        <v>0</v>
      </c>
      <c r="H75" s="150">
        <f t="shared" si="20"/>
        <v>0</v>
      </c>
      <c r="I75" s="146">
        <f>SUMIFS(XUẤT!R:R,XUẤT!N:N,CBCNV!B75,XUẤT!O:O,CBCNV!$I$2)</f>
        <v>0</v>
      </c>
      <c r="J75" s="151">
        <f t="shared" si="21"/>
        <v>0</v>
      </c>
      <c r="K75" s="146">
        <f>SUMIFS(XUẤT!S:S,XUẤT!N:N,CBCNV!B75,XUẤT!O:O,CBCNV!$K$2)</f>
        <v>0</v>
      </c>
      <c r="L75" s="151">
        <f t="shared" si="22"/>
        <v>0</v>
      </c>
      <c r="M75" s="146">
        <f>SUMIFS(XUẤT!T:T,XUẤT!N:N,CBCNV!B75,XUẤT!O:O,CBCNV!$M$2)</f>
        <v>0</v>
      </c>
      <c r="N75" s="151">
        <f t="shared" si="23"/>
        <v>0</v>
      </c>
      <c r="O75" s="146">
        <f>SUMIFS(XUẤT!U:U,XUẤT!N:N,CBCNV!B75,XUẤT!O:O,CBCNV!$O$2)</f>
        <v>0</v>
      </c>
      <c r="P75" s="151">
        <f t="shared" si="24"/>
        <v>0</v>
      </c>
      <c r="Q75" s="32"/>
      <c r="R75" s="18"/>
    </row>
    <row r="76" spans="1:20" s="152" customFormat="1" x14ac:dyDescent="0.3">
      <c r="A76" s="149">
        <v>69</v>
      </c>
      <c r="B76" s="10" t="s">
        <v>176</v>
      </c>
      <c r="C76" s="149" t="s">
        <v>175</v>
      </c>
      <c r="D76" s="149" t="s">
        <v>173</v>
      </c>
      <c r="E76" s="146">
        <f>SUMIFS(XUẤT!P:P,XUẤT!N:N,CBCNV!B76,XUẤT!O:O,CBCNV!$E$2)</f>
        <v>0</v>
      </c>
      <c r="F76" s="151">
        <f t="shared" si="19"/>
        <v>0</v>
      </c>
      <c r="G76" s="146">
        <f>SUMIFS(XUẤT!Q:Q,XUẤT!N:N,CBCNV!B76,XUẤT!O:O,CBCNV!$G$2)</f>
        <v>0</v>
      </c>
      <c r="H76" s="150">
        <f t="shared" si="20"/>
        <v>0</v>
      </c>
      <c r="I76" s="146">
        <f>SUMIFS(XUẤT!R:R,XUẤT!N:N,CBCNV!B76,XUẤT!O:O,CBCNV!$I$2)</f>
        <v>0</v>
      </c>
      <c r="J76" s="151">
        <f t="shared" si="21"/>
        <v>0</v>
      </c>
      <c r="K76" s="146">
        <f>SUMIFS(XUẤT!S:S,XUẤT!N:N,CBCNV!B76,XUẤT!O:O,CBCNV!$K$2)</f>
        <v>0</v>
      </c>
      <c r="L76" s="151">
        <f t="shared" si="22"/>
        <v>0</v>
      </c>
      <c r="M76" s="146">
        <f>SUMIFS(XUẤT!T:T,XUẤT!N:N,CBCNV!B76,XUẤT!O:O,CBCNV!$M$2)</f>
        <v>0</v>
      </c>
      <c r="N76" s="151">
        <f t="shared" si="23"/>
        <v>0</v>
      </c>
      <c r="O76" s="146">
        <f>SUMIFS(XUẤT!U:U,XUẤT!N:N,CBCNV!B76,XUẤT!O:O,CBCNV!$O$2)</f>
        <v>0</v>
      </c>
      <c r="P76" s="151">
        <f t="shared" si="24"/>
        <v>0</v>
      </c>
      <c r="Q76" s="32"/>
      <c r="R76" s="18"/>
    </row>
    <row r="77" spans="1:20" s="152" customFormat="1" x14ac:dyDescent="0.3">
      <c r="A77" s="149">
        <v>70</v>
      </c>
      <c r="B77" s="10" t="s">
        <v>177</v>
      </c>
      <c r="C77" s="149" t="s">
        <v>101</v>
      </c>
      <c r="D77" s="149" t="s">
        <v>173</v>
      </c>
      <c r="E77" s="146">
        <f>SUMIFS(XUẤT!P:P,XUẤT!N:N,CBCNV!B77,XUẤT!O:O,CBCNV!$E$2)</f>
        <v>0</v>
      </c>
      <c r="F77" s="151">
        <f t="shared" si="19"/>
        <v>0</v>
      </c>
      <c r="G77" s="146">
        <f>SUMIFS(XUẤT!Q:Q,XUẤT!N:N,CBCNV!B77,XUẤT!O:O,CBCNV!$G$2)</f>
        <v>0</v>
      </c>
      <c r="H77" s="150">
        <f t="shared" si="20"/>
        <v>0</v>
      </c>
      <c r="I77" s="146">
        <f>SUMIFS(XUẤT!R:R,XUẤT!N:N,CBCNV!B77,XUẤT!O:O,CBCNV!$I$2)</f>
        <v>0</v>
      </c>
      <c r="J77" s="151">
        <f t="shared" si="21"/>
        <v>0</v>
      </c>
      <c r="K77" s="146">
        <f>SUMIFS(XUẤT!S:S,XUẤT!N:N,CBCNV!B77,XUẤT!O:O,CBCNV!$K$2)</f>
        <v>0</v>
      </c>
      <c r="L77" s="151">
        <f t="shared" si="22"/>
        <v>0</v>
      </c>
      <c r="M77" s="146">
        <f>SUMIFS(XUẤT!T:T,XUẤT!N:N,CBCNV!B77,XUẤT!O:O,CBCNV!$M$2)</f>
        <v>0</v>
      </c>
      <c r="N77" s="151">
        <f t="shared" si="23"/>
        <v>0</v>
      </c>
      <c r="O77" s="146">
        <f>SUMIFS(XUẤT!U:U,XUẤT!N:N,CBCNV!B77,XUẤT!O:O,CBCNV!$O$2)</f>
        <v>0</v>
      </c>
      <c r="P77" s="151">
        <f t="shared" si="24"/>
        <v>0</v>
      </c>
      <c r="Q77" s="32"/>
      <c r="R77" s="18"/>
    </row>
    <row r="78" spans="1:20" s="152" customFormat="1" x14ac:dyDescent="0.3">
      <c r="A78" s="149">
        <v>71</v>
      </c>
      <c r="B78" s="10" t="s">
        <v>178</v>
      </c>
      <c r="C78" s="149" t="s">
        <v>101</v>
      </c>
      <c r="D78" s="149" t="s">
        <v>173</v>
      </c>
      <c r="E78" s="146">
        <f>SUMIFS(XUẤT!P:P,XUẤT!N:N,CBCNV!B78,XUẤT!O:O,CBCNV!$E$2)</f>
        <v>0</v>
      </c>
      <c r="F78" s="151">
        <f t="shared" si="19"/>
        <v>0</v>
      </c>
      <c r="G78" s="146">
        <f>SUMIFS(XUẤT!Q:Q,XUẤT!N:N,CBCNV!B78,XUẤT!O:O,CBCNV!$G$2)</f>
        <v>0</v>
      </c>
      <c r="H78" s="150">
        <f t="shared" si="20"/>
        <v>0</v>
      </c>
      <c r="I78" s="146">
        <f>SUMIFS(XUẤT!R:R,XUẤT!N:N,CBCNV!B78,XUẤT!O:O,CBCNV!$I$2)</f>
        <v>0</v>
      </c>
      <c r="J78" s="151">
        <f t="shared" si="21"/>
        <v>0</v>
      </c>
      <c r="K78" s="146">
        <f>SUMIFS(XUẤT!S:S,XUẤT!N:N,CBCNV!B78,XUẤT!O:O,CBCNV!$K$2)</f>
        <v>0</v>
      </c>
      <c r="L78" s="151">
        <f t="shared" si="22"/>
        <v>0</v>
      </c>
      <c r="M78" s="146">
        <f>SUMIFS(XUẤT!T:T,XUẤT!N:N,CBCNV!B78,XUẤT!O:O,CBCNV!$M$2)</f>
        <v>0</v>
      </c>
      <c r="N78" s="151">
        <f t="shared" si="23"/>
        <v>0</v>
      </c>
      <c r="O78" s="146">
        <f>SUMIFS(XUẤT!U:U,XUẤT!N:N,CBCNV!B78,XUẤT!O:O,CBCNV!$O$2)</f>
        <v>0</v>
      </c>
      <c r="P78" s="151">
        <f t="shared" si="24"/>
        <v>0</v>
      </c>
      <c r="Q78" s="32"/>
      <c r="R78" s="18"/>
    </row>
    <row r="79" spans="1:20" s="152" customFormat="1" x14ac:dyDescent="0.3">
      <c r="A79" s="149">
        <v>72</v>
      </c>
      <c r="B79" s="10" t="s">
        <v>179</v>
      </c>
      <c r="C79" s="149" t="s">
        <v>101</v>
      </c>
      <c r="D79" s="149" t="s">
        <v>173</v>
      </c>
      <c r="E79" s="146">
        <f>SUMIFS(XUẤT!P:P,XUẤT!N:N,CBCNV!B79,XUẤT!O:O,CBCNV!$E$2)</f>
        <v>0</v>
      </c>
      <c r="F79" s="151">
        <f t="shared" si="19"/>
        <v>0</v>
      </c>
      <c r="G79" s="146">
        <f>SUMIFS(XUẤT!Q:Q,XUẤT!N:N,CBCNV!B79,XUẤT!O:O,CBCNV!$G$2)</f>
        <v>0</v>
      </c>
      <c r="H79" s="150">
        <f t="shared" si="20"/>
        <v>0</v>
      </c>
      <c r="I79" s="146">
        <f>SUMIFS(XUẤT!R:R,XUẤT!N:N,CBCNV!B79,XUẤT!O:O,CBCNV!$I$2)</f>
        <v>0</v>
      </c>
      <c r="J79" s="151">
        <f t="shared" si="21"/>
        <v>0</v>
      </c>
      <c r="K79" s="146">
        <f>SUMIFS(XUẤT!S:S,XUẤT!N:N,CBCNV!B79,XUẤT!O:O,CBCNV!$K$2)</f>
        <v>0</v>
      </c>
      <c r="L79" s="151">
        <f t="shared" si="22"/>
        <v>0</v>
      </c>
      <c r="M79" s="146">
        <f>SUMIFS(XUẤT!T:T,XUẤT!N:N,CBCNV!B79,XUẤT!O:O,CBCNV!$M$2)</f>
        <v>0</v>
      </c>
      <c r="N79" s="151">
        <f t="shared" si="23"/>
        <v>0</v>
      </c>
      <c r="O79" s="146">
        <f>SUMIFS(XUẤT!U:U,XUẤT!N:N,CBCNV!B79,XUẤT!O:O,CBCNV!$O$2)</f>
        <v>0</v>
      </c>
      <c r="P79" s="151">
        <f t="shared" si="24"/>
        <v>0</v>
      </c>
      <c r="Q79" s="32"/>
      <c r="R79" s="18"/>
    </row>
    <row r="80" spans="1:20" s="152" customFormat="1" x14ac:dyDescent="0.3">
      <c r="A80" s="149">
        <v>73</v>
      </c>
      <c r="B80" s="10" t="s">
        <v>180</v>
      </c>
      <c r="C80" s="149" t="s">
        <v>101</v>
      </c>
      <c r="D80" s="149" t="s">
        <v>173</v>
      </c>
      <c r="E80" s="146">
        <f>SUMIFS(XUẤT!P:P,XUẤT!N:N,CBCNV!B80,XUẤT!O:O,CBCNV!$E$2)</f>
        <v>0</v>
      </c>
      <c r="F80" s="151">
        <f t="shared" si="19"/>
        <v>0</v>
      </c>
      <c r="G80" s="146">
        <f>SUMIFS(XUẤT!Q:Q,XUẤT!N:N,CBCNV!B80,XUẤT!O:O,CBCNV!$G$2)</f>
        <v>0</v>
      </c>
      <c r="H80" s="150">
        <f t="shared" si="20"/>
        <v>0</v>
      </c>
      <c r="I80" s="146">
        <f>SUMIFS(XUẤT!R:R,XUẤT!N:N,CBCNV!B80,XUẤT!O:O,CBCNV!$I$2)</f>
        <v>0</v>
      </c>
      <c r="J80" s="151">
        <f t="shared" si="21"/>
        <v>0</v>
      </c>
      <c r="K80" s="146">
        <f>SUMIFS(XUẤT!S:S,XUẤT!N:N,CBCNV!B80,XUẤT!O:O,CBCNV!$K$2)</f>
        <v>0</v>
      </c>
      <c r="L80" s="151">
        <f t="shared" si="22"/>
        <v>0</v>
      </c>
      <c r="M80" s="146">
        <f>SUMIFS(XUẤT!T:T,XUẤT!N:N,CBCNV!B80,XUẤT!O:O,CBCNV!$M$2)</f>
        <v>0</v>
      </c>
      <c r="N80" s="151">
        <f t="shared" si="23"/>
        <v>0</v>
      </c>
      <c r="O80" s="146">
        <f>SUMIFS(XUẤT!U:U,XUẤT!N:N,CBCNV!B80,XUẤT!O:O,CBCNV!$O$2)</f>
        <v>0</v>
      </c>
      <c r="P80" s="151">
        <f t="shared" si="24"/>
        <v>0</v>
      </c>
      <c r="Q80" s="32"/>
      <c r="R80" s="18"/>
    </row>
    <row r="81" spans="1:20" s="152" customFormat="1" x14ac:dyDescent="0.3">
      <c r="A81" s="149">
        <v>74</v>
      </c>
      <c r="B81" s="10" t="s">
        <v>181</v>
      </c>
      <c r="C81" s="149" t="s">
        <v>101</v>
      </c>
      <c r="D81" s="149" t="s">
        <v>173</v>
      </c>
      <c r="E81" s="146">
        <f>SUMIFS(XUẤT!P:P,XUẤT!N:N,CBCNV!B81,XUẤT!O:O,CBCNV!$E$2)</f>
        <v>0</v>
      </c>
      <c r="F81" s="151">
        <f t="shared" si="19"/>
        <v>0</v>
      </c>
      <c r="G81" s="146">
        <f>SUMIFS(XUẤT!Q:Q,XUẤT!N:N,CBCNV!B81,XUẤT!O:O,CBCNV!$G$2)</f>
        <v>0</v>
      </c>
      <c r="H81" s="150">
        <f t="shared" si="20"/>
        <v>0</v>
      </c>
      <c r="I81" s="146">
        <f>SUMIFS(XUẤT!R:R,XUẤT!N:N,CBCNV!B81,XUẤT!O:O,CBCNV!$I$2)</f>
        <v>0</v>
      </c>
      <c r="J81" s="151">
        <f t="shared" si="21"/>
        <v>0</v>
      </c>
      <c r="K81" s="146">
        <f>SUMIFS(XUẤT!S:S,XUẤT!N:N,CBCNV!B81,XUẤT!O:O,CBCNV!$K$2)</f>
        <v>0</v>
      </c>
      <c r="L81" s="151">
        <f t="shared" si="22"/>
        <v>0</v>
      </c>
      <c r="M81" s="146">
        <f>SUMIFS(XUẤT!T:T,XUẤT!N:N,CBCNV!B81,XUẤT!O:O,CBCNV!$M$2)</f>
        <v>0</v>
      </c>
      <c r="N81" s="151">
        <f t="shared" si="23"/>
        <v>0</v>
      </c>
      <c r="O81" s="146">
        <f>SUMIFS(XUẤT!U:U,XUẤT!N:N,CBCNV!B81,XUẤT!O:O,CBCNV!$O$2)</f>
        <v>0</v>
      </c>
      <c r="P81" s="151">
        <f t="shared" si="24"/>
        <v>0</v>
      </c>
      <c r="Q81" s="32"/>
      <c r="R81" s="18"/>
    </row>
    <row r="82" spans="1:20" s="152" customFormat="1" x14ac:dyDescent="0.3">
      <c r="A82" s="149">
        <v>75</v>
      </c>
      <c r="B82" s="10" t="s">
        <v>182</v>
      </c>
      <c r="C82" s="149" t="s">
        <v>101</v>
      </c>
      <c r="D82" s="149" t="s">
        <v>173</v>
      </c>
      <c r="E82" s="146">
        <f>SUMIFS(XUẤT!P:P,XUẤT!N:N,CBCNV!B82,XUẤT!O:O,CBCNV!$E$2)</f>
        <v>0</v>
      </c>
      <c r="F82" s="151">
        <f t="shared" si="19"/>
        <v>0</v>
      </c>
      <c r="G82" s="146">
        <f>SUMIFS(XUẤT!Q:Q,XUẤT!N:N,CBCNV!B82,XUẤT!O:O,CBCNV!$G$2)</f>
        <v>0</v>
      </c>
      <c r="H82" s="150">
        <f t="shared" si="20"/>
        <v>0</v>
      </c>
      <c r="I82" s="146">
        <f>SUMIFS(XUẤT!R:R,XUẤT!N:N,CBCNV!B82,XUẤT!O:O,CBCNV!$I$2)</f>
        <v>0</v>
      </c>
      <c r="J82" s="151">
        <f t="shared" si="21"/>
        <v>0</v>
      </c>
      <c r="K82" s="146">
        <f>SUMIFS(XUẤT!S:S,XUẤT!N:N,CBCNV!B82,XUẤT!O:O,CBCNV!$K$2)</f>
        <v>0</v>
      </c>
      <c r="L82" s="151">
        <f t="shared" si="22"/>
        <v>0</v>
      </c>
      <c r="M82" s="146">
        <f>SUMIFS(XUẤT!T:T,XUẤT!N:N,CBCNV!B82,XUẤT!O:O,CBCNV!$M$2)</f>
        <v>0</v>
      </c>
      <c r="N82" s="151">
        <f t="shared" si="23"/>
        <v>0</v>
      </c>
      <c r="O82" s="146">
        <f>SUMIFS(XUẤT!U:U,XUẤT!N:N,CBCNV!B82,XUẤT!O:O,CBCNV!$O$2)</f>
        <v>0</v>
      </c>
      <c r="P82" s="151">
        <f t="shared" si="24"/>
        <v>0</v>
      </c>
      <c r="Q82" s="32"/>
      <c r="R82" s="18"/>
    </row>
    <row r="83" spans="1:20" s="152" customFormat="1" x14ac:dyDescent="0.3">
      <c r="A83" s="149">
        <v>76</v>
      </c>
      <c r="B83" s="10" t="s">
        <v>183</v>
      </c>
      <c r="C83" s="149" t="s">
        <v>170</v>
      </c>
      <c r="D83" s="149" t="s">
        <v>173</v>
      </c>
      <c r="E83" s="146">
        <f>SUMIFS(XUẤT!P:P,XUẤT!N:N,CBCNV!B83,XUẤT!O:O,CBCNV!$E$2)</f>
        <v>2</v>
      </c>
      <c r="F83" s="151">
        <f t="shared" si="19"/>
        <v>196000</v>
      </c>
      <c r="G83" s="146">
        <f>SUMIFS(XUẤT!Q:Q,XUẤT!N:N,CBCNV!B83,XUẤT!O:O,CBCNV!$G$2)</f>
        <v>0</v>
      </c>
      <c r="H83" s="150">
        <f t="shared" si="20"/>
        <v>0</v>
      </c>
      <c r="I83" s="146">
        <f>SUMIFS(XUẤT!R:R,XUẤT!N:N,CBCNV!B83,XUẤT!O:O,CBCNV!$I$2)</f>
        <v>0</v>
      </c>
      <c r="J83" s="151">
        <f t="shared" si="21"/>
        <v>0</v>
      </c>
      <c r="K83" s="146">
        <f>SUMIFS(XUẤT!S:S,XUẤT!N:N,CBCNV!B83,XUẤT!O:O,CBCNV!$K$2)</f>
        <v>0</v>
      </c>
      <c r="L83" s="151">
        <f t="shared" si="22"/>
        <v>0</v>
      </c>
      <c r="M83" s="146">
        <f>SUMIFS(XUẤT!T:T,XUẤT!N:N,CBCNV!B83,XUẤT!O:O,CBCNV!$M$2)</f>
        <v>0</v>
      </c>
      <c r="N83" s="151">
        <f t="shared" si="23"/>
        <v>0</v>
      </c>
      <c r="O83" s="146">
        <f>SUMIFS(XUẤT!U:U,XUẤT!N:N,CBCNV!B83,XUẤT!O:O,CBCNV!$O$2)</f>
        <v>0</v>
      </c>
      <c r="P83" s="151">
        <f t="shared" si="24"/>
        <v>0</v>
      </c>
      <c r="Q83" s="32"/>
      <c r="R83" s="18"/>
    </row>
    <row r="84" spans="1:20" s="152" customFormat="1" x14ac:dyDescent="0.3">
      <c r="A84" s="149">
        <v>77</v>
      </c>
      <c r="B84" s="10" t="s">
        <v>184</v>
      </c>
      <c r="C84" s="149" t="s">
        <v>170</v>
      </c>
      <c r="D84" s="149" t="s">
        <v>173</v>
      </c>
      <c r="E84" s="146">
        <f>SUMIFS(XUẤT!P:P,XUẤT!N:N,CBCNV!B84,XUẤT!O:O,CBCNV!$E$2)</f>
        <v>0</v>
      </c>
      <c r="F84" s="151">
        <f t="shared" si="19"/>
        <v>0</v>
      </c>
      <c r="G84" s="146">
        <f>SUMIFS(XUẤT!Q:Q,XUẤT!N:N,CBCNV!B84,XUẤT!O:O,CBCNV!$G$2)</f>
        <v>0</v>
      </c>
      <c r="H84" s="150">
        <f t="shared" si="20"/>
        <v>0</v>
      </c>
      <c r="I84" s="146">
        <f>SUMIFS(XUẤT!R:R,XUẤT!N:N,CBCNV!B84,XUẤT!O:O,CBCNV!$I$2)</f>
        <v>0</v>
      </c>
      <c r="J84" s="151">
        <f t="shared" si="21"/>
        <v>0</v>
      </c>
      <c r="K84" s="146">
        <f>SUMIFS(XUẤT!S:S,XUẤT!N:N,CBCNV!B84,XUẤT!O:O,CBCNV!$K$2)</f>
        <v>0</v>
      </c>
      <c r="L84" s="151">
        <f t="shared" si="22"/>
        <v>0</v>
      </c>
      <c r="M84" s="146">
        <f>SUMIFS(XUẤT!T:T,XUẤT!N:N,CBCNV!B84,XUẤT!O:O,CBCNV!$M$2)</f>
        <v>0</v>
      </c>
      <c r="N84" s="151">
        <f t="shared" si="23"/>
        <v>0</v>
      </c>
      <c r="O84" s="146">
        <f>SUMIFS(XUẤT!U:U,XUẤT!N:N,CBCNV!B84,XUẤT!O:O,CBCNV!$O$2)</f>
        <v>0</v>
      </c>
      <c r="P84" s="151">
        <f t="shared" si="24"/>
        <v>0</v>
      </c>
      <c r="Q84" s="32"/>
      <c r="R84" s="18"/>
    </row>
    <row r="85" spans="1:20" s="152" customFormat="1" x14ac:dyDescent="0.3">
      <c r="A85" s="149">
        <v>78</v>
      </c>
      <c r="B85" s="10" t="s">
        <v>55</v>
      </c>
      <c r="C85" s="149" t="s">
        <v>185</v>
      </c>
      <c r="D85" s="149" t="s">
        <v>173</v>
      </c>
      <c r="E85" s="146">
        <f>SUMIFS(XUẤT!P:P,XUẤT!N:N,CBCNV!B85,XUẤT!O:O,CBCNV!$E$2)</f>
        <v>28</v>
      </c>
      <c r="F85" s="151">
        <f t="shared" si="19"/>
        <v>2744000</v>
      </c>
      <c r="G85" s="146">
        <f>SUMIFS(XUẤT!Q:Q,XUẤT!N:N,CBCNV!B85,XUẤT!O:O,CBCNV!$G$2)</f>
        <v>0</v>
      </c>
      <c r="H85" s="150">
        <f t="shared" si="20"/>
        <v>0</v>
      </c>
      <c r="I85" s="146">
        <f>SUMIFS(XUẤT!R:R,XUẤT!N:N,CBCNV!B85,XUẤT!O:O,CBCNV!$I$2)</f>
        <v>0</v>
      </c>
      <c r="J85" s="151">
        <f t="shared" si="21"/>
        <v>0</v>
      </c>
      <c r="K85" s="146">
        <f>SUMIFS(XUẤT!S:S,XUẤT!N:N,CBCNV!B85,XUẤT!O:O,CBCNV!$K$2)</f>
        <v>0</v>
      </c>
      <c r="L85" s="151">
        <f t="shared" si="22"/>
        <v>0</v>
      </c>
      <c r="M85" s="146">
        <f>SUMIFS(XUẤT!T:T,XUẤT!N:N,CBCNV!B85,XUẤT!O:O,CBCNV!$M$2)</f>
        <v>0</v>
      </c>
      <c r="N85" s="151">
        <f t="shared" si="23"/>
        <v>0</v>
      </c>
      <c r="O85" s="146">
        <f>SUMIFS(XUẤT!U:U,XUẤT!N:N,CBCNV!B85,XUẤT!O:O,CBCNV!$O$2)</f>
        <v>0</v>
      </c>
      <c r="P85" s="151">
        <f t="shared" si="24"/>
        <v>0</v>
      </c>
      <c r="Q85" s="32"/>
      <c r="R85" s="18"/>
    </row>
    <row r="86" spans="1:20" s="152" customFormat="1" x14ac:dyDescent="0.3">
      <c r="A86" s="149">
        <v>79</v>
      </c>
      <c r="B86" s="10" t="s">
        <v>186</v>
      </c>
      <c r="C86" s="149" t="s">
        <v>185</v>
      </c>
      <c r="D86" s="149" t="s">
        <v>173</v>
      </c>
      <c r="E86" s="146">
        <f>SUMIFS(XUẤT!P:P,XUẤT!N:N,CBCNV!B86,XUẤT!O:O,CBCNV!$E$2)</f>
        <v>0</v>
      </c>
      <c r="F86" s="151">
        <f t="shared" si="19"/>
        <v>0</v>
      </c>
      <c r="G86" s="146">
        <f>SUMIFS(XUẤT!Q:Q,XUẤT!N:N,CBCNV!B86,XUẤT!O:O,CBCNV!$G$2)</f>
        <v>0</v>
      </c>
      <c r="H86" s="150">
        <f t="shared" si="20"/>
        <v>0</v>
      </c>
      <c r="I86" s="146">
        <f>SUMIFS(XUẤT!R:R,XUẤT!N:N,CBCNV!B86,XUẤT!O:O,CBCNV!$I$2)</f>
        <v>0</v>
      </c>
      <c r="J86" s="151">
        <f t="shared" si="21"/>
        <v>0</v>
      </c>
      <c r="K86" s="146">
        <f>SUMIFS(XUẤT!S:S,XUẤT!N:N,CBCNV!B86,XUẤT!O:O,CBCNV!$K$2)</f>
        <v>0</v>
      </c>
      <c r="L86" s="151">
        <f t="shared" si="22"/>
        <v>0</v>
      </c>
      <c r="M86" s="146">
        <f>SUMIFS(XUẤT!T:T,XUẤT!N:N,CBCNV!B86,XUẤT!O:O,CBCNV!$M$2)</f>
        <v>0</v>
      </c>
      <c r="N86" s="151">
        <f t="shared" si="23"/>
        <v>0</v>
      </c>
      <c r="O86" s="146">
        <f>SUMIFS(XUẤT!U:U,XUẤT!N:N,CBCNV!B86,XUẤT!O:O,CBCNV!$O$2)</f>
        <v>0</v>
      </c>
      <c r="P86" s="151">
        <f t="shared" si="24"/>
        <v>0</v>
      </c>
      <c r="Q86" s="32"/>
      <c r="R86" s="18"/>
    </row>
    <row r="87" spans="1:20" s="148" customFormat="1" x14ac:dyDescent="0.3">
      <c r="A87" s="149">
        <v>80</v>
      </c>
      <c r="B87" s="10" t="s">
        <v>187</v>
      </c>
      <c r="C87" s="149" t="s">
        <v>185</v>
      </c>
      <c r="D87" s="149" t="s">
        <v>173</v>
      </c>
      <c r="E87" s="146">
        <f>SUMIFS(XUẤT!P:P,XUẤT!N:N,CBCNV!B87,XUẤT!O:O,CBCNV!$E$2)</f>
        <v>0</v>
      </c>
      <c r="F87" s="151">
        <f t="shared" si="19"/>
        <v>0</v>
      </c>
      <c r="G87" s="146">
        <f>SUMIFS(XUẤT!Q:Q,XUẤT!N:N,CBCNV!B87,XUẤT!O:O,CBCNV!$G$2)</f>
        <v>0</v>
      </c>
      <c r="H87" s="150">
        <f t="shared" si="20"/>
        <v>0</v>
      </c>
      <c r="I87" s="146">
        <f>SUMIFS(XUẤT!R:R,XUẤT!N:N,CBCNV!B87,XUẤT!O:O,CBCNV!$I$2)</f>
        <v>0</v>
      </c>
      <c r="J87" s="151">
        <f t="shared" si="21"/>
        <v>0</v>
      </c>
      <c r="K87" s="146">
        <f>SUMIFS(XUẤT!S:S,XUẤT!N:N,CBCNV!B87,XUẤT!O:O,CBCNV!$K$2)</f>
        <v>0</v>
      </c>
      <c r="L87" s="151">
        <f t="shared" si="22"/>
        <v>0</v>
      </c>
      <c r="M87" s="146">
        <f>SUMIFS(XUẤT!T:T,XUẤT!N:N,CBCNV!B87,XUẤT!O:O,CBCNV!$M$2)</f>
        <v>0</v>
      </c>
      <c r="N87" s="151">
        <f t="shared" si="23"/>
        <v>0</v>
      </c>
      <c r="O87" s="146">
        <f>SUMIFS(XUẤT!U:U,XUẤT!N:N,CBCNV!B87,XUẤT!O:O,CBCNV!$O$2)</f>
        <v>0</v>
      </c>
      <c r="P87" s="151">
        <f t="shared" si="24"/>
        <v>0</v>
      </c>
      <c r="Q87" s="32"/>
      <c r="R87" s="18"/>
      <c r="S87" s="152"/>
      <c r="T87" s="152"/>
    </row>
    <row r="88" spans="1:20" s="152" customFormat="1" x14ac:dyDescent="0.3">
      <c r="A88" s="149">
        <v>81</v>
      </c>
      <c r="B88" s="10" t="s">
        <v>188</v>
      </c>
      <c r="C88" s="149" t="s">
        <v>189</v>
      </c>
      <c r="D88" s="149" t="s">
        <v>173</v>
      </c>
      <c r="E88" s="146">
        <f>SUMIFS(XUẤT!P:P,XUẤT!N:N,CBCNV!B88,XUẤT!O:O,CBCNV!$E$2)</f>
        <v>13</v>
      </c>
      <c r="F88" s="151">
        <f t="shared" si="19"/>
        <v>1274000</v>
      </c>
      <c r="G88" s="146">
        <f>SUMIFS(XUẤT!Q:Q,XUẤT!N:N,CBCNV!B88,XUẤT!O:O,CBCNV!$G$2)</f>
        <v>0</v>
      </c>
      <c r="H88" s="150">
        <f t="shared" si="20"/>
        <v>0</v>
      </c>
      <c r="I88" s="146">
        <f>SUMIFS(XUẤT!R:R,XUẤT!N:N,CBCNV!B88,XUẤT!O:O,CBCNV!$I$2)</f>
        <v>0</v>
      </c>
      <c r="J88" s="151">
        <f t="shared" si="21"/>
        <v>0</v>
      </c>
      <c r="K88" s="146">
        <f>SUMIFS(XUẤT!S:S,XUẤT!N:N,CBCNV!B88,XUẤT!O:O,CBCNV!$K$2)</f>
        <v>0</v>
      </c>
      <c r="L88" s="151">
        <f t="shared" si="22"/>
        <v>0</v>
      </c>
      <c r="M88" s="146">
        <f>SUMIFS(XUẤT!T:T,XUẤT!N:N,CBCNV!B88,XUẤT!O:O,CBCNV!$M$2)</f>
        <v>0</v>
      </c>
      <c r="N88" s="151">
        <f t="shared" si="23"/>
        <v>0</v>
      </c>
      <c r="O88" s="146">
        <f>SUMIFS(XUẤT!U:U,XUẤT!N:N,CBCNV!B88,XUẤT!O:O,CBCNV!$O$2)</f>
        <v>0</v>
      </c>
      <c r="P88" s="151">
        <f t="shared" si="24"/>
        <v>0</v>
      </c>
      <c r="Q88" s="32"/>
      <c r="R88" s="18"/>
    </row>
    <row r="89" spans="1:20" s="152" customFormat="1" x14ac:dyDescent="0.3">
      <c r="A89" s="149">
        <v>82</v>
      </c>
      <c r="B89" s="10" t="s">
        <v>190</v>
      </c>
      <c r="C89" s="149" t="s">
        <v>170</v>
      </c>
      <c r="D89" s="149" t="s">
        <v>173</v>
      </c>
      <c r="E89" s="146">
        <f>SUMIFS(XUẤT!P:P,XUẤT!N:N,CBCNV!B89,XUẤT!O:O,CBCNV!$E$2)</f>
        <v>10</v>
      </c>
      <c r="F89" s="151">
        <f t="shared" si="19"/>
        <v>980000</v>
      </c>
      <c r="G89" s="146">
        <f>SUMIFS(XUẤT!Q:Q,XUẤT!N:N,CBCNV!B89,XUẤT!O:O,CBCNV!$G$2)</f>
        <v>0</v>
      </c>
      <c r="H89" s="150">
        <f t="shared" si="20"/>
        <v>0</v>
      </c>
      <c r="I89" s="146">
        <f>SUMIFS(XUẤT!R:R,XUẤT!N:N,CBCNV!B89,XUẤT!O:O,CBCNV!$I$2)</f>
        <v>0</v>
      </c>
      <c r="J89" s="151">
        <f t="shared" si="21"/>
        <v>0</v>
      </c>
      <c r="K89" s="146">
        <f>SUMIFS(XUẤT!S:S,XUẤT!N:N,CBCNV!B89,XUẤT!O:O,CBCNV!$K$2)</f>
        <v>0</v>
      </c>
      <c r="L89" s="151">
        <f t="shared" si="22"/>
        <v>0</v>
      </c>
      <c r="M89" s="146">
        <f>SUMIFS(XUẤT!T:T,XUẤT!N:N,CBCNV!B89,XUẤT!O:O,CBCNV!$M$2)</f>
        <v>7</v>
      </c>
      <c r="N89" s="151">
        <f t="shared" si="23"/>
        <v>364000</v>
      </c>
      <c r="O89" s="146">
        <f>SUMIFS(XUẤT!U:U,XUẤT!N:N,CBCNV!B89,XUẤT!O:O,CBCNV!$O$2)</f>
        <v>0</v>
      </c>
      <c r="P89" s="151">
        <f t="shared" si="24"/>
        <v>0</v>
      </c>
      <c r="Q89" s="32"/>
      <c r="R89" s="18"/>
    </row>
    <row r="90" spans="1:20" s="152" customFormat="1" x14ac:dyDescent="0.3">
      <c r="A90" s="149">
        <v>83</v>
      </c>
      <c r="B90" s="34" t="s">
        <v>191</v>
      </c>
      <c r="C90" s="153" t="s">
        <v>153</v>
      </c>
      <c r="D90" s="153" t="s">
        <v>192</v>
      </c>
      <c r="E90" s="146">
        <f>SUMIFS(XUẤT!P:P,XUẤT!N:N,CBCNV!B90,XUẤT!O:O,CBCNV!$E$2)</f>
        <v>0</v>
      </c>
      <c r="F90" s="151">
        <f t="shared" si="19"/>
        <v>0</v>
      </c>
      <c r="G90" s="146">
        <f>SUMIFS(XUẤT!Q:Q,XUẤT!N:N,CBCNV!B90,XUẤT!O:O,CBCNV!$G$2)</f>
        <v>0</v>
      </c>
      <c r="H90" s="150">
        <f t="shared" si="20"/>
        <v>0</v>
      </c>
      <c r="I90" s="146">
        <f>SUMIFS(XUẤT!R:R,XUẤT!N:N,CBCNV!B90,XUẤT!O:O,CBCNV!$I$2)</f>
        <v>0</v>
      </c>
      <c r="J90" s="151">
        <f t="shared" si="21"/>
        <v>0</v>
      </c>
      <c r="K90" s="146">
        <f>SUMIFS(XUẤT!S:S,XUẤT!N:N,CBCNV!B90,XUẤT!O:O,CBCNV!$K$2)</f>
        <v>0</v>
      </c>
      <c r="L90" s="151">
        <f t="shared" si="22"/>
        <v>0</v>
      </c>
      <c r="M90" s="146">
        <f>SUMIFS(XUẤT!T:T,XUẤT!N:N,CBCNV!B90,XUẤT!O:O,CBCNV!$M$2)</f>
        <v>0</v>
      </c>
      <c r="N90" s="151">
        <f t="shared" si="23"/>
        <v>0</v>
      </c>
      <c r="O90" s="146">
        <f>SUMIFS(XUẤT!U:U,XUẤT!N:N,CBCNV!B90,XUẤT!O:O,CBCNV!$O$2)</f>
        <v>0</v>
      </c>
      <c r="P90" s="151">
        <f t="shared" si="24"/>
        <v>0</v>
      </c>
      <c r="Q90" s="32"/>
      <c r="R90" s="21"/>
      <c r="S90" s="148"/>
      <c r="T90" s="148"/>
    </row>
    <row r="91" spans="1:20" s="152" customFormat="1" x14ac:dyDescent="0.3">
      <c r="A91" s="149">
        <v>84</v>
      </c>
      <c r="B91" s="10" t="s">
        <v>193</v>
      </c>
      <c r="C91" s="149" t="s">
        <v>156</v>
      </c>
      <c r="D91" s="149" t="s">
        <v>192</v>
      </c>
      <c r="E91" s="146">
        <f>SUMIFS(XUẤT!P:P,XUẤT!N:N,CBCNV!B91,XUẤT!O:O,CBCNV!$E$2)</f>
        <v>0</v>
      </c>
      <c r="F91" s="151">
        <f t="shared" si="19"/>
        <v>0</v>
      </c>
      <c r="G91" s="146">
        <f>SUMIFS(XUẤT!Q:Q,XUẤT!N:N,CBCNV!B91,XUẤT!O:O,CBCNV!$G$2)</f>
        <v>0</v>
      </c>
      <c r="H91" s="150">
        <f t="shared" si="20"/>
        <v>0</v>
      </c>
      <c r="I91" s="146">
        <f>SUMIFS(XUẤT!R:R,XUẤT!N:N,CBCNV!B91,XUẤT!O:O,CBCNV!$I$2)</f>
        <v>0</v>
      </c>
      <c r="J91" s="151">
        <f t="shared" si="21"/>
        <v>0</v>
      </c>
      <c r="K91" s="146">
        <f>SUMIFS(XUẤT!S:S,XUẤT!N:N,CBCNV!B91,XUẤT!O:O,CBCNV!$K$2)</f>
        <v>0</v>
      </c>
      <c r="L91" s="151">
        <f t="shared" si="22"/>
        <v>0</v>
      </c>
      <c r="M91" s="146">
        <f>SUMIFS(XUẤT!T:T,XUẤT!N:N,CBCNV!B91,XUẤT!O:O,CBCNV!$M$2)</f>
        <v>0</v>
      </c>
      <c r="N91" s="151">
        <f t="shared" si="23"/>
        <v>0</v>
      </c>
      <c r="O91" s="146">
        <f>SUMIFS(XUẤT!U:U,XUẤT!N:N,CBCNV!B91,XUẤT!O:O,CBCNV!$O$2)</f>
        <v>0</v>
      </c>
      <c r="P91" s="151">
        <f t="shared" si="24"/>
        <v>0</v>
      </c>
      <c r="Q91" s="32"/>
      <c r="R91" s="18"/>
    </row>
    <row r="92" spans="1:20" s="152" customFormat="1" x14ac:dyDescent="0.3">
      <c r="A92" s="149">
        <v>85</v>
      </c>
      <c r="B92" s="10" t="s">
        <v>194</v>
      </c>
      <c r="C92" s="149" t="s">
        <v>156</v>
      </c>
      <c r="D92" s="149" t="s">
        <v>192</v>
      </c>
      <c r="E92" s="146">
        <f>SUMIFS(XUẤT!P:P,XUẤT!N:N,CBCNV!B92,XUẤT!O:O,CBCNV!$E$2)</f>
        <v>10</v>
      </c>
      <c r="F92" s="151">
        <f t="shared" si="19"/>
        <v>980000</v>
      </c>
      <c r="G92" s="146">
        <f>SUMIFS(XUẤT!Q:Q,XUẤT!N:N,CBCNV!B92,XUẤT!O:O,CBCNV!$G$2)</f>
        <v>0</v>
      </c>
      <c r="H92" s="150">
        <f t="shared" si="20"/>
        <v>0</v>
      </c>
      <c r="I92" s="146">
        <f>SUMIFS(XUẤT!R:R,XUẤT!N:N,CBCNV!B92,XUẤT!O:O,CBCNV!$I$2)</f>
        <v>0</v>
      </c>
      <c r="J92" s="151">
        <f t="shared" si="21"/>
        <v>0</v>
      </c>
      <c r="K92" s="146">
        <f>SUMIFS(XUẤT!S:S,XUẤT!N:N,CBCNV!B92,XUẤT!O:O,CBCNV!$K$2)</f>
        <v>0</v>
      </c>
      <c r="L92" s="151">
        <f t="shared" si="22"/>
        <v>0</v>
      </c>
      <c r="M92" s="146">
        <f>SUMIFS(XUẤT!T:T,XUẤT!N:N,CBCNV!B92,XUẤT!O:O,CBCNV!$M$2)</f>
        <v>0</v>
      </c>
      <c r="N92" s="151">
        <f t="shared" si="23"/>
        <v>0</v>
      </c>
      <c r="O92" s="146">
        <f>SUMIFS(XUẤT!U:U,XUẤT!N:N,CBCNV!B92,XUẤT!O:O,CBCNV!$O$2)</f>
        <v>0</v>
      </c>
      <c r="P92" s="151">
        <f t="shared" si="24"/>
        <v>0</v>
      </c>
      <c r="Q92" s="32"/>
      <c r="R92" s="18"/>
    </row>
    <row r="93" spans="1:20" s="152" customFormat="1" x14ac:dyDescent="0.3">
      <c r="A93" s="149">
        <v>86</v>
      </c>
      <c r="B93" s="10" t="s">
        <v>195</v>
      </c>
      <c r="C93" s="149" t="s">
        <v>101</v>
      </c>
      <c r="D93" s="149" t="s">
        <v>192</v>
      </c>
      <c r="E93" s="146">
        <f>SUMIFS(XUẤT!P:P,XUẤT!N:N,CBCNV!B93,XUẤT!O:O,CBCNV!$E$2)</f>
        <v>0</v>
      </c>
      <c r="F93" s="151">
        <f t="shared" si="19"/>
        <v>0</v>
      </c>
      <c r="G93" s="146">
        <f>SUMIFS(XUẤT!Q:Q,XUẤT!N:N,CBCNV!B93,XUẤT!O:O,CBCNV!$G$2)</f>
        <v>0</v>
      </c>
      <c r="H93" s="150">
        <f t="shared" si="20"/>
        <v>0</v>
      </c>
      <c r="I93" s="146">
        <f>SUMIFS(XUẤT!R:R,XUẤT!N:N,CBCNV!B93,XUẤT!O:O,CBCNV!$I$2)</f>
        <v>0</v>
      </c>
      <c r="J93" s="151">
        <f t="shared" si="21"/>
        <v>0</v>
      </c>
      <c r="K93" s="146">
        <f>SUMIFS(XUẤT!S:S,XUẤT!N:N,CBCNV!B93,XUẤT!O:O,CBCNV!$K$2)</f>
        <v>0</v>
      </c>
      <c r="L93" s="151">
        <f t="shared" si="22"/>
        <v>0</v>
      </c>
      <c r="M93" s="146">
        <f>SUMIFS(XUẤT!T:T,XUẤT!N:N,CBCNV!B93,XUẤT!O:O,CBCNV!$M$2)</f>
        <v>0</v>
      </c>
      <c r="N93" s="151">
        <f t="shared" si="23"/>
        <v>0</v>
      </c>
      <c r="O93" s="146">
        <f>SUMIFS(XUẤT!U:U,XUẤT!N:N,CBCNV!B93,XUẤT!O:O,CBCNV!$O$2)</f>
        <v>0</v>
      </c>
      <c r="P93" s="151">
        <f t="shared" si="24"/>
        <v>0</v>
      </c>
      <c r="Q93" s="32"/>
      <c r="R93" s="18"/>
    </row>
    <row r="94" spans="1:20" s="152" customFormat="1" x14ac:dyDescent="0.3">
      <c r="A94" s="149">
        <v>87</v>
      </c>
      <c r="B94" s="10" t="s">
        <v>196</v>
      </c>
      <c r="C94" s="149" t="s">
        <v>101</v>
      </c>
      <c r="D94" s="149" t="s">
        <v>192</v>
      </c>
      <c r="E94" s="146">
        <f>SUMIFS(XUẤT!P:P,XUẤT!N:N,CBCNV!B94,XUẤT!O:O,CBCNV!$E$2)</f>
        <v>0</v>
      </c>
      <c r="F94" s="151">
        <f t="shared" si="19"/>
        <v>0</v>
      </c>
      <c r="G94" s="146">
        <f>SUMIFS(XUẤT!Q:Q,XUẤT!N:N,CBCNV!B94,XUẤT!O:O,CBCNV!$G$2)</f>
        <v>0</v>
      </c>
      <c r="H94" s="150">
        <f t="shared" si="20"/>
        <v>0</v>
      </c>
      <c r="I94" s="146">
        <f>SUMIFS(XUẤT!R:R,XUẤT!N:N,CBCNV!B94,XUẤT!O:O,CBCNV!$I$2)</f>
        <v>0</v>
      </c>
      <c r="J94" s="151">
        <f t="shared" si="21"/>
        <v>0</v>
      </c>
      <c r="K94" s="146">
        <f>SUMIFS(XUẤT!S:S,XUẤT!N:N,CBCNV!B94,XUẤT!O:O,CBCNV!$K$2)</f>
        <v>0</v>
      </c>
      <c r="L94" s="151">
        <f t="shared" si="22"/>
        <v>0</v>
      </c>
      <c r="M94" s="146">
        <f>SUMIFS(XUẤT!T:T,XUẤT!N:N,CBCNV!B94,XUẤT!O:O,CBCNV!$M$2)</f>
        <v>0</v>
      </c>
      <c r="N94" s="151">
        <f t="shared" si="23"/>
        <v>0</v>
      </c>
      <c r="O94" s="146">
        <f>SUMIFS(XUẤT!U:U,XUẤT!N:N,CBCNV!B94,XUẤT!O:O,CBCNV!$O$2)</f>
        <v>0</v>
      </c>
      <c r="P94" s="151">
        <f t="shared" si="24"/>
        <v>0</v>
      </c>
      <c r="Q94" s="32"/>
      <c r="R94" s="18"/>
    </row>
    <row r="95" spans="1:20" s="152" customFormat="1" x14ac:dyDescent="0.3">
      <c r="A95" s="149">
        <v>88</v>
      </c>
      <c r="B95" s="10" t="s">
        <v>197</v>
      </c>
      <c r="C95" s="149" t="s">
        <v>101</v>
      </c>
      <c r="D95" s="149" t="s">
        <v>192</v>
      </c>
      <c r="E95" s="146">
        <f>SUMIFS(XUẤT!P:P,XUẤT!N:N,CBCNV!B95,XUẤT!O:O,CBCNV!$E$2)</f>
        <v>0</v>
      </c>
      <c r="F95" s="151">
        <f t="shared" si="19"/>
        <v>0</v>
      </c>
      <c r="G95" s="146">
        <f>SUMIFS(XUẤT!Q:Q,XUẤT!N:N,CBCNV!B95,XUẤT!O:O,CBCNV!$G$2)</f>
        <v>0</v>
      </c>
      <c r="H95" s="150">
        <f t="shared" si="20"/>
        <v>0</v>
      </c>
      <c r="I95" s="146">
        <f>SUMIFS(XUẤT!R:R,XUẤT!N:N,CBCNV!B95,XUẤT!O:O,CBCNV!$I$2)</f>
        <v>0</v>
      </c>
      <c r="J95" s="151">
        <f t="shared" si="21"/>
        <v>0</v>
      </c>
      <c r="K95" s="146">
        <f>SUMIFS(XUẤT!S:S,XUẤT!N:N,CBCNV!B95,XUẤT!O:O,CBCNV!$K$2)</f>
        <v>0</v>
      </c>
      <c r="L95" s="151">
        <f t="shared" si="22"/>
        <v>0</v>
      </c>
      <c r="M95" s="146">
        <f>SUMIFS(XUẤT!T:T,XUẤT!N:N,CBCNV!B95,XUẤT!O:O,CBCNV!$M$2)</f>
        <v>0</v>
      </c>
      <c r="N95" s="151">
        <f t="shared" si="23"/>
        <v>0</v>
      </c>
      <c r="O95" s="146">
        <f>SUMIFS(XUẤT!U:U,XUẤT!N:N,CBCNV!B95,XUẤT!O:O,CBCNV!$O$2)</f>
        <v>0</v>
      </c>
      <c r="P95" s="151">
        <f t="shared" si="24"/>
        <v>0</v>
      </c>
      <c r="Q95" s="32"/>
      <c r="R95" s="18"/>
    </row>
    <row r="96" spans="1:20" s="152" customFormat="1" x14ac:dyDescent="0.3">
      <c r="A96" s="149">
        <v>89</v>
      </c>
      <c r="B96" s="10" t="s">
        <v>198</v>
      </c>
      <c r="C96" s="149" t="s">
        <v>101</v>
      </c>
      <c r="D96" s="149" t="s">
        <v>192</v>
      </c>
      <c r="E96" s="146">
        <f>SUMIFS(XUẤT!P:P,XUẤT!N:N,CBCNV!B96,XUẤT!O:O,CBCNV!$E$2)</f>
        <v>0</v>
      </c>
      <c r="F96" s="151">
        <f t="shared" si="19"/>
        <v>0</v>
      </c>
      <c r="G96" s="146">
        <f>SUMIFS(XUẤT!Q:Q,XUẤT!N:N,CBCNV!B96,XUẤT!O:O,CBCNV!$G$2)</f>
        <v>0</v>
      </c>
      <c r="H96" s="150">
        <f t="shared" si="20"/>
        <v>0</v>
      </c>
      <c r="I96" s="146">
        <f>SUMIFS(XUẤT!R:R,XUẤT!N:N,CBCNV!B96,XUẤT!O:O,CBCNV!$I$2)</f>
        <v>0</v>
      </c>
      <c r="J96" s="151">
        <f t="shared" si="21"/>
        <v>0</v>
      </c>
      <c r="K96" s="146">
        <f>SUMIFS(XUẤT!S:S,XUẤT!N:N,CBCNV!B96,XUẤT!O:O,CBCNV!$K$2)</f>
        <v>0</v>
      </c>
      <c r="L96" s="151">
        <f t="shared" si="22"/>
        <v>0</v>
      </c>
      <c r="M96" s="146">
        <f>SUMIFS(XUẤT!T:T,XUẤT!N:N,CBCNV!B96,XUẤT!O:O,CBCNV!$M$2)</f>
        <v>0</v>
      </c>
      <c r="N96" s="151">
        <f t="shared" si="23"/>
        <v>0</v>
      </c>
      <c r="O96" s="146">
        <f>SUMIFS(XUẤT!U:U,XUẤT!N:N,CBCNV!B96,XUẤT!O:O,CBCNV!$O$2)</f>
        <v>0</v>
      </c>
      <c r="P96" s="151">
        <f t="shared" si="24"/>
        <v>0</v>
      </c>
      <c r="Q96" s="32"/>
      <c r="R96" s="18"/>
    </row>
    <row r="97" spans="1:20" s="152" customFormat="1" x14ac:dyDescent="0.3">
      <c r="A97" s="149">
        <v>90</v>
      </c>
      <c r="B97" s="10" t="s">
        <v>199</v>
      </c>
      <c r="C97" s="149" t="s">
        <v>101</v>
      </c>
      <c r="D97" s="149" t="s">
        <v>192</v>
      </c>
      <c r="E97" s="146">
        <f>SUMIFS(XUẤT!P:P,XUẤT!N:N,CBCNV!B97,XUẤT!O:O,CBCNV!$E$2)</f>
        <v>0</v>
      </c>
      <c r="F97" s="151">
        <f t="shared" si="19"/>
        <v>0</v>
      </c>
      <c r="G97" s="146">
        <f>SUMIFS(XUẤT!Q:Q,XUẤT!N:N,CBCNV!B97,XUẤT!O:O,CBCNV!$G$2)</f>
        <v>0</v>
      </c>
      <c r="H97" s="150">
        <f t="shared" si="20"/>
        <v>0</v>
      </c>
      <c r="I97" s="146">
        <f>SUMIFS(XUẤT!R:R,XUẤT!N:N,CBCNV!B97,XUẤT!O:O,CBCNV!$I$2)</f>
        <v>0</v>
      </c>
      <c r="J97" s="151">
        <f t="shared" si="21"/>
        <v>0</v>
      </c>
      <c r="K97" s="146">
        <f>SUMIFS(XUẤT!S:S,XUẤT!N:N,CBCNV!B97,XUẤT!O:O,CBCNV!$K$2)</f>
        <v>0</v>
      </c>
      <c r="L97" s="151">
        <f t="shared" si="22"/>
        <v>0</v>
      </c>
      <c r="M97" s="146">
        <f>SUMIFS(XUẤT!T:T,XUẤT!N:N,CBCNV!B97,XUẤT!O:O,CBCNV!$M$2)</f>
        <v>0</v>
      </c>
      <c r="N97" s="151">
        <f t="shared" si="23"/>
        <v>0</v>
      </c>
      <c r="O97" s="146">
        <f>SUMIFS(XUẤT!U:U,XUẤT!N:N,CBCNV!B97,XUẤT!O:O,CBCNV!$O$2)</f>
        <v>0</v>
      </c>
      <c r="P97" s="151">
        <f t="shared" si="24"/>
        <v>0</v>
      </c>
      <c r="Q97" s="32"/>
      <c r="R97" s="18"/>
    </row>
    <row r="98" spans="1:20" s="152" customFormat="1" x14ac:dyDescent="0.3">
      <c r="A98" s="149">
        <v>91</v>
      </c>
      <c r="B98" s="10" t="s">
        <v>200</v>
      </c>
      <c r="C98" s="149" t="s">
        <v>101</v>
      </c>
      <c r="D98" s="149" t="s">
        <v>192</v>
      </c>
      <c r="E98" s="146">
        <f>SUMIFS(XUẤT!P:P,XUẤT!N:N,CBCNV!B98,XUẤT!O:O,CBCNV!$E$2)</f>
        <v>0</v>
      </c>
      <c r="F98" s="151">
        <f t="shared" si="19"/>
        <v>0</v>
      </c>
      <c r="G98" s="146">
        <f>SUMIFS(XUẤT!Q:Q,XUẤT!N:N,CBCNV!B98,XUẤT!O:O,CBCNV!$G$2)</f>
        <v>0</v>
      </c>
      <c r="H98" s="150">
        <f t="shared" si="20"/>
        <v>0</v>
      </c>
      <c r="I98" s="146">
        <f>SUMIFS(XUẤT!R:R,XUẤT!N:N,CBCNV!B98,XUẤT!O:O,CBCNV!$I$2)</f>
        <v>0</v>
      </c>
      <c r="J98" s="151">
        <f t="shared" si="21"/>
        <v>0</v>
      </c>
      <c r="K98" s="146">
        <f>SUMIFS(XUẤT!S:S,XUẤT!N:N,CBCNV!B98,XUẤT!O:O,CBCNV!$K$2)</f>
        <v>0</v>
      </c>
      <c r="L98" s="151">
        <f t="shared" si="22"/>
        <v>0</v>
      </c>
      <c r="M98" s="146">
        <f>SUMIFS(XUẤT!T:T,XUẤT!N:N,CBCNV!B98,XUẤT!O:O,CBCNV!$M$2)</f>
        <v>0</v>
      </c>
      <c r="N98" s="151">
        <f t="shared" si="23"/>
        <v>0</v>
      </c>
      <c r="O98" s="146">
        <f>SUMIFS(XUẤT!U:U,XUẤT!N:N,CBCNV!B98,XUẤT!O:O,CBCNV!$O$2)</f>
        <v>0</v>
      </c>
      <c r="P98" s="151">
        <f t="shared" si="24"/>
        <v>0</v>
      </c>
      <c r="Q98" s="32"/>
      <c r="R98" s="18"/>
    </row>
    <row r="99" spans="1:20" s="152" customFormat="1" x14ac:dyDescent="0.3">
      <c r="A99" s="149">
        <v>92</v>
      </c>
      <c r="B99" s="10" t="s">
        <v>201</v>
      </c>
      <c r="C99" s="149" t="s">
        <v>170</v>
      </c>
      <c r="D99" s="149" t="s">
        <v>192</v>
      </c>
      <c r="E99" s="146">
        <f>SUMIFS(XUẤT!P:P,XUẤT!N:N,CBCNV!B99,XUẤT!O:O,CBCNV!$E$2)</f>
        <v>0</v>
      </c>
      <c r="F99" s="151">
        <f t="shared" si="19"/>
        <v>0</v>
      </c>
      <c r="G99" s="146">
        <f>SUMIFS(XUẤT!Q:Q,XUẤT!N:N,CBCNV!B99,XUẤT!O:O,CBCNV!$G$2)</f>
        <v>0</v>
      </c>
      <c r="H99" s="150">
        <f t="shared" si="20"/>
        <v>0</v>
      </c>
      <c r="I99" s="146">
        <f>SUMIFS(XUẤT!R:R,XUẤT!N:N,CBCNV!B99,XUẤT!O:O,CBCNV!$I$2)</f>
        <v>0</v>
      </c>
      <c r="J99" s="151">
        <f t="shared" si="21"/>
        <v>0</v>
      </c>
      <c r="K99" s="146">
        <f>SUMIFS(XUẤT!S:S,XUẤT!N:N,CBCNV!B99,XUẤT!O:O,CBCNV!$K$2)</f>
        <v>0</v>
      </c>
      <c r="L99" s="151">
        <f t="shared" si="22"/>
        <v>0</v>
      </c>
      <c r="M99" s="146">
        <f>SUMIFS(XUẤT!T:T,XUẤT!N:N,CBCNV!B99,XUẤT!O:O,CBCNV!$M$2)</f>
        <v>22</v>
      </c>
      <c r="N99" s="151">
        <f t="shared" si="23"/>
        <v>1144000</v>
      </c>
      <c r="O99" s="146">
        <f>SUMIFS(XUẤT!U:U,XUẤT!N:N,CBCNV!B99,XUẤT!O:O,CBCNV!$O$2)</f>
        <v>0</v>
      </c>
      <c r="P99" s="151">
        <f t="shared" si="24"/>
        <v>0</v>
      </c>
      <c r="Q99" s="32"/>
      <c r="R99" s="18"/>
    </row>
    <row r="100" spans="1:20" s="152" customFormat="1" x14ac:dyDescent="0.3">
      <c r="A100" s="149">
        <v>93</v>
      </c>
      <c r="B100" s="10" t="s">
        <v>202</v>
      </c>
      <c r="C100" s="149" t="s">
        <v>170</v>
      </c>
      <c r="D100" s="149" t="s">
        <v>192</v>
      </c>
      <c r="E100" s="146">
        <f>SUMIFS(XUẤT!P:P,XUẤT!N:N,CBCNV!B100,XUẤT!O:O,CBCNV!$E$2)</f>
        <v>0</v>
      </c>
      <c r="F100" s="151">
        <f t="shared" si="19"/>
        <v>0</v>
      </c>
      <c r="G100" s="146">
        <f>SUMIFS(XUẤT!Q:Q,XUẤT!N:N,CBCNV!B100,XUẤT!O:O,CBCNV!$G$2)</f>
        <v>0</v>
      </c>
      <c r="H100" s="150">
        <f t="shared" si="20"/>
        <v>0</v>
      </c>
      <c r="I100" s="146">
        <f>SUMIFS(XUẤT!R:R,XUẤT!N:N,CBCNV!B100,XUẤT!O:O,CBCNV!$I$2)</f>
        <v>0</v>
      </c>
      <c r="J100" s="151">
        <f t="shared" si="21"/>
        <v>0</v>
      </c>
      <c r="K100" s="146">
        <f>SUMIFS(XUẤT!S:S,XUẤT!N:N,CBCNV!B100,XUẤT!O:O,CBCNV!$K$2)</f>
        <v>0</v>
      </c>
      <c r="L100" s="151">
        <f t="shared" si="22"/>
        <v>0</v>
      </c>
      <c r="M100" s="146">
        <f>SUMIFS(XUẤT!T:T,XUẤT!N:N,CBCNV!B100,XUẤT!O:O,CBCNV!$M$2)</f>
        <v>0</v>
      </c>
      <c r="N100" s="151">
        <f t="shared" si="23"/>
        <v>0</v>
      </c>
      <c r="O100" s="146">
        <f>SUMIFS(XUẤT!U:U,XUẤT!N:N,CBCNV!B100,XUẤT!O:O,CBCNV!$O$2)</f>
        <v>0</v>
      </c>
      <c r="P100" s="151">
        <f t="shared" si="24"/>
        <v>0</v>
      </c>
      <c r="Q100" s="32"/>
      <c r="R100" s="18"/>
    </row>
    <row r="101" spans="1:20" s="152" customFormat="1" x14ac:dyDescent="0.3">
      <c r="A101" s="149">
        <v>94</v>
      </c>
      <c r="B101" s="10" t="s">
        <v>203</v>
      </c>
      <c r="C101" s="149" t="s">
        <v>170</v>
      </c>
      <c r="D101" s="149" t="s">
        <v>192</v>
      </c>
      <c r="E101" s="146">
        <f>SUMIFS(XUẤT!P:P,XUẤT!N:N,CBCNV!B101,XUẤT!O:O,CBCNV!$E$2)</f>
        <v>0</v>
      </c>
      <c r="F101" s="151">
        <f t="shared" si="19"/>
        <v>0</v>
      </c>
      <c r="G101" s="146">
        <f>SUMIFS(XUẤT!Q:Q,XUẤT!N:N,CBCNV!B101,XUẤT!O:O,CBCNV!$G$2)</f>
        <v>0</v>
      </c>
      <c r="H101" s="150">
        <f t="shared" si="20"/>
        <v>0</v>
      </c>
      <c r="I101" s="146">
        <f>SUMIFS(XUẤT!R:R,XUẤT!N:N,CBCNV!B101,XUẤT!O:O,CBCNV!$I$2)</f>
        <v>0</v>
      </c>
      <c r="J101" s="151">
        <f t="shared" si="21"/>
        <v>0</v>
      </c>
      <c r="K101" s="146">
        <f>SUMIFS(XUẤT!S:S,XUẤT!N:N,CBCNV!B101,XUẤT!O:O,CBCNV!$K$2)</f>
        <v>0</v>
      </c>
      <c r="L101" s="151">
        <f t="shared" si="22"/>
        <v>0</v>
      </c>
      <c r="M101" s="146">
        <f>SUMIFS(XUẤT!T:T,XUẤT!N:N,CBCNV!B101,XUẤT!O:O,CBCNV!$M$2)</f>
        <v>0</v>
      </c>
      <c r="N101" s="151">
        <f t="shared" si="23"/>
        <v>0</v>
      </c>
      <c r="O101" s="146">
        <f>SUMIFS(XUẤT!U:U,XUẤT!N:N,CBCNV!B101,XUẤT!O:O,CBCNV!$O$2)</f>
        <v>0</v>
      </c>
      <c r="P101" s="151">
        <f t="shared" si="24"/>
        <v>0</v>
      </c>
      <c r="Q101" s="32"/>
      <c r="R101" s="18"/>
    </row>
    <row r="102" spans="1:20" s="152" customFormat="1" x14ac:dyDescent="0.3">
      <c r="A102" s="149">
        <v>95</v>
      </c>
      <c r="B102" s="10" t="s">
        <v>204</v>
      </c>
      <c r="C102" s="149" t="s">
        <v>170</v>
      </c>
      <c r="D102" s="149" t="s">
        <v>192</v>
      </c>
      <c r="E102" s="146">
        <f>SUMIFS(XUẤT!P:P,XUẤT!N:N,CBCNV!B102,XUẤT!O:O,CBCNV!$E$2)</f>
        <v>0</v>
      </c>
      <c r="F102" s="151">
        <f t="shared" si="19"/>
        <v>0</v>
      </c>
      <c r="G102" s="146">
        <f>SUMIFS(XUẤT!Q:Q,XUẤT!N:N,CBCNV!B102,XUẤT!O:O,CBCNV!$G$2)</f>
        <v>2</v>
      </c>
      <c r="H102" s="150">
        <f t="shared" si="20"/>
        <v>170000</v>
      </c>
      <c r="I102" s="146">
        <f>SUMIFS(XUẤT!R:R,XUẤT!N:N,CBCNV!B102,XUẤT!O:O,CBCNV!$I$2)</f>
        <v>0</v>
      </c>
      <c r="J102" s="151">
        <f t="shared" si="21"/>
        <v>0</v>
      </c>
      <c r="K102" s="146">
        <f>SUMIFS(XUẤT!S:S,XUẤT!N:N,CBCNV!B102,XUẤT!O:O,CBCNV!$K$2)</f>
        <v>0</v>
      </c>
      <c r="L102" s="151">
        <f t="shared" si="22"/>
        <v>0</v>
      </c>
      <c r="M102" s="146">
        <f>SUMIFS(XUẤT!T:T,XUẤT!N:N,CBCNV!B102,XUẤT!O:O,CBCNV!$M$2)</f>
        <v>2</v>
      </c>
      <c r="N102" s="151">
        <f t="shared" si="23"/>
        <v>104000</v>
      </c>
      <c r="O102" s="146">
        <f>SUMIFS(XUẤT!U:U,XUẤT!N:N,CBCNV!B102,XUẤT!O:O,CBCNV!$O$2)</f>
        <v>0</v>
      </c>
      <c r="P102" s="151">
        <f t="shared" si="24"/>
        <v>0</v>
      </c>
      <c r="Q102" s="32"/>
      <c r="R102" s="18"/>
    </row>
    <row r="103" spans="1:20" s="152" customFormat="1" x14ac:dyDescent="0.3">
      <c r="A103" s="149">
        <v>96</v>
      </c>
      <c r="B103" s="10" t="s">
        <v>205</v>
      </c>
      <c r="C103" s="149" t="s">
        <v>170</v>
      </c>
      <c r="D103" s="149" t="s">
        <v>192</v>
      </c>
      <c r="E103" s="146">
        <f>SUMIFS(XUẤT!P:P,XUẤT!N:N,CBCNV!B103,XUẤT!O:O,CBCNV!$E$2)</f>
        <v>0</v>
      </c>
      <c r="F103" s="151">
        <f t="shared" si="19"/>
        <v>0</v>
      </c>
      <c r="G103" s="146">
        <f>SUMIFS(XUẤT!Q:Q,XUẤT!N:N,CBCNV!B103,XUẤT!O:O,CBCNV!$G$2)</f>
        <v>0</v>
      </c>
      <c r="H103" s="150">
        <f t="shared" si="20"/>
        <v>0</v>
      </c>
      <c r="I103" s="146">
        <f>SUMIFS(XUẤT!R:R,XUẤT!N:N,CBCNV!B103,XUẤT!O:O,CBCNV!$I$2)</f>
        <v>0</v>
      </c>
      <c r="J103" s="151">
        <f t="shared" si="21"/>
        <v>0</v>
      </c>
      <c r="K103" s="146">
        <f>SUMIFS(XUẤT!S:S,XUẤT!N:N,CBCNV!B103,XUẤT!O:O,CBCNV!$K$2)</f>
        <v>0</v>
      </c>
      <c r="L103" s="151">
        <f t="shared" si="22"/>
        <v>0</v>
      </c>
      <c r="M103" s="146">
        <f>SUMIFS(XUẤT!T:T,XUẤT!N:N,CBCNV!B103,XUẤT!O:O,CBCNV!$M$2)</f>
        <v>0</v>
      </c>
      <c r="N103" s="151">
        <f t="shared" si="23"/>
        <v>0</v>
      </c>
      <c r="O103" s="146">
        <f>SUMIFS(XUẤT!U:U,XUẤT!N:N,CBCNV!B103,XUẤT!O:O,CBCNV!$O$2)</f>
        <v>0</v>
      </c>
      <c r="P103" s="151">
        <f t="shared" si="24"/>
        <v>0</v>
      </c>
      <c r="Q103" s="32"/>
      <c r="R103" s="18"/>
    </row>
    <row r="104" spans="1:20" s="152" customFormat="1" x14ac:dyDescent="0.3">
      <c r="A104" s="149">
        <v>97</v>
      </c>
      <c r="B104" s="10" t="s">
        <v>206</v>
      </c>
      <c r="C104" s="149" t="s">
        <v>170</v>
      </c>
      <c r="D104" s="149" t="s">
        <v>192</v>
      </c>
      <c r="E104" s="146">
        <f>SUMIFS(XUẤT!P:P,XUẤT!N:N,CBCNV!B104,XUẤT!O:O,CBCNV!$E$2)</f>
        <v>0</v>
      </c>
      <c r="F104" s="151">
        <f t="shared" ref="F104:F135" si="25">E104*$T$10</f>
        <v>0</v>
      </c>
      <c r="G104" s="146">
        <f>SUMIFS(XUẤT!Q:Q,XUẤT!N:N,CBCNV!B104,XUẤT!O:O,CBCNV!$G$2)</f>
        <v>0</v>
      </c>
      <c r="H104" s="150">
        <f t="shared" ref="H104:H135" si="26">G104*$T$8</f>
        <v>0</v>
      </c>
      <c r="I104" s="146">
        <f>SUMIFS(XUẤT!R:R,XUẤT!N:N,CBCNV!B104,XUẤT!O:O,CBCNV!$I$2)</f>
        <v>0</v>
      </c>
      <c r="J104" s="151">
        <f t="shared" ref="J104:J135" si="27">I104*$T$9</f>
        <v>0</v>
      </c>
      <c r="K104" s="146">
        <f>SUMIFS(XUẤT!S:S,XUẤT!N:N,CBCNV!B104,XUẤT!O:O,CBCNV!$K$2)</f>
        <v>0</v>
      </c>
      <c r="L104" s="151">
        <f t="shared" ref="L104:L135" si="28">K104*$T$11</f>
        <v>0</v>
      </c>
      <c r="M104" s="146">
        <f>SUMIFS(XUẤT!T:T,XUẤT!N:N,CBCNV!B104,XUẤT!O:O,CBCNV!$M$2)</f>
        <v>0</v>
      </c>
      <c r="N104" s="151">
        <f t="shared" ref="N104:N135" si="29">M104*$T$12</f>
        <v>0</v>
      </c>
      <c r="O104" s="146">
        <f>SUMIFS(XUẤT!U:U,XUẤT!N:N,CBCNV!B104,XUẤT!O:O,CBCNV!$O$2)</f>
        <v>0</v>
      </c>
      <c r="P104" s="151">
        <f t="shared" ref="P104:P135" si="30">O104*$T$13</f>
        <v>0</v>
      </c>
      <c r="Q104" s="32"/>
      <c r="R104" s="18"/>
    </row>
    <row r="105" spans="1:20" s="152" customFormat="1" x14ac:dyDescent="0.3">
      <c r="A105" s="149">
        <v>98</v>
      </c>
      <c r="B105" s="154" t="s">
        <v>207</v>
      </c>
      <c r="C105" s="149" t="s">
        <v>170</v>
      </c>
      <c r="D105" s="149" t="s">
        <v>192</v>
      </c>
      <c r="E105" s="146">
        <f>SUMIFS(XUẤT!P:P,XUẤT!N:N,CBCNV!B105,XUẤT!O:O,CBCNV!$E$2)</f>
        <v>0</v>
      </c>
      <c r="F105" s="151">
        <f t="shared" si="25"/>
        <v>0</v>
      </c>
      <c r="G105" s="146">
        <f>SUMIFS(XUẤT!Q:Q,XUẤT!N:N,CBCNV!B105,XUẤT!O:O,CBCNV!$G$2)</f>
        <v>0</v>
      </c>
      <c r="H105" s="150">
        <f t="shared" si="26"/>
        <v>0</v>
      </c>
      <c r="I105" s="146">
        <f>SUMIFS(XUẤT!R:R,XUẤT!N:N,CBCNV!B105,XUẤT!O:O,CBCNV!$I$2)</f>
        <v>0</v>
      </c>
      <c r="J105" s="151">
        <f t="shared" si="27"/>
        <v>0</v>
      </c>
      <c r="K105" s="146">
        <f>SUMIFS(XUẤT!S:S,XUẤT!N:N,CBCNV!B105,XUẤT!O:O,CBCNV!$K$2)</f>
        <v>0</v>
      </c>
      <c r="L105" s="151">
        <f t="shared" si="28"/>
        <v>0</v>
      </c>
      <c r="M105" s="146">
        <f>SUMIFS(XUẤT!T:T,XUẤT!N:N,CBCNV!B105,XUẤT!O:O,CBCNV!$M$2)</f>
        <v>0</v>
      </c>
      <c r="N105" s="151">
        <f t="shared" si="29"/>
        <v>0</v>
      </c>
      <c r="O105" s="146">
        <f>SUMIFS(XUẤT!U:U,XUẤT!N:N,CBCNV!B105,XUẤT!O:O,CBCNV!$O$2)</f>
        <v>0</v>
      </c>
      <c r="P105" s="151">
        <f t="shared" si="30"/>
        <v>0</v>
      </c>
      <c r="Q105" s="32"/>
      <c r="R105" s="18"/>
    </row>
    <row r="106" spans="1:20" s="152" customFormat="1" x14ac:dyDescent="0.3">
      <c r="A106" s="149">
        <v>99</v>
      </c>
      <c r="B106" s="10" t="s">
        <v>208</v>
      </c>
      <c r="C106" s="149" t="s">
        <v>189</v>
      </c>
      <c r="D106" s="149" t="s">
        <v>192</v>
      </c>
      <c r="E106" s="146">
        <f>SUMIFS(XUẤT!P:P,XUẤT!N:N,CBCNV!B106,XUẤT!O:O,CBCNV!$E$2)</f>
        <v>0</v>
      </c>
      <c r="F106" s="151">
        <f t="shared" si="25"/>
        <v>0</v>
      </c>
      <c r="G106" s="146">
        <f>SUMIFS(XUẤT!Q:Q,XUẤT!N:N,CBCNV!B106,XUẤT!O:O,CBCNV!$G$2)</f>
        <v>0</v>
      </c>
      <c r="H106" s="150">
        <f t="shared" si="26"/>
        <v>0</v>
      </c>
      <c r="I106" s="146">
        <f>SUMIFS(XUẤT!R:R,XUẤT!N:N,CBCNV!B106,XUẤT!O:O,CBCNV!$I$2)</f>
        <v>0</v>
      </c>
      <c r="J106" s="151">
        <f t="shared" si="27"/>
        <v>0</v>
      </c>
      <c r="K106" s="146">
        <f>SUMIFS(XUẤT!S:S,XUẤT!N:N,CBCNV!B106,XUẤT!O:O,CBCNV!$K$2)</f>
        <v>0</v>
      </c>
      <c r="L106" s="151">
        <f t="shared" si="28"/>
        <v>0</v>
      </c>
      <c r="M106" s="146">
        <f>SUMIFS(XUẤT!T:T,XUẤT!N:N,CBCNV!B106,XUẤT!O:O,CBCNV!$M$2)</f>
        <v>0</v>
      </c>
      <c r="N106" s="151">
        <f t="shared" si="29"/>
        <v>0</v>
      </c>
      <c r="O106" s="146">
        <f>SUMIFS(XUẤT!U:U,XUẤT!N:N,CBCNV!B106,XUẤT!O:O,CBCNV!$O$2)</f>
        <v>0</v>
      </c>
      <c r="P106" s="151">
        <f t="shared" si="30"/>
        <v>0</v>
      </c>
      <c r="Q106" s="32"/>
      <c r="R106" s="18"/>
    </row>
    <row r="107" spans="1:20" s="152" customFormat="1" x14ac:dyDescent="0.3">
      <c r="A107" s="149">
        <v>100</v>
      </c>
      <c r="B107" s="10" t="s">
        <v>209</v>
      </c>
      <c r="C107" s="149" t="s">
        <v>189</v>
      </c>
      <c r="D107" s="149" t="s">
        <v>192</v>
      </c>
      <c r="E107" s="146">
        <f>SUMIFS(XUẤT!P:P,XUẤT!N:N,CBCNV!B107,XUẤT!O:O,CBCNV!$E$2)</f>
        <v>30</v>
      </c>
      <c r="F107" s="151">
        <f t="shared" si="25"/>
        <v>2940000</v>
      </c>
      <c r="G107" s="146">
        <f>SUMIFS(XUẤT!Q:Q,XUẤT!N:N,CBCNV!B107,XUẤT!O:O,CBCNV!$G$2)</f>
        <v>0</v>
      </c>
      <c r="H107" s="150">
        <f t="shared" si="26"/>
        <v>0</v>
      </c>
      <c r="I107" s="146">
        <f>SUMIFS(XUẤT!R:R,XUẤT!N:N,CBCNV!B107,XUẤT!O:O,CBCNV!$I$2)</f>
        <v>0</v>
      </c>
      <c r="J107" s="151">
        <f t="shared" si="27"/>
        <v>0</v>
      </c>
      <c r="K107" s="146">
        <f>SUMIFS(XUẤT!S:S,XUẤT!N:N,CBCNV!B107,XUẤT!O:O,CBCNV!$K$2)</f>
        <v>0</v>
      </c>
      <c r="L107" s="151">
        <f t="shared" si="28"/>
        <v>0</v>
      </c>
      <c r="M107" s="146">
        <f>SUMIFS(XUẤT!T:T,XUẤT!N:N,CBCNV!B107,XUẤT!O:O,CBCNV!$M$2)</f>
        <v>15</v>
      </c>
      <c r="N107" s="151">
        <f t="shared" si="29"/>
        <v>780000</v>
      </c>
      <c r="O107" s="146">
        <f>SUMIFS(XUẤT!U:U,XUẤT!N:N,CBCNV!B107,XUẤT!O:O,CBCNV!$O$2)</f>
        <v>0</v>
      </c>
      <c r="P107" s="151">
        <f t="shared" si="30"/>
        <v>0</v>
      </c>
      <c r="Q107" s="32"/>
      <c r="R107" s="18"/>
    </row>
    <row r="108" spans="1:20" s="148" customFormat="1" x14ac:dyDescent="0.3">
      <c r="A108" s="149">
        <v>101</v>
      </c>
      <c r="B108" s="10" t="s">
        <v>210</v>
      </c>
      <c r="C108" s="149" t="s">
        <v>189</v>
      </c>
      <c r="D108" s="149" t="s">
        <v>192</v>
      </c>
      <c r="E108" s="146">
        <f>SUMIFS(XUẤT!P:P,XUẤT!N:N,CBCNV!B108,XUẤT!O:O,CBCNV!$E$2)</f>
        <v>10</v>
      </c>
      <c r="F108" s="151">
        <f t="shared" si="25"/>
        <v>980000</v>
      </c>
      <c r="G108" s="146">
        <f>SUMIFS(XUẤT!Q:Q,XUẤT!N:N,CBCNV!B108,XUẤT!O:O,CBCNV!$G$2)</f>
        <v>0</v>
      </c>
      <c r="H108" s="150">
        <f t="shared" si="26"/>
        <v>0</v>
      </c>
      <c r="I108" s="146">
        <f>SUMIFS(XUẤT!R:R,XUẤT!N:N,CBCNV!B108,XUẤT!O:O,CBCNV!$I$2)</f>
        <v>0</v>
      </c>
      <c r="J108" s="151">
        <f t="shared" si="27"/>
        <v>0</v>
      </c>
      <c r="K108" s="146">
        <f>SUMIFS(XUẤT!S:S,XUẤT!N:N,CBCNV!B108,XUẤT!O:O,CBCNV!$K$2)</f>
        <v>0</v>
      </c>
      <c r="L108" s="151">
        <f t="shared" si="28"/>
        <v>0</v>
      </c>
      <c r="M108" s="146">
        <f>SUMIFS(XUẤT!T:T,XUẤT!N:N,CBCNV!B108,XUẤT!O:O,CBCNV!$M$2)</f>
        <v>0</v>
      </c>
      <c r="N108" s="151">
        <f t="shared" si="29"/>
        <v>0</v>
      </c>
      <c r="O108" s="146">
        <f>SUMIFS(XUẤT!U:U,XUẤT!N:N,CBCNV!B108,XUẤT!O:O,CBCNV!$O$2)</f>
        <v>2</v>
      </c>
      <c r="P108" s="151">
        <f t="shared" si="30"/>
        <v>96000</v>
      </c>
      <c r="Q108" s="32"/>
      <c r="R108" s="18"/>
      <c r="S108" s="152"/>
      <c r="T108" s="152"/>
    </row>
    <row r="109" spans="1:20" s="152" customFormat="1" x14ac:dyDescent="0.3">
      <c r="A109" s="149">
        <v>102</v>
      </c>
      <c r="B109" s="10" t="s">
        <v>211</v>
      </c>
      <c r="C109" s="149" t="s">
        <v>189</v>
      </c>
      <c r="D109" s="149" t="s">
        <v>192</v>
      </c>
      <c r="E109" s="146">
        <f>SUMIFS(XUẤT!P:P,XUẤT!N:N,CBCNV!B109,XUẤT!O:O,CBCNV!$E$2)</f>
        <v>0</v>
      </c>
      <c r="F109" s="151">
        <f t="shared" si="25"/>
        <v>0</v>
      </c>
      <c r="G109" s="146">
        <f>SUMIFS(XUẤT!Q:Q,XUẤT!N:N,CBCNV!B109,XUẤT!O:O,CBCNV!$G$2)</f>
        <v>0</v>
      </c>
      <c r="H109" s="150">
        <f t="shared" si="26"/>
        <v>0</v>
      </c>
      <c r="I109" s="146">
        <f>SUMIFS(XUẤT!R:R,XUẤT!N:N,CBCNV!B109,XUẤT!O:O,CBCNV!$I$2)</f>
        <v>0</v>
      </c>
      <c r="J109" s="151">
        <f t="shared" si="27"/>
        <v>0</v>
      </c>
      <c r="K109" s="146">
        <f>SUMIFS(XUẤT!S:S,XUẤT!N:N,CBCNV!B109,XUẤT!O:O,CBCNV!$K$2)</f>
        <v>0</v>
      </c>
      <c r="L109" s="151">
        <f t="shared" si="28"/>
        <v>0</v>
      </c>
      <c r="M109" s="146">
        <f>SUMIFS(XUẤT!T:T,XUẤT!N:N,CBCNV!B109,XUẤT!O:O,CBCNV!$M$2)</f>
        <v>2</v>
      </c>
      <c r="N109" s="151">
        <f t="shared" si="29"/>
        <v>104000</v>
      </c>
      <c r="O109" s="146">
        <f>SUMIFS(XUẤT!U:U,XUẤT!N:N,CBCNV!B109,XUẤT!O:O,CBCNV!$O$2)</f>
        <v>0</v>
      </c>
      <c r="P109" s="151">
        <f t="shared" si="30"/>
        <v>0</v>
      </c>
      <c r="Q109" s="32"/>
      <c r="R109" s="18"/>
    </row>
    <row r="110" spans="1:20" s="152" customFormat="1" x14ac:dyDescent="0.3">
      <c r="A110" s="149">
        <v>103</v>
      </c>
      <c r="B110" s="10" t="s">
        <v>212</v>
      </c>
      <c r="C110" s="149" t="s">
        <v>189</v>
      </c>
      <c r="D110" s="149" t="s">
        <v>192</v>
      </c>
      <c r="E110" s="146">
        <f>SUMIFS(XUẤT!P:P,XUẤT!N:N,CBCNV!B110,XUẤT!O:O,CBCNV!$E$2)</f>
        <v>0</v>
      </c>
      <c r="F110" s="151">
        <f t="shared" si="25"/>
        <v>0</v>
      </c>
      <c r="G110" s="146">
        <f>SUMIFS(XUẤT!Q:Q,XUẤT!N:N,CBCNV!B110,XUẤT!O:O,CBCNV!$G$2)</f>
        <v>0</v>
      </c>
      <c r="H110" s="150">
        <f t="shared" si="26"/>
        <v>0</v>
      </c>
      <c r="I110" s="146">
        <f>SUMIFS(XUẤT!R:R,XUẤT!N:N,CBCNV!B110,XUẤT!O:O,CBCNV!$I$2)</f>
        <v>0</v>
      </c>
      <c r="J110" s="151">
        <f t="shared" si="27"/>
        <v>0</v>
      </c>
      <c r="K110" s="146">
        <f>SUMIFS(XUẤT!S:S,XUẤT!N:N,CBCNV!B110,XUẤT!O:O,CBCNV!$K$2)</f>
        <v>0</v>
      </c>
      <c r="L110" s="151">
        <f t="shared" si="28"/>
        <v>0</v>
      </c>
      <c r="M110" s="146">
        <f>SUMIFS(XUẤT!T:T,XUẤT!N:N,CBCNV!B110,XUẤT!O:O,CBCNV!$M$2)</f>
        <v>0</v>
      </c>
      <c r="N110" s="151">
        <f t="shared" si="29"/>
        <v>0</v>
      </c>
      <c r="O110" s="146">
        <f>SUMIFS(XUẤT!U:U,XUẤT!N:N,CBCNV!B110,XUẤT!O:O,CBCNV!$O$2)</f>
        <v>0</v>
      </c>
      <c r="P110" s="151">
        <f t="shared" si="30"/>
        <v>0</v>
      </c>
      <c r="Q110" s="32"/>
      <c r="R110" s="18"/>
    </row>
    <row r="111" spans="1:20" s="152" customFormat="1" x14ac:dyDescent="0.3">
      <c r="A111" s="149">
        <v>104</v>
      </c>
      <c r="B111" s="34" t="s">
        <v>46</v>
      </c>
      <c r="C111" s="153" t="s">
        <v>213</v>
      </c>
      <c r="D111" s="153" t="s">
        <v>214</v>
      </c>
      <c r="E111" s="146">
        <f>SUMIFS(XUẤT!P:P,XUẤT!N:N,CBCNV!B111,XUẤT!O:O,CBCNV!$E$2)</f>
        <v>50</v>
      </c>
      <c r="F111" s="151">
        <f t="shared" si="25"/>
        <v>4900000</v>
      </c>
      <c r="G111" s="146">
        <f>SUMIFS(XUẤT!Q:Q,XUẤT!N:N,CBCNV!B111,XUẤT!O:O,CBCNV!$G$2)</f>
        <v>0</v>
      </c>
      <c r="H111" s="150">
        <f t="shared" si="26"/>
        <v>0</v>
      </c>
      <c r="I111" s="146">
        <f>SUMIFS(XUẤT!R:R,XUẤT!N:N,CBCNV!B111,XUẤT!O:O,CBCNV!$I$2)</f>
        <v>0</v>
      </c>
      <c r="J111" s="151">
        <f t="shared" si="27"/>
        <v>0</v>
      </c>
      <c r="K111" s="146">
        <f>SUMIFS(XUẤT!S:S,XUẤT!N:N,CBCNV!B111,XUẤT!O:O,CBCNV!$K$2)</f>
        <v>0</v>
      </c>
      <c r="L111" s="151">
        <f t="shared" si="28"/>
        <v>0</v>
      </c>
      <c r="M111" s="146">
        <f>SUMIFS(XUẤT!T:T,XUẤT!N:N,CBCNV!B111,XUẤT!O:O,CBCNV!$M$2)</f>
        <v>0</v>
      </c>
      <c r="N111" s="151">
        <f t="shared" si="29"/>
        <v>0</v>
      </c>
      <c r="O111" s="146">
        <f>SUMIFS(XUẤT!U:U,XUẤT!N:N,CBCNV!B111,XUẤT!O:O,CBCNV!$O$2)</f>
        <v>0</v>
      </c>
      <c r="P111" s="151">
        <f t="shared" si="30"/>
        <v>0</v>
      </c>
      <c r="Q111" s="32"/>
      <c r="R111" s="21"/>
      <c r="S111" s="148"/>
      <c r="T111" s="148"/>
    </row>
    <row r="112" spans="1:20" s="152" customFormat="1" x14ac:dyDescent="0.3">
      <c r="A112" s="149">
        <v>105</v>
      </c>
      <c r="B112" s="10" t="s">
        <v>215</v>
      </c>
      <c r="C112" s="149" t="s">
        <v>156</v>
      </c>
      <c r="D112" s="149" t="s">
        <v>214</v>
      </c>
      <c r="E112" s="146">
        <f>SUMIFS(XUẤT!P:P,XUẤT!N:N,CBCNV!B112,XUẤT!O:O,CBCNV!$E$2)</f>
        <v>0</v>
      </c>
      <c r="F112" s="151">
        <f t="shared" si="25"/>
        <v>0</v>
      </c>
      <c r="G112" s="146">
        <f>SUMIFS(XUẤT!Q:Q,XUẤT!N:N,CBCNV!B112,XUẤT!O:O,CBCNV!$G$2)</f>
        <v>0</v>
      </c>
      <c r="H112" s="150">
        <f t="shared" si="26"/>
        <v>0</v>
      </c>
      <c r="I112" s="146">
        <f>SUMIFS(XUẤT!R:R,XUẤT!N:N,CBCNV!B112,XUẤT!O:O,CBCNV!$I$2)</f>
        <v>0</v>
      </c>
      <c r="J112" s="151">
        <f t="shared" si="27"/>
        <v>0</v>
      </c>
      <c r="K112" s="146">
        <f>SUMIFS(XUẤT!S:S,XUẤT!N:N,CBCNV!B112,XUẤT!O:O,CBCNV!$K$2)</f>
        <v>0</v>
      </c>
      <c r="L112" s="151">
        <f t="shared" si="28"/>
        <v>0</v>
      </c>
      <c r="M112" s="146">
        <f>SUMIFS(XUẤT!T:T,XUẤT!N:N,CBCNV!B112,XUẤT!O:O,CBCNV!$M$2)</f>
        <v>0</v>
      </c>
      <c r="N112" s="151">
        <f t="shared" si="29"/>
        <v>0</v>
      </c>
      <c r="O112" s="146">
        <f>SUMIFS(XUẤT!U:U,XUẤT!N:N,CBCNV!B112,XUẤT!O:O,CBCNV!$O$2)</f>
        <v>0</v>
      </c>
      <c r="P112" s="151">
        <f t="shared" si="30"/>
        <v>0</v>
      </c>
      <c r="Q112" s="32"/>
      <c r="R112" s="18"/>
    </row>
    <row r="113" spans="1:18" s="152" customFormat="1" x14ac:dyDescent="0.3">
      <c r="A113" s="149">
        <v>106</v>
      </c>
      <c r="B113" s="10" t="s">
        <v>216</v>
      </c>
      <c r="C113" s="149" t="s">
        <v>175</v>
      </c>
      <c r="D113" s="149" t="s">
        <v>214</v>
      </c>
      <c r="E113" s="146">
        <f>SUMIFS(XUẤT!P:P,XUẤT!N:N,CBCNV!B113,XUẤT!O:O,CBCNV!$E$2)</f>
        <v>0</v>
      </c>
      <c r="F113" s="151">
        <f t="shared" si="25"/>
        <v>0</v>
      </c>
      <c r="G113" s="146">
        <f>SUMIFS(XUẤT!Q:Q,XUẤT!N:N,CBCNV!B113,XUẤT!O:O,CBCNV!$G$2)</f>
        <v>0</v>
      </c>
      <c r="H113" s="150">
        <f t="shared" si="26"/>
        <v>0</v>
      </c>
      <c r="I113" s="146">
        <f>SUMIFS(XUẤT!R:R,XUẤT!N:N,CBCNV!B113,XUẤT!O:O,CBCNV!$I$2)</f>
        <v>0</v>
      </c>
      <c r="J113" s="151">
        <f t="shared" si="27"/>
        <v>0</v>
      </c>
      <c r="K113" s="146">
        <f>SUMIFS(XUẤT!S:S,XUẤT!N:N,CBCNV!B113,XUẤT!O:O,CBCNV!$K$2)</f>
        <v>0</v>
      </c>
      <c r="L113" s="151">
        <f t="shared" si="28"/>
        <v>0</v>
      </c>
      <c r="M113" s="146">
        <f>SUMIFS(XUẤT!T:T,XUẤT!N:N,CBCNV!B113,XUẤT!O:O,CBCNV!$M$2)</f>
        <v>0</v>
      </c>
      <c r="N113" s="151">
        <f t="shared" si="29"/>
        <v>0</v>
      </c>
      <c r="O113" s="146">
        <f>SUMIFS(XUẤT!U:U,XUẤT!N:N,CBCNV!B113,XUẤT!O:O,CBCNV!$O$2)</f>
        <v>0</v>
      </c>
      <c r="P113" s="151">
        <f t="shared" si="30"/>
        <v>0</v>
      </c>
      <c r="Q113" s="32"/>
      <c r="R113" s="18"/>
    </row>
    <row r="114" spans="1:18" s="152" customFormat="1" x14ac:dyDescent="0.3">
      <c r="A114" s="149">
        <v>107</v>
      </c>
      <c r="B114" s="10" t="s">
        <v>217</v>
      </c>
      <c r="C114" s="149" t="s">
        <v>101</v>
      </c>
      <c r="D114" s="149" t="s">
        <v>214</v>
      </c>
      <c r="E114" s="146">
        <f>SUMIFS(XUẤT!P:P,XUẤT!N:N,CBCNV!B114,XUẤT!O:O,CBCNV!$E$2)</f>
        <v>0</v>
      </c>
      <c r="F114" s="151">
        <f t="shared" si="25"/>
        <v>0</v>
      </c>
      <c r="G114" s="146">
        <f>SUMIFS(XUẤT!Q:Q,XUẤT!N:N,CBCNV!B114,XUẤT!O:O,CBCNV!$G$2)</f>
        <v>0</v>
      </c>
      <c r="H114" s="150">
        <f t="shared" si="26"/>
        <v>0</v>
      </c>
      <c r="I114" s="146">
        <f>SUMIFS(XUẤT!R:R,XUẤT!N:N,CBCNV!B114,XUẤT!O:O,CBCNV!$I$2)</f>
        <v>0</v>
      </c>
      <c r="J114" s="151">
        <f t="shared" si="27"/>
        <v>0</v>
      </c>
      <c r="K114" s="146">
        <f>SUMIFS(XUẤT!S:S,XUẤT!N:N,CBCNV!B114,XUẤT!O:O,CBCNV!$K$2)</f>
        <v>0</v>
      </c>
      <c r="L114" s="151">
        <f t="shared" si="28"/>
        <v>0</v>
      </c>
      <c r="M114" s="146">
        <f>SUMIFS(XUẤT!T:T,XUẤT!N:N,CBCNV!B114,XUẤT!O:O,CBCNV!$M$2)</f>
        <v>0</v>
      </c>
      <c r="N114" s="151">
        <f t="shared" si="29"/>
        <v>0</v>
      </c>
      <c r="O114" s="146">
        <f>SUMIFS(XUẤT!U:U,XUẤT!N:N,CBCNV!B114,XUẤT!O:O,CBCNV!$O$2)</f>
        <v>0</v>
      </c>
      <c r="P114" s="151">
        <f t="shared" si="30"/>
        <v>0</v>
      </c>
      <c r="Q114" s="32"/>
      <c r="R114" s="18"/>
    </row>
    <row r="115" spans="1:18" s="152" customFormat="1" x14ac:dyDescent="0.3">
      <c r="A115" s="149">
        <v>108</v>
      </c>
      <c r="B115" s="10" t="s">
        <v>218</v>
      </c>
      <c r="C115" s="149" t="s">
        <v>101</v>
      </c>
      <c r="D115" s="149" t="s">
        <v>214</v>
      </c>
      <c r="E115" s="146">
        <f>SUMIFS(XUẤT!P:P,XUẤT!N:N,CBCNV!B115,XUẤT!O:O,CBCNV!$E$2)</f>
        <v>0</v>
      </c>
      <c r="F115" s="151">
        <f t="shared" si="25"/>
        <v>0</v>
      </c>
      <c r="G115" s="146">
        <f>SUMIFS(XUẤT!Q:Q,XUẤT!N:N,CBCNV!B115,XUẤT!O:O,CBCNV!$G$2)</f>
        <v>0</v>
      </c>
      <c r="H115" s="150">
        <f t="shared" si="26"/>
        <v>0</v>
      </c>
      <c r="I115" s="146">
        <f>SUMIFS(XUẤT!R:R,XUẤT!N:N,CBCNV!B115,XUẤT!O:O,CBCNV!$I$2)</f>
        <v>0</v>
      </c>
      <c r="J115" s="151">
        <f t="shared" si="27"/>
        <v>0</v>
      </c>
      <c r="K115" s="146">
        <f>SUMIFS(XUẤT!S:S,XUẤT!N:N,CBCNV!B115,XUẤT!O:O,CBCNV!$K$2)</f>
        <v>0</v>
      </c>
      <c r="L115" s="151">
        <f t="shared" si="28"/>
        <v>0</v>
      </c>
      <c r="M115" s="146">
        <f>SUMIFS(XUẤT!T:T,XUẤT!N:N,CBCNV!B115,XUẤT!O:O,CBCNV!$M$2)</f>
        <v>0</v>
      </c>
      <c r="N115" s="151">
        <f t="shared" si="29"/>
        <v>0</v>
      </c>
      <c r="O115" s="146">
        <f>SUMIFS(XUẤT!U:U,XUẤT!N:N,CBCNV!B115,XUẤT!O:O,CBCNV!$O$2)</f>
        <v>0</v>
      </c>
      <c r="P115" s="151">
        <f t="shared" si="30"/>
        <v>0</v>
      </c>
      <c r="Q115" s="32"/>
      <c r="R115" s="18"/>
    </row>
    <row r="116" spans="1:18" s="152" customFormat="1" x14ac:dyDescent="0.3">
      <c r="A116" s="149">
        <v>109</v>
      </c>
      <c r="B116" s="10" t="s">
        <v>219</v>
      </c>
      <c r="C116" s="149" t="s">
        <v>101</v>
      </c>
      <c r="D116" s="149" t="s">
        <v>214</v>
      </c>
      <c r="E116" s="146">
        <f>SUMIFS(XUẤT!P:P,XUẤT!N:N,CBCNV!B116,XUẤT!O:O,CBCNV!$E$2)</f>
        <v>0</v>
      </c>
      <c r="F116" s="151">
        <f t="shared" si="25"/>
        <v>0</v>
      </c>
      <c r="G116" s="146">
        <f>SUMIFS(XUẤT!Q:Q,XUẤT!N:N,CBCNV!B116,XUẤT!O:O,CBCNV!$G$2)</f>
        <v>0</v>
      </c>
      <c r="H116" s="150">
        <f t="shared" si="26"/>
        <v>0</v>
      </c>
      <c r="I116" s="146">
        <f>SUMIFS(XUẤT!R:R,XUẤT!N:N,CBCNV!B116,XUẤT!O:O,CBCNV!$I$2)</f>
        <v>0</v>
      </c>
      <c r="J116" s="151">
        <f t="shared" si="27"/>
        <v>0</v>
      </c>
      <c r="K116" s="146">
        <f>SUMIFS(XUẤT!S:S,XUẤT!N:N,CBCNV!B116,XUẤT!O:O,CBCNV!$K$2)</f>
        <v>0</v>
      </c>
      <c r="L116" s="151">
        <f t="shared" si="28"/>
        <v>0</v>
      </c>
      <c r="M116" s="146">
        <f>SUMIFS(XUẤT!T:T,XUẤT!N:N,CBCNV!B116,XUẤT!O:O,CBCNV!$M$2)</f>
        <v>0</v>
      </c>
      <c r="N116" s="151">
        <f t="shared" si="29"/>
        <v>0</v>
      </c>
      <c r="O116" s="146">
        <f>SUMIFS(XUẤT!U:U,XUẤT!N:N,CBCNV!B116,XUẤT!O:O,CBCNV!$O$2)</f>
        <v>0</v>
      </c>
      <c r="P116" s="151">
        <f t="shared" si="30"/>
        <v>0</v>
      </c>
      <c r="Q116" s="32"/>
      <c r="R116" s="18"/>
    </row>
    <row r="117" spans="1:18" s="152" customFormat="1" x14ac:dyDescent="0.3">
      <c r="A117" s="149">
        <v>110</v>
      </c>
      <c r="B117" s="10" t="s">
        <v>220</v>
      </c>
      <c r="C117" s="149" t="s">
        <v>101</v>
      </c>
      <c r="D117" s="149" t="s">
        <v>214</v>
      </c>
      <c r="E117" s="146">
        <f>SUMIFS(XUẤT!P:P,XUẤT!N:N,CBCNV!B117,XUẤT!O:O,CBCNV!$E$2)</f>
        <v>0</v>
      </c>
      <c r="F117" s="151">
        <f t="shared" si="25"/>
        <v>0</v>
      </c>
      <c r="G117" s="146">
        <f>SUMIFS(XUẤT!Q:Q,XUẤT!N:N,CBCNV!B117,XUẤT!O:O,CBCNV!$G$2)</f>
        <v>0</v>
      </c>
      <c r="H117" s="150">
        <f t="shared" si="26"/>
        <v>0</v>
      </c>
      <c r="I117" s="146">
        <f>SUMIFS(XUẤT!R:R,XUẤT!N:N,CBCNV!B117,XUẤT!O:O,CBCNV!$I$2)</f>
        <v>0</v>
      </c>
      <c r="J117" s="151">
        <f t="shared" si="27"/>
        <v>0</v>
      </c>
      <c r="K117" s="146">
        <f>SUMIFS(XUẤT!S:S,XUẤT!N:N,CBCNV!B117,XUẤT!O:O,CBCNV!$K$2)</f>
        <v>0</v>
      </c>
      <c r="L117" s="151">
        <f t="shared" si="28"/>
        <v>0</v>
      </c>
      <c r="M117" s="146">
        <f>SUMIFS(XUẤT!T:T,XUẤT!N:N,CBCNV!B117,XUẤT!O:O,CBCNV!$M$2)</f>
        <v>0</v>
      </c>
      <c r="N117" s="151">
        <f t="shared" si="29"/>
        <v>0</v>
      </c>
      <c r="O117" s="146">
        <f>SUMIFS(XUẤT!U:U,XUẤT!N:N,CBCNV!B117,XUẤT!O:O,CBCNV!$O$2)</f>
        <v>0</v>
      </c>
      <c r="P117" s="151">
        <f t="shared" si="30"/>
        <v>0</v>
      </c>
      <c r="Q117" s="32"/>
      <c r="R117" s="18"/>
    </row>
    <row r="118" spans="1:18" s="152" customFormat="1" x14ac:dyDescent="0.3">
      <c r="A118" s="149">
        <v>111</v>
      </c>
      <c r="B118" s="10" t="s">
        <v>221</v>
      </c>
      <c r="C118" s="149" t="s">
        <v>101</v>
      </c>
      <c r="D118" s="149" t="s">
        <v>214</v>
      </c>
      <c r="E118" s="146">
        <f>SUMIFS(XUẤT!P:P,XUẤT!N:N,CBCNV!B118,XUẤT!O:O,CBCNV!$E$2)</f>
        <v>0</v>
      </c>
      <c r="F118" s="151">
        <f t="shared" si="25"/>
        <v>0</v>
      </c>
      <c r="G118" s="146">
        <f>SUMIFS(XUẤT!Q:Q,XUẤT!N:N,CBCNV!B118,XUẤT!O:O,CBCNV!$G$2)</f>
        <v>0</v>
      </c>
      <c r="H118" s="150">
        <f t="shared" si="26"/>
        <v>0</v>
      </c>
      <c r="I118" s="146">
        <f>SUMIFS(XUẤT!R:R,XUẤT!N:N,CBCNV!B118,XUẤT!O:O,CBCNV!$I$2)</f>
        <v>0</v>
      </c>
      <c r="J118" s="151">
        <f t="shared" si="27"/>
        <v>0</v>
      </c>
      <c r="K118" s="146">
        <f>SUMIFS(XUẤT!S:S,XUẤT!N:N,CBCNV!B118,XUẤT!O:O,CBCNV!$K$2)</f>
        <v>0</v>
      </c>
      <c r="L118" s="151">
        <f t="shared" si="28"/>
        <v>0</v>
      </c>
      <c r="M118" s="146">
        <f>SUMIFS(XUẤT!T:T,XUẤT!N:N,CBCNV!B118,XUẤT!O:O,CBCNV!$M$2)</f>
        <v>0</v>
      </c>
      <c r="N118" s="151">
        <f t="shared" si="29"/>
        <v>0</v>
      </c>
      <c r="O118" s="146">
        <f>SUMIFS(XUẤT!U:U,XUẤT!N:N,CBCNV!B118,XUẤT!O:O,CBCNV!$O$2)</f>
        <v>0</v>
      </c>
      <c r="P118" s="151">
        <f t="shared" si="30"/>
        <v>0</v>
      </c>
      <c r="Q118" s="32"/>
      <c r="R118" s="18"/>
    </row>
    <row r="119" spans="1:18" s="152" customFormat="1" x14ac:dyDescent="0.3">
      <c r="A119" s="149">
        <v>112</v>
      </c>
      <c r="B119" s="10" t="s">
        <v>222</v>
      </c>
      <c r="C119" s="149" t="s">
        <v>170</v>
      </c>
      <c r="D119" s="149" t="s">
        <v>214</v>
      </c>
      <c r="E119" s="146">
        <f>SUMIFS(XUẤT!P:P,XUẤT!N:N,CBCNV!B119,XUẤT!O:O,CBCNV!$E$2)</f>
        <v>0</v>
      </c>
      <c r="F119" s="151">
        <f t="shared" si="25"/>
        <v>0</v>
      </c>
      <c r="G119" s="146">
        <f>SUMIFS(XUẤT!Q:Q,XUẤT!N:N,CBCNV!B119,XUẤT!O:O,CBCNV!$G$2)</f>
        <v>0</v>
      </c>
      <c r="H119" s="150">
        <f t="shared" si="26"/>
        <v>0</v>
      </c>
      <c r="I119" s="146">
        <f>SUMIFS(XUẤT!R:R,XUẤT!N:N,CBCNV!B119,XUẤT!O:O,CBCNV!$I$2)</f>
        <v>0</v>
      </c>
      <c r="J119" s="151">
        <f t="shared" si="27"/>
        <v>0</v>
      </c>
      <c r="K119" s="146">
        <f>SUMIFS(XUẤT!S:S,XUẤT!N:N,CBCNV!B119,XUẤT!O:O,CBCNV!$K$2)</f>
        <v>0</v>
      </c>
      <c r="L119" s="151">
        <f t="shared" si="28"/>
        <v>0</v>
      </c>
      <c r="M119" s="146">
        <f>SUMIFS(XUẤT!T:T,XUẤT!N:N,CBCNV!B119,XUẤT!O:O,CBCNV!$M$2)</f>
        <v>0</v>
      </c>
      <c r="N119" s="151">
        <f t="shared" si="29"/>
        <v>0</v>
      </c>
      <c r="O119" s="146">
        <f>SUMIFS(XUẤT!U:U,XUẤT!N:N,CBCNV!B119,XUẤT!O:O,CBCNV!$O$2)</f>
        <v>0</v>
      </c>
      <c r="P119" s="151">
        <f t="shared" si="30"/>
        <v>0</v>
      </c>
      <c r="Q119" s="32"/>
      <c r="R119" s="18"/>
    </row>
    <row r="120" spans="1:18" s="152" customFormat="1" x14ac:dyDescent="0.3">
      <c r="A120" s="149">
        <v>113</v>
      </c>
      <c r="B120" s="10" t="s">
        <v>52</v>
      </c>
      <c r="C120" s="149" t="s">
        <v>170</v>
      </c>
      <c r="D120" s="149" t="s">
        <v>214</v>
      </c>
      <c r="E120" s="146">
        <f>SUMIFS(XUẤT!P:P,XUẤT!N:N,CBCNV!B120,XUẤT!O:O,CBCNV!$E$2)</f>
        <v>0</v>
      </c>
      <c r="F120" s="151">
        <f t="shared" si="25"/>
        <v>0</v>
      </c>
      <c r="G120" s="146">
        <f>SUMIFS(XUẤT!Q:Q,XUẤT!N:N,CBCNV!B120,XUẤT!O:O,CBCNV!$G$2)</f>
        <v>0</v>
      </c>
      <c r="H120" s="150">
        <f t="shared" si="26"/>
        <v>0</v>
      </c>
      <c r="I120" s="146">
        <f>SUMIFS(XUẤT!R:R,XUẤT!N:N,CBCNV!B120,XUẤT!O:O,CBCNV!$I$2)</f>
        <v>0</v>
      </c>
      <c r="J120" s="151">
        <f t="shared" si="27"/>
        <v>0</v>
      </c>
      <c r="K120" s="146">
        <f>SUMIFS(XUẤT!S:S,XUẤT!N:N,CBCNV!B120,XUẤT!O:O,CBCNV!$K$2)</f>
        <v>0</v>
      </c>
      <c r="L120" s="151">
        <f t="shared" si="28"/>
        <v>0</v>
      </c>
      <c r="M120" s="146">
        <f>SUMIFS(XUẤT!T:T,XUẤT!N:N,CBCNV!B120,XUẤT!O:O,CBCNV!$M$2)</f>
        <v>0</v>
      </c>
      <c r="N120" s="151">
        <f t="shared" si="29"/>
        <v>0</v>
      </c>
      <c r="O120" s="146">
        <f>SUMIFS(XUẤT!U:U,XUẤT!N:N,CBCNV!B120,XUẤT!O:O,CBCNV!$O$2)</f>
        <v>0</v>
      </c>
      <c r="P120" s="151">
        <f t="shared" si="30"/>
        <v>0</v>
      </c>
      <c r="Q120" s="32"/>
      <c r="R120" s="18"/>
    </row>
    <row r="121" spans="1:18" s="152" customFormat="1" x14ac:dyDescent="0.3">
      <c r="A121" s="149">
        <v>114</v>
      </c>
      <c r="B121" s="10" t="s">
        <v>223</v>
      </c>
      <c r="C121" s="149" t="s">
        <v>170</v>
      </c>
      <c r="D121" s="149" t="s">
        <v>214</v>
      </c>
      <c r="E121" s="146">
        <f>SUMIFS(XUẤT!P:P,XUẤT!N:N,CBCNV!B121,XUẤT!O:O,CBCNV!$E$2)</f>
        <v>0</v>
      </c>
      <c r="F121" s="151">
        <f t="shared" si="25"/>
        <v>0</v>
      </c>
      <c r="G121" s="146">
        <f>SUMIFS(XUẤT!Q:Q,XUẤT!N:N,CBCNV!B121,XUẤT!O:O,CBCNV!$G$2)</f>
        <v>0</v>
      </c>
      <c r="H121" s="150">
        <f t="shared" si="26"/>
        <v>0</v>
      </c>
      <c r="I121" s="146">
        <f>SUMIFS(XUẤT!R:R,XUẤT!N:N,CBCNV!B121,XUẤT!O:O,CBCNV!$I$2)</f>
        <v>0</v>
      </c>
      <c r="J121" s="151">
        <f t="shared" si="27"/>
        <v>0</v>
      </c>
      <c r="K121" s="146">
        <f>SUMIFS(XUẤT!S:S,XUẤT!N:N,CBCNV!B121,XUẤT!O:O,CBCNV!$K$2)</f>
        <v>0</v>
      </c>
      <c r="L121" s="151">
        <f t="shared" si="28"/>
        <v>0</v>
      </c>
      <c r="M121" s="146">
        <f>SUMIFS(XUẤT!T:T,XUẤT!N:N,CBCNV!B121,XUẤT!O:O,CBCNV!$M$2)</f>
        <v>0</v>
      </c>
      <c r="N121" s="151">
        <f t="shared" si="29"/>
        <v>0</v>
      </c>
      <c r="O121" s="146">
        <f>SUMIFS(XUẤT!U:U,XUẤT!N:N,CBCNV!B121,XUẤT!O:O,CBCNV!$O$2)</f>
        <v>0</v>
      </c>
      <c r="P121" s="151">
        <f t="shared" si="30"/>
        <v>0</v>
      </c>
      <c r="Q121" s="32"/>
      <c r="R121" s="18"/>
    </row>
    <row r="122" spans="1:18" s="152" customFormat="1" x14ac:dyDescent="0.3">
      <c r="A122" s="149">
        <v>115</v>
      </c>
      <c r="B122" s="10" t="s">
        <v>224</v>
      </c>
      <c r="C122" s="149" t="s">
        <v>170</v>
      </c>
      <c r="D122" s="149" t="s">
        <v>214</v>
      </c>
      <c r="E122" s="146">
        <f>SUMIFS(XUẤT!P:P,XUẤT!N:N,CBCNV!B122,XUẤT!O:O,CBCNV!$E$2)</f>
        <v>0</v>
      </c>
      <c r="F122" s="151">
        <f t="shared" si="25"/>
        <v>0</v>
      </c>
      <c r="G122" s="146">
        <f>SUMIFS(XUẤT!Q:Q,XUẤT!N:N,CBCNV!B122,XUẤT!O:O,CBCNV!$G$2)</f>
        <v>0</v>
      </c>
      <c r="H122" s="150">
        <f t="shared" si="26"/>
        <v>0</v>
      </c>
      <c r="I122" s="146">
        <f>SUMIFS(XUẤT!R:R,XUẤT!N:N,CBCNV!B122,XUẤT!O:O,CBCNV!$I$2)</f>
        <v>0</v>
      </c>
      <c r="J122" s="151">
        <f t="shared" si="27"/>
        <v>0</v>
      </c>
      <c r="K122" s="146">
        <f>SUMIFS(XUẤT!S:S,XUẤT!N:N,CBCNV!B122,XUẤT!O:O,CBCNV!$K$2)</f>
        <v>0</v>
      </c>
      <c r="L122" s="151">
        <f t="shared" si="28"/>
        <v>0</v>
      </c>
      <c r="M122" s="146">
        <f>SUMIFS(XUẤT!T:T,XUẤT!N:N,CBCNV!B122,XUẤT!O:O,CBCNV!$M$2)</f>
        <v>0</v>
      </c>
      <c r="N122" s="151">
        <f t="shared" si="29"/>
        <v>0</v>
      </c>
      <c r="O122" s="146">
        <f>SUMIFS(XUẤT!U:U,XUẤT!N:N,CBCNV!B122,XUẤT!O:O,CBCNV!$O$2)</f>
        <v>0</v>
      </c>
      <c r="P122" s="151">
        <f t="shared" si="30"/>
        <v>0</v>
      </c>
      <c r="Q122" s="32"/>
      <c r="R122" s="18"/>
    </row>
    <row r="123" spans="1:18" s="152" customFormat="1" x14ac:dyDescent="0.3">
      <c r="A123" s="149">
        <v>116</v>
      </c>
      <c r="B123" s="10" t="s">
        <v>225</v>
      </c>
      <c r="C123" s="149" t="s">
        <v>170</v>
      </c>
      <c r="D123" s="149" t="s">
        <v>214</v>
      </c>
      <c r="E123" s="146">
        <f>SUMIFS(XUẤT!P:P,XUẤT!N:N,CBCNV!B123,XUẤT!O:O,CBCNV!$E$2)</f>
        <v>23</v>
      </c>
      <c r="F123" s="151">
        <f t="shared" si="25"/>
        <v>2254000</v>
      </c>
      <c r="G123" s="146">
        <f>SUMIFS(XUẤT!Q:Q,XUẤT!N:N,CBCNV!B123,XUẤT!O:O,CBCNV!$G$2)</f>
        <v>0</v>
      </c>
      <c r="H123" s="150">
        <f t="shared" si="26"/>
        <v>0</v>
      </c>
      <c r="I123" s="146">
        <f>SUMIFS(XUẤT!R:R,XUẤT!N:N,CBCNV!B123,XUẤT!O:O,CBCNV!$I$2)</f>
        <v>0</v>
      </c>
      <c r="J123" s="151">
        <f t="shared" si="27"/>
        <v>0</v>
      </c>
      <c r="K123" s="146">
        <f>SUMIFS(XUẤT!S:S,XUẤT!N:N,CBCNV!B123,XUẤT!O:O,CBCNV!$K$2)</f>
        <v>0</v>
      </c>
      <c r="L123" s="151">
        <f t="shared" si="28"/>
        <v>0</v>
      </c>
      <c r="M123" s="146">
        <f>SUMIFS(XUẤT!T:T,XUẤT!N:N,CBCNV!B123,XUẤT!O:O,CBCNV!$M$2)</f>
        <v>0</v>
      </c>
      <c r="N123" s="151">
        <f t="shared" si="29"/>
        <v>0</v>
      </c>
      <c r="O123" s="146">
        <f>SUMIFS(XUẤT!U:U,XUẤT!N:N,CBCNV!B123,XUẤT!O:O,CBCNV!$O$2)</f>
        <v>0</v>
      </c>
      <c r="P123" s="151">
        <f t="shared" si="30"/>
        <v>0</v>
      </c>
      <c r="Q123" s="32"/>
      <c r="R123" s="18"/>
    </row>
    <row r="124" spans="1:18" s="152" customFormat="1" x14ac:dyDescent="0.3">
      <c r="A124" s="149">
        <v>117</v>
      </c>
      <c r="B124" s="10" t="s">
        <v>226</v>
      </c>
      <c r="C124" s="149" t="s">
        <v>170</v>
      </c>
      <c r="D124" s="149" t="s">
        <v>214</v>
      </c>
      <c r="E124" s="146">
        <f>SUMIFS(XUẤT!P:P,XUẤT!N:N,CBCNV!B124,XUẤT!O:O,CBCNV!$E$2)</f>
        <v>0</v>
      </c>
      <c r="F124" s="151">
        <f t="shared" si="25"/>
        <v>0</v>
      </c>
      <c r="G124" s="146">
        <f>SUMIFS(XUẤT!Q:Q,XUẤT!N:N,CBCNV!B124,XUẤT!O:O,CBCNV!$G$2)</f>
        <v>0</v>
      </c>
      <c r="H124" s="150">
        <f t="shared" si="26"/>
        <v>0</v>
      </c>
      <c r="I124" s="146">
        <f>SUMIFS(XUẤT!R:R,XUẤT!N:N,CBCNV!B124,XUẤT!O:O,CBCNV!$I$2)</f>
        <v>0</v>
      </c>
      <c r="J124" s="151">
        <f t="shared" si="27"/>
        <v>0</v>
      </c>
      <c r="K124" s="146">
        <f>SUMIFS(XUẤT!S:S,XUẤT!N:N,CBCNV!B124,XUẤT!O:O,CBCNV!$K$2)</f>
        <v>0</v>
      </c>
      <c r="L124" s="151">
        <f t="shared" si="28"/>
        <v>0</v>
      </c>
      <c r="M124" s="146">
        <f>SUMIFS(XUẤT!T:T,XUẤT!N:N,CBCNV!B124,XUẤT!O:O,CBCNV!$M$2)</f>
        <v>0</v>
      </c>
      <c r="N124" s="151">
        <f t="shared" si="29"/>
        <v>0</v>
      </c>
      <c r="O124" s="146">
        <f>SUMIFS(XUẤT!U:U,XUẤT!N:N,CBCNV!B124,XUẤT!O:O,CBCNV!$O$2)</f>
        <v>0</v>
      </c>
      <c r="P124" s="151">
        <f t="shared" si="30"/>
        <v>0</v>
      </c>
      <c r="Q124" s="32"/>
      <c r="R124" s="18"/>
    </row>
    <row r="125" spans="1:18" s="152" customFormat="1" x14ac:dyDescent="0.3">
      <c r="A125" s="149">
        <v>118</v>
      </c>
      <c r="B125" s="10" t="s">
        <v>227</v>
      </c>
      <c r="C125" s="149" t="s">
        <v>170</v>
      </c>
      <c r="D125" s="149" t="s">
        <v>214</v>
      </c>
      <c r="E125" s="146">
        <f>SUMIFS(XUẤT!P:P,XUẤT!N:N,CBCNV!B125,XUẤT!O:O,CBCNV!$E$2)</f>
        <v>0</v>
      </c>
      <c r="F125" s="151">
        <f t="shared" si="25"/>
        <v>0</v>
      </c>
      <c r="G125" s="146">
        <f>SUMIFS(XUẤT!Q:Q,XUẤT!N:N,CBCNV!B125,XUẤT!O:O,CBCNV!$G$2)</f>
        <v>0</v>
      </c>
      <c r="H125" s="150">
        <f t="shared" si="26"/>
        <v>0</v>
      </c>
      <c r="I125" s="146">
        <f>SUMIFS(XUẤT!R:R,XUẤT!N:N,CBCNV!B125,XUẤT!O:O,CBCNV!$I$2)</f>
        <v>0</v>
      </c>
      <c r="J125" s="151">
        <f t="shared" si="27"/>
        <v>0</v>
      </c>
      <c r="K125" s="146">
        <f>SUMIFS(XUẤT!S:S,XUẤT!N:N,CBCNV!B125,XUẤT!O:O,CBCNV!$K$2)</f>
        <v>0</v>
      </c>
      <c r="L125" s="151">
        <f t="shared" si="28"/>
        <v>0</v>
      </c>
      <c r="M125" s="146">
        <f>SUMIFS(XUẤT!T:T,XUẤT!N:N,CBCNV!B125,XUẤT!O:O,CBCNV!$M$2)</f>
        <v>0</v>
      </c>
      <c r="N125" s="151">
        <f t="shared" si="29"/>
        <v>0</v>
      </c>
      <c r="O125" s="146">
        <f>SUMIFS(XUẤT!U:U,XUẤT!N:N,CBCNV!B125,XUẤT!O:O,CBCNV!$O$2)</f>
        <v>0</v>
      </c>
      <c r="P125" s="151">
        <f t="shared" si="30"/>
        <v>0</v>
      </c>
      <c r="Q125" s="32"/>
      <c r="R125" s="18"/>
    </row>
    <row r="126" spans="1:18" s="152" customFormat="1" x14ac:dyDescent="0.3">
      <c r="A126" s="149">
        <v>119</v>
      </c>
      <c r="B126" s="10" t="s">
        <v>228</v>
      </c>
      <c r="C126" s="149" t="s">
        <v>189</v>
      </c>
      <c r="D126" s="149" t="s">
        <v>214</v>
      </c>
      <c r="E126" s="146">
        <f>SUMIFS(XUẤT!P:P,XUẤT!N:N,CBCNV!B126,XUẤT!O:O,CBCNV!$E$2)</f>
        <v>0</v>
      </c>
      <c r="F126" s="151">
        <f t="shared" si="25"/>
        <v>0</v>
      </c>
      <c r="G126" s="146">
        <f>SUMIFS(XUẤT!Q:Q,XUẤT!N:N,CBCNV!B126,XUẤT!O:O,CBCNV!$G$2)</f>
        <v>0</v>
      </c>
      <c r="H126" s="150">
        <f t="shared" si="26"/>
        <v>0</v>
      </c>
      <c r="I126" s="146">
        <f>SUMIFS(XUẤT!R:R,XUẤT!N:N,CBCNV!B126,XUẤT!O:O,CBCNV!$I$2)</f>
        <v>0</v>
      </c>
      <c r="J126" s="151">
        <f t="shared" si="27"/>
        <v>0</v>
      </c>
      <c r="K126" s="146">
        <f>SUMIFS(XUẤT!S:S,XUẤT!N:N,CBCNV!B126,XUẤT!O:O,CBCNV!$K$2)</f>
        <v>0</v>
      </c>
      <c r="L126" s="151">
        <f t="shared" si="28"/>
        <v>0</v>
      </c>
      <c r="M126" s="146">
        <f>SUMIFS(XUẤT!T:T,XUẤT!N:N,CBCNV!B126,XUẤT!O:O,CBCNV!$M$2)</f>
        <v>0</v>
      </c>
      <c r="N126" s="151">
        <f t="shared" si="29"/>
        <v>0</v>
      </c>
      <c r="O126" s="146">
        <f>SUMIFS(XUẤT!U:U,XUẤT!N:N,CBCNV!B126,XUẤT!O:O,CBCNV!$O$2)</f>
        <v>0</v>
      </c>
      <c r="P126" s="151">
        <f t="shared" si="30"/>
        <v>0</v>
      </c>
      <c r="Q126" s="32"/>
      <c r="R126" s="18"/>
    </row>
    <row r="127" spans="1:18" s="152" customFormat="1" x14ac:dyDescent="0.3">
      <c r="A127" s="149">
        <v>120</v>
      </c>
      <c r="B127" s="10" t="s">
        <v>229</v>
      </c>
      <c r="C127" s="149" t="s">
        <v>185</v>
      </c>
      <c r="D127" s="149" t="s">
        <v>214</v>
      </c>
      <c r="E127" s="146">
        <f>SUMIFS(XUẤT!P:P,XUẤT!N:N,CBCNV!B127,XUẤT!O:O,CBCNV!$E$2)</f>
        <v>2</v>
      </c>
      <c r="F127" s="151">
        <f t="shared" si="25"/>
        <v>196000</v>
      </c>
      <c r="G127" s="146">
        <f>SUMIFS(XUẤT!Q:Q,XUẤT!N:N,CBCNV!B127,XUẤT!O:O,CBCNV!$G$2)</f>
        <v>0</v>
      </c>
      <c r="H127" s="150">
        <f t="shared" si="26"/>
        <v>0</v>
      </c>
      <c r="I127" s="146">
        <f>SUMIFS(XUẤT!R:R,XUẤT!N:N,CBCNV!B127,XUẤT!O:O,CBCNV!$I$2)</f>
        <v>0</v>
      </c>
      <c r="J127" s="151">
        <f t="shared" si="27"/>
        <v>0</v>
      </c>
      <c r="K127" s="146">
        <f>SUMIFS(XUẤT!S:S,XUẤT!N:N,CBCNV!B127,XUẤT!O:O,CBCNV!$K$2)</f>
        <v>0</v>
      </c>
      <c r="L127" s="151">
        <f t="shared" si="28"/>
        <v>0</v>
      </c>
      <c r="M127" s="146">
        <f>SUMIFS(XUẤT!T:T,XUẤT!N:N,CBCNV!B127,XUẤT!O:O,CBCNV!$M$2)</f>
        <v>0</v>
      </c>
      <c r="N127" s="151">
        <f t="shared" si="29"/>
        <v>0</v>
      </c>
      <c r="O127" s="146">
        <f>SUMIFS(XUẤT!U:U,XUẤT!N:N,CBCNV!B127,XUẤT!O:O,CBCNV!$O$2)</f>
        <v>0</v>
      </c>
      <c r="P127" s="151">
        <f t="shared" si="30"/>
        <v>0</v>
      </c>
      <c r="Q127" s="32"/>
      <c r="R127" s="18"/>
    </row>
    <row r="128" spans="1:18" s="152" customFormat="1" x14ac:dyDescent="0.3">
      <c r="A128" s="149">
        <v>121</v>
      </c>
      <c r="B128" s="10" t="s">
        <v>230</v>
      </c>
      <c r="C128" s="149" t="s">
        <v>185</v>
      </c>
      <c r="D128" s="149" t="s">
        <v>214</v>
      </c>
      <c r="E128" s="146">
        <f>SUMIFS(XUẤT!P:P,XUẤT!N:N,CBCNV!B128,XUẤT!O:O,CBCNV!$E$2)</f>
        <v>0</v>
      </c>
      <c r="F128" s="151">
        <f t="shared" si="25"/>
        <v>0</v>
      </c>
      <c r="G128" s="146">
        <f>SUMIFS(XUẤT!Q:Q,XUẤT!N:N,CBCNV!B128,XUẤT!O:O,CBCNV!$G$2)</f>
        <v>0</v>
      </c>
      <c r="H128" s="150">
        <f t="shared" si="26"/>
        <v>0</v>
      </c>
      <c r="I128" s="146">
        <f>SUMIFS(XUẤT!R:R,XUẤT!N:N,CBCNV!B128,XUẤT!O:O,CBCNV!$I$2)</f>
        <v>0</v>
      </c>
      <c r="J128" s="151">
        <f t="shared" si="27"/>
        <v>0</v>
      </c>
      <c r="K128" s="146">
        <f>SUMIFS(XUẤT!S:S,XUẤT!N:N,CBCNV!B128,XUẤT!O:O,CBCNV!$K$2)</f>
        <v>0</v>
      </c>
      <c r="L128" s="151">
        <f t="shared" si="28"/>
        <v>0</v>
      </c>
      <c r="M128" s="146">
        <f>SUMIFS(XUẤT!T:T,XUẤT!N:N,CBCNV!B128,XUẤT!O:O,CBCNV!$M$2)</f>
        <v>0</v>
      </c>
      <c r="N128" s="151">
        <f t="shared" si="29"/>
        <v>0</v>
      </c>
      <c r="O128" s="146">
        <f>SUMIFS(XUẤT!U:U,XUẤT!N:N,CBCNV!B128,XUẤT!O:O,CBCNV!$O$2)</f>
        <v>0</v>
      </c>
      <c r="P128" s="151">
        <f t="shared" si="30"/>
        <v>0</v>
      </c>
      <c r="Q128" s="32"/>
      <c r="R128" s="18"/>
    </row>
    <row r="129" spans="1:20" s="152" customFormat="1" x14ac:dyDescent="0.3">
      <c r="A129" s="149">
        <v>122</v>
      </c>
      <c r="B129" s="10" t="s">
        <v>231</v>
      </c>
      <c r="C129" s="149" t="s">
        <v>189</v>
      </c>
      <c r="D129" s="149" t="s">
        <v>214</v>
      </c>
      <c r="E129" s="146">
        <f>SUMIFS(XUẤT!P:P,XUẤT!N:N,CBCNV!B129,XUẤT!O:O,CBCNV!$E$2)</f>
        <v>4</v>
      </c>
      <c r="F129" s="151">
        <f t="shared" si="25"/>
        <v>392000</v>
      </c>
      <c r="G129" s="146">
        <f>SUMIFS(XUẤT!Q:Q,XUẤT!N:N,CBCNV!B129,XUẤT!O:O,CBCNV!$G$2)</f>
        <v>0</v>
      </c>
      <c r="H129" s="150">
        <f t="shared" si="26"/>
        <v>0</v>
      </c>
      <c r="I129" s="146">
        <f>SUMIFS(XUẤT!R:R,XUẤT!N:N,CBCNV!B129,XUẤT!O:O,CBCNV!$I$2)</f>
        <v>0</v>
      </c>
      <c r="J129" s="151">
        <f t="shared" si="27"/>
        <v>0</v>
      </c>
      <c r="K129" s="146">
        <f>SUMIFS(XUẤT!S:S,XUẤT!N:N,CBCNV!B129,XUẤT!O:O,CBCNV!$K$2)</f>
        <v>0</v>
      </c>
      <c r="L129" s="151">
        <f t="shared" si="28"/>
        <v>0</v>
      </c>
      <c r="M129" s="146">
        <f>SUMIFS(XUẤT!T:T,XUẤT!N:N,CBCNV!B129,XUẤT!O:O,CBCNV!$M$2)</f>
        <v>0</v>
      </c>
      <c r="N129" s="151">
        <f t="shared" si="29"/>
        <v>0</v>
      </c>
      <c r="O129" s="146">
        <f>SUMIFS(XUẤT!U:U,XUẤT!N:N,CBCNV!B129,XUẤT!O:O,CBCNV!$O$2)</f>
        <v>0</v>
      </c>
      <c r="P129" s="151">
        <f t="shared" si="30"/>
        <v>0</v>
      </c>
      <c r="Q129" s="32"/>
      <c r="R129" s="18"/>
    </row>
    <row r="130" spans="1:20" s="152" customFormat="1" x14ac:dyDescent="0.3">
      <c r="A130" s="149">
        <v>123</v>
      </c>
      <c r="B130" s="10" t="s">
        <v>232</v>
      </c>
      <c r="C130" s="149" t="s">
        <v>185</v>
      </c>
      <c r="D130" s="149" t="s">
        <v>214</v>
      </c>
      <c r="E130" s="146">
        <f>SUMIFS(XUẤT!P:P,XUẤT!N:N,CBCNV!B130,XUẤT!O:O,CBCNV!$E$2)</f>
        <v>0</v>
      </c>
      <c r="F130" s="151">
        <f t="shared" si="25"/>
        <v>0</v>
      </c>
      <c r="G130" s="146">
        <f>SUMIFS(XUẤT!Q:Q,XUẤT!N:N,CBCNV!B130,XUẤT!O:O,CBCNV!$G$2)</f>
        <v>0</v>
      </c>
      <c r="H130" s="150">
        <f t="shared" si="26"/>
        <v>0</v>
      </c>
      <c r="I130" s="146">
        <f>SUMIFS(XUẤT!R:R,XUẤT!N:N,CBCNV!B130,XUẤT!O:O,CBCNV!$I$2)</f>
        <v>0</v>
      </c>
      <c r="J130" s="151">
        <f t="shared" si="27"/>
        <v>0</v>
      </c>
      <c r="K130" s="146">
        <f>SUMIFS(XUẤT!S:S,XUẤT!N:N,CBCNV!B130,XUẤT!O:O,CBCNV!$K$2)</f>
        <v>0</v>
      </c>
      <c r="L130" s="151">
        <f t="shared" si="28"/>
        <v>0</v>
      </c>
      <c r="M130" s="146">
        <f>SUMIFS(XUẤT!T:T,XUẤT!N:N,CBCNV!B130,XUẤT!O:O,CBCNV!$M$2)</f>
        <v>0</v>
      </c>
      <c r="N130" s="151">
        <f t="shared" si="29"/>
        <v>0</v>
      </c>
      <c r="O130" s="146">
        <f>SUMIFS(XUẤT!U:U,XUẤT!N:N,CBCNV!B130,XUẤT!O:O,CBCNV!$O$2)</f>
        <v>0</v>
      </c>
      <c r="P130" s="151">
        <f t="shared" si="30"/>
        <v>0</v>
      </c>
      <c r="Q130" s="32"/>
      <c r="R130" s="18"/>
    </row>
    <row r="131" spans="1:20" s="152" customFormat="1" x14ac:dyDescent="0.3">
      <c r="A131" s="149">
        <v>124</v>
      </c>
      <c r="B131" s="10" t="s">
        <v>233</v>
      </c>
      <c r="C131" s="149" t="s">
        <v>189</v>
      </c>
      <c r="D131" s="149" t="s">
        <v>214</v>
      </c>
      <c r="E131" s="146">
        <f>SUMIFS(XUẤT!P:P,XUẤT!N:N,CBCNV!B131,XUẤT!O:O,CBCNV!$E$2)</f>
        <v>0</v>
      </c>
      <c r="F131" s="151">
        <f t="shared" si="25"/>
        <v>0</v>
      </c>
      <c r="G131" s="146">
        <f>SUMIFS(XUẤT!Q:Q,XUẤT!N:N,CBCNV!B131,XUẤT!O:O,CBCNV!$G$2)</f>
        <v>0</v>
      </c>
      <c r="H131" s="150">
        <f t="shared" si="26"/>
        <v>0</v>
      </c>
      <c r="I131" s="146">
        <f>SUMIFS(XUẤT!R:R,XUẤT!N:N,CBCNV!B131,XUẤT!O:O,CBCNV!$I$2)</f>
        <v>0</v>
      </c>
      <c r="J131" s="151">
        <f t="shared" si="27"/>
        <v>0</v>
      </c>
      <c r="K131" s="146">
        <f>SUMIFS(XUẤT!S:S,XUẤT!N:N,CBCNV!B131,XUẤT!O:O,CBCNV!$K$2)</f>
        <v>0</v>
      </c>
      <c r="L131" s="151">
        <f t="shared" si="28"/>
        <v>0</v>
      </c>
      <c r="M131" s="146">
        <f>SUMIFS(XUẤT!T:T,XUẤT!N:N,CBCNV!B131,XUẤT!O:O,CBCNV!$M$2)</f>
        <v>0</v>
      </c>
      <c r="N131" s="151">
        <f t="shared" si="29"/>
        <v>0</v>
      </c>
      <c r="O131" s="146">
        <f>SUMIFS(XUẤT!U:U,XUẤT!N:N,CBCNV!B131,XUẤT!O:O,CBCNV!$O$2)</f>
        <v>0</v>
      </c>
      <c r="P131" s="151">
        <f t="shared" si="30"/>
        <v>0</v>
      </c>
      <c r="Q131" s="32"/>
      <c r="R131" s="18"/>
    </row>
    <row r="132" spans="1:20" s="152" customFormat="1" x14ac:dyDescent="0.3">
      <c r="A132" s="149">
        <v>125</v>
      </c>
      <c r="B132" s="10" t="s">
        <v>234</v>
      </c>
      <c r="C132" s="149" t="s">
        <v>170</v>
      </c>
      <c r="D132" s="149" t="s">
        <v>214</v>
      </c>
      <c r="E132" s="146">
        <f>SUMIFS(XUẤT!P:P,XUẤT!N:N,CBCNV!B132,XUẤT!O:O,CBCNV!$E$2)</f>
        <v>0</v>
      </c>
      <c r="F132" s="151">
        <f t="shared" si="25"/>
        <v>0</v>
      </c>
      <c r="G132" s="146">
        <f>SUMIFS(XUẤT!Q:Q,XUẤT!N:N,CBCNV!B132,XUẤT!O:O,CBCNV!$G$2)</f>
        <v>0</v>
      </c>
      <c r="H132" s="150">
        <f t="shared" si="26"/>
        <v>0</v>
      </c>
      <c r="I132" s="146">
        <f>SUMIFS(XUẤT!R:R,XUẤT!N:N,CBCNV!B132,XUẤT!O:O,CBCNV!$I$2)</f>
        <v>0</v>
      </c>
      <c r="J132" s="151">
        <f t="shared" si="27"/>
        <v>0</v>
      </c>
      <c r="K132" s="146">
        <f>SUMIFS(XUẤT!S:S,XUẤT!N:N,CBCNV!B132,XUẤT!O:O,CBCNV!$K$2)</f>
        <v>0</v>
      </c>
      <c r="L132" s="151">
        <f t="shared" si="28"/>
        <v>0</v>
      </c>
      <c r="M132" s="146">
        <f>SUMIFS(XUẤT!T:T,XUẤT!N:N,CBCNV!B132,XUẤT!O:O,CBCNV!$M$2)</f>
        <v>0</v>
      </c>
      <c r="N132" s="151">
        <f t="shared" si="29"/>
        <v>0</v>
      </c>
      <c r="O132" s="146">
        <f>SUMIFS(XUẤT!U:U,XUẤT!N:N,CBCNV!B132,XUẤT!O:O,CBCNV!$O$2)</f>
        <v>0</v>
      </c>
      <c r="P132" s="151">
        <f t="shared" si="30"/>
        <v>0</v>
      </c>
      <c r="Q132" s="32"/>
      <c r="R132" s="18"/>
    </row>
    <row r="133" spans="1:20" s="148" customFormat="1" x14ac:dyDescent="0.3">
      <c r="A133" s="149">
        <v>126</v>
      </c>
      <c r="B133" s="10" t="s">
        <v>235</v>
      </c>
      <c r="C133" s="149" t="s">
        <v>170</v>
      </c>
      <c r="D133" s="149" t="s">
        <v>214</v>
      </c>
      <c r="E133" s="146">
        <f>SUMIFS(XUẤT!P:P,XUẤT!N:N,CBCNV!B133,XUẤT!O:O,CBCNV!$E$2)</f>
        <v>0</v>
      </c>
      <c r="F133" s="151">
        <f t="shared" si="25"/>
        <v>0</v>
      </c>
      <c r="G133" s="146">
        <f>SUMIFS(XUẤT!Q:Q,XUẤT!N:N,CBCNV!B133,XUẤT!O:O,CBCNV!$G$2)</f>
        <v>0</v>
      </c>
      <c r="H133" s="150">
        <f t="shared" si="26"/>
        <v>0</v>
      </c>
      <c r="I133" s="146">
        <f>SUMIFS(XUẤT!R:R,XUẤT!N:N,CBCNV!B133,XUẤT!O:O,CBCNV!$I$2)</f>
        <v>0</v>
      </c>
      <c r="J133" s="151">
        <f t="shared" si="27"/>
        <v>0</v>
      </c>
      <c r="K133" s="146">
        <f>SUMIFS(XUẤT!S:S,XUẤT!N:N,CBCNV!B133,XUẤT!O:O,CBCNV!$K$2)</f>
        <v>0</v>
      </c>
      <c r="L133" s="151">
        <f t="shared" si="28"/>
        <v>0</v>
      </c>
      <c r="M133" s="146">
        <f>SUMIFS(XUẤT!T:T,XUẤT!N:N,CBCNV!B133,XUẤT!O:O,CBCNV!$M$2)</f>
        <v>0</v>
      </c>
      <c r="N133" s="151">
        <f t="shared" si="29"/>
        <v>0</v>
      </c>
      <c r="O133" s="146">
        <f>SUMIFS(XUẤT!U:U,XUẤT!N:N,CBCNV!B133,XUẤT!O:O,CBCNV!$O$2)</f>
        <v>2</v>
      </c>
      <c r="P133" s="151">
        <f t="shared" si="30"/>
        <v>96000</v>
      </c>
      <c r="Q133" s="32"/>
      <c r="R133" s="18"/>
      <c r="S133" s="152"/>
      <c r="T133" s="152"/>
    </row>
    <row r="134" spans="1:20" s="152" customFormat="1" x14ac:dyDescent="0.3">
      <c r="A134" s="149">
        <v>127</v>
      </c>
      <c r="B134" s="10" t="s">
        <v>236</v>
      </c>
      <c r="C134" s="149" t="s">
        <v>170</v>
      </c>
      <c r="D134" s="149" t="s">
        <v>214</v>
      </c>
      <c r="E134" s="146">
        <f>SUMIFS(XUẤT!P:P,XUẤT!N:N,CBCNV!B134,XUẤT!O:O,CBCNV!$E$2)</f>
        <v>0</v>
      </c>
      <c r="F134" s="151">
        <f t="shared" si="25"/>
        <v>0</v>
      </c>
      <c r="G134" s="146">
        <f>SUMIFS(XUẤT!Q:Q,XUẤT!N:N,CBCNV!B134,XUẤT!O:O,CBCNV!$G$2)</f>
        <v>0</v>
      </c>
      <c r="H134" s="150">
        <f t="shared" si="26"/>
        <v>0</v>
      </c>
      <c r="I134" s="146">
        <f>SUMIFS(XUẤT!R:R,XUẤT!N:N,CBCNV!B134,XUẤT!O:O,CBCNV!$I$2)</f>
        <v>0</v>
      </c>
      <c r="J134" s="151">
        <f t="shared" si="27"/>
        <v>0</v>
      </c>
      <c r="K134" s="146">
        <f>SUMIFS(XUẤT!S:S,XUẤT!N:N,CBCNV!B134,XUẤT!O:O,CBCNV!$K$2)</f>
        <v>0</v>
      </c>
      <c r="L134" s="151">
        <f t="shared" si="28"/>
        <v>0</v>
      </c>
      <c r="M134" s="146">
        <f>SUMIFS(XUẤT!T:T,XUẤT!N:N,CBCNV!B134,XUẤT!O:O,CBCNV!$M$2)</f>
        <v>0</v>
      </c>
      <c r="N134" s="151">
        <f t="shared" si="29"/>
        <v>0</v>
      </c>
      <c r="O134" s="146">
        <f>SUMIFS(XUẤT!U:U,XUẤT!N:N,CBCNV!B134,XUẤT!O:O,CBCNV!$O$2)</f>
        <v>0</v>
      </c>
      <c r="P134" s="151">
        <f t="shared" si="30"/>
        <v>0</v>
      </c>
      <c r="Q134" s="32"/>
      <c r="R134" s="18"/>
    </row>
    <row r="135" spans="1:20" s="152" customFormat="1" x14ac:dyDescent="0.3">
      <c r="A135" s="149">
        <v>128</v>
      </c>
      <c r="B135" s="154" t="s">
        <v>237</v>
      </c>
      <c r="C135" s="149" t="s">
        <v>170</v>
      </c>
      <c r="D135" s="149" t="s">
        <v>214</v>
      </c>
      <c r="E135" s="146">
        <f>SUMIFS(XUẤT!P:P,XUẤT!N:N,CBCNV!B135,XUẤT!O:O,CBCNV!$E$2)</f>
        <v>0</v>
      </c>
      <c r="F135" s="151">
        <f t="shared" si="25"/>
        <v>0</v>
      </c>
      <c r="G135" s="146">
        <f>SUMIFS(XUẤT!Q:Q,XUẤT!N:N,CBCNV!B135,XUẤT!O:O,CBCNV!$G$2)</f>
        <v>0</v>
      </c>
      <c r="H135" s="150">
        <f t="shared" si="26"/>
        <v>0</v>
      </c>
      <c r="I135" s="146">
        <f>SUMIFS(XUẤT!R:R,XUẤT!N:N,CBCNV!B135,XUẤT!O:O,CBCNV!$I$2)</f>
        <v>0</v>
      </c>
      <c r="J135" s="151">
        <f t="shared" si="27"/>
        <v>0</v>
      </c>
      <c r="K135" s="146">
        <f>SUMIFS(XUẤT!S:S,XUẤT!N:N,CBCNV!B135,XUẤT!O:O,CBCNV!$K$2)</f>
        <v>0</v>
      </c>
      <c r="L135" s="151">
        <f t="shared" si="28"/>
        <v>0</v>
      </c>
      <c r="M135" s="146">
        <f>SUMIFS(XUẤT!T:T,XUẤT!N:N,CBCNV!B135,XUẤT!O:O,CBCNV!$M$2)</f>
        <v>0</v>
      </c>
      <c r="N135" s="151">
        <f t="shared" si="29"/>
        <v>0</v>
      </c>
      <c r="O135" s="146">
        <f>SUMIFS(XUẤT!U:U,XUẤT!N:N,CBCNV!B135,XUẤT!O:O,CBCNV!$O$2)</f>
        <v>0</v>
      </c>
      <c r="P135" s="151">
        <f t="shared" si="30"/>
        <v>0</v>
      </c>
      <c r="Q135" s="32"/>
      <c r="R135" s="18"/>
    </row>
    <row r="136" spans="1:20" s="152" customFormat="1" x14ac:dyDescent="0.3">
      <c r="A136" s="149">
        <v>129</v>
      </c>
      <c r="B136" s="34" t="s">
        <v>48</v>
      </c>
      <c r="C136" s="153" t="s">
        <v>153</v>
      </c>
      <c r="D136" s="153" t="s">
        <v>238</v>
      </c>
      <c r="E136" s="146">
        <f>SUMIFS(XUẤT!P:P,XUẤT!N:N,CBCNV!B136,XUẤT!O:O,CBCNV!$E$2)</f>
        <v>0</v>
      </c>
      <c r="F136" s="151">
        <f t="shared" ref="F136:F167" si="31">E136*$T$10</f>
        <v>0</v>
      </c>
      <c r="G136" s="146">
        <f>SUMIFS(XUẤT!Q:Q,XUẤT!N:N,CBCNV!B136,XUẤT!O:O,CBCNV!$G$2)</f>
        <v>0</v>
      </c>
      <c r="H136" s="150">
        <f t="shared" ref="H136:H167" si="32">G136*$T$8</f>
        <v>0</v>
      </c>
      <c r="I136" s="146">
        <f>SUMIFS(XUẤT!R:R,XUẤT!N:N,CBCNV!B136,XUẤT!O:O,CBCNV!$I$2)</f>
        <v>0</v>
      </c>
      <c r="J136" s="151">
        <f t="shared" ref="J136:J167" si="33">I136*$T$9</f>
        <v>0</v>
      </c>
      <c r="K136" s="146">
        <f>SUMIFS(XUẤT!S:S,XUẤT!N:N,CBCNV!B136,XUẤT!O:O,CBCNV!$K$2)</f>
        <v>0</v>
      </c>
      <c r="L136" s="151">
        <f t="shared" ref="L136:L167" si="34">K136*$T$11</f>
        <v>0</v>
      </c>
      <c r="M136" s="146">
        <f>SUMIFS(XUẤT!T:T,XUẤT!N:N,CBCNV!B136,XUẤT!O:O,CBCNV!$M$2)</f>
        <v>0</v>
      </c>
      <c r="N136" s="151">
        <f t="shared" ref="N136:N167" si="35">M136*$T$12</f>
        <v>0</v>
      </c>
      <c r="O136" s="146">
        <f>SUMIFS(XUẤT!U:U,XUẤT!N:N,CBCNV!B136,XUẤT!O:O,CBCNV!$O$2)</f>
        <v>0</v>
      </c>
      <c r="P136" s="151">
        <f t="shared" ref="P136:P167" si="36">O136*$T$13</f>
        <v>0</v>
      </c>
      <c r="Q136" s="32"/>
      <c r="R136" s="21"/>
      <c r="S136" s="148"/>
      <c r="T136" s="148"/>
    </row>
    <row r="137" spans="1:20" s="152" customFormat="1" x14ac:dyDescent="0.3">
      <c r="A137" s="149">
        <v>130</v>
      </c>
      <c r="B137" s="10" t="s">
        <v>239</v>
      </c>
      <c r="C137" s="149" t="s">
        <v>156</v>
      </c>
      <c r="D137" s="149" t="s">
        <v>238</v>
      </c>
      <c r="E137" s="146">
        <f>SUMIFS(XUẤT!P:P,XUẤT!N:N,CBCNV!B137,XUẤT!O:O,CBCNV!$E$2)</f>
        <v>0</v>
      </c>
      <c r="F137" s="151">
        <f t="shared" si="31"/>
        <v>0</v>
      </c>
      <c r="G137" s="146">
        <f>SUMIFS(XUẤT!Q:Q,XUẤT!N:N,CBCNV!B137,XUẤT!O:O,CBCNV!$G$2)</f>
        <v>0</v>
      </c>
      <c r="H137" s="150">
        <f t="shared" si="32"/>
        <v>0</v>
      </c>
      <c r="I137" s="146">
        <f>SUMIFS(XUẤT!R:R,XUẤT!N:N,CBCNV!B137,XUẤT!O:O,CBCNV!$I$2)</f>
        <v>0</v>
      </c>
      <c r="J137" s="151">
        <f t="shared" si="33"/>
        <v>0</v>
      </c>
      <c r="K137" s="146">
        <f>SUMIFS(XUẤT!S:S,XUẤT!N:N,CBCNV!B137,XUẤT!O:O,CBCNV!$K$2)</f>
        <v>0</v>
      </c>
      <c r="L137" s="151">
        <f t="shared" si="34"/>
        <v>0</v>
      </c>
      <c r="M137" s="146">
        <f>SUMIFS(XUẤT!T:T,XUẤT!N:N,CBCNV!B137,XUẤT!O:O,CBCNV!$M$2)</f>
        <v>0</v>
      </c>
      <c r="N137" s="151">
        <f t="shared" si="35"/>
        <v>0</v>
      </c>
      <c r="O137" s="146">
        <f>SUMIFS(XUẤT!U:U,XUẤT!N:N,CBCNV!B137,XUẤT!O:O,CBCNV!$O$2)</f>
        <v>0</v>
      </c>
      <c r="P137" s="151">
        <f t="shared" si="36"/>
        <v>0</v>
      </c>
      <c r="Q137" s="32"/>
      <c r="R137" s="18"/>
    </row>
    <row r="138" spans="1:20" s="152" customFormat="1" x14ac:dyDescent="0.3">
      <c r="A138" s="149">
        <v>131</v>
      </c>
      <c r="B138" s="10" t="s">
        <v>240</v>
      </c>
      <c r="C138" s="149" t="s">
        <v>156</v>
      </c>
      <c r="D138" s="149" t="s">
        <v>238</v>
      </c>
      <c r="E138" s="146">
        <f>SUMIFS(XUẤT!P:P,XUẤT!N:N,CBCNV!B138,XUẤT!O:O,CBCNV!$E$2)</f>
        <v>0</v>
      </c>
      <c r="F138" s="151">
        <f t="shared" si="31"/>
        <v>0</v>
      </c>
      <c r="G138" s="146">
        <f>SUMIFS(XUẤT!Q:Q,XUẤT!N:N,CBCNV!B138,XUẤT!O:O,CBCNV!$G$2)</f>
        <v>0</v>
      </c>
      <c r="H138" s="150">
        <f t="shared" si="32"/>
        <v>0</v>
      </c>
      <c r="I138" s="146">
        <f>SUMIFS(XUẤT!R:R,XUẤT!N:N,CBCNV!B138,XUẤT!O:O,CBCNV!$I$2)</f>
        <v>0</v>
      </c>
      <c r="J138" s="151">
        <f t="shared" si="33"/>
        <v>0</v>
      </c>
      <c r="K138" s="146">
        <f>SUMIFS(XUẤT!S:S,XUẤT!N:N,CBCNV!B138,XUẤT!O:O,CBCNV!$K$2)</f>
        <v>0</v>
      </c>
      <c r="L138" s="151">
        <f t="shared" si="34"/>
        <v>0</v>
      </c>
      <c r="M138" s="146">
        <f>SUMIFS(XUẤT!T:T,XUẤT!N:N,CBCNV!B138,XUẤT!O:O,CBCNV!$M$2)</f>
        <v>0</v>
      </c>
      <c r="N138" s="151">
        <f t="shared" si="35"/>
        <v>0</v>
      </c>
      <c r="O138" s="146">
        <f>SUMIFS(XUẤT!U:U,XUẤT!N:N,CBCNV!B138,XUẤT!O:O,CBCNV!$O$2)</f>
        <v>0</v>
      </c>
      <c r="P138" s="151">
        <f t="shared" si="36"/>
        <v>0</v>
      </c>
      <c r="Q138" s="32"/>
      <c r="R138" s="18"/>
    </row>
    <row r="139" spans="1:20" s="152" customFormat="1" x14ac:dyDescent="0.3">
      <c r="A139" s="149">
        <v>132</v>
      </c>
      <c r="B139" s="10" t="s">
        <v>241</v>
      </c>
      <c r="C139" s="149" t="s">
        <v>156</v>
      </c>
      <c r="D139" s="149" t="s">
        <v>238</v>
      </c>
      <c r="E139" s="146">
        <f>SUMIFS(XUẤT!P:P,XUẤT!N:N,CBCNV!B139,XUẤT!O:O,CBCNV!$E$2)</f>
        <v>0</v>
      </c>
      <c r="F139" s="151">
        <f t="shared" si="31"/>
        <v>0</v>
      </c>
      <c r="G139" s="146">
        <f>SUMIFS(XUẤT!Q:Q,XUẤT!N:N,CBCNV!B139,XUẤT!O:O,CBCNV!$G$2)</f>
        <v>0</v>
      </c>
      <c r="H139" s="150">
        <f t="shared" si="32"/>
        <v>0</v>
      </c>
      <c r="I139" s="146">
        <f>SUMIFS(XUẤT!R:R,XUẤT!N:N,CBCNV!B139,XUẤT!O:O,CBCNV!$I$2)</f>
        <v>0</v>
      </c>
      <c r="J139" s="151">
        <f t="shared" si="33"/>
        <v>0</v>
      </c>
      <c r="K139" s="146">
        <f>SUMIFS(XUẤT!S:S,XUẤT!N:N,CBCNV!B139,XUẤT!O:O,CBCNV!$K$2)</f>
        <v>0</v>
      </c>
      <c r="L139" s="151">
        <f t="shared" si="34"/>
        <v>0</v>
      </c>
      <c r="M139" s="146">
        <f>SUMIFS(XUẤT!T:T,XUẤT!N:N,CBCNV!B139,XUẤT!O:O,CBCNV!$M$2)</f>
        <v>0</v>
      </c>
      <c r="N139" s="151">
        <f t="shared" si="35"/>
        <v>0</v>
      </c>
      <c r="O139" s="146">
        <f>SUMIFS(XUẤT!U:U,XUẤT!N:N,CBCNV!B139,XUẤT!O:O,CBCNV!$O$2)</f>
        <v>0</v>
      </c>
      <c r="P139" s="151">
        <f t="shared" si="36"/>
        <v>0</v>
      </c>
      <c r="Q139" s="32"/>
      <c r="R139" s="18"/>
    </row>
    <row r="140" spans="1:20" s="152" customFormat="1" x14ac:dyDescent="0.3">
      <c r="A140" s="149">
        <v>133</v>
      </c>
      <c r="B140" s="10" t="s">
        <v>242</v>
      </c>
      <c r="C140" s="149" t="s">
        <v>101</v>
      </c>
      <c r="D140" s="149" t="s">
        <v>238</v>
      </c>
      <c r="E140" s="146">
        <f>SUMIFS(XUẤT!P:P,XUẤT!N:N,CBCNV!B140,XUẤT!O:O,CBCNV!$E$2)</f>
        <v>0</v>
      </c>
      <c r="F140" s="151">
        <f t="shared" si="31"/>
        <v>0</v>
      </c>
      <c r="G140" s="146">
        <f>SUMIFS(XUẤT!Q:Q,XUẤT!N:N,CBCNV!B140,XUẤT!O:O,CBCNV!$G$2)</f>
        <v>0</v>
      </c>
      <c r="H140" s="150">
        <f t="shared" si="32"/>
        <v>0</v>
      </c>
      <c r="I140" s="146">
        <f>SUMIFS(XUẤT!R:R,XUẤT!N:N,CBCNV!B140,XUẤT!O:O,CBCNV!$I$2)</f>
        <v>0</v>
      </c>
      <c r="J140" s="151">
        <f t="shared" si="33"/>
        <v>0</v>
      </c>
      <c r="K140" s="146">
        <f>SUMIFS(XUẤT!S:S,XUẤT!N:N,CBCNV!B140,XUẤT!O:O,CBCNV!$K$2)</f>
        <v>0</v>
      </c>
      <c r="L140" s="151">
        <f t="shared" si="34"/>
        <v>0</v>
      </c>
      <c r="M140" s="146">
        <f>SUMIFS(XUẤT!T:T,XUẤT!N:N,CBCNV!B140,XUẤT!O:O,CBCNV!$M$2)</f>
        <v>0</v>
      </c>
      <c r="N140" s="151">
        <f t="shared" si="35"/>
        <v>0</v>
      </c>
      <c r="O140" s="146">
        <f>SUMIFS(XUẤT!U:U,XUẤT!N:N,CBCNV!B140,XUẤT!O:O,CBCNV!$O$2)</f>
        <v>0</v>
      </c>
      <c r="P140" s="151">
        <f t="shared" si="36"/>
        <v>0</v>
      </c>
      <c r="Q140" s="32"/>
      <c r="R140" s="18"/>
    </row>
    <row r="141" spans="1:20" s="152" customFormat="1" x14ac:dyDescent="0.3">
      <c r="A141" s="149">
        <v>134</v>
      </c>
      <c r="B141" s="10" t="s">
        <v>243</v>
      </c>
      <c r="C141" s="149" t="s">
        <v>101</v>
      </c>
      <c r="D141" s="149" t="s">
        <v>238</v>
      </c>
      <c r="E141" s="146">
        <f>SUMIFS(XUẤT!P:P,XUẤT!N:N,CBCNV!B141,XUẤT!O:O,CBCNV!$E$2)</f>
        <v>0</v>
      </c>
      <c r="F141" s="151">
        <f t="shared" si="31"/>
        <v>0</v>
      </c>
      <c r="G141" s="146">
        <f>SUMIFS(XUẤT!Q:Q,XUẤT!N:N,CBCNV!B141,XUẤT!O:O,CBCNV!$G$2)</f>
        <v>0</v>
      </c>
      <c r="H141" s="150">
        <f t="shared" si="32"/>
        <v>0</v>
      </c>
      <c r="I141" s="146">
        <f>SUMIFS(XUẤT!R:R,XUẤT!N:N,CBCNV!B141,XUẤT!O:O,CBCNV!$I$2)</f>
        <v>0</v>
      </c>
      <c r="J141" s="151">
        <f t="shared" si="33"/>
        <v>0</v>
      </c>
      <c r="K141" s="146">
        <f>SUMIFS(XUẤT!S:S,XUẤT!N:N,CBCNV!B141,XUẤT!O:O,CBCNV!$K$2)</f>
        <v>0</v>
      </c>
      <c r="L141" s="151">
        <f t="shared" si="34"/>
        <v>0</v>
      </c>
      <c r="M141" s="146">
        <f>SUMIFS(XUẤT!T:T,XUẤT!N:N,CBCNV!B141,XUẤT!O:O,CBCNV!$M$2)</f>
        <v>0</v>
      </c>
      <c r="N141" s="151">
        <f t="shared" si="35"/>
        <v>0</v>
      </c>
      <c r="O141" s="146">
        <f>SUMIFS(XUẤT!U:U,XUẤT!N:N,CBCNV!B141,XUẤT!O:O,CBCNV!$O$2)</f>
        <v>0</v>
      </c>
      <c r="P141" s="151">
        <f t="shared" si="36"/>
        <v>0</v>
      </c>
      <c r="Q141" s="32"/>
      <c r="R141" s="18"/>
    </row>
    <row r="142" spans="1:20" s="152" customFormat="1" x14ac:dyDescent="0.3">
      <c r="A142" s="149">
        <v>135</v>
      </c>
      <c r="B142" s="10" t="s">
        <v>244</v>
      </c>
      <c r="C142" s="149" t="s">
        <v>101</v>
      </c>
      <c r="D142" s="149" t="s">
        <v>238</v>
      </c>
      <c r="E142" s="146">
        <f>SUMIFS(XUẤT!P:P,XUẤT!N:N,CBCNV!B142,XUẤT!O:O,CBCNV!$E$2)</f>
        <v>0</v>
      </c>
      <c r="F142" s="151">
        <f t="shared" si="31"/>
        <v>0</v>
      </c>
      <c r="G142" s="146">
        <f>SUMIFS(XUẤT!Q:Q,XUẤT!N:N,CBCNV!B142,XUẤT!O:O,CBCNV!$G$2)</f>
        <v>0</v>
      </c>
      <c r="H142" s="150">
        <f t="shared" si="32"/>
        <v>0</v>
      </c>
      <c r="I142" s="146">
        <f>SUMIFS(XUẤT!R:R,XUẤT!N:N,CBCNV!B142,XUẤT!O:O,CBCNV!$I$2)</f>
        <v>0</v>
      </c>
      <c r="J142" s="151">
        <f t="shared" si="33"/>
        <v>0</v>
      </c>
      <c r="K142" s="146">
        <f>SUMIFS(XUẤT!S:S,XUẤT!N:N,CBCNV!B142,XUẤT!O:O,CBCNV!$K$2)</f>
        <v>0</v>
      </c>
      <c r="L142" s="151">
        <f t="shared" si="34"/>
        <v>0</v>
      </c>
      <c r="M142" s="146">
        <f>SUMIFS(XUẤT!T:T,XUẤT!N:N,CBCNV!B142,XUẤT!O:O,CBCNV!$M$2)</f>
        <v>0</v>
      </c>
      <c r="N142" s="151">
        <f t="shared" si="35"/>
        <v>0</v>
      </c>
      <c r="O142" s="146">
        <f>SUMIFS(XUẤT!U:U,XUẤT!N:N,CBCNV!B142,XUẤT!O:O,CBCNV!$O$2)</f>
        <v>0</v>
      </c>
      <c r="P142" s="151">
        <f t="shared" si="36"/>
        <v>0</v>
      </c>
      <c r="Q142" s="32"/>
      <c r="R142" s="18"/>
    </row>
    <row r="143" spans="1:20" s="152" customFormat="1" x14ac:dyDescent="0.3">
      <c r="A143" s="149">
        <v>136</v>
      </c>
      <c r="B143" s="10" t="s">
        <v>245</v>
      </c>
      <c r="C143" s="149" t="s">
        <v>101</v>
      </c>
      <c r="D143" s="149" t="s">
        <v>238</v>
      </c>
      <c r="E143" s="146">
        <f>SUMIFS(XUẤT!P:P,XUẤT!N:N,CBCNV!B143,XUẤT!O:O,CBCNV!$E$2)</f>
        <v>0</v>
      </c>
      <c r="F143" s="151">
        <f t="shared" si="31"/>
        <v>0</v>
      </c>
      <c r="G143" s="146">
        <f>SUMIFS(XUẤT!Q:Q,XUẤT!N:N,CBCNV!B143,XUẤT!O:O,CBCNV!$G$2)</f>
        <v>0</v>
      </c>
      <c r="H143" s="150">
        <f t="shared" si="32"/>
        <v>0</v>
      </c>
      <c r="I143" s="146">
        <f>SUMIFS(XUẤT!R:R,XUẤT!N:N,CBCNV!B143,XUẤT!O:O,CBCNV!$I$2)</f>
        <v>0</v>
      </c>
      <c r="J143" s="151">
        <f t="shared" si="33"/>
        <v>0</v>
      </c>
      <c r="K143" s="146">
        <f>SUMIFS(XUẤT!S:S,XUẤT!N:N,CBCNV!B143,XUẤT!O:O,CBCNV!$K$2)</f>
        <v>0</v>
      </c>
      <c r="L143" s="151">
        <f t="shared" si="34"/>
        <v>0</v>
      </c>
      <c r="M143" s="146">
        <f>SUMIFS(XUẤT!T:T,XUẤT!N:N,CBCNV!B143,XUẤT!O:O,CBCNV!$M$2)</f>
        <v>0</v>
      </c>
      <c r="N143" s="151">
        <f t="shared" si="35"/>
        <v>0</v>
      </c>
      <c r="O143" s="146">
        <f>SUMIFS(XUẤT!U:U,XUẤT!N:N,CBCNV!B143,XUẤT!O:O,CBCNV!$O$2)</f>
        <v>0</v>
      </c>
      <c r="P143" s="151">
        <f t="shared" si="36"/>
        <v>0</v>
      </c>
      <c r="Q143" s="32"/>
      <c r="R143" s="18"/>
    </row>
    <row r="144" spans="1:20" s="152" customFormat="1" x14ac:dyDescent="0.3">
      <c r="A144" s="149">
        <v>137</v>
      </c>
      <c r="B144" s="10" t="s">
        <v>246</v>
      </c>
      <c r="C144" s="149" t="s">
        <v>101</v>
      </c>
      <c r="D144" s="149" t="s">
        <v>238</v>
      </c>
      <c r="E144" s="146">
        <f>SUMIFS(XUẤT!P:P,XUẤT!N:N,CBCNV!B144,XUẤT!O:O,CBCNV!$E$2)</f>
        <v>0</v>
      </c>
      <c r="F144" s="151">
        <f t="shared" si="31"/>
        <v>0</v>
      </c>
      <c r="G144" s="146">
        <f>SUMIFS(XUẤT!Q:Q,XUẤT!N:N,CBCNV!B144,XUẤT!O:O,CBCNV!$G$2)</f>
        <v>0</v>
      </c>
      <c r="H144" s="150">
        <f t="shared" si="32"/>
        <v>0</v>
      </c>
      <c r="I144" s="146">
        <f>SUMIFS(XUẤT!R:R,XUẤT!N:N,CBCNV!B144,XUẤT!O:O,CBCNV!$I$2)</f>
        <v>0</v>
      </c>
      <c r="J144" s="151">
        <f t="shared" si="33"/>
        <v>0</v>
      </c>
      <c r="K144" s="146">
        <f>SUMIFS(XUẤT!S:S,XUẤT!N:N,CBCNV!B144,XUẤT!O:O,CBCNV!$K$2)</f>
        <v>0</v>
      </c>
      <c r="L144" s="151">
        <f t="shared" si="34"/>
        <v>0</v>
      </c>
      <c r="M144" s="146">
        <f>SUMIFS(XUẤT!T:T,XUẤT!N:N,CBCNV!B144,XUẤT!O:O,CBCNV!$M$2)</f>
        <v>0</v>
      </c>
      <c r="N144" s="151">
        <f t="shared" si="35"/>
        <v>0</v>
      </c>
      <c r="O144" s="146">
        <f>SUMIFS(XUẤT!U:U,XUẤT!N:N,CBCNV!B144,XUẤT!O:O,CBCNV!$O$2)</f>
        <v>0</v>
      </c>
      <c r="P144" s="151">
        <f t="shared" si="36"/>
        <v>0</v>
      </c>
      <c r="Q144" s="32"/>
      <c r="R144" s="18"/>
    </row>
    <row r="145" spans="1:20" s="152" customFormat="1" x14ac:dyDescent="0.3">
      <c r="A145" s="149">
        <v>138</v>
      </c>
      <c r="B145" s="10" t="s">
        <v>247</v>
      </c>
      <c r="C145" s="149" t="s">
        <v>170</v>
      </c>
      <c r="D145" s="149" t="s">
        <v>238</v>
      </c>
      <c r="E145" s="146">
        <f>SUMIFS(XUẤT!P:P,XUẤT!N:N,CBCNV!B145,XUẤT!O:O,CBCNV!$E$2)</f>
        <v>0</v>
      </c>
      <c r="F145" s="151">
        <f t="shared" si="31"/>
        <v>0</v>
      </c>
      <c r="G145" s="146">
        <f>SUMIFS(XUẤT!Q:Q,XUẤT!N:N,CBCNV!B145,XUẤT!O:O,CBCNV!$G$2)</f>
        <v>0</v>
      </c>
      <c r="H145" s="150">
        <f t="shared" si="32"/>
        <v>0</v>
      </c>
      <c r="I145" s="146">
        <f>SUMIFS(XUẤT!R:R,XUẤT!N:N,CBCNV!B145,XUẤT!O:O,CBCNV!$I$2)</f>
        <v>0</v>
      </c>
      <c r="J145" s="151">
        <f t="shared" si="33"/>
        <v>0</v>
      </c>
      <c r="K145" s="146">
        <f>SUMIFS(XUẤT!S:S,XUẤT!N:N,CBCNV!B145,XUẤT!O:O,CBCNV!$K$2)</f>
        <v>0</v>
      </c>
      <c r="L145" s="151">
        <f t="shared" si="34"/>
        <v>0</v>
      </c>
      <c r="M145" s="146">
        <f>SUMIFS(XUẤT!T:T,XUẤT!N:N,CBCNV!B145,XUẤT!O:O,CBCNV!$M$2)</f>
        <v>0</v>
      </c>
      <c r="N145" s="151">
        <f t="shared" si="35"/>
        <v>0</v>
      </c>
      <c r="O145" s="146">
        <f>SUMIFS(XUẤT!U:U,XUẤT!N:N,CBCNV!B145,XUẤT!O:O,CBCNV!$O$2)</f>
        <v>0</v>
      </c>
      <c r="P145" s="151">
        <f t="shared" si="36"/>
        <v>0</v>
      </c>
      <c r="Q145" s="32"/>
      <c r="R145" s="18"/>
    </row>
    <row r="146" spans="1:20" s="152" customFormat="1" x14ac:dyDescent="0.3">
      <c r="A146" s="149">
        <v>139</v>
      </c>
      <c r="B146" s="10" t="s">
        <v>248</v>
      </c>
      <c r="C146" s="149" t="s">
        <v>170</v>
      </c>
      <c r="D146" s="149" t="s">
        <v>238</v>
      </c>
      <c r="E146" s="146">
        <f>SUMIFS(XUẤT!P:P,XUẤT!N:N,CBCNV!B146,XUẤT!O:O,CBCNV!$E$2)</f>
        <v>0</v>
      </c>
      <c r="F146" s="151">
        <f t="shared" si="31"/>
        <v>0</v>
      </c>
      <c r="G146" s="146">
        <f>SUMIFS(XUẤT!Q:Q,XUẤT!N:N,CBCNV!B146,XUẤT!O:O,CBCNV!$G$2)</f>
        <v>0</v>
      </c>
      <c r="H146" s="150">
        <f t="shared" si="32"/>
        <v>0</v>
      </c>
      <c r="I146" s="146">
        <f>SUMIFS(XUẤT!R:R,XUẤT!N:N,CBCNV!B146,XUẤT!O:O,CBCNV!$I$2)</f>
        <v>0</v>
      </c>
      <c r="J146" s="151">
        <f t="shared" si="33"/>
        <v>0</v>
      </c>
      <c r="K146" s="146">
        <f>SUMIFS(XUẤT!S:S,XUẤT!N:N,CBCNV!B146,XUẤT!O:O,CBCNV!$K$2)</f>
        <v>0</v>
      </c>
      <c r="L146" s="151">
        <f t="shared" si="34"/>
        <v>0</v>
      </c>
      <c r="M146" s="146">
        <f>SUMIFS(XUẤT!T:T,XUẤT!N:N,CBCNV!B146,XUẤT!O:O,CBCNV!$M$2)</f>
        <v>0</v>
      </c>
      <c r="N146" s="151">
        <f t="shared" si="35"/>
        <v>0</v>
      </c>
      <c r="O146" s="146">
        <f>SUMIFS(XUẤT!U:U,XUẤT!N:N,CBCNV!B146,XUẤT!O:O,CBCNV!$O$2)</f>
        <v>0</v>
      </c>
      <c r="P146" s="151">
        <f t="shared" si="36"/>
        <v>0</v>
      </c>
      <c r="Q146" s="32"/>
      <c r="R146" s="18"/>
    </row>
    <row r="147" spans="1:20" s="152" customFormat="1" x14ac:dyDescent="0.3">
      <c r="A147" s="149">
        <v>140</v>
      </c>
      <c r="B147" s="154" t="s">
        <v>249</v>
      </c>
      <c r="C147" s="149" t="s">
        <v>170</v>
      </c>
      <c r="D147" s="149" t="s">
        <v>238</v>
      </c>
      <c r="E147" s="146">
        <f>SUMIFS(XUẤT!P:P,XUẤT!N:N,CBCNV!B147,XUẤT!O:O,CBCNV!$E$2)</f>
        <v>0</v>
      </c>
      <c r="F147" s="151">
        <f t="shared" si="31"/>
        <v>0</v>
      </c>
      <c r="G147" s="146">
        <f>SUMIFS(XUẤT!Q:Q,XUẤT!N:N,CBCNV!B147,XUẤT!O:O,CBCNV!$G$2)</f>
        <v>0</v>
      </c>
      <c r="H147" s="150">
        <f t="shared" si="32"/>
        <v>0</v>
      </c>
      <c r="I147" s="146">
        <f>SUMIFS(XUẤT!R:R,XUẤT!N:N,CBCNV!B147,XUẤT!O:O,CBCNV!$I$2)</f>
        <v>0</v>
      </c>
      <c r="J147" s="151">
        <f t="shared" si="33"/>
        <v>0</v>
      </c>
      <c r="K147" s="146">
        <f>SUMIFS(XUẤT!S:S,XUẤT!N:N,CBCNV!B147,XUẤT!O:O,CBCNV!$K$2)</f>
        <v>0</v>
      </c>
      <c r="L147" s="151">
        <f t="shared" si="34"/>
        <v>0</v>
      </c>
      <c r="M147" s="146">
        <f>SUMIFS(XUẤT!T:T,XUẤT!N:N,CBCNV!B147,XUẤT!O:O,CBCNV!$M$2)</f>
        <v>0</v>
      </c>
      <c r="N147" s="151">
        <f t="shared" si="35"/>
        <v>0</v>
      </c>
      <c r="O147" s="146">
        <f>SUMIFS(XUẤT!U:U,XUẤT!N:N,CBCNV!B147,XUẤT!O:O,CBCNV!$O$2)</f>
        <v>0</v>
      </c>
      <c r="P147" s="151">
        <f t="shared" si="36"/>
        <v>0</v>
      </c>
      <c r="Q147" s="32"/>
      <c r="R147" s="18"/>
    </row>
    <row r="148" spans="1:20" s="152" customFormat="1" x14ac:dyDescent="0.3">
      <c r="A148" s="149">
        <v>141</v>
      </c>
      <c r="B148" s="10" t="s">
        <v>250</v>
      </c>
      <c r="C148" s="149" t="s">
        <v>170</v>
      </c>
      <c r="D148" s="149" t="s">
        <v>238</v>
      </c>
      <c r="E148" s="146">
        <f>SUMIFS(XUẤT!P:P,XUẤT!N:N,CBCNV!B148,XUẤT!O:O,CBCNV!$E$2)</f>
        <v>0</v>
      </c>
      <c r="F148" s="151">
        <f t="shared" si="31"/>
        <v>0</v>
      </c>
      <c r="G148" s="146">
        <f>SUMIFS(XUẤT!Q:Q,XUẤT!N:N,CBCNV!B148,XUẤT!O:O,CBCNV!$G$2)</f>
        <v>0</v>
      </c>
      <c r="H148" s="150">
        <f t="shared" si="32"/>
        <v>0</v>
      </c>
      <c r="I148" s="146">
        <f>SUMIFS(XUẤT!R:R,XUẤT!N:N,CBCNV!B148,XUẤT!O:O,CBCNV!$I$2)</f>
        <v>0</v>
      </c>
      <c r="J148" s="151">
        <f t="shared" si="33"/>
        <v>0</v>
      </c>
      <c r="K148" s="146">
        <f>SUMIFS(XUẤT!S:S,XUẤT!N:N,CBCNV!B148,XUẤT!O:O,CBCNV!$K$2)</f>
        <v>0</v>
      </c>
      <c r="L148" s="151">
        <f t="shared" si="34"/>
        <v>0</v>
      </c>
      <c r="M148" s="146">
        <f>SUMIFS(XUẤT!T:T,XUẤT!N:N,CBCNV!B148,XUẤT!O:O,CBCNV!$M$2)</f>
        <v>0</v>
      </c>
      <c r="N148" s="151">
        <f t="shared" si="35"/>
        <v>0</v>
      </c>
      <c r="O148" s="146">
        <f>SUMIFS(XUẤT!U:U,XUẤT!N:N,CBCNV!B148,XUẤT!O:O,CBCNV!$O$2)</f>
        <v>0</v>
      </c>
      <c r="P148" s="151">
        <f t="shared" si="36"/>
        <v>0</v>
      </c>
      <c r="Q148" s="32"/>
      <c r="R148" s="18"/>
    </row>
    <row r="149" spans="1:20" s="152" customFormat="1" x14ac:dyDescent="0.3">
      <c r="A149" s="149">
        <v>142</v>
      </c>
      <c r="B149" s="10" t="s">
        <v>251</v>
      </c>
      <c r="C149" s="149" t="s">
        <v>170</v>
      </c>
      <c r="D149" s="149" t="s">
        <v>238</v>
      </c>
      <c r="E149" s="146">
        <f>SUMIFS(XUẤT!P:P,XUẤT!N:N,CBCNV!B149,XUẤT!O:O,CBCNV!$E$2)</f>
        <v>0</v>
      </c>
      <c r="F149" s="151">
        <f t="shared" si="31"/>
        <v>0</v>
      </c>
      <c r="G149" s="146">
        <f>SUMIFS(XUẤT!Q:Q,XUẤT!N:N,CBCNV!B149,XUẤT!O:O,CBCNV!$G$2)</f>
        <v>0</v>
      </c>
      <c r="H149" s="150">
        <f t="shared" si="32"/>
        <v>0</v>
      </c>
      <c r="I149" s="146">
        <f>SUMIFS(XUẤT!R:R,XUẤT!N:N,CBCNV!B149,XUẤT!O:O,CBCNV!$I$2)</f>
        <v>0</v>
      </c>
      <c r="J149" s="151">
        <f t="shared" si="33"/>
        <v>0</v>
      </c>
      <c r="K149" s="146">
        <f>SUMIFS(XUẤT!S:S,XUẤT!N:N,CBCNV!B149,XUẤT!O:O,CBCNV!$K$2)</f>
        <v>0</v>
      </c>
      <c r="L149" s="151">
        <f t="shared" si="34"/>
        <v>0</v>
      </c>
      <c r="M149" s="146">
        <f>SUMIFS(XUẤT!T:T,XUẤT!N:N,CBCNV!B149,XUẤT!O:O,CBCNV!$M$2)</f>
        <v>0</v>
      </c>
      <c r="N149" s="151">
        <f t="shared" si="35"/>
        <v>0</v>
      </c>
      <c r="O149" s="146">
        <f>SUMIFS(XUẤT!U:U,XUẤT!N:N,CBCNV!B149,XUẤT!O:O,CBCNV!$O$2)</f>
        <v>0</v>
      </c>
      <c r="P149" s="151">
        <f t="shared" si="36"/>
        <v>0</v>
      </c>
      <c r="Q149" s="32"/>
      <c r="R149" s="18"/>
    </row>
    <row r="150" spans="1:20" s="152" customFormat="1" x14ac:dyDescent="0.3">
      <c r="A150" s="149">
        <v>143</v>
      </c>
      <c r="B150" s="10" t="s">
        <v>34</v>
      </c>
      <c r="C150" s="149" t="s">
        <v>185</v>
      </c>
      <c r="D150" s="149" t="s">
        <v>238</v>
      </c>
      <c r="E150" s="146">
        <f>SUMIFS(XUẤT!P:P,XUẤT!N:N,CBCNV!B150,XUẤT!O:O,CBCNV!$E$2)</f>
        <v>0</v>
      </c>
      <c r="F150" s="151">
        <f t="shared" si="31"/>
        <v>0</v>
      </c>
      <c r="G150" s="146">
        <f>SUMIFS(XUẤT!Q:Q,XUẤT!N:N,CBCNV!B150,XUẤT!O:O,CBCNV!$G$2)</f>
        <v>0</v>
      </c>
      <c r="H150" s="150">
        <f t="shared" si="32"/>
        <v>0</v>
      </c>
      <c r="I150" s="146">
        <f>SUMIFS(XUẤT!R:R,XUẤT!N:N,CBCNV!B150,XUẤT!O:O,CBCNV!$I$2)</f>
        <v>0</v>
      </c>
      <c r="J150" s="151">
        <f t="shared" si="33"/>
        <v>0</v>
      </c>
      <c r="K150" s="146">
        <f>SUMIFS(XUẤT!S:S,XUẤT!N:N,CBCNV!B150,XUẤT!O:O,CBCNV!$K$2)</f>
        <v>0</v>
      </c>
      <c r="L150" s="151">
        <f t="shared" si="34"/>
        <v>0</v>
      </c>
      <c r="M150" s="146">
        <f>SUMIFS(XUẤT!T:T,XUẤT!N:N,CBCNV!B150,XUẤT!O:O,CBCNV!$M$2)</f>
        <v>0</v>
      </c>
      <c r="N150" s="151">
        <f t="shared" si="35"/>
        <v>0</v>
      </c>
      <c r="O150" s="146">
        <f>SUMIFS(XUẤT!U:U,XUẤT!N:N,CBCNV!B150,XUẤT!O:O,CBCNV!$O$2)</f>
        <v>0</v>
      </c>
      <c r="P150" s="151">
        <f t="shared" si="36"/>
        <v>0</v>
      </c>
      <c r="Q150" s="32"/>
      <c r="R150" s="18"/>
    </row>
    <row r="151" spans="1:20" s="152" customFormat="1" x14ac:dyDescent="0.3">
      <c r="A151" s="149">
        <v>144</v>
      </c>
      <c r="B151" s="10" t="s">
        <v>36</v>
      </c>
      <c r="C151" s="149" t="s">
        <v>185</v>
      </c>
      <c r="D151" s="149" t="s">
        <v>238</v>
      </c>
      <c r="E151" s="146">
        <f>SUMIFS(XUẤT!P:P,XUẤT!N:N,CBCNV!B151,XUẤT!O:O,CBCNV!$E$2)</f>
        <v>20</v>
      </c>
      <c r="F151" s="151">
        <f t="shared" si="31"/>
        <v>1960000</v>
      </c>
      <c r="G151" s="146">
        <f>SUMIFS(XUẤT!Q:Q,XUẤT!N:N,CBCNV!B151,XUẤT!O:O,CBCNV!$G$2)</f>
        <v>0</v>
      </c>
      <c r="H151" s="150">
        <f t="shared" si="32"/>
        <v>0</v>
      </c>
      <c r="I151" s="146">
        <f>SUMIFS(XUẤT!R:R,XUẤT!N:N,CBCNV!B151,XUẤT!O:O,CBCNV!$I$2)</f>
        <v>0</v>
      </c>
      <c r="J151" s="151">
        <f t="shared" si="33"/>
        <v>0</v>
      </c>
      <c r="K151" s="146">
        <f>SUMIFS(XUẤT!S:S,XUẤT!N:N,CBCNV!B151,XUẤT!O:O,CBCNV!$K$2)</f>
        <v>0</v>
      </c>
      <c r="L151" s="151">
        <f t="shared" si="34"/>
        <v>0</v>
      </c>
      <c r="M151" s="146">
        <f>SUMIFS(XUẤT!T:T,XUẤT!N:N,CBCNV!B151,XUẤT!O:O,CBCNV!$M$2)</f>
        <v>0</v>
      </c>
      <c r="N151" s="151">
        <f t="shared" si="35"/>
        <v>0</v>
      </c>
      <c r="O151" s="146">
        <f>SUMIFS(XUẤT!U:U,XUẤT!N:N,CBCNV!B151,XUẤT!O:O,CBCNV!$O$2)</f>
        <v>0</v>
      </c>
      <c r="P151" s="151">
        <f t="shared" si="36"/>
        <v>0</v>
      </c>
      <c r="Q151" s="32"/>
      <c r="R151" s="18"/>
    </row>
    <row r="152" spans="1:20" s="152" customFormat="1" x14ac:dyDescent="0.3">
      <c r="A152" s="149">
        <v>145</v>
      </c>
      <c r="B152" s="10" t="s">
        <v>252</v>
      </c>
      <c r="C152" s="149" t="s">
        <v>185</v>
      </c>
      <c r="D152" s="149" t="s">
        <v>238</v>
      </c>
      <c r="E152" s="146">
        <f>SUMIFS(XUẤT!P:P,XUẤT!N:N,CBCNV!B152,XUẤT!O:O,CBCNV!$E$2)</f>
        <v>0</v>
      </c>
      <c r="F152" s="151">
        <f t="shared" si="31"/>
        <v>0</v>
      </c>
      <c r="G152" s="146">
        <f>SUMIFS(XUẤT!Q:Q,XUẤT!N:N,CBCNV!B152,XUẤT!O:O,CBCNV!$G$2)</f>
        <v>0</v>
      </c>
      <c r="H152" s="150">
        <f t="shared" si="32"/>
        <v>0</v>
      </c>
      <c r="I152" s="146">
        <f>SUMIFS(XUẤT!R:R,XUẤT!N:N,CBCNV!B152,XUẤT!O:O,CBCNV!$I$2)</f>
        <v>0</v>
      </c>
      <c r="J152" s="151">
        <f t="shared" si="33"/>
        <v>0</v>
      </c>
      <c r="K152" s="146">
        <f>SUMIFS(XUẤT!S:S,XUẤT!N:N,CBCNV!B152,XUẤT!O:O,CBCNV!$K$2)</f>
        <v>0</v>
      </c>
      <c r="L152" s="151">
        <f t="shared" si="34"/>
        <v>0</v>
      </c>
      <c r="M152" s="146">
        <f>SUMIFS(XUẤT!T:T,XUẤT!N:N,CBCNV!B152,XUẤT!O:O,CBCNV!$M$2)</f>
        <v>0</v>
      </c>
      <c r="N152" s="151">
        <f t="shared" si="35"/>
        <v>0</v>
      </c>
      <c r="O152" s="146">
        <f>SUMIFS(XUẤT!U:U,XUẤT!N:N,CBCNV!B152,XUẤT!O:O,CBCNV!$O$2)</f>
        <v>0</v>
      </c>
      <c r="P152" s="151">
        <f t="shared" si="36"/>
        <v>0</v>
      </c>
      <c r="Q152" s="32"/>
      <c r="R152" s="18"/>
    </row>
    <row r="153" spans="1:20" s="148" customFormat="1" x14ac:dyDescent="0.3">
      <c r="A153" s="149">
        <v>146</v>
      </c>
      <c r="B153" s="10" t="s">
        <v>253</v>
      </c>
      <c r="C153" s="149" t="s">
        <v>185</v>
      </c>
      <c r="D153" s="149" t="s">
        <v>238</v>
      </c>
      <c r="E153" s="146">
        <f>SUMIFS(XUẤT!P:P,XUẤT!N:N,CBCNV!B153,XUẤT!O:O,CBCNV!$E$2)</f>
        <v>0</v>
      </c>
      <c r="F153" s="151">
        <f t="shared" si="31"/>
        <v>0</v>
      </c>
      <c r="G153" s="146">
        <f>SUMIFS(XUẤT!Q:Q,XUẤT!N:N,CBCNV!B153,XUẤT!O:O,CBCNV!$G$2)</f>
        <v>0</v>
      </c>
      <c r="H153" s="150">
        <f t="shared" si="32"/>
        <v>0</v>
      </c>
      <c r="I153" s="146">
        <f>SUMIFS(XUẤT!R:R,XUẤT!N:N,CBCNV!B153,XUẤT!O:O,CBCNV!$I$2)</f>
        <v>0</v>
      </c>
      <c r="J153" s="151">
        <f t="shared" si="33"/>
        <v>0</v>
      </c>
      <c r="K153" s="146">
        <f>SUMIFS(XUẤT!S:S,XUẤT!N:N,CBCNV!B153,XUẤT!O:O,CBCNV!$K$2)</f>
        <v>0</v>
      </c>
      <c r="L153" s="151">
        <f t="shared" si="34"/>
        <v>0</v>
      </c>
      <c r="M153" s="146">
        <f>SUMIFS(XUẤT!T:T,XUẤT!N:N,CBCNV!B153,XUẤT!O:O,CBCNV!$M$2)</f>
        <v>0</v>
      </c>
      <c r="N153" s="151">
        <f t="shared" si="35"/>
        <v>0</v>
      </c>
      <c r="O153" s="146">
        <f>SUMIFS(XUẤT!U:U,XUẤT!N:N,CBCNV!B153,XUẤT!O:O,CBCNV!$O$2)</f>
        <v>0</v>
      </c>
      <c r="P153" s="151">
        <f t="shared" si="36"/>
        <v>0</v>
      </c>
      <c r="Q153" s="32"/>
      <c r="R153" s="18"/>
      <c r="S153" s="152"/>
      <c r="T153" s="152"/>
    </row>
    <row r="154" spans="1:20" s="152" customFormat="1" x14ac:dyDescent="0.3">
      <c r="A154" s="149">
        <v>147</v>
      </c>
      <c r="B154" s="10" t="s">
        <v>254</v>
      </c>
      <c r="C154" s="149" t="s">
        <v>185</v>
      </c>
      <c r="D154" s="149" t="s">
        <v>238</v>
      </c>
      <c r="E154" s="146">
        <f>SUMIFS(XUẤT!P:P,XUẤT!N:N,CBCNV!B154,XUẤT!O:O,CBCNV!$E$2)</f>
        <v>0</v>
      </c>
      <c r="F154" s="151">
        <f t="shared" si="31"/>
        <v>0</v>
      </c>
      <c r="G154" s="146">
        <f>SUMIFS(XUẤT!Q:Q,XUẤT!N:N,CBCNV!B154,XUẤT!O:O,CBCNV!$G$2)</f>
        <v>0</v>
      </c>
      <c r="H154" s="150">
        <f t="shared" si="32"/>
        <v>0</v>
      </c>
      <c r="I154" s="146">
        <f>SUMIFS(XUẤT!R:R,XUẤT!N:N,CBCNV!B154,XUẤT!O:O,CBCNV!$I$2)</f>
        <v>0</v>
      </c>
      <c r="J154" s="151">
        <f t="shared" si="33"/>
        <v>0</v>
      </c>
      <c r="K154" s="146">
        <f>SUMIFS(XUẤT!S:S,XUẤT!N:N,CBCNV!B154,XUẤT!O:O,CBCNV!$K$2)</f>
        <v>0</v>
      </c>
      <c r="L154" s="151">
        <f t="shared" si="34"/>
        <v>0</v>
      </c>
      <c r="M154" s="146">
        <f>SUMIFS(XUẤT!T:T,XUẤT!N:N,CBCNV!B154,XUẤT!O:O,CBCNV!$M$2)</f>
        <v>0</v>
      </c>
      <c r="N154" s="151">
        <f t="shared" si="35"/>
        <v>0</v>
      </c>
      <c r="O154" s="146">
        <f>SUMIFS(XUẤT!U:U,XUẤT!N:N,CBCNV!B154,XUẤT!O:O,CBCNV!$O$2)</f>
        <v>0</v>
      </c>
      <c r="P154" s="151">
        <f t="shared" si="36"/>
        <v>0</v>
      </c>
      <c r="Q154" s="32"/>
      <c r="R154" s="18"/>
    </row>
    <row r="155" spans="1:20" s="152" customFormat="1" x14ac:dyDescent="0.3">
      <c r="A155" s="149">
        <v>148</v>
      </c>
      <c r="B155" s="10" t="s">
        <v>255</v>
      </c>
      <c r="C155" s="149" t="s">
        <v>185</v>
      </c>
      <c r="D155" s="149" t="s">
        <v>238</v>
      </c>
      <c r="E155" s="146">
        <f>SUMIFS(XUẤT!P:P,XUẤT!N:N,CBCNV!B155,XUẤT!O:O,CBCNV!$E$2)</f>
        <v>0</v>
      </c>
      <c r="F155" s="151">
        <f t="shared" si="31"/>
        <v>0</v>
      </c>
      <c r="G155" s="146">
        <f>SUMIFS(XUẤT!Q:Q,XUẤT!N:N,CBCNV!B155,XUẤT!O:O,CBCNV!$G$2)</f>
        <v>0</v>
      </c>
      <c r="H155" s="150">
        <f t="shared" si="32"/>
        <v>0</v>
      </c>
      <c r="I155" s="146">
        <f>SUMIFS(XUẤT!R:R,XUẤT!N:N,CBCNV!B155,XUẤT!O:O,CBCNV!$I$2)</f>
        <v>0</v>
      </c>
      <c r="J155" s="151">
        <f t="shared" si="33"/>
        <v>0</v>
      </c>
      <c r="K155" s="146">
        <f>SUMIFS(XUẤT!S:S,XUẤT!N:N,CBCNV!B155,XUẤT!O:O,CBCNV!$K$2)</f>
        <v>0</v>
      </c>
      <c r="L155" s="151">
        <f t="shared" si="34"/>
        <v>0</v>
      </c>
      <c r="M155" s="146">
        <f>SUMIFS(XUẤT!T:T,XUẤT!N:N,CBCNV!B155,XUẤT!O:O,CBCNV!$M$2)</f>
        <v>0</v>
      </c>
      <c r="N155" s="151">
        <f t="shared" si="35"/>
        <v>0</v>
      </c>
      <c r="O155" s="146">
        <f>SUMIFS(XUẤT!U:U,XUẤT!N:N,CBCNV!B155,XUẤT!O:O,CBCNV!$O$2)</f>
        <v>0</v>
      </c>
      <c r="P155" s="151">
        <f t="shared" si="36"/>
        <v>0</v>
      </c>
      <c r="Q155" s="32"/>
      <c r="R155" s="18"/>
    </row>
    <row r="156" spans="1:20" s="152" customFormat="1" x14ac:dyDescent="0.3">
      <c r="A156" s="149">
        <v>149</v>
      </c>
      <c r="B156" s="34" t="s">
        <v>256</v>
      </c>
      <c r="C156" s="153" t="s">
        <v>257</v>
      </c>
      <c r="D156" s="153" t="s">
        <v>258</v>
      </c>
      <c r="E156" s="146">
        <f>SUMIFS(XUẤT!P:P,XUẤT!N:N,CBCNV!B156,XUẤT!O:O,CBCNV!$E$2)</f>
        <v>5</v>
      </c>
      <c r="F156" s="151">
        <f t="shared" si="31"/>
        <v>490000</v>
      </c>
      <c r="G156" s="146">
        <f>SUMIFS(XUẤT!Q:Q,XUẤT!N:N,CBCNV!B156,XUẤT!O:O,CBCNV!$G$2)</f>
        <v>0</v>
      </c>
      <c r="H156" s="150">
        <f t="shared" si="32"/>
        <v>0</v>
      </c>
      <c r="I156" s="146">
        <f>SUMIFS(XUẤT!R:R,XUẤT!N:N,CBCNV!B156,XUẤT!O:O,CBCNV!$I$2)</f>
        <v>0</v>
      </c>
      <c r="J156" s="151">
        <f t="shared" si="33"/>
        <v>0</v>
      </c>
      <c r="K156" s="146">
        <f>SUMIFS(XUẤT!S:S,XUẤT!N:N,CBCNV!B156,XUẤT!O:O,CBCNV!$K$2)</f>
        <v>0</v>
      </c>
      <c r="L156" s="151">
        <f t="shared" si="34"/>
        <v>0</v>
      </c>
      <c r="M156" s="146">
        <f>SUMIFS(XUẤT!T:T,XUẤT!N:N,CBCNV!B156,XUẤT!O:O,CBCNV!$M$2)</f>
        <v>0</v>
      </c>
      <c r="N156" s="151">
        <f t="shared" si="35"/>
        <v>0</v>
      </c>
      <c r="O156" s="146">
        <f>SUMIFS(XUẤT!U:U,XUẤT!N:N,CBCNV!B156,XUẤT!O:O,CBCNV!$O$2)</f>
        <v>0</v>
      </c>
      <c r="P156" s="151">
        <f t="shared" si="36"/>
        <v>0</v>
      </c>
      <c r="Q156" s="32"/>
      <c r="R156" s="21"/>
      <c r="S156" s="148"/>
      <c r="T156" s="148"/>
    </row>
    <row r="157" spans="1:20" s="152" customFormat="1" x14ac:dyDescent="0.3">
      <c r="A157" s="149">
        <v>150</v>
      </c>
      <c r="B157" s="10" t="s">
        <v>259</v>
      </c>
      <c r="C157" s="149" t="s">
        <v>260</v>
      </c>
      <c r="D157" s="149" t="s">
        <v>258</v>
      </c>
      <c r="E157" s="146">
        <f>SUMIFS(XUẤT!P:P,XUẤT!N:N,CBCNV!B157,XUẤT!O:O,CBCNV!$E$2)</f>
        <v>0</v>
      </c>
      <c r="F157" s="151">
        <f t="shared" si="31"/>
        <v>0</v>
      </c>
      <c r="G157" s="146">
        <f>SUMIFS(XUẤT!Q:Q,XUẤT!N:N,CBCNV!B157,XUẤT!O:O,CBCNV!$G$2)</f>
        <v>0</v>
      </c>
      <c r="H157" s="150">
        <f t="shared" si="32"/>
        <v>0</v>
      </c>
      <c r="I157" s="146">
        <f>SUMIFS(XUẤT!R:R,XUẤT!N:N,CBCNV!B157,XUẤT!O:O,CBCNV!$I$2)</f>
        <v>0</v>
      </c>
      <c r="J157" s="151">
        <f t="shared" si="33"/>
        <v>0</v>
      </c>
      <c r="K157" s="146">
        <f>SUMIFS(XUẤT!S:S,XUẤT!N:N,CBCNV!B157,XUẤT!O:O,CBCNV!$K$2)</f>
        <v>0</v>
      </c>
      <c r="L157" s="151">
        <f t="shared" si="34"/>
        <v>0</v>
      </c>
      <c r="M157" s="146">
        <f>SUMIFS(XUẤT!T:T,XUẤT!N:N,CBCNV!B157,XUẤT!O:O,CBCNV!$M$2)</f>
        <v>0</v>
      </c>
      <c r="N157" s="151">
        <f t="shared" si="35"/>
        <v>0</v>
      </c>
      <c r="O157" s="146">
        <f>SUMIFS(XUẤT!U:U,XUẤT!N:N,CBCNV!B157,XUẤT!O:O,CBCNV!$O$2)</f>
        <v>0</v>
      </c>
      <c r="P157" s="151">
        <f t="shared" si="36"/>
        <v>0</v>
      </c>
      <c r="Q157" s="32"/>
      <c r="R157" s="18"/>
    </row>
    <row r="158" spans="1:20" s="152" customFormat="1" x14ac:dyDescent="0.3">
      <c r="A158" s="149">
        <v>151</v>
      </c>
      <c r="B158" s="10" t="s">
        <v>261</v>
      </c>
      <c r="C158" s="149" t="s">
        <v>262</v>
      </c>
      <c r="D158" s="149" t="s">
        <v>258</v>
      </c>
      <c r="E158" s="146">
        <f>SUMIFS(XUẤT!P:P,XUẤT!N:N,CBCNV!B158,XUẤT!O:O,CBCNV!$E$2)</f>
        <v>0</v>
      </c>
      <c r="F158" s="151">
        <f t="shared" si="31"/>
        <v>0</v>
      </c>
      <c r="G158" s="146">
        <f>SUMIFS(XUẤT!Q:Q,XUẤT!N:N,CBCNV!B158,XUẤT!O:O,CBCNV!$G$2)</f>
        <v>0</v>
      </c>
      <c r="H158" s="150">
        <f t="shared" si="32"/>
        <v>0</v>
      </c>
      <c r="I158" s="146">
        <f>SUMIFS(XUẤT!R:R,XUẤT!N:N,CBCNV!B158,XUẤT!O:O,CBCNV!$I$2)</f>
        <v>0</v>
      </c>
      <c r="J158" s="151">
        <f t="shared" si="33"/>
        <v>0</v>
      </c>
      <c r="K158" s="146">
        <f>SUMIFS(XUẤT!S:S,XUẤT!N:N,CBCNV!B158,XUẤT!O:O,CBCNV!$K$2)</f>
        <v>0</v>
      </c>
      <c r="L158" s="151">
        <f t="shared" si="34"/>
        <v>0</v>
      </c>
      <c r="M158" s="146">
        <f>SUMIFS(XUẤT!T:T,XUẤT!N:N,CBCNV!B158,XUẤT!O:O,CBCNV!$M$2)</f>
        <v>0</v>
      </c>
      <c r="N158" s="151">
        <f t="shared" si="35"/>
        <v>0</v>
      </c>
      <c r="O158" s="146">
        <f>SUMIFS(XUẤT!U:U,XUẤT!N:N,CBCNV!B158,XUẤT!O:O,CBCNV!$O$2)</f>
        <v>0</v>
      </c>
      <c r="P158" s="151">
        <f t="shared" si="36"/>
        <v>0</v>
      </c>
      <c r="Q158" s="32"/>
      <c r="R158" s="18"/>
    </row>
    <row r="159" spans="1:20" s="152" customFormat="1" x14ac:dyDescent="0.3">
      <c r="A159" s="149">
        <v>152</v>
      </c>
      <c r="B159" s="10" t="s">
        <v>263</v>
      </c>
      <c r="C159" s="149" t="s">
        <v>262</v>
      </c>
      <c r="D159" s="149" t="s">
        <v>258</v>
      </c>
      <c r="E159" s="146">
        <f>SUMIFS(XUẤT!P:P,XUẤT!N:N,CBCNV!B159,XUẤT!O:O,CBCNV!$E$2)</f>
        <v>0</v>
      </c>
      <c r="F159" s="151">
        <f t="shared" si="31"/>
        <v>0</v>
      </c>
      <c r="G159" s="146">
        <f>SUMIFS(XUẤT!Q:Q,XUẤT!N:N,CBCNV!B159,XUẤT!O:O,CBCNV!$G$2)</f>
        <v>0</v>
      </c>
      <c r="H159" s="150">
        <f t="shared" si="32"/>
        <v>0</v>
      </c>
      <c r="I159" s="146">
        <f>SUMIFS(XUẤT!R:R,XUẤT!N:N,CBCNV!B159,XUẤT!O:O,CBCNV!$I$2)</f>
        <v>0</v>
      </c>
      <c r="J159" s="151">
        <f t="shared" si="33"/>
        <v>0</v>
      </c>
      <c r="K159" s="146">
        <f>SUMIFS(XUẤT!S:S,XUẤT!N:N,CBCNV!B159,XUẤT!O:O,CBCNV!$K$2)</f>
        <v>0</v>
      </c>
      <c r="L159" s="151">
        <f t="shared" si="34"/>
        <v>0</v>
      </c>
      <c r="M159" s="146">
        <f>SUMIFS(XUẤT!T:T,XUẤT!N:N,CBCNV!B159,XUẤT!O:O,CBCNV!$M$2)</f>
        <v>0</v>
      </c>
      <c r="N159" s="151">
        <f t="shared" si="35"/>
        <v>0</v>
      </c>
      <c r="O159" s="146">
        <f>SUMIFS(XUẤT!U:U,XUẤT!N:N,CBCNV!B159,XUẤT!O:O,CBCNV!$O$2)</f>
        <v>0</v>
      </c>
      <c r="P159" s="151">
        <f t="shared" si="36"/>
        <v>0</v>
      </c>
      <c r="Q159" s="32"/>
      <c r="R159" s="18"/>
    </row>
    <row r="160" spans="1:20" s="152" customFormat="1" x14ac:dyDescent="0.3">
      <c r="A160" s="149">
        <v>153</v>
      </c>
      <c r="B160" s="10" t="s">
        <v>264</v>
      </c>
      <c r="C160" s="149" t="s">
        <v>262</v>
      </c>
      <c r="D160" s="149" t="s">
        <v>258</v>
      </c>
      <c r="E160" s="146">
        <f>SUMIFS(XUẤT!P:P,XUẤT!N:N,CBCNV!B160,XUẤT!O:O,CBCNV!$E$2)</f>
        <v>0</v>
      </c>
      <c r="F160" s="151">
        <f t="shared" si="31"/>
        <v>0</v>
      </c>
      <c r="G160" s="146">
        <f>SUMIFS(XUẤT!Q:Q,XUẤT!N:N,CBCNV!B160,XUẤT!O:O,CBCNV!$G$2)</f>
        <v>0</v>
      </c>
      <c r="H160" s="150">
        <f t="shared" si="32"/>
        <v>0</v>
      </c>
      <c r="I160" s="146">
        <f>SUMIFS(XUẤT!R:R,XUẤT!N:N,CBCNV!B160,XUẤT!O:O,CBCNV!$I$2)</f>
        <v>0</v>
      </c>
      <c r="J160" s="151">
        <f t="shared" si="33"/>
        <v>0</v>
      </c>
      <c r="K160" s="146">
        <f>SUMIFS(XUẤT!S:S,XUẤT!N:N,CBCNV!B160,XUẤT!O:O,CBCNV!$K$2)</f>
        <v>0</v>
      </c>
      <c r="L160" s="151">
        <f t="shared" si="34"/>
        <v>0</v>
      </c>
      <c r="M160" s="146">
        <f>SUMIFS(XUẤT!T:T,XUẤT!N:N,CBCNV!B160,XUẤT!O:O,CBCNV!$M$2)</f>
        <v>0</v>
      </c>
      <c r="N160" s="151">
        <f t="shared" si="35"/>
        <v>0</v>
      </c>
      <c r="O160" s="146">
        <f>SUMIFS(XUẤT!U:U,XUẤT!N:N,CBCNV!B160,XUẤT!O:O,CBCNV!$O$2)</f>
        <v>0</v>
      </c>
      <c r="P160" s="151">
        <f t="shared" si="36"/>
        <v>0</v>
      </c>
      <c r="Q160" s="32"/>
      <c r="R160" s="18"/>
    </row>
    <row r="161" spans="1:20" s="152" customFormat="1" x14ac:dyDescent="0.3">
      <c r="A161" s="149">
        <v>154</v>
      </c>
      <c r="B161" s="10" t="s">
        <v>265</v>
      </c>
      <c r="C161" s="149" t="s">
        <v>266</v>
      </c>
      <c r="D161" s="149" t="s">
        <v>258</v>
      </c>
      <c r="E161" s="146">
        <f>SUMIFS(XUẤT!P:P,XUẤT!N:N,CBCNV!B161,XUẤT!O:O,CBCNV!$E$2)</f>
        <v>0</v>
      </c>
      <c r="F161" s="151">
        <f t="shared" si="31"/>
        <v>0</v>
      </c>
      <c r="G161" s="146">
        <f>SUMIFS(XUẤT!Q:Q,XUẤT!N:N,CBCNV!B161,XUẤT!O:O,CBCNV!$G$2)</f>
        <v>0</v>
      </c>
      <c r="H161" s="150">
        <f t="shared" si="32"/>
        <v>0</v>
      </c>
      <c r="I161" s="146">
        <f>SUMIFS(XUẤT!R:R,XUẤT!N:N,CBCNV!B161,XUẤT!O:O,CBCNV!$I$2)</f>
        <v>0</v>
      </c>
      <c r="J161" s="151">
        <f t="shared" si="33"/>
        <v>0</v>
      </c>
      <c r="K161" s="146">
        <f>SUMIFS(XUẤT!S:S,XUẤT!N:N,CBCNV!B161,XUẤT!O:O,CBCNV!$K$2)</f>
        <v>0</v>
      </c>
      <c r="L161" s="151">
        <f t="shared" si="34"/>
        <v>0</v>
      </c>
      <c r="M161" s="146">
        <f>SUMIFS(XUẤT!T:T,XUẤT!N:N,CBCNV!B161,XUẤT!O:O,CBCNV!$M$2)</f>
        <v>0</v>
      </c>
      <c r="N161" s="151">
        <f t="shared" si="35"/>
        <v>0</v>
      </c>
      <c r="O161" s="146">
        <f>SUMIFS(XUẤT!U:U,XUẤT!N:N,CBCNV!B161,XUẤT!O:O,CBCNV!$O$2)</f>
        <v>0</v>
      </c>
      <c r="P161" s="151">
        <f t="shared" si="36"/>
        <v>0</v>
      </c>
      <c r="Q161" s="32"/>
      <c r="R161" s="18"/>
    </row>
    <row r="162" spans="1:20" s="152" customFormat="1" x14ac:dyDescent="0.3">
      <c r="A162" s="149">
        <v>155</v>
      </c>
      <c r="B162" s="10" t="s">
        <v>267</v>
      </c>
      <c r="C162" s="149" t="s">
        <v>266</v>
      </c>
      <c r="D162" s="149" t="s">
        <v>258</v>
      </c>
      <c r="E162" s="146">
        <f>SUMIFS(XUẤT!P:P,XUẤT!N:N,CBCNV!B162,XUẤT!O:O,CBCNV!$E$2)</f>
        <v>0</v>
      </c>
      <c r="F162" s="151">
        <f t="shared" si="31"/>
        <v>0</v>
      </c>
      <c r="G162" s="146">
        <f>SUMIFS(XUẤT!Q:Q,XUẤT!N:N,CBCNV!B162,XUẤT!O:O,CBCNV!$G$2)</f>
        <v>0</v>
      </c>
      <c r="H162" s="150">
        <f t="shared" si="32"/>
        <v>0</v>
      </c>
      <c r="I162" s="146">
        <f>SUMIFS(XUẤT!R:R,XUẤT!N:N,CBCNV!B162,XUẤT!O:O,CBCNV!$I$2)</f>
        <v>0</v>
      </c>
      <c r="J162" s="151">
        <f t="shared" si="33"/>
        <v>0</v>
      </c>
      <c r="K162" s="146">
        <f>SUMIFS(XUẤT!S:S,XUẤT!N:N,CBCNV!B162,XUẤT!O:O,CBCNV!$K$2)</f>
        <v>0</v>
      </c>
      <c r="L162" s="151">
        <f t="shared" si="34"/>
        <v>0</v>
      </c>
      <c r="M162" s="146">
        <f>SUMIFS(XUẤT!T:T,XUẤT!N:N,CBCNV!B162,XUẤT!O:O,CBCNV!$M$2)</f>
        <v>0</v>
      </c>
      <c r="N162" s="151">
        <f t="shared" si="35"/>
        <v>0</v>
      </c>
      <c r="O162" s="146">
        <f>SUMIFS(XUẤT!U:U,XUẤT!N:N,CBCNV!B162,XUẤT!O:O,CBCNV!$O$2)</f>
        <v>0</v>
      </c>
      <c r="P162" s="151">
        <f t="shared" si="36"/>
        <v>0</v>
      </c>
      <c r="Q162" s="32"/>
      <c r="R162" s="18"/>
    </row>
    <row r="163" spans="1:20" s="152" customFormat="1" x14ac:dyDescent="0.3">
      <c r="A163" s="149">
        <v>156</v>
      </c>
      <c r="B163" s="10" t="s">
        <v>268</v>
      </c>
      <c r="C163" s="149" t="s">
        <v>266</v>
      </c>
      <c r="D163" s="149" t="s">
        <v>258</v>
      </c>
      <c r="E163" s="146">
        <f>SUMIFS(XUẤT!P:P,XUẤT!N:N,CBCNV!B163,XUẤT!O:O,CBCNV!$E$2)</f>
        <v>0</v>
      </c>
      <c r="F163" s="151">
        <f t="shared" si="31"/>
        <v>0</v>
      </c>
      <c r="G163" s="146">
        <f>SUMIFS(XUẤT!Q:Q,XUẤT!N:N,CBCNV!B163,XUẤT!O:O,CBCNV!$G$2)</f>
        <v>0</v>
      </c>
      <c r="H163" s="150">
        <f t="shared" si="32"/>
        <v>0</v>
      </c>
      <c r="I163" s="146">
        <f>SUMIFS(XUẤT!R:R,XUẤT!N:N,CBCNV!B163,XUẤT!O:O,CBCNV!$I$2)</f>
        <v>0</v>
      </c>
      <c r="J163" s="151">
        <f t="shared" si="33"/>
        <v>0</v>
      </c>
      <c r="K163" s="146">
        <f>SUMIFS(XUẤT!S:S,XUẤT!N:N,CBCNV!B163,XUẤT!O:O,CBCNV!$K$2)</f>
        <v>0</v>
      </c>
      <c r="L163" s="151">
        <f t="shared" si="34"/>
        <v>0</v>
      </c>
      <c r="M163" s="146">
        <f>SUMIFS(XUẤT!T:T,XUẤT!N:N,CBCNV!B163,XUẤT!O:O,CBCNV!$M$2)</f>
        <v>0</v>
      </c>
      <c r="N163" s="151">
        <f t="shared" si="35"/>
        <v>0</v>
      </c>
      <c r="O163" s="146">
        <f>SUMIFS(XUẤT!U:U,XUẤT!N:N,CBCNV!B163,XUẤT!O:O,CBCNV!$O$2)</f>
        <v>0</v>
      </c>
      <c r="P163" s="151">
        <f t="shared" si="36"/>
        <v>0</v>
      </c>
      <c r="Q163" s="32"/>
      <c r="R163" s="18"/>
    </row>
    <row r="164" spans="1:20" s="152" customFormat="1" x14ac:dyDescent="0.3">
      <c r="A164" s="149">
        <v>157</v>
      </c>
      <c r="B164" s="10" t="s">
        <v>269</v>
      </c>
      <c r="C164" s="149" t="s">
        <v>270</v>
      </c>
      <c r="D164" s="149" t="s">
        <v>258</v>
      </c>
      <c r="E164" s="146">
        <f>SUMIFS(XUẤT!P:P,XUẤT!N:N,CBCNV!B164,XUẤT!O:O,CBCNV!$E$2)</f>
        <v>0</v>
      </c>
      <c r="F164" s="151">
        <f t="shared" si="31"/>
        <v>0</v>
      </c>
      <c r="G164" s="146">
        <f>SUMIFS(XUẤT!Q:Q,XUẤT!N:N,CBCNV!B164,XUẤT!O:O,CBCNV!$G$2)</f>
        <v>0</v>
      </c>
      <c r="H164" s="150">
        <f t="shared" si="32"/>
        <v>0</v>
      </c>
      <c r="I164" s="146">
        <f>SUMIFS(XUẤT!R:R,XUẤT!N:N,CBCNV!B164,XUẤT!O:O,CBCNV!$I$2)</f>
        <v>0</v>
      </c>
      <c r="J164" s="151">
        <f t="shared" si="33"/>
        <v>0</v>
      </c>
      <c r="K164" s="146">
        <f>SUMIFS(XUẤT!S:S,XUẤT!N:N,CBCNV!B164,XUẤT!O:O,CBCNV!$K$2)</f>
        <v>0</v>
      </c>
      <c r="L164" s="151">
        <f t="shared" si="34"/>
        <v>0</v>
      </c>
      <c r="M164" s="146">
        <f>SUMIFS(XUẤT!T:T,XUẤT!N:N,CBCNV!B164,XUẤT!O:O,CBCNV!$M$2)</f>
        <v>0</v>
      </c>
      <c r="N164" s="151">
        <f t="shared" si="35"/>
        <v>0</v>
      </c>
      <c r="O164" s="146">
        <f>SUMIFS(XUẤT!U:U,XUẤT!N:N,CBCNV!B164,XUẤT!O:O,CBCNV!$O$2)</f>
        <v>0</v>
      </c>
      <c r="P164" s="151">
        <f t="shared" si="36"/>
        <v>0</v>
      </c>
      <c r="Q164" s="32"/>
      <c r="R164" s="18"/>
    </row>
    <row r="165" spans="1:20" s="152" customFormat="1" x14ac:dyDescent="0.3">
      <c r="A165" s="149">
        <v>158</v>
      </c>
      <c r="B165" s="10" t="s">
        <v>271</v>
      </c>
      <c r="C165" s="149" t="s">
        <v>270</v>
      </c>
      <c r="D165" s="149" t="s">
        <v>258</v>
      </c>
      <c r="E165" s="146">
        <f>SUMIFS(XUẤT!P:P,XUẤT!N:N,CBCNV!B165,XUẤT!O:O,CBCNV!$E$2)</f>
        <v>0</v>
      </c>
      <c r="F165" s="151">
        <f t="shared" si="31"/>
        <v>0</v>
      </c>
      <c r="G165" s="146">
        <f>SUMIFS(XUẤT!Q:Q,XUẤT!N:N,CBCNV!B165,XUẤT!O:O,CBCNV!$G$2)</f>
        <v>0</v>
      </c>
      <c r="H165" s="150">
        <f t="shared" si="32"/>
        <v>0</v>
      </c>
      <c r="I165" s="146">
        <f>SUMIFS(XUẤT!R:R,XUẤT!N:N,CBCNV!B165,XUẤT!O:O,CBCNV!$I$2)</f>
        <v>0</v>
      </c>
      <c r="J165" s="151">
        <f t="shared" si="33"/>
        <v>0</v>
      </c>
      <c r="K165" s="146">
        <f>SUMIFS(XUẤT!S:S,XUẤT!N:N,CBCNV!B165,XUẤT!O:O,CBCNV!$K$2)</f>
        <v>0</v>
      </c>
      <c r="L165" s="151">
        <f t="shared" si="34"/>
        <v>0</v>
      </c>
      <c r="M165" s="146">
        <f>SUMIFS(XUẤT!T:T,XUẤT!N:N,CBCNV!B165,XUẤT!O:O,CBCNV!$M$2)</f>
        <v>0</v>
      </c>
      <c r="N165" s="151">
        <f t="shared" si="35"/>
        <v>0</v>
      </c>
      <c r="O165" s="146">
        <f>SUMIFS(XUẤT!U:U,XUẤT!N:N,CBCNV!B165,XUẤT!O:O,CBCNV!$O$2)</f>
        <v>0</v>
      </c>
      <c r="P165" s="151">
        <f t="shared" si="36"/>
        <v>0</v>
      </c>
      <c r="Q165" s="32"/>
      <c r="R165" s="18"/>
    </row>
    <row r="166" spans="1:20" s="152" customFormat="1" x14ac:dyDescent="0.3">
      <c r="A166" s="149">
        <v>159</v>
      </c>
      <c r="B166" s="10" t="s">
        <v>272</v>
      </c>
      <c r="C166" s="149" t="s">
        <v>270</v>
      </c>
      <c r="D166" s="149" t="s">
        <v>258</v>
      </c>
      <c r="E166" s="146">
        <f>SUMIFS(XUẤT!P:P,XUẤT!N:N,CBCNV!B166,XUẤT!O:O,CBCNV!$E$2)</f>
        <v>0</v>
      </c>
      <c r="F166" s="151">
        <f t="shared" si="31"/>
        <v>0</v>
      </c>
      <c r="G166" s="146">
        <f>SUMIFS(XUẤT!Q:Q,XUẤT!N:N,CBCNV!B166,XUẤT!O:O,CBCNV!$G$2)</f>
        <v>0</v>
      </c>
      <c r="H166" s="150">
        <f t="shared" si="32"/>
        <v>0</v>
      </c>
      <c r="I166" s="146">
        <f>SUMIFS(XUẤT!R:R,XUẤT!N:N,CBCNV!B166,XUẤT!O:O,CBCNV!$I$2)</f>
        <v>0</v>
      </c>
      <c r="J166" s="151">
        <f t="shared" si="33"/>
        <v>0</v>
      </c>
      <c r="K166" s="146">
        <f>SUMIFS(XUẤT!S:S,XUẤT!N:N,CBCNV!B166,XUẤT!O:O,CBCNV!$K$2)</f>
        <v>0</v>
      </c>
      <c r="L166" s="151">
        <f t="shared" si="34"/>
        <v>0</v>
      </c>
      <c r="M166" s="146">
        <f>SUMIFS(XUẤT!T:T,XUẤT!N:N,CBCNV!B166,XUẤT!O:O,CBCNV!$M$2)</f>
        <v>0</v>
      </c>
      <c r="N166" s="151">
        <f t="shared" si="35"/>
        <v>0</v>
      </c>
      <c r="O166" s="146">
        <f>SUMIFS(XUẤT!U:U,XUẤT!N:N,CBCNV!B166,XUẤT!O:O,CBCNV!$O$2)</f>
        <v>0</v>
      </c>
      <c r="P166" s="151">
        <f t="shared" si="36"/>
        <v>0</v>
      </c>
      <c r="Q166" s="32"/>
      <c r="R166" s="18"/>
    </row>
    <row r="167" spans="1:20" s="152" customFormat="1" x14ac:dyDescent="0.3">
      <c r="A167" s="149">
        <v>160</v>
      </c>
      <c r="B167" s="10" t="s">
        <v>273</v>
      </c>
      <c r="C167" s="149" t="s">
        <v>270</v>
      </c>
      <c r="D167" s="149" t="s">
        <v>258</v>
      </c>
      <c r="E167" s="146">
        <f>SUMIFS(XUẤT!P:P,XUẤT!N:N,CBCNV!B167,XUẤT!O:O,CBCNV!$E$2)</f>
        <v>10</v>
      </c>
      <c r="F167" s="151">
        <f t="shared" si="31"/>
        <v>980000</v>
      </c>
      <c r="G167" s="146">
        <f>SUMIFS(XUẤT!Q:Q,XUẤT!N:N,CBCNV!B167,XUẤT!O:O,CBCNV!$G$2)</f>
        <v>0</v>
      </c>
      <c r="H167" s="150">
        <f t="shared" si="32"/>
        <v>0</v>
      </c>
      <c r="I167" s="146">
        <f>SUMIFS(XUẤT!R:R,XUẤT!N:N,CBCNV!B167,XUẤT!O:O,CBCNV!$I$2)</f>
        <v>0</v>
      </c>
      <c r="J167" s="151">
        <f t="shared" si="33"/>
        <v>0</v>
      </c>
      <c r="K167" s="146">
        <f>SUMIFS(XUẤT!S:S,XUẤT!N:N,CBCNV!B167,XUẤT!O:O,CBCNV!$K$2)</f>
        <v>0</v>
      </c>
      <c r="L167" s="151">
        <f t="shared" si="34"/>
        <v>0</v>
      </c>
      <c r="M167" s="146">
        <f>SUMIFS(XUẤT!T:T,XUẤT!N:N,CBCNV!B167,XUẤT!O:O,CBCNV!$M$2)</f>
        <v>0</v>
      </c>
      <c r="N167" s="151">
        <f t="shared" si="35"/>
        <v>0</v>
      </c>
      <c r="O167" s="146">
        <f>SUMIFS(XUẤT!U:U,XUẤT!N:N,CBCNV!B167,XUẤT!O:O,CBCNV!$O$2)</f>
        <v>0</v>
      </c>
      <c r="P167" s="151">
        <f t="shared" si="36"/>
        <v>0</v>
      </c>
      <c r="Q167" s="32"/>
      <c r="R167" s="18"/>
    </row>
    <row r="168" spans="1:20" s="152" customFormat="1" x14ac:dyDescent="0.3">
      <c r="A168" s="149">
        <v>161</v>
      </c>
      <c r="B168" s="10" t="s">
        <v>274</v>
      </c>
      <c r="C168" s="149" t="s">
        <v>101</v>
      </c>
      <c r="D168" s="149" t="s">
        <v>258</v>
      </c>
      <c r="E168" s="146">
        <f>SUMIFS(XUẤT!P:P,XUẤT!N:N,CBCNV!B168,XUẤT!O:O,CBCNV!$E$2)</f>
        <v>0</v>
      </c>
      <c r="F168" s="151">
        <f t="shared" ref="F168:F199" si="37">E168*$T$10</f>
        <v>0</v>
      </c>
      <c r="G168" s="146">
        <f>SUMIFS(XUẤT!Q:Q,XUẤT!N:N,CBCNV!B168,XUẤT!O:O,CBCNV!$G$2)</f>
        <v>0</v>
      </c>
      <c r="H168" s="150">
        <f t="shared" ref="H168:H199" si="38">G168*$T$8</f>
        <v>0</v>
      </c>
      <c r="I168" s="146">
        <f>SUMIFS(XUẤT!R:R,XUẤT!N:N,CBCNV!B168,XUẤT!O:O,CBCNV!$I$2)</f>
        <v>0</v>
      </c>
      <c r="J168" s="151">
        <f t="shared" ref="J168:J199" si="39">I168*$T$9</f>
        <v>0</v>
      </c>
      <c r="K168" s="146">
        <f>SUMIFS(XUẤT!S:S,XUẤT!N:N,CBCNV!B168,XUẤT!O:O,CBCNV!$K$2)</f>
        <v>0</v>
      </c>
      <c r="L168" s="151">
        <f t="shared" ref="L168:L199" si="40">K168*$T$11</f>
        <v>0</v>
      </c>
      <c r="M168" s="146">
        <f>SUMIFS(XUẤT!T:T,XUẤT!N:N,CBCNV!B168,XUẤT!O:O,CBCNV!$M$2)</f>
        <v>0</v>
      </c>
      <c r="N168" s="151">
        <f t="shared" ref="N168:N199" si="41">M168*$T$12</f>
        <v>0</v>
      </c>
      <c r="O168" s="146">
        <f>SUMIFS(XUẤT!U:U,XUẤT!N:N,CBCNV!B168,XUẤT!O:O,CBCNV!$O$2)</f>
        <v>0</v>
      </c>
      <c r="P168" s="151">
        <f t="shared" ref="P168:P199" si="42">O168*$T$13</f>
        <v>0</v>
      </c>
      <c r="Q168" s="32"/>
      <c r="R168" s="18"/>
    </row>
    <row r="169" spans="1:20" s="148" customFormat="1" x14ac:dyDescent="0.3">
      <c r="A169" s="149">
        <v>162</v>
      </c>
      <c r="B169" s="10" t="s">
        <v>275</v>
      </c>
      <c r="C169" s="149" t="s">
        <v>101</v>
      </c>
      <c r="D169" s="149" t="s">
        <v>258</v>
      </c>
      <c r="E169" s="146">
        <f>SUMIFS(XUẤT!P:P,XUẤT!N:N,CBCNV!B169,XUẤT!O:O,CBCNV!$E$2)</f>
        <v>0</v>
      </c>
      <c r="F169" s="151">
        <f t="shared" si="37"/>
        <v>0</v>
      </c>
      <c r="G169" s="146">
        <f>SUMIFS(XUẤT!Q:Q,XUẤT!N:N,CBCNV!B169,XUẤT!O:O,CBCNV!$G$2)</f>
        <v>0</v>
      </c>
      <c r="H169" s="150">
        <f t="shared" si="38"/>
        <v>0</v>
      </c>
      <c r="I169" s="146">
        <f>SUMIFS(XUẤT!R:R,XUẤT!N:N,CBCNV!B169,XUẤT!O:O,CBCNV!$I$2)</f>
        <v>0</v>
      </c>
      <c r="J169" s="151">
        <f t="shared" si="39"/>
        <v>0</v>
      </c>
      <c r="K169" s="146">
        <f>SUMIFS(XUẤT!S:S,XUẤT!N:N,CBCNV!B169,XUẤT!O:O,CBCNV!$K$2)</f>
        <v>0</v>
      </c>
      <c r="L169" s="151">
        <f t="shared" si="40"/>
        <v>0</v>
      </c>
      <c r="M169" s="146">
        <f>SUMIFS(XUẤT!T:T,XUẤT!N:N,CBCNV!B169,XUẤT!O:O,CBCNV!$M$2)</f>
        <v>0</v>
      </c>
      <c r="N169" s="151">
        <f t="shared" si="41"/>
        <v>0</v>
      </c>
      <c r="O169" s="146">
        <f>SUMIFS(XUẤT!U:U,XUẤT!N:N,CBCNV!B169,XUẤT!O:O,CBCNV!$O$2)</f>
        <v>0</v>
      </c>
      <c r="P169" s="151">
        <f t="shared" si="42"/>
        <v>0</v>
      </c>
      <c r="Q169" s="32"/>
      <c r="R169" s="18"/>
      <c r="S169" s="152"/>
      <c r="T169" s="152"/>
    </row>
    <row r="170" spans="1:20" s="152" customFormat="1" x14ac:dyDescent="0.3">
      <c r="A170" s="149">
        <v>163</v>
      </c>
      <c r="B170" s="10" t="s">
        <v>276</v>
      </c>
      <c r="C170" s="149" t="s">
        <v>101</v>
      </c>
      <c r="D170" s="149" t="s">
        <v>258</v>
      </c>
      <c r="E170" s="146">
        <f>SUMIFS(XUẤT!P:P,XUẤT!N:N,CBCNV!B170,XUẤT!O:O,CBCNV!$E$2)</f>
        <v>0</v>
      </c>
      <c r="F170" s="151">
        <f t="shared" si="37"/>
        <v>0</v>
      </c>
      <c r="G170" s="146">
        <f>SUMIFS(XUẤT!Q:Q,XUẤT!N:N,CBCNV!B170,XUẤT!O:O,CBCNV!$G$2)</f>
        <v>0</v>
      </c>
      <c r="H170" s="150">
        <f t="shared" si="38"/>
        <v>0</v>
      </c>
      <c r="I170" s="146">
        <f>SUMIFS(XUẤT!R:R,XUẤT!N:N,CBCNV!B170,XUẤT!O:O,CBCNV!$I$2)</f>
        <v>0</v>
      </c>
      <c r="J170" s="151">
        <f t="shared" si="39"/>
        <v>0</v>
      </c>
      <c r="K170" s="146">
        <f>SUMIFS(XUẤT!S:S,XUẤT!N:N,CBCNV!B170,XUẤT!O:O,CBCNV!$K$2)</f>
        <v>0</v>
      </c>
      <c r="L170" s="151">
        <f t="shared" si="40"/>
        <v>0</v>
      </c>
      <c r="M170" s="146">
        <f>SUMIFS(XUẤT!T:T,XUẤT!N:N,CBCNV!B170,XUẤT!O:O,CBCNV!$M$2)</f>
        <v>0</v>
      </c>
      <c r="N170" s="151">
        <f t="shared" si="41"/>
        <v>0</v>
      </c>
      <c r="O170" s="146">
        <f>SUMIFS(XUẤT!U:U,XUẤT!N:N,CBCNV!B170,XUẤT!O:O,CBCNV!$O$2)</f>
        <v>0</v>
      </c>
      <c r="P170" s="151">
        <f t="shared" si="42"/>
        <v>0</v>
      </c>
      <c r="Q170" s="32"/>
      <c r="R170" s="18"/>
    </row>
    <row r="171" spans="1:20" s="152" customFormat="1" x14ac:dyDescent="0.3">
      <c r="A171" s="149">
        <v>164</v>
      </c>
      <c r="B171" s="154" t="s">
        <v>277</v>
      </c>
      <c r="C171" s="149" t="s">
        <v>101</v>
      </c>
      <c r="D171" s="149" t="s">
        <v>258</v>
      </c>
      <c r="E171" s="146">
        <f>SUMIFS(XUẤT!P:P,XUẤT!N:N,CBCNV!B171,XUẤT!O:O,CBCNV!$E$2)</f>
        <v>0</v>
      </c>
      <c r="F171" s="151">
        <f t="shared" si="37"/>
        <v>0</v>
      </c>
      <c r="G171" s="146">
        <f>SUMIFS(XUẤT!Q:Q,XUẤT!N:N,CBCNV!B171,XUẤT!O:O,CBCNV!$G$2)</f>
        <v>0</v>
      </c>
      <c r="H171" s="150">
        <f t="shared" si="38"/>
        <v>0</v>
      </c>
      <c r="I171" s="146">
        <f>SUMIFS(XUẤT!R:R,XUẤT!N:N,CBCNV!B171,XUẤT!O:O,CBCNV!$I$2)</f>
        <v>0</v>
      </c>
      <c r="J171" s="151">
        <f t="shared" si="39"/>
        <v>0</v>
      </c>
      <c r="K171" s="146">
        <f>SUMIFS(XUẤT!S:S,XUẤT!N:N,CBCNV!B171,XUẤT!O:O,CBCNV!$K$2)</f>
        <v>0</v>
      </c>
      <c r="L171" s="151">
        <f t="shared" si="40"/>
        <v>0</v>
      </c>
      <c r="M171" s="146">
        <f>SUMIFS(XUẤT!T:T,XUẤT!N:N,CBCNV!B171,XUẤT!O:O,CBCNV!$M$2)</f>
        <v>0</v>
      </c>
      <c r="N171" s="151">
        <f t="shared" si="41"/>
        <v>0</v>
      </c>
      <c r="O171" s="146">
        <f>SUMIFS(XUẤT!U:U,XUẤT!N:N,CBCNV!B171,XUẤT!O:O,CBCNV!$O$2)</f>
        <v>0</v>
      </c>
      <c r="P171" s="151">
        <f t="shared" si="42"/>
        <v>0</v>
      </c>
      <c r="Q171" s="32"/>
      <c r="R171" s="18"/>
    </row>
    <row r="172" spans="1:20" s="152" customFormat="1" x14ac:dyDescent="0.3">
      <c r="A172" s="149">
        <v>165</v>
      </c>
      <c r="B172" s="34" t="s">
        <v>278</v>
      </c>
      <c r="C172" s="35" t="s">
        <v>153</v>
      </c>
      <c r="D172" s="35" t="s">
        <v>279</v>
      </c>
      <c r="E172" s="146">
        <f>SUMIFS(XUẤT!P:P,XUẤT!N:N,CBCNV!B172,XUẤT!O:O,CBCNV!$E$2)</f>
        <v>0</v>
      </c>
      <c r="F172" s="151">
        <f t="shared" si="37"/>
        <v>0</v>
      </c>
      <c r="G172" s="146">
        <f>SUMIFS(XUẤT!Q:Q,XUẤT!N:N,CBCNV!B172,XUẤT!O:O,CBCNV!$G$2)</f>
        <v>0</v>
      </c>
      <c r="H172" s="150">
        <f t="shared" si="38"/>
        <v>0</v>
      </c>
      <c r="I172" s="146">
        <f>SUMIFS(XUẤT!R:R,XUẤT!N:N,CBCNV!B172,XUẤT!O:O,CBCNV!$I$2)</f>
        <v>0</v>
      </c>
      <c r="J172" s="151">
        <f t="shared" si="39"/>
        <v>0</v>
      </c>
      <c r="K172" s="146">
        <f>SUMIFS(XUẤT!S:S,XUẤT!N:N,CBCNV!B172,XUẤT!O:O,CBCNV!$K$2)</f>
        <v>0</v>
      </c>
      <c r="L172" s="151">
        <f t="shared" si="40"/>
        <v>0</v>
      </c>
      <c r="M172" s="146">
        <f>SUMIFS(XUẤT!T:T,XUẤT!N:N,CBCNV!B172,XUẤT!O:O,CBCNV!$M$2)</f>
        <v>0</v>
      </c>
      <c r="N172" s="151">
        <f t="shared" si="41"/>
        <v>0</v>
      </c>
      <c r="O172" s="146">
        <f>SUMIFS(XUẤT!U:U,XUẤT!N:N,CBCNV!B172,XUẤT!O:O,CBCNV!$O$2)</f>
        <v>0</v>
      </c>
      <c r="P172" s="151">
        <f t="shared" si="42"/>
        <v>0</v>
      </c>
      <c r="Q172" s="32"/>
      <c r="R172" s="21"/>
      <c r="S172" s="148"/>
      <c r="T172" s="148"/>
    </row>
    <row r="173" spans="1:20" s="152" customFormat="1" x14ac:dyDescent="0.3">
      <c r="A173" s="149">
        <v>166</v>
      </c>
      <c r="B173" s="10" t="s">
        <v>280</v>
      </c>
      <c r="C173" s="36" t="s">
        <v>156</v>
      </c>
      <c r="D173" s="36" t="s">
        <v>279</v>
      </c>
      <c r="E173" s="146">
        <f>SUMIFS(XUẤT!P:P,XUẤT!N:N,CBCNV!B173,XUẤT!O:O,CBCNV!$E$2)</f>
        <v>0</v>
      </c>
      <c r="F173" s="151">
        <f t="shared" si="37"/>
        <v>0</v>
      </c>
      <c r="G173" s="146">
        <f>SUMIFS(XUẤT!Q:Q,XUẤT!N:N,CBCNV!B173,XUẤT!O:O,CBCNV!$G$2)</f>
        <v>0</v>
      </c>
      <c r="H173" s="150">
        <f t="shared" si="38"/>
        <v>0</v>
      </c>
      <c r="I173" s="146">
        <f>SUMIFS(XUẤT!R:R,XUẤT!N:N,CBCNV!B173,XUẤT!O:O,CBCNV!$I$2)</f>
        <v>0</v>
      </c>
      <c r="J173" s="151">
        <f t="shared" si="39"/>
        <v>0</v>
      </c>
      <c r="K173" s="146">
        <f>SUMIFS(XUẤT!S:S,XUẤT!N:N,CBCNV!B173,XUẤT!O:O,CBCNV!$K$2)</f>
        <v>0</v>
      </c>
      <c r="L173" s="151">
        <f t="shared" si="40"/>
        <v>0</v>
      </c>
      <c r="M173" s="146">
        <f>SUMIFS(XUẤT!T:T,XUẤT!N:N,CBCNV!B173,XUẤT!O:O,CBCNV!$M$2)</f>
        <v>0</v>
      </c>
      <c r="N173" s="151">
        <f t="shared" si="41"/>
        <v>0</v>
      </c>
      <c r="O173" s="146">
        <f>SUMIFS(XUẤT!U:U,XUẤT!N:N,CBCNV!B173,XUẤT!O:O,CBCNV!$O$2)</f>
        <v>0</v>
      </c>
      <c r="P173" s="151">
        <f t="shared" si="42"/>
        <v>0</v>
      </c>
      <c r="Q173" s="32"/>
      <c r="R173" s="18"/>
    </row>
    <row r="174" spans="1:20" s="152" customFormat="1" x14ac:dyDescent="0.3">
      <c r="A174" s="149">
        <v>167</v>
      </c>
      <c r="B174" s="10" t="s">
        <v>281</v>
      </c>
      <c r="C174" s="36" t="s">
        <v>101</v>
      </c>
      <c r="D174" s="36" t="s">
        <v>279</v>
      </c>
      <c r="E174" s="146">
        <f>SUMIFS(XUẤT!P:P,XUẤT!N:N,CBCNV!B174,XUẤT!O:O,CBCNV!$E$2)</f>
        <v>0</v>
      </c>
      <c r="F174" s="151">
        <f t="shared" si="37"/>
        <v>0</v>
      </c>
      <c r="G174" s="146">
        <f>SUMIFS(XUẤT!Q:Q,XUẤT!N:N,CBCNV!B174,XUẤT!O:O,CBCNV!$G$2)</f>
        <v>0</v>
      </c>
      <c r="H174" s="150">
        <f t="shared" si="38"/>
        <v>0</v>
      </c>
      <c r="I174" s="146">
        <f>SUMIFS(XUẤT!R:R,XUẤT!N:N,CBCNV!B174,XUẤT!O:O,CBCNV!$I$2)</f>
        <v>0</v>
      </c>
      <c r="J174" s="151">
        <f t="shared" si="39"/>
        <v>0</v>
      </c>
      <c r="K174" s="146">
        <f>SUMIFS(XUẤT!S:S,XUẤT!N:N,CBCNV!B174,XUẤT!O:O,CBCNV!$K$2)</f>
        <v>0</v>
      </c>
      <c r="L174" s="151">
        <f t="shared" si="40"/>
        <v>0</v>
      </c>
      <c r="M174" s="146">
        <f>SUMIFS(XUẤT!T:T,XUẤT!N:N,CBCNV!B174,XUẤT!O:O,CBCNV!$M$2)</f>
        <v>0</v>
      </c>
      <c r="N174" s="151">
        <f t="shared" si="41"/>
        <v>0</v>
      </c>
      <c r="O174" s="146">
        <f>SUMIFS(XUẤT!U:U,XUẤT!N:N,CBCNV!B174,XUẤT!O:O,CBCNV!$O$2)</f>
        <v>0</v>
      </c>
      <c r="P174" s="151">
        <f t="shared" si="42"/>
        <v>0</v>
      </c>
      <c r="Q174" s="32"/>
      <c r="R174" s="18"/>
    </row>
    <row r="175" spans="1:20" s="152" customFormat="1" x14ac:dyDescent="0.3">
      <c r="A175" s="149">
        <v>168</v>
      </c>
      <c r="B175" s="10" t="s">
        <v>282</v>
      </c>
      <c r="C175" s="36" t="s">
        <v>101</v>
      </c>
      <c r="D175" s="36" t="s">
        <v>279</v>
      </c>
      <c r="E175" s="146">
        <f>SUMIFS(XUẤT!P:P,XUẤT!N:N,CBCNV!B175,XUẤT!O:O,CBCNV!$E$2)</f>
        <v>0</v>
      </c>
      <c r="F175" s="151">
        <f t="shared" si="37"/>
        <v>0</v>
      </c>
      <c r="G175" s="146">
        <f>SUMIFS(XUẤT!Q:Q,XUẤT!N:N,CBCNV!B175,XUẤT!O:O,CBCNV!$G$2)</f>
        <v>0</v>
      </c>
      <c r="H175" s="150">
        <f t="shared" si="38"/>
        <v>0</v>
      </c>
      <c r="I175" s="146">
        <f>SUMIFS(XUẤT!R:R,XUẤT!N:N,CBCNV!B175,XUẤT!O:O,CBCNV!$I$2)</f>
        <v>0</v>
      </c>
      <c r="J175" s="151">
        <f t="shared" si="39"/>
        <v>0</v>
      </c>
      <c r="K175" s="146">
        <f>SUMIFS(XUẤT!S:S,XUẤT!N:N,CBCNV!B175,XUẤT!O:O,CBCNV!$K$2)</f>
        <v>0</v>
      </c>
      <c r="L175" s="151">
        <f t="shared" si="40"/>
        <v>0</v>
      </c>
      <c r="M175" s="146">
        <f>SUMIFS(XUẤT!T:T,XUẤT!N:N,CBCNV!B175,XUẤT!O:O,CBCNV!$M$2)</f>
        <v>0</v>
      </c>
      <c r="N175" s="151">
        <f t="shared" si="41"/>
        <v>0</v>
      </c>
      <c r="O175" s="146">
        <f>SUMIFS(XUẤT!U:U,XUẤT!N:N,CBCNV!B175,XUẤT!O:O,CBCNV!$O$2)</f>
        <v>0</v>
      </c>
      <c r="P175" s="151">
        <f t="shared" si="42"/>
        <v>0</v>
      </c>
      <c r="Q175" s="32"/>
      <c r="R175" s="18"/>
    </row>
    <row r="176" spans="1:20" s="152" customFormat="1" x14ac:dyDescent="0.3">
      <c r="A176" s="149">
        <v>169</v>
      </c>
      <c r="B176" s="10" t="s">
        <v>283</v>
      </c>
      <c r="C176" s="36" t="s">
        <v>284</v>
      </c>
      <c r="D176" s="36" t="s">
        <v>279</v>
      </c>
      <c r="E176" s="146">
        <f>SUMIFS(XUẤT!P:P,XUẤT!N:N,CBCNV!B176,XUẤT!O:O,CBCNV!$E$2)</f>
        <v>0</v>
      </c>
      <c r="F176" s="151">
        <f t="shared" si="37"/>
        <v>0</v>
      </c>
      <c r="G176" s="146">
        <f>SUMIFS(XUẤT!Q:Q,XUẤT!N:N,CBCNV!B176,XUẤT!O:O,CBCNV!$G$2)</f>
        <v>0</v>
      </c>
      <c r="H176" s="150">
        <f t="shared" si="38"/>
        <v>0</v>
      </c>
      <c r="I176" s="146">
        <f>SUMIFS(XUẤT!R:R,XUẤT!N:N,CBCNV!B176,XUẤT!O:O,CBCNV!$I$2)</f>
        <v>0</v>
      </c>
      <c r="J176" s="151">
        <f t="shared" si="39"/>
        <v>0</v>
      </c>
      <c r="K176" s="146">
        <f>SUMIFS(XUẤT!S:S,XUẤT!N:N,CBCNV!B176,XUẤT!O:O,CBCNV!$K$2)</f>
        <v>0</v>
      </c>
      <c r="L176" s="151">
        <f t="shared" si="40"/>
        <v>0</v>
      </c>
      <c r="M176" s="146">
        <f>SUMIFS(XUẤT!T:T,XUẤT!N:N,CBCNV!B176,XUẤT!O:O,CBCNV!$M$2)</f>
        <v>0</v>
      </c>
      <c r="N176" s="151">
        <f t="shared" si="41"/>
        <v>0</v>
      </c>
      <c r="O176" s="146">
        <f>SUMIFS(XUẤT!U:U,XUẤT!N:N,CBCNV!B176,XUẤT!O:O,CBCNV!$O$2)</f>
        <v>0</v>
      </c>
      <c r="P176" s="151">
        <f t="shared" si="42"/>
        <v>0</v>
      </c>
      <c r="Q176" s="32"/>
      <c r="R176" s="18"/>
    </row>
    <row r="177" spans="1:18" s="152" customFormat="1" x14ac:dyDescent="0.3">
      <c r="A177" s="149">
        <v>170</v>
      </c>
      <c r="B177" s="10" t="s">
        <v>285</v>
      </c>
      <c r="C177" s="36" t="s">
        <v>286</v>
      </c>
      <c r="D177" s="36" t="s">
        <v>279</v>
      </c>
      <c r="E177" s="146">
        <f>SUMIFS(XUẤT!P:P,XUẤT!N:N,CBCNV!B177,XUẤT!O:O,CBCNV!$E$2)</f>
        <v>0</v>
      </c>
      <c r="F177" s="151">
        <f t="shared" si="37"/>
        <v>0</v>
      </c>
      <c r="G177" s="146">
        <f>SUMIFS(XUẤT!Q:Q,XUẤT!N:N,CBCNV!B177,XUẤT!O:O,CBCNV!$G$2)</f>
        <v>0</v>
      </c>
      <c r="H177" s="150">
        <f t="shared" si="38"/>
        <v>0</v>
      </c>
      <c r="I177" s="146">
        <f>SUMIFS(XUẤT!R:R,XUẤT!N:N,CBCNV!B177,XUẤT!O:O,CBCNV!$I$2)</f>
        <v>0</v>
      </c>
      <c r="J177" s="151">
        <f t="shared" si="39"/>
        <v>0</v>
      </c>
      <c r="K177" s="146">
        <f>SUMIFS(XUẤT!S:S,XUẤT!N:N,CBCNV!B177,XUẤT!O:O,CBCNV!$K$2)</f>
        <v>0</v>
      </c>
      <c r="L177" s="151">
        <f t="shared" si="40"/>
        <v>0</v>
      </c>
      <c r="M177" s="146">
        <f>SUMIFS(XUẤT!T:T,XUẤT!N:N,CBCNV!B177,XUẤT!O:O,CBCNV!$M$2)</f>
        <v>0</v>
      </c>
      <c r="N177" s="151">
        <f t="shared" si="41"/>
        <v>0</v>
      </c>
      <c r="O177" s="146">
        <f>SUMIFS(XUẤT!U:U,XUẤT!N:N,CBCNV!B177,XUẤT!O:O,CBCNV!$O$2)</f>
        <v>0</v>
      </c>
      <c r="P177" s="151">
        <f t="shared" si="42"/>
        <v>0</v>
      </c>
      <c r="Q177" s="32"/>
      <c r="R177" s="18"/>
    </row>
    <row r="178" spans="1:18" s="152" customFormat="1" ht="36" x14ac:dyDescent="0.3">
      <c r="A178" s="149">
        <v>171</v>
      </c>
      <c r="B178" s="10" t="s">
        <v>287</v>
      </c>
      <c r="C178" s="36" t="s">
        <v>288</v>
      </c>
      <c r="D178" s="36" t="s">
        <v>279</v>
      </c>
      <c r="E178" s="146">
        <f>SUMIFS(XUẤT!P:P,XUẤT!N:N,CBCNV!B178,XUẤT!O:O,CBCNV!$E$2)</f>
        <v>0</v>
      </c>
      <c r="F178" s="151">
        <f t="shared" si="37"/>
        <v>0</v>
      </c>
      <c r="G178" s="146">
        <f>SUMIFS(XUẤT!Q:Q,XUẤT!N:N,CBCNV!B178,XUẤT!O:O,CBCNV!$G$2)</f>
        <v>0</v>
      </c>
      <c r="H178" s="150">
        <f t="shared" si="38"/>
        <v>0</v>
      </c>
      <c r="I178" s="146">
        <f>SUMIFS(XUẤT!R:R,XUẤT!N:N,CBCNV!B178,XUẤT!O:O,CBCNV!$I$2)</f>
        <v>0</v>
      </c>
      <c r="J178" s="151">
        <f t="shared" si="39"/>
        <v>0</v>
      </c>
      <c r="K178" s="146">
        <f>SUMIFS(XUẤT!S:S,XUẤT!N:N,CBCNV!B178,XUẤT!O:O,CBCNV!$K$2)</f>
        <v>0</v>
      </c>
      <c r="L178" s="151">
        <f t="shared" si="40"/>
        <v>0</v>
      </c>
      <c r="M178" s="146">
        <f>SUMIFS(XUẤT!T:T,XUẤT!N:N,CBCNV!B178,XUẤT!O:O,CBCNV!$M$2)</f>
        <v>0</v>
      </c>
      <c r="N178" s="151">
        <f t="shared" si="41"/>
        <v>0</v>
      </c>
      <c r="O178" s="146">
        <f>SUMIFS(XUẤT!U:U,XUẤT!N:N,CBCNV!B178,XUẤT!O:O,CBCNV!$O$2)</f>
        <v>0</v>
      </c>
      <c r="P178" s="151">
        <f t="shared" si="42"/>
        <v>0</v>
      </c>
      <c r="Q178" s="32"/>
      <c r="R178" s="18"/>
    </row>
    <row r="179" spans="1:18" s="152" customFormat="1" x14ac:dyDescent="0.3">
      <c r="A179" s="149">
        <v>172</v>
      </c>
      <c r="B179" s="10" t="s">
        <v>289</v>
      </c>
      <c r="C179" s="36" t="s">
        <v>284</v>
      </c>
      <c r="D179" s="36" t="s">
        <v>279</v>
      </c>
      <c r="E179" s="146">
        <f>SUMIFS(XUẤT!P:P,XUẤT!N:N,CBCNV!B179,XUẤT!O:O,CBCNV!$E$2)</f>
        <v>0</v>
      </c>
      <c r="F179" s="151">
        <f t="shared" si="37"/>
        <v>0</v>
      </c>
      <c r="G179" s="146">
        <f>SUMIFS(XUẤT!Q:Q,XUẤT!N:N,CBCNV!B179,XUẤT!O:O,CBCNV!$G$2)</f>
        <v>0</v>
      </c>
      <c r="H179" s="150">
        <f t="shared" si="38"/>
        <v>0</v>
      </c>
      <c r="I179" s="146">
        <f>SUMIFS(XUẤT!R:R,XUẤT!N:N,CBCNV!B179,XUẤT!O:O,CBCNV!$I$2)</f>
        <v>0</v>
      </c>
      <c r="J179" s="151">
        <f t="shared" si="39"/>
        <v>0</v>
      </c>
      <c r="K179" s="146">
        <f>SUMIFS(XUẤT!S:S,XUẤT!N:N,CBCNV!B179,XUẤT!O:O,CBCNV!$K$2)</f>
        <v>0</v>
      </c>
      <c r="L179" s="151">
        <f t="shared" si="40"/>
        <v>0</v>
      </c>
      <c r="M179" s="146">
        <f>SUMIFS(XUẤT!T:T,XUẤT!N:N,CBCNV!B179,XUẤT!O:O,CBCNV!$M$2)</f>
        <v>0</v>
      </c>
      <c r="N179" s="151">
        <f t="shared" si="41"/>
        <v>0</v>
      </c>
      <c r="O179" s="146">
        <f>SUMIFS(XUẤT!U:U,XUẤT!N:N,CBCNV!B179,XUẤT!O:O,CBCNV!$O$2)</f>
        <v>0</v>
      </c>
      <c r="P179" s="151">
        <f t="shared" si="42"/>
        <v>0</v>
      </c>
      <c r="Q179" s="32"/>
      <c r="R179" s="18"/>
    </row>
    <row r="180" spans="1:18" s="152" customFormat="1" x14ac:dyDescent="0.3">
      <c r="A180" s="149">
        <v>173</v>
      </c>
      <c r="B180" s="10" t="s">
        <v>290</v>
      </c>
      <c r="C180" s="36" t="s">
        <v>284</v>
      </c>
      <c r="D180" s="36" t="s">
        <v>279</v>
      </c>
      <c r="E180" s="146">
        <f>SUMIFS(XUẤT!P:P,XUẤT!N:N,CBCNV!B180,XUẤT!O:O,CBCNV!$E$2)</f>
        <v>0</v>
      </c>
      <c r="F180" s="151">
        <f t="shared" si="37"/>
        <v>0</v>
      </c>
      <c r="G180" s="146">
        <f>SUMIFS(XUẤT!Q:Q,XUẤT!N:N,CBCNV!B180,XUẤT!O:O,CBCNV!$G$2)</f>
        <v>0</v>
      </c>
      <c r="H180" s="150">
        <f t="shared" si="38"/>
        <v>0</v>
      </c>
      <c r="I180" s="146">
        <f>SUMIFS(XUẤT!R:R,XUẤT!N:N,CBCNV!B180,XUẤT!O:O,CBCNV!$I$2)</f>
        <v>0</v>
      </c>
      <c r="J180" s="151">
        <f t="shared" si="39"/>
        <v>0</v>
      </c>
      <c r="K180" s="146">
        <f>SUMIFS(XUẤT!S:S,XUẤT!N:N,CBCNV!B180,XUẤT!O:O,CBCNV!$K$2)</f>
        <v>0</v>
      </c>
      <c r="L180" s="151">
        <f t="shared" si="40"/>
        <v>0</v>
      </c>
      <c r="M180" s="146">
        <f>SUMIFS(XUẤT!T:T,XUẤT!N:N,CBCNV!B180,XUẤT!O:O,CBCNV!$M$2)</f>
        <v>0</v>
      </c>
      <c r="N180" s="151">
        <f t="shared" si="41"/>
        <v>0</v>
      </c>
      <c r="O180" s="146">
        <f>SUMIFS(XUẤT!U:U,XUẤT!N:N,CBCNV!B180,XUẤT!O:O,CBCNV!$O$2)</f>
        <v>0</v>
      </c>
      <c r="P180" s="151">
        <f t="shared" si="42"/>
        <v>0</v>
      </c>
      <c r="Q180" s="32"/>
      <c r="R180" s="18"/>
    </row>
    <row r="181" spans="1:18" s="152" customFormat="1" x14ac:dyDescent="0.3">
      <c r="A181" s="149">
        <v>174</v>
      </c>
      <c r="B181" s="10" t="s">
        <v>291</v>
      </c>
      <c r="C181" s="36" t="s">
        <v>292</v>
      </c>
      <c r="D181" s="36" t="s">
        <v>279</v>
      </c>
      <c r="E181" s="146">
        <f>SUMIFS(XUẤT!P:P,XUẤT!N:N,CBCNV!B181,XUẤT!O:O,CBCNV!$E$2)</f>
        <v>10</v>
      </c>
      <c r="F181" s="151">
        <f t="shared" si="37"/>
        <v>980000</v>
      </c>
      <c r="G181" s="146">
        <f>SUMIFS(XUẤT!Q:Q,XUẤT!N:N,CBCNV!B181,XUẤT!O:O,CBCNV!$G$2)</f>
        <v>0</v>
      </c>
      <c r="H181" s="150">
        <f t="shared" si="38"/>
        <v>0</v>
      </c>
      <c r="I181" s="146">
        <f>SUMIFS(XUẤT!R:R,XUẤT!N:N,CBCNV!B181,XUẤT!O:O,CBCNV!$I$2)</f>
        <v>0</v>
      </c>
      <c r="J181" s="151">
        <f t="shared" si="39"/>
        <v>0</v>
      </c>
      <c r="K181" s="146">
        <f>SUMIFS(XUẤT!S:S,XUẤT!N:N,CBCNV!B181,XUẤT!O:O,CBCNV!$K$2)</f>
        <v>0</v>
      </c>
      <c r="L181" s="151">
        <f t="shared" si="40"/>
        <v>0</v>
      </c>
      <c r="M181" s="146">
        <f>SUMIFS(XUẤT!T:T,XUẤT!N:N,CBCNV!B181,XUẤT!O:O,CBCNV!$M$2)</f>
        <v>0</v>
      </c>
      <c r="N181" s="151">
        <f t="shared" si="41"/>
        <v>0</v>
      </c>
      <c r="O181" s="146">
        <f>SUMIFS(XUẤT!U:U,XUẤT!N:N,CBCNV!B181,XUẤT!O:O,CBCNV!$O$2)</f>
        <v>0</v>
      </c>
      <c r="P181" s="151">
        <f t="shared" si="42"/>
        <v>0</v>
      </c>
      <c r="Q181" s="32"/>
      <c r="R181" s="18"/>
    </row>
    <row r="182" spans="1:18" s="152" customFormat="1" x14ac:dyDescent="0.3">
      <c r="A182" s="149">
        <v>175</v>
      </c>
      <c r="B182" s="10" t="s">
        <v>293</v>
      </c>
      <c r="C182" s="36" t="s">
        <v>292</v>
      </c>
      <c r="D182" s="36" t="s">
        <v>279</v>
      </c>
      <c r="E182" s="146">
        <f>SUMIFS(XUẤT!P:P,XUẤT!N:N,CBCNV!B182,XUẤT!O:O,CBCNV!$E$2)</f>
        <v>0</v>
      </c>
      <c r="F182" s="151">
        <f t="shared" si="37"/>
        <v>0</v>
      </c>
      <c r="G182" s="146">
        <f>SUMIFS(XUẤT!Q:Q,XUẤT!N:N,CBCNV!B182,XUẤT!O:O,CBCNV!$G$2)</f>
        <v>0</v>
      </c>
      <c r="H182" s="150">
        <f t="shared" si="38"/>
        <v>0</v>
      </c>
      <c r="I182" s="146">
        <f>SUMIFS(XUẤT!R:R,XUẤT!N:N,CBCNV!B182,XUẤT!O:O,CBCNV!$I$2)</f>
        <v>0</v>
      </c>
      <c r="J182" s="151">
        <f t="shared" si="39"/>
        <v>0</v>
      </c>
      <c r="K182" s="146">
        <f>SUMIFS(XUẤT!S:S,XUẤT!N:N,CBCNV!B182,XUẤT!O:O,CBCNV!$K$2)</f>
        <v>0</v>
      </c>
      <c r="L182" s="151">
        <f t="shared" si="40"/>
        <v>0</v>
      </c>
      <c r="M182" s="146">
        <f>SUMIFS(XUẤT!T:T,XUẤT!N:N,CBCNV!B182,XUẤT!O:O,CBCNV!$M$2)</f>
        <v>0</v>
      </c>
      <c r="N182" s="151">
        <f t="shared" si="41"/>
        <v>0</v>
      </c>
      <c r="O182" s="146">
        <f>SUMIFS(XUẤT!U:U,XUẤT!N:N,CBCNV!B182,XUẤT!O:O,CBCNV!$O$2)</f>
        <v>0</v>
      </c>
      <c r="P182" s="151">
        <f t="shared" si="42"/>
        <v>0</v>
      </c>
      <c r="Q182" s="32"/>
      <c r="R182" s="18"/>
    </row>
    <row r="183" spans="1:18" s="152" customFormat="1" x14ac:dyDescent="0.3">
      <c r="A183" s="149">
        <v>176</v>
      </c>
      <c r="B183" s="10" t="s">
        <v>41</v>
      </c>
      <c r="C183" s="149" t="s">
        <v>292</v>
      </c>
      <c r="D183" s="149" t="s">
        <v>279</v>
      </c>
      <c r="E183" s="146">
        <f>SUMIFS(XUẤT!P:P,XUẤT!N:N,CBCNV!B183,XUẤT!O:O,CBCNV!$E$2)</f>
        <v>7</v>
      </c>
      <c r="F183" s="151">
        <f t="shared" si="37"/>
        <v>686000</v>
      </c>
      <c r="G183" s="146">
        <f>SUMIFS(XUẤT!Q:Q,XUẤT!N:N,CBCNV!B183,XUẤT!O:O,CBCNV!$G$2)</f>
        <v>0</v>
      </c>
      <c r="H183" s="150">
        <f t="shared" si="38"/>
        <v>0</v>
      </c>
      <c r="I183" s="146">
        <f>SUMIFS(XUẤT!R:R,XUẤT!N:N,CBCNV!B183,XUẤT!O:O,CBCNV!$I$2)</f>
        <v>0</v>
      </c>
      <c r="J183" s="151">
        <f t="shared" si="39"/>
        <v>0</v>
      </c>
      <c r="K183" s="146">
        <f>SUMIFS(XUẤT!S:S,XUẤT!N:N,CBCNV!B183,XUẤT!O:O,CBCNV!$K$2)</f>
        <v>0</v>
      </c>
      <c r="L183" s="151">
        <f t="shared" si="40"/>
        <v>0</v>
      </c>
      <c r="M183" s="146">
        <f>SUMIFS(XUẤT!T:T,XUẤT!N:N,CBCNV!B183,XUẤT!O:O,CBCNV!$M$2)</f>
        <v>0</v>
      </c>
      <c r="N183" s="151">
        <f t="shared" si="41"/>
        <v>0</v>
      </c>
      <c r="O183" s="146">
        <f>SUMIFS(XUẤT!U:U,XUẤT!N:N,CBCNV!B183,XUẤT!O:O,CBCNV!$O$2)</f>
        <v>0</v>
      </c>
      <c r="P183" s="151">
        <f t="shared" si="42"/>
        <v>0</v>
      </c>
      <c r="Q183" s="32"/>
      <c r="R183" s="18"/>
    </row>
    <row r="184" spans="1:18" s="152" customFormat="1" x14ac:dyDescent="0.3">
      <c r="A184" s="149">
        <v>177</v>
      </c>
      <c r="B184" s="10" t="s">
        <v>294</v>
      </c>
      <c r="C184" s="149" t="s">
        <v>292</v>
      </c>
      <c r="D184" s="149" t="s">
        <v>279</v>
      </c>
      <c r="E184" s="146">
        <f>SUMIFS(XUẤT!P:P,XUẤT!N:N,CBCNV!B184,XUẤT!O:O,CBCNV!$E$2)</f>
        <v>0</v>
      </c>
      <c r="F184" s="151">
        <f t="shared" si="37"/>
        <v>0</v>
      </c>
      <c r="G184" s="146">
        <f>SUMIFS(XUẤT!Q:Q,XUẤT!N:N,CBCNV!B184,XUẤT!O:O,CBCNV!$G$2)</f>
        <v>0</v>
      </c>
      <c r="H184" s="150">
        <f t="shared" si="38"/>
        <v>0</v>
      </c>
      <c r="I184" s="146">
        <f>SUMIFS(XUẤT!R:R,XUẤT!N:N,CBCNV!B184,XUẤT!O:O,CBCNV!$I$2)</f>
        <v>0</v>
      </c>
      <c r="J184" s="151">
        <f t="shared" si="39"/>
        <v>0</v>
      </c>
      <c r="K184" s="146">
        <f>SUMIFS(XUẤT!S:S,XUẤT!N:N,CBCNV!B184,XUẤT!O:O,CBCNV!$K$2)</f>
        <v>0</v>
      </c>
      <c r="L184" s="151">
        <f t="shared" si="40"/>
        <v>0</v>
      </c>
      <c r="M184" s="146">
        <f>SUMIFS(XUẤT!T:T,XUẤT!N:N,CBCNV!B184,XUẤT!O:O,CBCNV!$M$2)</f>
        <v>0</v>
      </c>
      <c r="N184" s="151">
        <f t="shared" si="41"/>
        <v>0</v>
      </c>
      <c r="O184" s="146">
        <f>SUMIFS(XUẤT!U:U,XUẤT!N:N,CBCNV!B184,XUẤT!O:O,CBCNV!$O$2)</f>
        <v>0</v>
      </c>
      <c r="P184" s="151">
        <f t="shared" si="42"/>
        <v>0</v>
      </c>
      <c r="Q184" s="32"/>
      <c r="R184" s="18"/>
    </row>
    <row r="185" spans="1:18" s="152" customFormat="1" x14ac:dyDescent="0.3">
      <c r="A185" s="149">
        <v>178</v>
      </c>
      <c r="B185" s="10" t="s">
        <v>295</v>
      </c>
      <c r="C185" s="149" t="s">
        <v>292</v>
      </c>
      <c r="D185" s="149" t="s">
        <v>279</v>
      </c>
      <c r="E185" s="146">
        <f>SUMIFS(XUẤT!P:P,XUẤT!N:N,CBCNV!B185,XUẤT!O:O,CBCNV!$E$2)</f>
        <v>0</v>
      </c>
      <c r="F185" s="151">
        <f t="shared" si="37"/>
        <v>0</v>
      </c>
      <c r="G185" s="146">
        <f>SUMIFS(XUẤT!Q:Q,XUẤT!N:N,CBCNV!B185,XUẤT!O:O,CBCNV!$G$2)</f>
        <v>0</v>
      </c>
      <c r="H185" s="150">
        <f t="shared" si="38"/>
        <v>0</v>
      </c>
      <c r="I185" s="146">
        <f>SUMIFS(XUẤT!R:R,XUẤT!N:N,CBCNV!B185,XUẤT!O:O,CBCNV!$I$2)</f>
        <v>0</v>
      </c>
      <c r="J185" s="151">
        <f t="shared" si="39"/>
        <v>0</v>
      </c>
      <c r="K185" s="146">
        <f>SUMIFS(XUẤT!S:S,XUẤT!N:N,CBCNV!B185,XUẤT!O:O,CBCNV!$K$2)</f>
        <v>0</v>
      </c>
      <c r="L185" s="151">
        <f t="shared" si="40"/>
        <v>0</v>
      </c>
      <c r="M185" s="146">
        <f>SUMIFS(XUẤT!T:T,XUẤT!N:N,CBCNV!B185,XUẤT!O:O,CBCNV!$M$2)</f>
        <v>0</v>
      </c>
      <c r="N185" s="151">
        <f t="shared" si="41"/>
        <v>0</v>
      </c>
      <c r="O185" s="146">
        <f>SUMIFS(XUẤT!U:U,XUẤT!N:N,CBCNV!B185,XUẤT!O:O,CBCNV!$O$2)</f>
        <v>0</v>
      </c>
      <c r="P185" s="151">
        <f t="shared" si="42"/>
        <v>0</v>
      </c>
      <c r="Q185" s="32"/>
      <c r="R185" s="18"/>
    </row>
    <row r="186" spans="1:18" s="152" customFormat="1" x14ac:dyDescent="0.3">
      <c r="A186" s="149">
        <v>179</v>
      </c>
      <c r="B186" s="10" t="s">
        <v>296</v>
      </c>
      <c r="C186" s="36" t="s">
        <v>170</v>
      </c>
      <c r="D186" s="36" t="s">
        <v>279</v>
      </c>
      <c r="E186" s="146">
        <f>SUMIFS(XUẤT!P:P,XUẤT!N:N,CBCNV!B186,XUẤT!O:O,CBCNV!$E$2)</f>
        <v>0</v>
      </c>
      <c r="F186" s="151">
        <f t="shared" si="37"/>
        <v>0</v>
      </c>
      <c r="G186" s="146">
        <f>SUMIFS(XUẤT!Q:Q,XUẤT!N:N,CBCNV!B186,XUẤT!O:O,CBCNV!$G$2)</f>
        <v>0</v>
      </c>
      <c r="H186" s="150">
        <f t="shared" si="38"/>
        <v>0</v>
      </c>
      <c r="I186" s="146">
        <f>SUMIFS(XUẤT!R:R,XUẤT!N:N,CBCNV!B186,XUẤT!O:O,CBCNV!$I$2)</f>
        <v>0</v>
      </c>
      <c r="J186" s="151">
        <f t="shared" si="39"/>
        <v>0</v>
      </c>
      <c r="K186" s="146">
        <f>SUMIFS(XUẤT!S:S,XUẤT!N:N,CBCNV!B186,XUẤT!O:O,CBCNV!$K$2)</f>
        <v>0</v>
      </c>
      <c r="L186" s="151">
        <f t="shared" si="40"/>
        <v>0</v>
      </c>
      <c r="M186" s="146">
        <f>SUMIFS(XUẤT!T:T,XUẤT!N:N,CBCNV!B186,XUẤT!O:O,CBCNV!$M$2)</f>
        <v>0</v>
      </c>
      <c r="N186" s="151">
        <f t="shared" si="41"/>
        <v>0</v>
      </c>
      <c r="O186" s="146">
        <f>SUMIFS(XUẤT!U:U,XUẤT!N:N,CBCNV!B186,XUẤT!O:O,CBCNV!$O$2)</f>
        <v>0</v>
      </c>
      <c r="P186" s="151">
        <f t="shared" si="42"/>
        <v>0</v>
      </c>
      <c r="Q186" s="32"/>
      <c r="R186" s="18"/>
    </row>
    <row r="187" spans="1:18" s="152" customFormat="1" x14ac:dyDescent="0.3">
      <c r="A187" s="149">
        <v>180</v>
      </c>
      <c r="B187" s="10" t="s">
        <v>297</v>
      </c>
      <c r="C187" s="36" t="s">
        <v>170</v>
      </c>
      <c r="D187" s="36" t="s">
        <v>279</v>
      </c>
      <c r="E187" s="146">
        <f>SUMIFS(XUẤT!P:P,XUẤT!N:N,CBCNV!B187,XUẤT!O:O,CBCNV!$E$2)</f>
        <v>0</v>
      </c>
      <c r="F187" s="151">
        <f t="shared" si="37"/>
        <v>0</v>
      </c>
      <c r="G187" s="146">
        <f>SUMIFS(XUẤT!Q:Q,XUẤT!N:N,CBCNV!B187,XUẤT!O:O,CBCNV!$G$2)</f>
        <v>0</v>
      </c>
      <c r="H187" s="150">
        <f t="shared" si="38"/>
        <v>0</v>
      </c>
      <c r="I187" s="146">
        <f>SUMIFS(XUẤT!R:R,XUẤT!N:N,CBCNV!B187,XUẤT!O:O,CBCNV!$I$2)</f>
        <v>0</v>
      </c>
      <c r="J187" s="151">
        <f t="shared" si="39"/>
        <v>0</v>
      </c>
      <c r="K187" s="146">
        <f>SUMIFS(XUẤT!S:S,XUẤT!N:N,CBCNV!B187,XUẤT!O:O,CBCNV!$K$2)</f>
        <v>0</v>
      </c>
      <c r="L187" s="151">
        <f t="shared" si="40"/>
        <v>0</v>
      </c>
      <c r="M187" s="146">
        <f>SUMIFS(XUẤT!T:T,XUẤT!N:N,CBCNV!B187,XUẤT!O:O,CBCNV!$M$2)</f>
        <v>0</v>
      </c>
      <c r="N187" s="151">
        <f t="shared" si="41"/>
        <v>0</v>
      </c>
      <c r="O187" s="146">
        <f>SUMIFS(XUẤT!U:U,XUẤT!N:N,CBCNV!B187,XUẤT!O:O,CBCNV!$O$2)</f>
        <v>0</v>
      </c>
      <c r="P187" s="151">
        <f t="shared" si="42"/>
        <v>0</v>
      </c>
      <c r="Q187" s="32"/>
      <c r="R187" s="18"/>
    </row>
    <row r="188" spans="1:18" s="152" customFormat="1" x14ac:dyDescent="0.3">
      <c r="A188" s="149">
        <v>181</v>
      </c>
      <c r="B188" s="154" t="s">
        <v>298</v>
      </c>
      <c r="C188" s="36" t="s">
        <v>170</v>
      </c>
      <c r="D188" s="149" t="s">
        <v>279</v>
      </c>
      <c r="E188" s="146">
        <f>SUMIFS(XUẤT!P:P,XUẤT!N:N,CBCNV!B188,XUẤT!O:O,CBCNV!$E$2)</f>
        <v>0</v>
      </c>
      <c r="F188" s="151">
        <f t="shared" si="37"/>
        <v>0</v>
      </c>
      <c r="G188" s="146">
        <f>SUMIFS(XUẤT!Q:Q,XUẤT!N:N,CBCNV!B188,XUẤT!O:O,CBCNV!$G$2)</f>
        <v>0</v>
      </c>
      <c r="H188" s="150">
        <f t="shared" si="38"/>
        <v>0</v>
      </c>
      <c r="I188" s="146">
        <f>SUMIFS(XUẤT!R:R,XUẤT!N:N,CBCNV!B188,XUẤT!O:O,CBCNV!$I$2)</f>
        <v>0</v>
      </c>
      <c r="J188" s="151">
        <f t="shared" si="39"/>
        <v>0</v>
      </c>
      <c r="K188" s="146">
        <f>SUMIFS(XUẤT!S:S,XUẤT!N:N,CBCNV!B188,XUẤT!O:O,CBCNV!$K$2)</f>
        <v>0</v>
      </c>
      <c r="L188" s="151">
        <f t="shared" si="40"/>
        <v>0</v>
      </c>
      <c r="M188" s="146">
        <f>SUMIFS(XUẤT!T:T,XUẤT!N:N,CBCNV!B188,XUẤT!O:O,CBCNV!$M$2)</f>
        <v>0</v>
      </c>
      <c r="N188" s="151">
        <f t="shared" si="41"/>
        <v>0</v>
      </c>
      <c r="O188" s="146">
        <f>SUMIFS(XUẤT!U:U,XUẤT!N:N,CBCNV!B188,XUẤT!O:O,CBCNV!$O$2)</f>
        <v>0</v>
      </c>
      <c r="P188" s="151">
        <f t="shared" si="42"/>
        <v>0</v>
      </c>
      <c r="Q188" s="32"/>
      <c r="R188" s="18"/>
    </row>
    <row r="189" spans="1:18" s="152" customFormat="1" x14ac:dyDescent="0.3">
      <c r="A189" s="149">
        <v>182</v>
      </c>
      <c r="B189" s="10" t="s">
        <v>299</v>
      </c>
      <c r="C189" s="36" t="s">
        <v>170</v>
      </c>
      <c r="D189" s="149" t="s">
        <v>279</v>
      </c>
      <c r="E189" s="146">
        <f>SUMIFS(XUẤT!P:P,XUẤT!N:N,CBCNV!B189,XUẤT!O:O,CBCNV!$E$2)</f>
        <v>0</v>
      </c>
      <c r="F189" s="151">
        <f t="shared" si="37"/>
        <v>0</v>
      </c>
      <c r="G189" s="146">
        <f>SUMIFS(XUẤT!Q:Q,XUẤT!N:N,CBCNV!B189,XUẤT!O:O,CBCNV!$G$2)</f>
        <v>0</v>
      </c>
      <c r="H189" s="150">
        <f t="shared" si="38"/>
        <v>0</v>
      </c>
      <c r="I189" s="146">
        <f>SUMIFS(XUẤT!R:R,XUẤT!N:N,CBCNV!B189,XUẤT!O:O,CBCNV!$I$2)</f>
        <v>0</v>
      </c>
      <c r="J189" s="151">
        <f t="shared" si="39"/>
        <v>0</v>
      </c>
      <c r="K189" s="146">
        <f>SUMIFS(XUẤT!S:S,XUẤT!N:N,CBCNV!B189,XUẤT!O:O,CBCNV!$K$2)</f>
        <v>0</v>
      </c>
      <c r="L189" s="151">
        <f t="shared" si="40"/>
        <v>0</v>
      </c>
      <c r="M189" s="146">
        <f>SUMIFS(XUẤT!T:T,XUẤT!N:N,CBCNV!B189,XUẤT!O:O,CBCNV!$M$2)</f>
        <v>0</v>
      </c>
      <c r="N189" s="151">
        <f t="shared" si="41"/>
        <v>0</v>
      </c>
      <c r="O189" s="146">
        <f>SUMIFS(XUẤT!U:U,XUẤT!N:N,CBCNV!B189,XUẤT!O:O,CBCNV!$O$2)</f>
        <v>0</v>
      </c>
      <c r="P189" s="151">
        <f t="shared" si="42"/>
        <v>0</v>
      </c>
      <c r="Q189" s="32"/>
      <c r="R189" s="18"/>
    </row>
    <row r="190" spans="1:18" s="152" customFormat="1" x14ac:dyDescent="0.3">
      <c r="A190" s="149">
        <v>183</v>
      </c>
      <c r="B190" s="10" t="s">
        <v>300</v>
      </c>
      <c r="C190" s="36" t="s">
        <v>170</v>
      </c>
      <c r="D190" s="149" t="s">
        <v>279</v>
      </c>
      <c r="E190" s="146">
        <f>SUMIFS(XUẤT!P:P,XUẤT!N:N,CBCNV!B190,XUẤT!O:O,CBCNV!$E$2)</f>
        <v>0</v>
      </c>
      <c r="F190" s="151">
        <f t="shared" si="37"/>
        <v>0</v>
      </c>
      <c r="G190" s="146">
        <f>SUMIFS(XUẤT!Q:Q,XUẤT!N:N,CBCNV!B190,XUẤT!O:O,CBCNV!$G$2)</f>
        <v>0</v>
      </c>
      <c r="H190" s="150">
        <f t="shared" si="38"/>
        <v>0</v>
      </c>
      <c r="I190" s="146">
        <f>SUMIFS(XUẤT!R:R,XUẤT!N:N,CBCNV!B190,XUẤT!O:O,CBCNV!$I$2)</f>
        <v>0</v>
      </c>
      <c r="J190" s="151">
        <f t="shared" si="39"/>
        <v>0</v>
      </c>
      <c r="K190" s="146">
        <f>SUMIFS(XUẤT!S:S,XUẤT!N:N,CBCNV!B190,XUẤT!O:O,CBCNV!$K$2)</f>
        <v>0</v>
      </c>
      <c r="L190" s="151">
        <f t="shared" si="40"/>
        <v>0</v>
      </c>
      <c r="M190" s="146">
        <f>SUMIFS(XUẤT!T:T,XUẤT!N:N,CBCNV!B190,XUẤT!O:O,CBCNV!$M$2)</f>
        <v>0</v>
      </c>
      <c r="N190" s="151">
        <f t="shared" si="41"/>
        <v>0</v>
      </c>
      <c r="O190" s="146">
        <f>SUMIFS(XUẤT!U:U,XUẤT!N:N,CBCNV!B190,XUẤT!O:O,CBCNV!$O$2)</f>
        <v>0</v>
      </c>
      <c r="P190" s="151">
        <f t="shared" si="42"/>
        <v>0</v>
      </c>
      <c r="Q190" s="32"/>
      <c r="R190" s="18"/>
    </row>
    <row r="191" spans="1:18" s="152" customFormat="1" x14ac:dyDescent="0.3">
      <c r="A191" s="149">
        <v>184</v>
      </c>
      <c r="B191" s="10" t="s">
        <v>301</v>
      </c>
      <c r="C191" s="149" t="s">
        <v>170</v>
      </c>
      <c r="D191" s="149" t="s">
        <v>279</v>
      </c>
      <c r="E191" s="146">
        <f>SUMIFS(XUẤT!P:P,XUẤT!N:N,CBCNV!B191,XUẤT!O:O,CBCNV!$E$2)</f>
        <v>0</v>
      </c>
      <c r="F191" s="151">
        <f t="shared" si="37"/>
        <v>0</v>
      </c>
      <c r="G191" s="146">
        <f>SUMIFS(XUẤT!Q:Q,XUẤT!N:N,CBCNV!B191,XUẤT!O:O,CBCNV!$G$2)</f>
        <v>0</v>
      </c>
      <c r="H191" s="150">
        <f t="shared" si="38"/>
        <v>0</v>
      </c>
      <c r="I191" s="146">
        <f>SUMIFS(XUẤT!R:R,XUẤT!N:N,CBCNV!B191,XUẤT!O:O,CBCNV!$I$2)</f>
        <v>0</v>
      </c>
      <c r="J191" s="151">
        <f t="shared" si="39"/>
        <v>0</v>
      </c>
      <c r="K191" s="146">
        <f>SUMIFS(XUẤT!S:S,XUẤT!N:N,CBCNV!B191,XUẤT!O:O,CBCNV!$K$2)</f>
        <v>0</v>
      </c>
      <c r="L191" s="151">
        <f t="shared" si="40"/>
        <v>0</v>
      </c>
      <c r="M191" s="146">
        <f>SUMIFS(XUẤT!T:T,XUẤT!N:N,CBCNV!B191,XUẤT!O:O,CBCNV!$M$2)</f>
        <v>0</v>
      </c>
      <c r="N191" s="151">
        <f t="shared" si="41"/>
        <v>0</v>
      </c>
      <c r="O191" s="146">
        <f>SUMIFS(XUẤT!U:U,XUẤT!N:N,CBCNV!B191,XUẤT!O:O,CBCNV!$O$2)</f>
        <v>0</v>
      </c>
      <c r="P191" s="151">
        <f t="shared" si="42"/>
        <v>0</v>
      </c>
      <c r="Q191" s="32"/>
      <c r="R191" s="18"/>
    </row>
    <row r="192" spans="1:18" s="152" customFormat="1" x14ac:dyDescent="0.3">
      <c r="A192" s="149">
        <v>185</v>
      </c>
      <c r="B192" s="10" t="s">
        <v>302</v>
      </c>
      <c r="C192" s="149" t="s">
        <v>170</v>
      </c>
      <c r="D192" s="149" t="s">
        <v>279</v>
      </c>
      <c r="E192" s="146">
        <f>SUMIFS(XUẤT!P:P,XUẤT!N:N,CBCNV!B192,XUẤT!O:O,CBCNV!$E$2)</f>
        <v>20</v>
      </c>
      <c r="F192" s="151">
        <f t="shared" si="37"/>
        <v>1960000</v>
      </c>
      <c r="G192" s="146">
        <f>SUMIFS(XUẤT!Q:Q,XUẤT!N:N,CBCNV!B192,XUẤT!O:O,CBCNV!$G$2)</f>
        <v>0</v>
      </c>
      <c r="H192" s="150">
        <f t="shared" si="38"/>
        <v>0</v>
      </c>
      <c r="I192" s="146">
        <f>SUMIFS(XUẤT!R:R,XUẤT!N:N,CBCNV!B192,XUẤT!O:O,CBCNV!$I$2)</f>
        <v>0</v>
      </c>
      <c r="J192" s="151">
        <f t="shared" si="39"/>
        <v>0</v>
      </c>
      <c r="K192" s="146">
        <f>SUMIFS(XUẤT!S:S,XUẤT!N:N,CBCNV!B192,XUẤT!O:O,CBCNV!$K$2)</f>
        <v>0</v>
      </c>
      <c r="L192" s="151">
        <f t="shared" si="40"/>
        <v>0</v>
      </c>
      <c r="M192" s="146">
        <f>SUMIFS(XUẤT!T:T,XUẤT!N:N,CBCNV!B192,XUẤT!O:O,CBCNV!$M$2)</f>
        <v>0</v>
      </c>
      <c r="N192" s="151">
        <f t="shared" si="41"/>
        <v>0</v>
      </c>
      <c r="O192" s="146">
        <f>SUMIFS(XUẤT!U:U,XUẤT!N:N,CBCNV!B192,XUẤT!O:O,CBCNV!$O$2)</f>
        <v>0</v>
      </c>
      <c r="P192" s="151">
        <f t="shared" si="42"/>
        <v>0</v>
      </c>
      <c r="Q192" s="32"/>
      <c r="R192" s="18"/>
    </row>
    <row r="193" spans="1:18" s="152" customFormat="1" x14ac:dyDescent="0.3">
      <c r="A193" s="149">
        <v>186</v>
      </c>
      <c r="B193" s="10" t="s">
        <v>303</v>
      </c>
      <c r="C193" s="149" t="s">
        <v>170</v>
      </c>
      <c r="D193" s="149" t="s">
        <v>279</v>
      </c>
      <c r="E193" s="146">
        <f>SUMIFS(XUẤT!P:P,XUẤT!N:N,CBCNV!B193,XUẤT!O:O,CBCNV!$E$2)</f>
        <v>0</v>
      </c>
      <c r="F193" s="151">
        <f t="shared" si="37"/>
        <v>0</v>
      </c>
      <c r="G193" s="146">
        <f>SUMIFS(XUẤT!Q:Q,XUẤT!N:N,CBCNV!B193,XUẤT!O:O,CBCNV!$G$2)</f>
        <v>0</v>
      </c>
      <c r="H193" s="150">
        <f t="shared" si="38"/>
        <v>0</v>
      </c>
      <c r="I193" s="146">
        <f>SUMIFS(XUẤT!R:R,XUẤT!N:N,CBCNV!B193,XUẤT!O:O,CBCNV!$I$2)</f>
        <v>0</v>
      </c>
      <c r="J193" s="151">
        <f t="shared" si="39"/>
        <v>0</v>
      </c>
      <c r="K193" s="146">
        <f>SUMIFS(XUẤT!S:S,XUẤT!N:N,CBCNV!B193,XUẤT!O:O,CBCNV!$K$2)</f>
        <v>0</v>
      </c>
      <c r="L193" s="151">
        <f t="shared" si="40"/>
        <v>0</v>
      </c>
      <c r="M193" s="146">
        <f>SUMIFS(XUẤT!T:T,XUẤT!N:N,CBCNV!B193,XUẤT!O:O,CBCNV!$M$2)</f>
        <v>0</v>
      </c>
      <c r="N193" s="151">
        <f t="shared" si="41"/>
        <v>0</v>
      </c>
      <c r="O193" s="146">
        <f>SUMIFS(XUẤT!U:U,XUẤT!N:N,CBCNV!B193,XUẤT!O:O,CBCNV!$O$2)</f>
        <v>0</v>
      </c>
      <c r="P193" s="151">
        <f t="shared" si="42"/>
        <v>0</v>
      </c>
      <c r="Q193" s="32"/>
      <c r="R193" s="18"/>
    </row>
    <row r="194" spans="1:18" s="152" customFormat="1" x14ac:dyDescent="0.3">
      <c r="A194" s="149">
        <v>187</v>
      </c>
      <c r="B194" s="10" t="s">
        <v>304</v>
      </c>
      <c r="C194" s="149" t="s">
        <v>170</v>
      </c>
      <c r="D194" s="149" t="s">
        <v>279</v>
      </c>
      <c r="E194" s="146">
        <f>SUMIFS(XUẤT!P:P,XUẤT!N:N,CBCNV!B194,XUẤT!O:O,CBCNV!$E$2)</f>
        <v>0</v>
      </c>
      <c r="F194" s="151">
        <f t="shared" si="37"/>
        <v>0</v>
      </c>
      <c r="G194" s="146">
        <f>SUMIFS(XUẤT!Q:Q,XUẤT!N:N,CBCNV!B194,XUẤT!O:O,CBCNV!$G$2)</f>
        <v>0</v>
      </c>
      <c r="H194" s="150">
        <f t="shared" si="38"/>
        <v>0</v>
      </c>
      <c r="I194" s="146">
        <f>SUMIFS(XUẤT!R:R,XUẤT!N:N,CBCNV!B194,XUẤT!O:O,CBCNV!$I$2)</f>
        <v>0</v>
      </c>
      <c r="J194" s="151">
        <f t="shared" si="39"/>
        <v>0</v>
      </c>
      <c r="K194" s="146">
        <f>SUMIFS(XUẤT!S:S,XUẤT!N:N,CBCNV!B194,XUẤT!O:O,CBCNV!$K$2)</f>
        <v>0</v>
      </c>
      <c r="L194" s="151">
        <f t="shared" si="40"/>
        <v>0</v>
      </c>
      <c r="M194" s="146">
        <f>SUMIFS(XUẤT!T:T,XUẤT!N:N,CBCNV!B194,XUẤT!O:O,CBCNV!$M$2)</f>
        <v>0</v>
      </c>
      <c r="N194" s="151">
        <f t="shared" si="41"/>
        <v>0</v>
      </c>
      <c r="O194" s="146">
        <f>SUMIFS(XUẤT!U:U,XUẤT!N:N,CBCNV!B194,XUẤT!O:O,CBCNV!$O$2)</f>
        <v>0</v>
      </c>
      <c r="P194" s="151">
        <f t="shared" si="42"/>
        <v>0</v>
      </c>
      <c r="Q194" s="32"/>
      <c r="R194" s="18"/>
    </row>
    <row r="195" spans="1:18" s="152" customFormat="1" x14ac:dyDescent="0.3">
      <c r="A195" s="149">
        <v>188</v>
      </c>
      <c r="B195" s="10" t="s">
        <v>305</v>
      </c>
      <c r="C195" s="149" t="s">
        <v>170</v>
      </c>
      <c r="D195" s="149" t="s">
        <v>279</v>
      </c>
      <c r="E195" s="146">
        <f>SUMIFS(XUẤT!P:P,XUẤT!N:N,CBCNV!B195,XUẤT!O:O,CBCNV!$E$2)</f>
        <v>0</v>
      </c>
      <c r="F195" s="151">
        <f t="shared" si="37"/>
        <v>0</v>
      </c>
      <c r="G195" s="146">
        <f>SUMIFS(XUẤT!Q:Q,XUẤT!N:N,CBCNV!B195,XUẤT!O:O,CBCNV!$G$2)</f>
        <v>0</v>
      </c>
      <c r="H195" s="150">
        <f t="shared" si="38"/>
        <v>0</v>
      </c>
      <c r="I195" s="146">
        <f>SUMIFS(XUẤT!R:R,XUẤT!N:N,CBCNV!B195,XUẤT!O:O,CBCNV!$I$2)</f>
        <v>0</v>
      </c>
      <c r="J195" s="151">
        <f t="shared" si="39"/>
        <v>0</v>
      </c>
      <c r="K195" s="146">
        <f>SUMIFS(XUẤT!S:S,XUẤT!N:N,CBCNV!B195,XUẤT!O:O,CBCNV!$K$2)</f>
        <v>0</v>
      </c>
      <c r="L195" s="151">
        <f t="shared" si="40"/>
        <v>0</v>
      </c>
      <c r="M195" s="146">
        <f>SUMIFS(XUẤT!T:T,XUẤT!N:N,CBCNV!B195,XUẤT!O:O,CBCNV!$M$2)</f>
        <v>0</v>
      </c>
      <c r="N195" s="151">
        <f t="shared" si="41"/>
        <v>0</v>
      </c>
      <c r="O195" s="146">
        <f>SUMIFS(XUẤT!U:U,XUẤT!N:N,CBCNV!B195,XUẤT!O:O,CBCNV!$O$2)</f>
        <v>0</v>
      </c>
      <c r="P195" s="151">
        <f t="shared" si="42"/>
        <v>0</v>
      </c>
      <c r="Q195" s="32"/>
      <c r="R195" s="18"/>
    </row>
    <row r="196" spans="1:18" s="152" customFormat="1" x14ac:dyDescent="0.3">
      <c r="A196" s="149">
        <v>189</v>
      </c>
      <c r="B196" s="10" t="s">
        <v>306</v>
      </c>
      <c r="C196" s="36" t="s">
        <v>170</v>
      </c>
      <c r="D196" s="36" t="s">
        <v>279</v>
      </c>
      <c r="E196" s="146">
        <f>SUMIFS(XUẤT!P:P,XUẤT!N:N,CBCNV!B196,XUẤT!O:O,CBCNV!$E$2)</f>
        <v>0</v>
      </c>
      <c r="F196" s="151">
        <f t="shared" si="37"/>
        <v>0</v>
      </c>
      <c r="G196" s="146">
        <f>SUMIFS(XUẤT!Q:Q,XUẤT!N:N,CBCNV!B196,XUẤT!O:O,CBCNV!$G$2)</f>
        <v>0</v>
      </c>
      <c r="H196" s="150">
        <f t="shared" si="38"/>
        <v>0</v>
      </c>
      <c r="I196" s="146">
        <f>SUMIFS(XUẤT!R:R,XUẤT!N:N,CBCNV!B196,XUẤT!O:O,CBCNV!$I$2)</f>
        <v>0</v>
      </c>
      <c r="J196" s="151">
        <f t="shared" si="39"/>
        <v>0</v>
      </c>
      <c r="K196" s="146">
        <f>SUMIFS(XUẤT!S:S,XUẤT!N:N,CBCNV!B196,XUẤT!O:O,CBCNV!$K$2)</f>
        <v>0</v>
      </c>
      <c r="L196" s="151">
        <f t="shared" si="40"/>
        <v>0</v>
      </c>
      <c r="M196" s="146">
        <f>SUMIFS(XUẤT!T:T,XUẤT!N:N,CBCNV!B196,XUẤT!O:O,CBCNV!$M$2)</f>
        <v>0</v>
      </c>
      <c r="N196" s="151">
        <f t="shared" si="41"/>
        <v>0</v>
      </c>
      <c r="O196" s="146">
        <f>SUMIFS(XUẤT!U:U,XUẤT!N:N,CBCNV!B196,XUẤT!O:O,CBCNV!$O$2)</f>
        <v>0</v>
      </c>
      <c r="P196" s="151">
        <f t="shared" si="42"/>
        <v>0</v>
      </c>
      <c r="Q196" s="32"/>
      <c r="R196" s="18"/>
    </row>
    <row r="197" spans="1:18" s="152" customFormat="1" x14ac:dyDescent="0.3">
      <c r="A197" s="149">
        <v>190</v>
      </c>
      <c r="B197" s="10" t="s">
        <v>307</v>
      </c>
      <c r="C197" s="149" t="s">
        <v>308</v>
      </c>
      <c r="D197" s="149" t="s">
        <v>279</v>
      </c>
      <c r="E197" s="146">
        <f>SUMIFS(XUẤT!P:P,XUẤT!N:N,CBCNV!B197,XUẤT!O:O,CBCNV!$E$2)</f>
        <v>0</v>
      </c>
      <c r="F197" s="151">
        <f t="shared" si="37"/>
        <v>0</v>
      </c>
      <c r="G197" s="146">
        <f>SUMIFS(XUẤT!Q:Q,XUẤT!N:N,CBCNV!B197,XUẤT!O:O,CBCNV!$G$2)</f>
        <v>0</v>
      </c>
      <c r="H197" s="150">
        <f t="shared" si="38"/>
        <v>0</v>
      </c>
      <c r="I197" s="146">
        <f>SUMIFS(XUẤT!R:R,XUẤT!N:N,CBCNV!B197,XUẤT!O:O,CBCNV!$I$2)</f>
        <v>0</v>
      </c>
      <c r="J197" s="151">
        <f t="shared" si="39"/>
        <v>0</v>
      </c>
      <c r="K197" s="146">
        <f>SUMIFS(XUẤT!S:S,XUẤT!N:N,CBCNV!B197,XUẤT!O:O,CBCNV!$K$2)</f>
        <v>0</v>
      </c>
      <c r="L197" s="151">
        <f t="shared" si="40"/>
        <v>0</v>
      </c>
      <c r="M197" s="146">
        <f>SUMIFS(XUẤT!T:T,XUẤT!N:N,CBCNV!B197,XUẤT!O:O,CBCNV!$M$2)</f>
        <v>0</v>
      </c>
      <c r="N197" s="151">
        <f t="shared" si="41"/>
        <v>0</v>
      </c>
      <c r="O197" s="146">
        <f>SUMIFS(XUẤT!U:U,XUẤT!N:N,CBCNV!B197,XUẤT!O:O,CBCNV!$O$2)</f>
        <v>0</v>
      </c>
      <c r="P197" s="151">
        <f t="shared" si="42"/>
        <v>0</v>
      </c>
      <c r="Q197" s="32"/>
      <c r="R197" s="18"/>
    </row>
    <row r="198" spans="1:18" s="152" customFormat="1" x14ac:dyDescent="0.3">
      <c r="A198" s="149">
        <v>191</v>
      </c>
      <c r="B198" s="10" t="s">
        <v>309</v>
      </c>
      <c r="C198" s="149" t="s">
        <v>308</v>
      </c>
      <c r="D198" s="149" t="s">
        <v>279</v>
      </c>
      <c r="E198" s="146">
        <f>SUMIFS(XUẤT!P:P,XUẤT!N:N,CBCNV!B198,XUẤT!O:O,CBCNV!$E$2)</f>
        <v>0</v>
      </c>
      <c r="F198" s="151">
        <f t="shared" si="37"/>
        <v>0</v>
      </c>
      <c r="G198" s="146">
        <f>SUMIFS(XUẤT!Q:Q,XUẤT!N:N,CBCNV!B198,XUẤT!O:O,CBCNV!$G$2)</f>
        <v>0</v>
      </c>
      <c r="H198" s="150">
        <f t="shared" si="38"/>
        <v>0</v>
      </c>
      <c r="I198" s="146">
        <f>SUMIFS(XUẤT!R:R,XUẤT!N:N,CBCNV!B198,XUẤT!O:O,CBCNV!$I$2)</f>
        <v>0</v>
      </c>
      <c r="J198" s="151">
        <f t="shared" si="39"/>
        <v>0</v>
      </c>
      <c r="K198" s="146">
        <f>SUMIFS(XUẤT!S:S,XUẤT!N:N,CBCNV!B198,XUẤT!O:O,CBCNV!$K$2)</f>
        <v>0</v>
      </c>
      <c r="L198" s="151">
        <f t="shared" si="40"/>
        <v>0</v>
      </c>
      <c r="M198" s="146">
        <f>SUMIFS(XUẤT!T:T,XUẤT!N:N,CBCNV!B198,XUẤT!O:O,CBCNV!$M$2)</f>
        <v>0</v>
      </c>
      <c r="N198" s="151">
        <f t="shared" si="41"/>
        <v>0</v>
      </c>
      <c r="O198" s="146">
        <f>SUMIFS(XUẤT!U:U,XUẤT!N:N,CBCNV!B198,XUẤT!O:O,CBCNV!$O$2)</f>
        <v>0</v>
      </c>
      <c r="P198" s="151">
        <f t="shared" si="42"/>
        <v>0</v>
      </c>
      <c r="Q198" s="32"/>
      <c r="R198" s="18"/>
    </row>
    <row r="199" spans="1:18" s="152" customFormat="1" x14ac:dyDescent="0.3">
      <c r="A199" s="149">
        <v>192</v>
      </c>
      <c r="B199" s="10" t="s">
        <v>310</v>
      </c>
      <c r="C199" s="149" t="s">
        <v>189</v>
      </c>
      <c r="D199" s="149" t="s">
        <v>279</v>
      </c>
      <c r="E199" s="146">
        <f>SUMIFS(XUẤT!P:P,XUẤT!N:N,CBCNV!B199,XUẤT!O:O,CBCNV!$E$2)</f>
        <v>0</v>
      </c>
      <c r="F199" s="151">
        <f t="shared" si="37"/>
        <v>0</v>
      </c>
      <c r="G199" s="146">
        <f>SUMIFS(XUẤT!Q:Q,XUẤT!N:N,CBCNV!B199,XUẤT!O:O,CBCNV!$G$2)</f>
        <v>0</v>
      </c>
      <c r="H199" s="150">
        <f t="shared" si="38"/>
        <v>0</v>
      </c>
      <c r="I199" s="146">
        <f>SUMIFS(XUẤT!R:R,XUẤT!N:N,CBCNV!B199,XUẤT!O:O,CBCNV!$I$2)</f>
        <v>0</v>
      </c>
      <c r="J199" s="151">
        <f t="shared" si="39"/>
        <v>0</v>
      </c>
      <c r="K199" s="146">
        <f>SUMIFS(XUẤT!S:S,XUẤT!N:N,CBCNV!B199,XUẤT!O:O,CBCNV!$K$2)</f>
        <v>0</v>
      </c>
      <c r="L199" s="151">
        <f t="shared" si="40"/>
        <v>0</v>
      </c>
      <c r="M199" s="146">
        <f>SUMIFS(XUẤT!T:T,XUẤT!N:N,CBCNV!B199,XUẤT!O:O,CBCNV!$M$2)</f>
        <v>0</v>
      </c>
      <c r="N199" s="151">
        <f t="shared" si="41"/>
        <v>0</v>
      </c>
      <c r="O199" s="146">
        <f>SUMIFS(XUẤT!U:U,XUẤT!N:N,CBCNV!B199,XUẤT!O:O,CBCNV!$O$2)</f>
        <v>0</v>
      </c>
      <c r="P199" s="151">
        <f t="shared" si="42"/>
        <v>0</v>
      </c>
      <c r="Q199" s="32"/>
      <c r="R199" s="18"/>
    </row>
    <row r="200" spans="1:18" s="152" customFormat="1" x14ac:dyDescent="0.3">
      <c r="A200" s="155">
        <v>193</v>
      </c>
      <c r="B200" s="37" t="s">
        <v>311</v>
      </c>
      <c r="C200" s="155" t="s">
        <v>189</v>
      </c>
      <c r="D200" s="155" t="s">
        <v>279</v>
      </c>
      <c r="E200" s="146">
        <f>SUMIFS(XUẤT!P:P,XUẤT!N:N,CBCNV!B200,XUẤT!O:O,CBCNV!$E$2)</f>
        <v>0</v>
      </c>
      <c r="F200" s="157">
        <f t="shared" ref="F200" si="43">E200*$T$10</f>
        <v>0</v>
      </c>
      <c r="G200" s="146">
        <f>SUMIFS(XUẤT!Q:Q,XUẤT!N:N,CBCNV!B200,XUẤT!O:O,CBCNV!$G$2)</f>
        <v>0</v>
      </c>
      <c r="H200" s="156">
        <f t="shared" ref="H200" si="44">G200*$T$8</f>
        <v>0</v>
      </c>
      <c r="I200" s="146">
        <f>SUMIFS(XUẤT!R:R,XUẤT!N:N,CBCNV!B200,XUẤT!O:O,CBCNV!$I$2)</f>
        <v>0</v>
      </c>
      <c r="J200" s="157">
        <f t="shared" ref="J200" si="45">I200*$T$9</f>
        <v>0</v>
      </c>
      <c r="K200" s="146">
        <f>SUMIFS(XUẤT!S:S,XUẤT!N:N,CBCNV!B200,XUẤT!O:O,CBCNV!$K$2)</f>
        <v>0</v>
      </c>
      <c r="L200" s="157">
        <f t="shared" ref="L200" si="46">K200*$T$11</f>
        <v>0</v>
      </c>
      <c r="M200" s="146">
        <f>SUMIFS(XUẤT!T:T,XUẤT!N:N,CBCNV!B200,XUẤT!O:O,CBCNV!$M$2)</f>
        <v>0</v>
      </c>
      <c r="N200" s="157">
        <f t="shared" ref="N200" si="47">M200*$T$12</f>
        <v>0</v>
      </c>
      <c r="O200" s="146">
        <f>SUMIFS(XUẤT!U:U,XUẤT!N:N,CBCNV!B200,XUẤT!O:O,CBCNV!$O$2)</f>
        <v>0</v>
      </c>
      <c r="P200" s="157">
        <f t="shared" ref="P200" si="48">O200*$T$13</f>
        <v>0</v>
      </c>
      <c r="Q200" s="32"/>
      <c r="R200" s="18"/>
    </row>
  </sheetData>
  <autoFilter ref="A6:T200" xr:uid="{00000000-0009-0000-0000-000001000000}"/>
  <mergeCells count="4">
    <mergeCell ref="A1:A3"/>
    <mergeCell ref="B1:B3"/>
    <mergeCell ref="C1:C3"/>
    <mergeCell ref="D1:D3"/>
  </mergeCells>
  <conditionalFormatting sqref="B202:B1048576 B4:B200">
    <cfRule type="duplicateValues" dxfId="13" priority="2"/>
  </conditionalFormatting>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sheetPr>
  <dimension ref="A1:W36"/>
  <sheetViews>
    <sheetView workbookViewId="0">
      <selection sqref="A1:V1"/>
    </sheetView>
  </sheetViews>
  <sheetFormatPr defaultColWidth="8.88671875" defaultRowHeight="18" x14ac:dyDescent="0.35"/>
  <cols>
    <col min="1" max="1" width="6.5546875" style="38" customWidth="1"/>
    <col min="2" max="2" width="15.6640625" style="39" customWidth="1"/>
    <col min="3" max="3" width="15.109375" style="40" customWidth="1"/>
    <col min="4" max="4" width="15.109375" style="41" customWidth="1"/>
    <col min="5" max="6" width="15.109375" style="16" customWidth="1"/>
    <col min="7" max="7" width="15.109375" style="42" customWidth="1"/>
    <col min="8" max="23" width="15.109375" style="39" customWidth="1"/>
    <col min="24" max="16384" width="8.88671875" style="39"/>
  </cols>
  <sheetData>
    <row r="1" spans="1:23" ht="20.399999999999999" x14ac:dyDescent="0.35">
      <c r="A1" s="361" t="s">
        <v>312</v>
      </c>
      <c r="B1" s="361"/>
      <c r="C1" s="361"/>
      <c r="D1" s="361"/>
      <c r="E1" s="361"/>
      <c r="F1" s="361"/>
      <c r="G1" s="361"/>
      <c r="H1" s="361"/>
      <c r="I1" s="361"/>
      <c r="J1" s="361"/>
      <c r="K1" s="361"/>
      <c r="L1" s="361"/>
      <c r="M1" s="361"/>
      <c r="N1" s="361"/>
      <c r="O1" s="361"/>
      <c r="P1" s="361"/>
      <c r="Q1" s="361"/>
      <c r="R1" s="361"/>
      <c r="S1" s="361"/>
      <c r="T1" s="361"/>
      <c r="U1" s="361"/>
      <c r="V1" s="361"/>
    </row>
    <row r="2" spans="1:23" ht="20.399999999999999" x14ac:dyDescent="0.35">
      <c r="A2" s="362" t="s">
        <v>313</v>
      </c>
      <c r="B2" s="362"/>
      <c r="C2" s="362"/>
      <c r="D2" s="362"/>
      <c r="E2" s="362"/>
      <c r="F2" s="362"/>
      <c r="G2" s="362"/>
      <c r="H2" s="362"/>
      <c r="I2" s="362"/>
      <c r="J2" s="362"/>
      <c r="K2" s="362"/>
      <c r="L2" s="362"/>
      <c r="M2" s="362"/>
      <c r="N2" s="362"/>
      <c r="O2" s="362"/>
      <c r="P2" s="362"/>
      <c r="Q2" s="362"/>
      <c r="R2" s="362"/>
      <c r="S2" s="362"/>
      <c r="T2" s="362"/>
      <c r="U2" s="362"/>
      <c r="V2" s="362"/>
    </row>
    <row r="3" spans="1:23" x14ac:dyDescent="0.35">
      <c r="A3" s="363"/>
      <c r="B3" s="363"/>
      <c r="C3" s="363"/>
      <c r="D3" s="363"/>
    </row>
    <row r="4" spans="1:23" s="43" customFormat="1" ht="18.75" customHeight="1" x14ac:dyDescent="0.3">
      <c r="A4" s="364" t="s">
        <v>3</v>
      </c>
      <c r="B4" s="364" t="s">
        <v>4</v>
      </c>
      <c r="C4" s="365" t="s">
        <v>314</v>
      </c>
      <c r="D4" s="365"/>
      <c r="E4" s="365"/>
      <c r="F4" s="365"/>
      <c r="G4" s="365"/>
      <c r="H4" s="365"/>
      <c r="I4" s="365"/>
      <c r="J4" s="365" t="s">
        <v>315</v>
      </c>
      <c r="K4" s="365"/>
      <c r="L4" s="365"/>
      <c r="M4" s="365"/>
      <c r="N4" s="365"/>
      <c r="O4" s="365"/>
      <c r="P4" s="365"/>
      <c r="Q4" s="365" t="s">
        <v>316</v>
      </c>
      <c r="R4" s="365"/>
      <c r="S4" s="365"/>
      <c r="T4" s="365"/>
      <c r="U4" s="365"/>
      <c r="V4" s="365"/>
      <c r="W4" s="365"/>
    </row>
    <row r="5" spans="1:23" s="45" customFormat="1" x14ac:dyDescent="0.3">
      <c r="A5" s="364"/>
      <c r="B5" s="364"/>
      <c r="C5" s="44" t="s">
        <v>29</v>
      </c>
      <c r="D5" s="44" t="s">
        <v>35</v>
      </c>
      <c r="E5" s="44" t="s">
        <v>26</v>
      </c>
      <c r="F5" s="44" t="s">
        <v>38</v>
      </c>
      <c r="G5" s="44" t="s">
        <v>39</v>
      </c>
      <c r="H5" s="44" t="s">
        <v>42</v>
      </c>
      <c r="I5" s="44" t="s">
        <v>23</v>
      </c>
      <c r="J5" s="44" t="s">
        <v>29</v>
      </c>
      <c r="K5" s="44" t="s">
        <v>35</v>
      </c>
      <c r="L5" s="44" t="s">
        <v>26</v>
      </c>
      <c r="M5" s="44" t="s">
        <v>38</v>
      </c>
      <c r="N5" s="44" t="s">
        <v>39</v>
      </c>
      <c r="O5" s="44" t="s">
        <v>42</v>
      </c>
      <c r="P5" s="44" t="s">
        <v>23</v>
      </c>
      <c r="Q5" s="44" t="s">
        <v>29</v>
      </c>
      <c r="R5" s="44" t="s">
        <v>35</v>
      </c>
      <c r="S5" s="44" t="s">
        <v>26</v>
      </c>
      <c r="T5" s="44" t="s">
        <v>38</v>
      </c>
      <c r="U5" s="44" t="s">
        <v>39</v>
      </c>
      <c r="V5" s="44" t="s">
        <v>42</v>
      </c>
      <c r="W5" s="44" t="s">
        <v>23</v>
      </c>
    </row>
    <row r="6" spans="1:23" x14ac:dyDescent="0.35">
      <c r="A6" s="46">
        <v>1</v>
      </c>
      <c r="B6" s="47">
        <v>46266</v>
      </c>
      <c r="C6" s="48"/>
      <c r="D6" s="49"/>
      <c r="E6" s="50"/>
      <c r="F6" s="50"/>
      <c r="G6" s="51"/>
      <c r="H6" s="52"/>
      <c r="I6" s="52"/>
      <c r="J6" s="52">
        <f>SUMIFS(XUẤT!$W:$W,XUẤT!$B:$B,TỒN!$B$12,XUẤT!$O:$O,TỒN!#REF!)</f>
        <v>0</v>
      </c>
      <c r="K6" s="52">
        <f>SUMIFS(XUẤT!$W:$W,XUẤT!$B:$B,TỒN!$B$12,XUẤT!$O:$O,TỒN!#REF!)</f>
        <v>0</v>
      </c>
      <c r="L6" s="52">
        <f>SUMIFS(XUẤT!$W:$W,XUẤT!$B:$B,TỒN!$B$12,XUẤT!$O:$O,TỒN!#REF!)</f>
        <v>0</v>
      </c>
      <c r="M6" s="52">
        <f>SUMIFS(XUẤT!$W:$W,XUẤT!$B:$B,TỒN!$B$12,XUẤT!$O:$O,TỒN!#REF!)</f>
        <v>0</v>
      </c>
      <c r="N6" s="52">
        <f>SUMIFS(XUẤT!$W:$W,XUẤT!$B:$B,TỒN!$B$12,XUẤT!$O:$O,TỒN!#REF!)</f>
        <v>0</v>
      </c>
      <c r="O6" s="52">
        <f>SUMIFS(XUẤT!$W:$W,XUẤT!$B:$B,TỒN!$B$12,XUẤT!$O:$O,TỒN!#REF!)</f>
        <v>0</v>
      </c>
      <c r="P6" s="52">
        <f t="shared" ref="P6:P35" si="0">SUM(J6:O6)</f>
        <v>0</v>
      </c>
      <c r="Q6" s="52"/>
      <c r="R6" s="52"/>
      <c r="S6" s="52"/>
      <c r="T6" s="52"/>
      <c r="U6" s="52"/>
      <c r="V6" s="52"/>
      <c r="W6" s="52"/>
    </row>
    <row r="7" spans="1:23" x14ac:dyDescent="0.35">
      <c r="A7" s="46">
        <v>2</v>
      </c>
      <c r="B7" s="47">
        <v>46267</v>
      </c>
      <c r="C7" s="48"/>
      <c r="D7" s="49"/>
      <c r="E7" s="50"/>
      <c r="F7" s="50"/>
      <c r="G7" s="51"/>
      <c r="H7" s="52"/>
      <c r="I7" s="52"/>
      <c r="J7" s="52">
        <f>SUMIFS(XUẤT!$W:$W,XUẤT!$B:$B,TỒN!$B$12,XUẤT!$O:$O,TỒN!#REF!)</f>
        <v>0</v>
      </c>
      <c r="K7" s="52">
        <f>SUMIFS(XUẤT!$W:$W,XUẤT!$B:$B,TỒN!$B$12,XUẤT!$O:$O,TỒN!#REF!)</f>
        <v>0</v>
      </c>
      <c r="L7" s="52">
        <f>SUMIFS(XUẤT!$W:$W,XUẤT!$B:$B,TỒN!$B$12,XUẤT!$O:$O,TỒN!#REF!)</f>
        <v>0</v>
      </c>
      <c r="M7" s="52">
        <f>SUMIFS(XUẤT!$W:$W,XUẤT!$B:$B,TỒN!$B$12,XUẤT!$O:$O,TỒN!#REF!)</f>
        <v>0</v>
      </c>
      <c r="N7" s="52">
        <f>SUMIFS(XUẤT!$W:$W,XUẤT!$B:$B,TỒN!$B$12,XUẤT!$O:$O,TỒN!#REF!)</f>
        <v>0</v>
      </c>
      <c r="O7" s="52">
        <f>SUMIFS(XUẤT!$W:$W,XUẤT!$B:$B,TỒN!$B$12,XUẤT!$O:$O,TỒN!#REF!)</f>
        <v>0</v>
      </c>
      <c r="P7" s="52">
        <f t="shared" si="0"/>
        <v>0</v>
      </c>
      <c r="Q7" s="52"/>
      <c r="R7" s="52"/>
      <c r="S7" s="52"/>
      <c r="T7" s="52"/>
      <c r="U7" s="52"/>
      <c r="V7" s="52"/>
      <c r="W7" s="52"/>
    </row>
    <row r="8" spans="1:23" x14ac:dyDescent="0.35">
      <c r="A8" s="46">
        <v>3</v>
      </c>
      <c r="B8" s="47">
        <v>46268</v>
      </c>
      <c r="C8" s="48"/>
      <c r="D8" s="49"/>
      <c r="E8" s="50"/>
      <c r="F8" s="50"/>
      <c r="G8" s="51"/>
      <c r="H8" s="52"/>
      <c r="I8" s="52"/>
      <c r="J8" s="52">
        <f>SUMIFS(XUẤT!$W:$W,XUẤT!$B:$B,TỒN!$B$12,XUẤT!$O:$O,TỒN!J1)</f>
        <v>0</v>
      </c>
      <c r="K8" s="52">
        <f>SUMIFS(XUẤT!$W:$W,XUẤT!$B:$B,TỒN!$B$12,XUẤT!$O:$O,TỒN!K1)</f>
        <v>0</v>
      </c>
      <c r="L8" s="52">
        <f>SUMIFS(XUẤT!$W:$W,XUẤT!$B:$B,TỒN!$B$12,XUẤT!$O:$O,TỒN!L1)</f>
        <v>0</v>
      </c>
      <c r="M8" s="52">
        <f>SUMIFS(XUẤT!$W:$W,XUẤT!$B:$B,TỒN!$B$12,XUẤT!$O:$O,TỒN!M1)</f>
        <v>0</v>
      </c>
      <c r="N8" s="52">
        <f>SUMIFS(XUẤT!$W:$W,XUẤT!$B:$B,TỒN!$B$12,XUẤT!$O:$O,TỒN!N1)</f>
        <v>0</v>
      </c>
      <c r="O8" s="52">
        <f>SUMIFS(XUẤT!$W:$W,XUẤT!$B:$B,TỒN!$B$12,XUẤT!$O:$O,TỒN!O1)</f>
        <v>0</v>
      </c>
      <c r="P8" s="52">
        <f t="shared" si="0"/>
        <v>0</v>
      </c>
      <c r="Q8" s="52"/>
      <c r="R8" s="52"/>
      <c r="S8" s="52"/>
      <c r="T8" s="52"/>
      <c r="U8" s="52"/>
      <c r="V8" s="52"/>
      <c r="W8" s="52"/>
    </row>
    <row r="9" spans="1:23" x14ac:dyDescent="0.35">
      <c r="A9" s="46">
        <v>4</v>
      </c>
      <c r="B9" s="47">
        <v>46269</v>
      </c>
      <c r="C9" s="48"/>
      <c r="D9" s="49"/>
      <c r="E9" s="50"/>
      <c r="F9" s="50"/>
      <c r="G9" s="51"/>
      <c r="H9" s="52"/>
      <c r="I9" s="52"/>
      <c r="J9" s="52">
        <f>SUMIFS(XUẤT!$W:$W,XUẤT!$B:$B,TỒN!$B$12,XUẤT!$O:$O,TỒN!J2)</f>
        <v>0</v>
      </c>
      <c r="K9" s="52">
        <f>SUMIFS(XUẤT!$W:$W,XUẤT!$B:$B,TỒN!$B$12,XUẤT!$O:$O,TỒN!K2)</f>
        <v>0</v>
      </c>
      <c r="L9" s="52">
        <f>SUMIFS(XUẤT!$W:$W,XUẤT!$B:$B,TỒN!$B$12,XUẤT!$O:$O,TỒN!L2)</f>
        <v>0</v>
      </c>
      <c r="M9" s="52">
        <f>SUMIFS(XUẤT!$W:$W,XUẤT!$B:$B,TỒN!$B$12,XUẤT!$O:$O,TỒN!M2)</f>
        <v>0</v>
      </c>
      <c r="N9" s="52">
        <f>SUMIFS(XUẤT!$W:$W,XUẤT!$B:$B,TỒN!$B$12,XUẤT!$O:$O,TỒN!N2)</f>
        <v>0</v>
      </c>
      <c r="O9" s="52">
        <f>SUMIFS(XUẤT!$W:$W,XUẤT!$B:$B,TỒN!$B$12,XUẤT!$O:$O,TỒN!O2)</f>
        <v>0</v>
      </c>
      <c r="P9" s="52">
        <f t="shared" si="0"/>
        <v>0</v>
      </c>
      <c r="Q9" s="52"/>
      <c r="R9" s="52"/>
      <c r="S9" s="52"/>
      <c r="T9" s="52"/>
      <c r="U9" s="52"/>
      <c r="V9" s="52"/>
      <c r="W9" s="52"/>
    </row>
    <row r="10" spans="1:23" x14ac:dyDescent="0.35">
      <c r="A10" s="46">
        <v>5</v>
      </c>
      <c r="B10" s="47">
        <v>46270</v>
      </c>
      <c r="C10" s="48"/>
      <c r="D10" s="49"/>
      <c r="E10" s="50"/>
      <c r="F10" s="50"/>
      <c r="G10" s="51"/>
      <c r="H10" s="52"/>
      <c r="I10" s="52"/>
      <c r="J10" s="52">
        <f>SUMIFS(XUẤT!$W:$W,XUẤT!$B:$B,TỒN!$B$12,XUẤT!$O:$O,TỒN!J3)</f>
        <v>0</v>
      </c>
      <c r="K10" s="52">
        <f>SUMIFS(XUẤT!$W:$W,XUẤT!$B:$B,TỒN!$B$12,XUẤT!$O:$O,TỒN!K3)</f>
        <v>0</v>
      </c>
      <c r="L10" s="52">
        <f>SUMIFS(XUẤT!$W:$W,XUẤT!$B:$B,TỒN!$B$12,XUẤT!$O:$O,TỒN!L3)</f>
        <v>0</v>
      </c>
      <c r="M10" s="52">
        <f>SUMIFS(XUẤT!$W:$W,XUẤT!$B:$B,TỒN!$B$12,XUẤT!$O:$O,TỒN!M3)</f>
        <v>0</v>
      </c>
      <c r="N10" s="52">
        <f>SUMIFS(XUẤT!$W:$W,XUẤT!$B:$B,TỒN!$B$12,XUẤT!$O:$O,TỒN!N3)</f>
        <v>0</v>
      </c>
      <c r="O10" s="52">
        <f>SUMIFS(XUẤT!$W:$W,XUẤT!$B:$B,TỒN!$B$12,XUẤT!$O:$O,TỒN!O3)</f>
        <v>0</v>
      </c>
      <c r="P10" s="52">
        <f t="shared" si="0"/>
        <v>0</v>
      </c>
      <c r="Q10" s="52"/>
      <c r="R10" s="52"/>
      <c r="S10" s="52"/>
      <c r="T10" s="52"/>
      <c r="U10" s="52"/>
      <c r="V10" s="52"/>
      <c r="W10" s="52"/>
    </row>
    <row r="11" spans="1:23" x14ac:dyDescent="0.35">
      <c r="A11" s="46">
        <v>6</v>
      </c>
      <c r="B11" s="47">
        <v>46271</v>
      </c>
      <c r="C11" s="48"/>
      <c r="D11" s="49"/>
      <c r="E11" s="50"/>
      <c r="F11" s="50"/>
      <c r="G11" s="51"/>
      <c r="H11" s="52"/>
      <c r="I11" s="52"/>
      <c r="J11" s="52">
        <f>SUMIFS(XUẤT!$W:$W,XUẤT!$B:$B,TỒN!$B$12,XUẤT!$O:$O,TỒN!J4)</f>
        <v>0</v>
      </c>
      <c r="K11" s="52">
        <f>SUMIFS(XUẤT!$W:$W,XUẤT!$B:$B,TỒN!$B$12,XUẤT!$O:$O,TỒN!K4)</f>
        <v>0</v>
      </c>
      <c r="L11" s="52">
        <f>SUMIFS(XUẤT!$W:$W,XUẤT!$B:$B,TỒN!$B$12,XUẤT!$O:$O,TỒN!L4)</f>
        <v>0</v>
      </c>
      <c r="M11" s="52">
        <f>SUMIFS(XUẤT!$W:$W,XUẤT!$B:$B,TỒN!$B$12,XUẤT!$O:$O,TỒN!M4)</f>
        <v>0</v>
      </c>
      <c r="N11" s="52">
        <f>SUMIFS(XUẤT!$W:$W,XUẤT!$B:$B,TỒN!$B$12,XUẤT!$O:$O,TỒN!N4)</f>
        <v>0</v>
      </c>
      <c r="O11" s="52">
        <f>SUMIFS(XUẤT!$W:$W,XUẤT!$B:$B,TỒN!$B$12,XUẤT!$O:$O,TỒN!O4)</f>
        <v>0</v>
      </c>
      <c r="P11" s="52">
        <f t="shared" si="0"/>
        <v>0</v>
      </c>
      <c r="Q11" s="52"/>
      <c r="R11" s="52"/>
      <c r="S11" s="52"/>
      <c r="T11" s="52"/>
      <c r="U11" s="52"/>
      <c r="V11" s="52"/>
      <c r="W11" s="52"/>
    </row>
    <row r="12" spans="1:23" x14ac:dyDescent="0.35">
      <c r="A12" s="46">
        <v>7</v>
      </c>
      <c r="B12" s="47">
        <v>46272</v>
      </c>
      <c r="C12" s="48"/>
      <c r="D12" s="49"/>
      <c r="E12" s="50"/>
      <c r="F12" s="50"/>
      <c r="G12" s="51"/>
      <c r="H12" s="52"/>
      <c r="I12" s="52"/>
      <c r="J12" s="52">
        <f>SUMIFS(XUẤT!$W:$W,XUẤT!$B:$B,TỒN!$B$12,XUẤT!$O:$O,TỒN!J5)</f>
        <v>0</v>
      </c>
      <c r="K12" s="52">
        <f>SUMIFS(XUẤT!$W:$W,XUẤT!$B:$B,TỒN!$B$12,XUẤT!$O:$O,TỒN!K5)</f>
        <v>0</v>
      </c>
      <c r="L12" s="52">
        <f>SUMIFS(XUẤT!$W:$W,XUẤT!$B:$B,TỒN!$B$12,XUẤT!$O:$O,TỒN!L5)</f>
        <v>0</v>
      </c>
      <c r="M12" s="52">
        <f>SUMIFS(XUẤT!$W:$W,XUẤT!$B:$B,TỒN!$B$12,XUẤT!$O:$O,TỒN!M5)</f>
        <v>0</v>
      </c>
      <c r="N12" s="52">
        <f>SUMIFS(XUẤT!$W:$W,XUẤT!$B:$B,TỒN!$B$12,XUẤT!$O:$O,TỒN!N5)</f>
        <v>0</v>
      </c>
      <c r="O12" s="52">
        <f>SUMIFS(XUẤT!$W:$W,XUẤT!$B:$B,TỒN!$B$12,XUẤT!$O:$O,TỒN!O5)</f>
        <v>0</v>
      </c>
      <c r="P12" s="52">
        <f t="shared" si="0"/>
        <v>0</v>
      </c>
      <c r="Q12" s="52"/>
      <c r="R12" s="52"/>
      <c r="S12" s="52"/>
      <c r="T12" s="52"/>
      <c r="U12" s="52"/>
      <c r="V12" s="52"/>
      <c r="W12" s="52"/>
    </row>
    <row r="13" spans="1:23" x14ac:dyDescent="0.35">
      <c r="A13" s="46">
        <v>8</v>
      </c>
      <c r="B13" s="47">
        <v>46273</v>
      </c>
      <c r="C13" s="48"/>
      <c r="D13" s="49"/>
      <c r="E13" s="50"/>
      <c r="F13" s="50"/>
      <c r="G13" s="51"/>
      <c r="H13" s="52"/>
      <c r="I13" s="52"/>
      <c r="J13" s="52">
        <f>SUMIFS(XUẤT!$W:$W,XUẤT!$B:$B,TỒN!$B$12,XUẤT!$O:$O,TỒN!J12)</f>
        <v>0</v>
      </c>
      <c r="K13" s="52">
        <f>SUMIFS(XUẤT!$W:$W,XUẤT!$B:$B,TỒN!$B$12,XUẤT!$O:$O,TỒN!K12)</f>
        <v>0</v>
      </c>
      <c r="L13" s="52">
        <f>SUMIFS(XUẤT!$W:$W,XUẤT!$B:$B,TỒN!$B$12,XUẤT!$O:$O,TỒN!L12)</f>
        <v>0</v>
      </c>
      <c r="M13" s="52">
        <f>SUMIFS(XUẤT!$W:$W,XUẤT!$B:$B,TỒN!$B$12,XUẤT!$O:$O,TỒN!M12)</f>
        <v>0</v>
      </c>
      <c r="N13" s="52">
        <f>SUMIFS(XUẤT!$W:$W,XUẤT!$B:$B,TỒN!$B$12,XUẤT!$O:$O,TỒN!N12)</f>
        <v>0</v>
      </c>
      <c r="O13" s="52">
        <f>SUMIFS(XUẤT!$W:$W,XUẤT!$B:$B,TỒN!$B$12,XUẤT!$O:$O,TỒN!O12)</f>
        <v>0</v>
      </c>
      <c r="P13" s="52">
        <f t="shared" si="0"/>
        <v>0</v>
      </c>
      <c r="Q13" s="52"/>
      <c r="R13" s="52"/>
      <c r="S13" s="52"/>
      <c r="T13" s="52"/>
      <c r="U13" s="52"/>
      <c r="V13" s="52"/>
      <c r="W13" s="52"/>
    </row>
    <row r="14" spans="1:23" x14ac:dyDescent="0.35">
      <c r="A14" s="46">
        <v>9</v>
      </c>
      <c r="B14" s="47">
        <v>46274</v>
      </c>
      <c r="C14" s="48"/>
      <c r="D14" s="49"/>
      <c r="E14" s="50"/>
      <c r="F14" s="50"/>
      <c r="G14" s="51"/>
      <c r="H14" s="52"/>
      <c r="I14" s="52"/>
      <c r="J14" s="52">
        <f>SUMIFS(XUẤT!$W:$W,XUẤT!$B:$B,TỒN!$B$12,XUẤT!$O:$O,TỒN!J13)</f>
        <v>0</v>
      </c>
      <c r="K14" s="52">
        <f>SUMIFS(XUẤT!$W:$W,XUẤT!$B:$B,TỒN!$B$12,XUẤT!$O:$O,TỒN!K13)</f>
        <v>0</v>
      </c>
      <c r="L14" s="52">
        <f>SUMIFS(XUẤT!$W:$W,XUẤT!$B:$B,TỒN!$B$12,XUẤT!$O:$O,TỒN!L13)</f>
        <v>0</v>
      </c>
      <c r="M14" s="52">
        <f>SUMIFS(XUẤT!$W:$W,XUẤT!$B:$B,TỒN!$B$12,XUẤT!$O:$O,TỒN!M13)</f>
        <v>0</v>
      </c>
      <c r="N14" s="52">
        <f>SUMIFS(XUẤT!$W:$W,XUẤT!$B:$B,TỒN!$B$12,XUẤT!$O:$O,TỒN!N13)</f>
        <v>0</v>
      </c>
      <c r="O14" s="52">
        <f>SUMIFS(XUẤT!$W:$W,XUẤT!$B:$B,TỒN!$B$12,XUẤT!$O:$O,TỒN!O13)</f>
        <v>0</v>
      </c>
      <c r="P14" s="52">
        <f t="shared" si="0"/>
        <v>0</v>
      </c>
      <c r="Q14" s="52"/>
      <c r="R14" s="52"/>
      <c r="S14" s="52"/>
      <c r="T14" s="52"/>
      <c r="U14" s="52"/>
      <c r="V14" s="52"/>
      <c r="W14" s="52"/>
    </row>
    <row r="15" spans="1:23" x14ac:dyDescent="0.35">
      <c r="A15" s="46">
        <v>10</v>
      </c>
      <c r="B15" s="47">
        <v>46275</v>
      </c>
      <c r="C15" s="48"/>
      <c r="D15" s="49"/>
      <c r="E15" s="50"/>
      <c r="F15" s="50"/>
      <c r="G15" s="51"/>
      <c r="H15" s="52"/>
      <c r="I15" s="52"/>
      <c r="J15" s="52">
        <f>SUMIFS(XUẤT!$W:$W,XUẤT!$B:$B,TỒN!$B$12,XUẤT!$O:$O,TỒN!J14)</f>
        <v>0</v>
      </c>
      <c r="K15" s="52">
        <f>SUMIFS(XUẤT!$W:$W,XUẤT!$B:$B,TỒN!$B$12,XUẤT!$O:$O,TỒN!K14)</f>
        <v>0</v>
      </c>
      <c r="L15" s="52">
        <f>SUMIFS(XUẤT!$W:$W,XUẤT!$B:$B,TỒN!$B$12,XUẤT!$O:$O,TỒN!L14)</f>
        <v>0</v>
      </c>
      <c r="M15" s="52">
        <f>SUMIFS(XUẤT!$W:$W,XUẤT!$B:$B,TỒN!$B$12,XUẤT!$O:$O,TỒN!M14)</f>
        <v>0</v>
      </c>
      <c r="N15" s="52">
        <f>SUMIFS(XUẤT!$W:$W,XUẤT!$B:$B,TỒN!$B$12,XUẤT!$O:$O,TỒN!N14)</f>
        <v>0</v>
      </c>
      <c r="O15" s="52">
        <f>SUMIFS(XUẤT!$W:$W,XUẤT!$B:$B,TỒN!$B$12,XUẤT!$O:$O,TỒN!O14)</f>
        <v>0</v>
      </c>
      <c r="P15" s="52">
        <f t="shared" si="0"/>
        <v>0</v>
      </c>
      <c r="Q15" s="52"/>
      <c r="R15" s="52"/>
      <c r="S15" s="52"/>
      <c r="T15" s="52"/>
      <c r="U15" s="52"/>
      <c r="V15" s="52"/>
      <c r="W15" s="52"/>
    </row>
    <row r="16" spans="1:23" x14ac:dyDescent="0.35">
      <c r="A16" s="46">
        <v>11</v>
      </c>
      <c r="B16" s="47">
        <v>46276</v>
      </c>
      <c r="C16" s="48"/>
      <c r="D16" s="49"/>
      <c r="E16" s="50"/>
      <c r="F16" s="50"/>
      <c r="G16" s="51"/>
      <c r="H16" s="52"/>
      <c r="I16" s="52"/>
      <c r="J16" s="52">
        <f>SUMIFS(XUẤT!$W:$W,XUẤT!$B:$B,TỒN!$B$12,XUẤT!$O:$O,TỒN!J15)</f>
        <v>0</v>
      </c>
      <c r="K16" s="52">
        <f>SUMIFS(XUẤT!$W:$W,XUẤT!$B:$B,TỒN!$B$12,XUẤT!$O:$O,TỒN!K15)</f>
        <v>0</v>
      </c>
      <c r="L16" s="52">
        <f>SUMIFS(XUẤT!$W:$W,XUẤT!$B:$B,TỒN!$B$12,XUẤT!$O:$O,TỒN!L15)</f>
        <v>0</v>
      </c>
      <c r="M16" s="52">
        <f>SUMIFS(XUẤT!$W:$W,XUẤT!$B:$B,TỒN!$B$12,XUẤT!$O:$O,TỒN!M15)</f>
        <v>0</v>
      </c>
      <c r="N16" s="52">
        <f>SUMIFS(XUẤT!$W:$W,XUẤT!$B:$B,TỒN!$B$12,XUẤT!$O:$O,TỒN!N15)</f>
        <v>0</v>
      </c>
      <c r="O16" s="52">
        <f>SUMIFS(XUẤT!$W:$W,XUẤT!$B:$B,TỒN!$B$12,XUẤT!$O:$O,TỒN!O15)</f>
        <v>0</v>
      </c>
      <c r="P16" s="52">
        <f t="shared" si="0"/>
        <v>0</v>
      </c>
      <c r="Q16" s="52"/>
      <c r="R16" s="52"/>
      <c r="S16" s="52"/>
      <c r="T16" s="52"/>
      <c r="U16" s="52"/>
      <c r="V16" s="52"/>
      <c r="W16" s="52"/>
    </row>
    <row r="17" spans="1:23" x14ac:dyDescent="0.35">
      <c r="A17" s="46">
        <v>12</v>
      </c>
      <c r="B17" s="47">
        <v>46277</v>
      </c>
      <c r="C17" s="48"/>
      <c r="D17" s="49"/>
      <c r="E17" s="50"/>
      <c r="F17" s="50"/>
      <c r="G17" s="51"/>
      <c r="H17" s="52"/>
      <c r="I17" s="52"/>
      <c r="J17" s="52">
        <f>SUMIFS(XUẤT!$W:$W,XUẤT!$B:$B,TỒN!$B$12,XUẤT!$O:$O,TỒN!J16)</f>
        <v>0</v>
      </c>
      <c r="K17" s="52">
        <f>SUMIFS(XUẤT!$W:$W,XUẤT!$B:$B,TỒN!$B$12,XUẤT!$O:$O,TỒN!K16)</f>
        <v>0</v>
      </c>
      <c r="L17" s="52">
        <f>SUMIFS(XUẤT!$W:$W,XUẤT!$B:$B,TỒN!$B$12,XUẤT!$O:$O,TỒN!L16)</f>
        <v>0</v>
      </c>
      <c r="M17" s="52">
        <f>SUMIFS(XUẤT!$W:$W,XUẤT!$B:$B,TỒN!$B$12,XUẤT!$O:$O,TỒN!M16)</f>
        <v>0</v>
      </c>
      <c r="N17" s="52">
        <f>SUMIFS(XUẤT!$W:$W,XUẤT!$B:$B,TỒN!$B$12,XUẤT!$O:$O,TỒN!N16)</f>
        <v>0</v>
      </c>
      <c r="O17" s="52">
        <f>SUMIFS(XUẤT!$W:$W,XUẤT!$B:$B,TỒN!$B$12,XUẤT!$O:$O,TỒN!O16)</f>
        <v>0</v>
      </c>
      <c r="P17" s="52">
        <f t="shared" si="0"/>
        <v>0</v>
      </c>
      <c r="Q17" s="52"/>
      <c r="R17" s="52"/>
      <c r="S17" s="52"/>
      <c r="T17" s="52"/>
      <c r="U17" s="52"/>
      <c r="V17" s="52"/>
      <c r="W17" s="52"/>
    </row>
    <row r="18" spans="1:23" x14ac:dyDescent="0.35">
      <c r="A18" s="46">
        <v>13</v>
      </c>
      <c r="B18" s="47">
        <v>46278</v>
      </c>
      <c r="C18" s="48"/>
      <c r="D18" s="49"/>
      <c r="E18" s="50"/>
      <c r="F18" s="50"/>
      <c r="G18" s="51"/>
      <c r="H18" s="52"/>
      <c r="I18" s="52"/>
      <c r="J18" s="52">
        <f>SUMIFS(XUẤT!$W:$W,XUẤT!$B:$B,TỒN!$B$12,XUẤT!$O:$O,TỒN!J17)</f>
        <v>0</v>
      </c>
      <c r="K18" s="52">
        <f>SUMIFS(XUẤT!$W:$W,XUẤT!$B:$B,TỒN!$B$12,XUẤT!$O:$O,TỒN!K17)</f>
        <v>0</v>
      </c>
      <c r="L18" s="52">
        <f>SUMIFS(XUẤT!$W:$W,XUẤT!$B:$B,TỒN!$B$12,XUẤT!$O:$O,TỒN!L17)</f>
        <v>0</v>
      </c>
      <c r="M18" s="52">
        <f>SUMIFS(XUẤT!$W:$W,XUẤT!$B:$B,TỒN!$B$12,XUẤT!$O:$O,TỒN!M17)</f>
        <v>0</v>
      </c>
      <c r="N18" s="52">
        <f>SUMIFS(XUẤT!$W:$W,XUẤT!$B:$B,TỒN!$B$12,XUẤT!$O:$O,TỒN!N17)</f>
        <v>0</v>
      </c>
      <c r="O18" s="52">
        <f>SUMIFS(XUẤT!$W:$W,XUẤT!$B:$B,TỒN!$B$12,XUẤT!$O:$O,TỒN!O17)</f>
        <v>0</v>
      </c>
      <c r="P18" s="52">
        <f t="shared" si="0"/>
        <v>0</v>
      </c>
      <c r="Q18" s="52"/>
      <c r="R18" s="52"/>
      <c r="S18" s="52"/>
      <c r="T18" s="52"/>
      <c r="U18" s="52"/>
      <c r="V18" s="52"/>
      <c r="W18" s="52"/>
    </row>
    <row r="19" spans="1:23" x14ac:dyDescent="0.35">
      <c r="A19" s="46">
        <v>14</v>
      </c>
      <c r="B19" s="47">
        <v>46279</v>
      </c>
      <c r="C19" s="48"/>
      <c r="D19" s="49"/>
      <c r="E19" s="50"/>
      <c r="F19" s="50"/>
      <c r="G19" s="51"/>
      <c r="H19" s="52"/>
      <c r="I19" s="52"/>
      <c r="J19" s="52">
        <f>SUMIFS(XUẤT!$W:$W,XUẤT!$B:$B,TỒN!$B$12,XUẤT!$O:$O,TỒN!J18)</f>
        <v>0</v>
      </c>
      <c r="K19" s="52">
        <f>SUMIFS(XUẤT!$W:$W,XUẤT!$B:$B,TỒN!$B$12,XUẤT!$O:$O,TỒN!K18)</f>
        <v>0</v>
      </c>
      <c r="L19" s="52">
        <f>SUMIFS(XUẤT!$W:$W,XUẤT!$B:$B,TỒN!$B$12,XUẤT!$O:$O,TỒN!L18)</f>
        <v>0</v>
      </c>
      <c r="M19" s="52">
        <f>SUMIFS(XUẤT!$W:$W,XUẤT!$B:$B,TỒN!$B$12,XUẤT!$O:$O,TỒN!M18)</f>
        <v>0</v>
      </c>
      <c r="N19" s="52">
        <f>SUMIFS(XUẤT!$W:$W,XUẤT!$B:$B,TỒN!$B$12,XUẤT!$O:$O,TỒN!N18)</f>
        <v>0</v>
      </c>
      <c r="O19" s="52">
        <f>SUMIFS(XUẤT!$W:$W,XUẤT!$B:$B,TỒN!$B$12,XUẤT!$O:$O,TỒN!O18)</f>
        <v>0</v>
      </c>
      <c r="P19" s="52">
        <f t="shared" si="0"/>
        <v>0</v>
      </c>
      <c r="Q19" s="52"/>
      <c r="R19" s="52"/>
      <c r="S19" s="52"/>
      <c r="T19" s="52"/>
      <c r="U19" s="52"/>
      <c r="V19" s="52"/>
      <c r="W19" s="52"/>
    </row>
    <row r="20" spans="1:23" x14ac:dyDescent="0.35">
      <c r="A20" s="46">
        <v>15</v>
      </c>
      <c r="B20" s="47">
        <v>46280</v>
      </c>
      <c r="C20" s="48"/>
      <c r="D20" s="49"/>
      <c r="E20" s="50"/>
      <c r="F20" s="50"/>
      <c r="G20" s="51"/>
      <c r="H20" s="52"/>
      <c r="I20" s="52"/>
      <c r="J20" s="52">
        <f>SUMIFS(XUẤT!$W:$W,XUẤT!$B:$B,TỒN!$B$12,XUẤT!$O:$O,TỒN!J19)</f>
        <v>0</v>
      </c>
      <c r="K20" s="52">
        <f>SUMIFS(XUẤT!$W:$W,XUẤT!$B:$B,TỒN!$B$12,XUẤT!$O:$O,TỒN!K19)</f>
        <v>0</v>
      </c>
      <c r="L20" s="52">
        <f>SUMIFS(XUẤT!$W:$W,XUẤT!$B:$B,TỒN!$B$12,XUẤT!$O:$O,TỒN!L19)</f>
        <v>0</v>
      </c>
      <c r="M20" s="52">
        <f>SUMIFS(XUẤT!$W:$W,XUẤT!$B:$B,TỒN!$B$12,XUẤT!$O:$O,TỒN!M19)</f>
        <v>0</v>
      </c>
      <c r="N20" s="52">
        <f>SUMIFS(XUẤT!$W:$W,XUẤT!$B:$B,TỒN!$B$12,XUẤT!$O:$O,TỒN!N19)</f>
        <v>0</v>
      </c>
      <c r="O20" s="52">
        <f>SUMIFS(XUẤT!$W:$W,XUẤT!$B:$B,TỒN!$B$12,XUẤT!$O:$O,TỒN!O19)</f>
        <v>0</v>
      </c>
      <c r="P20" s="52">
        <f t="shared" si="0"/>
        <v>0</v>
      </c>
      <c r="Q20" s="52"/>
      <c r="R20" s="52"/>
      <c r="S20" s="52"/>
      <c r="T20" s="52"/>
      <c r="U20" s="52"/>
      <c r="V20" s="52"/>
      <c r="W20" s="52"/>
    </row>
    <row r="21" spans="1:23" x14ac:dyDescent="0.35">
      <c r="A21" s="46">
        <v>16</v>
      </c>
      <c r="B21" s="47">
        <v>46281</v>
      </c>
      <c r="C21" s="48"/>
      <c r="D21" s="49"/>
      <c r="E21" s="50"/>
      <c r="F21" s="50"/>
      <c r="G21" s="51"/>
      <c r="H21" s="52"/>
      <c r="I21" s="52"/>
      <c r="J21" s="52">
        <f>SUMIFS(XUẤT!$W:$W,XUẤT!$B:$B,TỒN!$B$12,XUẤT!$O:$O,TỒN!J20)</f>
        <v>0</v>
      </c>
      <c r="K21" s="52">
        <f>SUMIFS(XUẤT!$W:$W,XUẤT!$B:$B,TỒN!$B$12,XUẤT!$O:$O,TỒN!K20)</f>
        <v>0</v>
      </c>
      <c r="L21" s="52">
        <f>SUMIFS(XUẤT!$W:$W,XUẤT!$B:$B,TỒN!$B$12,XUẤT!$O:$O,TỒN!L20)</f>
        <v>0</v>
      </c>
      <c r="M21" s="52">
        <f>SUMIFS(XUẤT!$W:$W,XUẤT!$B:$B,TỒN!$B$12,XUẤT!$O:$O,TỒN!M20)</f>
        <v>0</v>
      </c>
      <c r="N21" s="52">
        <f>SUMIFS(XUẤT!$W:$W,XUẤT!$B:$B,TỒN!$B$12,XUẤT!$O:$O,TỒN!N20)</f>
        <v>0</v>
      </c>
      <c r="O21" s="52">
        <f>SUMIFS(XUẤT!$W:$W,XUẤT!$B:$B,TỒN!$B$12,XUẤT!$O:$O,TỒN!O20)</f>
        <v>0</v>
      </c>
      <c r="P21" s="52">
        <f t="shared" si="0"/>
        <v>0</v>
      </c>
      <c r="Q21" s="52"/>
      <c r="R21" s="52"/>
      <c r="S21" s="52"/>
      <c r="T21" s="52"/>
      <c r="U21" s="52"/>
      <c r="V21" s="52"/>
      <c r="W21" s="52"/>
    </row>
    <row r="22" spans="1:23" x14ac:dyDescent="0.35">
      <c r="A22" s="46">
        <v>17</v>
      </c>
      <c r="B22" s="47">
        <v>46282</v>
      </c>
      <c r="C22" s="48"/>
      <c r="D22" s="49"/>
      <c r="E22" s="50"/>
      <c r="F22" s="50"/>
      <c r="G22" s="51"/>
      <c r="H22" s="52"/>
      <c r="I22" s="52"/>
      <c r="J22" s="52">
        <f>SUMIFS(XUẤT!$W:$W,XUẤT!$B:$B,TỒN!$B$12,XUẤT!$O:$O,TỒN!J21)</f>
        <v>0</v>
      </c>
      <c r="K22" s="52">
        <f>SUMIFS(XUẤT!$W:$W,XUẤT!$B:$B,TỒN!$B$12,XUẤT!$O:$O,TỒN!K21)</f>
        <v>0</v>
      </c>
      <c r="L22" s="52">
        <f>SUMIFS(XUẤT!$W:$W,XUẤT!$B:$B,TỒN!$B$12,XUẤT!$O:$O,TỒN!L21)</f>
        <v>0</v>
      </c>
      <c r="M22" s="52">
        <f>SUMIFS(XUẤT!$W:$W,XUẤT!$B:$B,TỒN!$B$12,XUẤT!$O:$O,TỒN!M21)</f>
        <v>0</v>
      </c>
      <c r="N22" s="52">
        <f>SUMIFS(XUẤT!$W:$W,XUẤT!$B:$B,TỒN!$B$12,XUẤT!$O:$O,TỒN!N21)</f>
        <v>0</v>
      </c>
      <c r="O22" s="52">
        <f>SUMIFS(XUẤT!$W:$W,XUẤT!$B:$B,TỒN!$B$12,XUẤT!$O:$O,TỒN!O21)</f>
        <v>0</v>
      </c>
      <c r="P22" s="52">
        <f t="shared" si="0"/>
        <v>0</v>
      </c>
      <c r="Q22" s="52"/>
      <c r="R22" s="52"/>
      <c r="S22" s="52"/>
      <c r="T22" s="52"/>
      <c r="U22" s="52"/>
      <c r="V22" s="52"/>
      <c r="W22" s="52"/>
    </row>
    <row r="23" spans="1:23" x14ac:dyDescent="0.35">
      <c r="A23" s="46">
        <v>18</v>
      </c>
      <c r="B23" s="47">
        <v>46283</v>
      </c>
      <c r="C23" s="48"/>
      <c r="D23" s="49"/>
      <c r="E23" s="50"/>
      <c r="F23" s="50"/>
      <c r="G23" s="51"/>
      <c r="H23" s="52"/>
      <c r="I23" s="52"/>
      <c r="J23" s="52">
        <f>SUMIFS(XUẤT!$W:$W,XUẤT!$B:$B,TỒN!$B$12,XUẤT!$O:$O,TỒN!J22)</f>
        <v>0</v>
      </c>
      <c r="K23" s="52">
        <f>SUMIFS(XUẤT!$W:$W,XUẤT!$B:$B,TỒN!$B$12,XUẤT!$O:$O,TỒN!K22)</f>
        <v>0</v>
      </c>
      <c r="L23" s="52">
        <f>SUMIFS(XUẤT!$W:$W,XUẤT!$B:$B,TỒN!$B$12,XUẤT!$O:$O,TỒN!L22)</f>
        <v>0</v>
      </c>
      <c r="M23" s="52">
        <f>SUMIFS(XUẤT!$W:$W,XUẤT!$B:$B,TỒN!$B$12,XUẤT!$O:$O,TỒN!M22)</f>
        <v>0</v>
      </c>
      <c r="N23" s="52">
        <f>SUMIFS(XUẤT!$W:$W,XUẤT!$B:$B,TỒN!$B$12,XUẤT!$O:$O,TỒN!N22)</f>
        <v>0</v>
      </c>
      <c r="O23" s="52">
        <f>SUMIFS(XUẤT!$W:$W,XUẤT!$B:$B,TỒN!$B$12,XUẤT!$O:$O,TỒN!O22)</f>
        <v>0</v>
      </c>
      <c r="P23" s="52">
        <f t="shared" si="0"/>
        <v>0</v>
      </c>
      <c r="Q23" s="52"/>
      <c r="R23" s="52"/>
      <c r="S23" s="52"/>
      <c r="T23" s="52"/>
      <c r="U23" s="52"/>
      <c r="V23" s="52"/>
      <c r="W23" s="52"/>
    </row>
    <row r="24" spans="1:23" x14ac:dyDescent="0.35">
      <c r="A24" s="46">
        <v>19</v>
      </c>
      <c r="B24" s="47">
        <v>46284</v>
      </c>
      <c r="C24" s="48"/>
      <c r="D24" s="49"/>
      <c r="E24" s="50"/>
      <c r="F24" s="50"/>
      <c r="G24" s="51"/>
      <c r="H24" s="52"/>
      <c r="I24" s="52"/>
      <c r="J24" s="52">
        <f>SUMIFS(XUẤT!$W:$W,XUẤT!$B:$B,TỒN!$B$12,XUẤT!$O:$O,TỒN!J23)</f>
        <v>0</v>
      </c>
      <c r="K24" s="52">
        <f>SUMIFS(XUẤT!$W:$W,XUẤT!$B:$B,TỒN!$B$12,XUẤT!$O:$O,TỒN!K23)</f>
        <v>0</v>
      </c>
      <c r="L24" s="52">
        <f>SUMIFS(XUẤT!$W:$W,XUẤT!$B:$B,TỒN!$B$12,XUẤT!$O:$O,TỒN!L23)</f>
        <v>0</v>
      </c>
      <c r="M24" s="52">
        <f>SUMIFS(XUẤT!$W:$W,XUẤT!$B:$B,TỒN!$B$12,XUẤT!$O:$O,TỒN!M23)</f>
        <v>0</v>
      </c>
      <c r="N24" s="52">
        <f>SUMIFS(XUẤT!$W:$W,XUẤT!$B:$B,TỒN!$B$12,XUẤT!$O:$O,TỒN!N23)</f>
        <v>0</v>
      </c>
      <c r="O24" s="52">
        <f>SUMIFS(XUẤT!$W:$W,XUẤT!$B:$B,TỒN!$B$12,XUẤT!$O:$O,TỒN!O23)</f>
        <v>0</v>
      </c>
      <c r="P24" s="52">
        <f t="shared" si="0"/>
        <v>0</v>
      </c>
      <c r="Q24" s="52"/>
      <c r="R24" s="52"/>
      <c r="S24" s="52"/>
      <c r="T24" s="52"/>
      <c r="U24" s="52"/>
      <c r="V24" s="52"/>
      <c r="W24" s="52"/>
    </row>
    <row r="25" spans="1:23" x14ac:dyDescent="0.35">
      <c r="A25" s="46">
        <v>20</v>
      </c>
      <c r="B25" s="47">
        <v>46285</v>
      </c>
      <c r="C25" s="48"/>
      <c r="D25" s="49"/>
      <c r="E25" s="50"/>
      <c r="F25" s="50"/>
      <c r="G25" s="51"/>
      <c r="H25" s="52"/>
      <c r="I25" s="52"/>
      <c r="J25" s="52">
        <f>SUMIFS(XUẤT!$W:$W,XUẤT!$B:$B,TỒN!$B$12,XUẤT!$O:$O,TỒN!J24)</f>
        <v>0</v>
      </c>
      <c r="K25" s="52">
        <f>SUMIFS(XUẤT!$W:$W,XUẤT!$B:$B,TỒN!$B$12,XUẤT!$O:$O,TỒN!K24)</f>
        <v>0</v>
      </c>
      <c r="L25" s="52">
        <f>SUMIFS(XUẤT!$W:$W,XUẤT!$B:$B,TỒN!$B$12,XUẤT!$O:$O,TỒN!L24)</f>
        <v>0</v>
      </c>
      <c r="M25" s="52">
        <f>SUMIFS(XUẤT!$W:$W,XUẤT!$B:$B,TỒN!$B$12,XUẤT!$O:$O,TỒN!M24)</f>
        <v>0</v>
      </c>
      <c r="N25" s="52">
        <f>SUMIFS(XUẤT!$W:$W,XUẤT!$B:$B,TỒN!$B$12,XUẤT!$O:$O,TỒN!N24)</f>
        <v>0</v>
      </c>
      <c r="O25" s="52">
        <f>SUMIFS(XUẤT!$W:$W,XUẤT!$B:$B,TỒN!$B$12,XUẤT!$O:$O,TỒN!O24)</f>
        <v>0</v>
      </c>
      <c r="P25" s="52">
        <f t="shared" si="0"/>
        <v>0</v>
      </c>
      <c r="Q25" s="52"/>
      <c r="R25" s="52"/>
      <c r="S25" s="52"/>
      <c r="T25" s="52"/>
      <c r="U25" s="52"/>
      <c r="V25" s="52"/>
      <c r="W25" s="52"/>
    </row>
    <row r="26" spans="1:23" x14ac:dyDescent="0.35">
      <c r="A26" s="46">
        <v>21</v>
      </c>
      <c r="B26" s="47">
        <v>46286</v>
      </c>
      <c r="C26" s="48"/>
      <c r="D26" s="49"/>
      <c r="E26" s="50"/>
      <c r="F26" s="50"/>
      <c r="G26" s="51"/>
      <c r="H26" s="52"/>
      <c r="I26" s="52"/>
      <c r="J26" s="52">
        <f>SUMIFS(XUẤT!$W:$W,XUẤT!$B:$B,TỒN!$B$12,XUẤT!$O:$O,TỒN!J25)</f>
        <v>0</v>
      </c>
      <c r="K26" s="52">
        <f>SUMIFS(XUẤT!$W:$W,XUẤT!$B:$B,TỒN!$B$12,XUẤT!$O:$O,TỒN!K25)</f>
        <v>0</v>
      </c>
      <c r="L26" s="52">
        <f>SUMIFS(XUẤT!$W:$W,XUẤT!$B:$B,TỒN!$B$12,XUẤT!$O:$O,TỒN!L25)</f>
        <v>0</v>
      </c>
      <c r="M26" s="52">
        <f>SUMIFS(XUẤT!$W:$W,XUẤT!$B:$B,TỒN!$B$12,XUẤT!$O:$O,TỒN!M25)</f>
        <v>0</v>
      </c>
      <c r="N26" s="52">
        <f>SUMIFS(XUẤT!$W:$W,XUẤT!$B:$B,TỒN!$B$12,XUẤT!$O:$O,TỒN!N25)</f>
        <v>0</v>
      </c>
      <c r="O26" s="52">
        <f>SUMIFS(XUẤT!$W:$W,XUẤT!$B:$B,TỒN!$B$12,XUẤT!$O:$O,TỒN!O25)</f>
        <v>0</v>
      </c>
      <c r="P26" s="52">
        <f t="shared" si="0"/>
        <v>0</v>
      </c>
      <c r="Q26" s="52"/>
      <c r="R26" s="52"/>
      <c r="S26" s="52"/>
      <c r="T26" s="52"/>
      <c r="U26" s="52"/>
      <c r="V26" s="52"/>
      <c r="W26" s="52"/>
    </row>
    <row r="27" spans="1:23" x14ac:dyDescent="0.35">
      <c r="A27" s="46">
        <v>22</v>
      </c>
      <c r="B27" s="47">
        <v>46287</v>
      </c>
      <c r="C27" s="48"/>
      <c r="D27" s="49"/>
      <c r="E27" s="50"/>
      <c r="F27" s="50"/>
      <c r="G27" s="51"/>
      <c r="H27" s="52"/>
      <c r="I27" s="52"/>
      <c r="J27" s="52">
        <f>SUMIFS(XUẤT!$W:$W,XUẤT!$B:$B,TỒN!$B$12,XUẤT!$O:$O,TỒN!J26)</f>
        <v>0</v>
      </c>
      <c r="K27" s="52">
        <f>SUMIFS(XUẤT!$W:$W,XUẤT!$B:$B,TỒN!$B$12,XUẤT!$O:$O,TỒN!K26)</f>
        <v>0</v>
      </c>
      <c r="L27" s="52">
        <f>SUMIFS(XUẤT!$W:$W,XUẤT!$B:$B,TỒN!$B$12,XUẤT!$O:$O,TỒN!L26)</f>
        <v>0</v>
      </c>
      <c r="M27" s="52">
        <f>SUMIFS(XUẤT!$W:$W,XUẤT!$B:$B,TỒN!$B$12,XUẤT!$O:$O,TỒN!M26)</f>
        <v>0</v>
      </c>
      <c r="N27" s="52">
        <f>SUMIFS(XUẤT!$W:$W,XUẤT!$B:$B,TỒN!$B$12,XUẤT!$O:$O,TỒN!N26)</f>
        <v>0</v>
      </c>
      <c r="O27" s="52">
        <f>SUMIFS(XUẤT!$W:$W,XUẤT!$B:$B,TỒN!$B$12,XUẤT!$O:$O,TỒN!O26)</f>
        <v>0</v>
      </c>
      <c r="P27" s="52">
        <f t="shared" si="0"/>
        <v>0</v>
      </c>
      <c r="Q27" s="52"/>
      <c r="R27" s="52"/>
      <c r="S27" s="52"/>
      <c r="T27" s="52"/>
      <c r="U27" s="52"/>
      <c r="V27" s="52"/>
      <c r="W27" s="52"/>
    </row>
    <row r="28" spans="1:23" x14ac:dyDescent="0.35">
      <c r="A28" s="46">
        <v>23</v>
      </c>
      <c r="B28" s="47">
        <v>46288</v>
      </c>
      <c r="C28" s="48"/>
      <c r="D28" s="49"/>
      <c r="E28" s="50"/>
      <c r="F28" s="50"/>
      <c r="G28" s="51"/>
      <c r="H28" s="52"/>
      <c r="I28" s="52"/>
      <c r="J28" s="52">
        <f>SUMIFS(XUẤT!$W:$W,XUẤT!$B:$B,TỒN!$B$12,XUẤT!$O:$O,TỒN!J27)</f>
        <v>0</v>
      </c>
      <c r="K28" s="52">
        <f>SUMIFS(XUẤT!$W:$W,XUẤT!$B:$B,TỒN!$B$12,XUẤT!$O:$O,TỒN!K27)</f>
        <v>0</v>
      </c>
      <c r="L28" s="52">
        <f>SUMIFS(XUẤT!$W:$W,XUẤT!$B:$B,TỒN!$B$12,XUẤT!$O:$O,TỒN!L27)</f>
        <v>0</v>
      </c>
      <c r="M28" s="52">
        <f>SUMIFS(XUẤT!$W:$W,XUẤT!$B:$B,TỒN!$B$12,XUẤT!$O:$O,TỒN!M27)</f>
        <v>0</v>
      </c>
      <c r="N28" s="52">
        <f>SUMIFS(XUẤT!$W:$W,XUẤT!$B:$B,TỒN!$B$12,XUẤT!$O:$O,TỒN!N27)</f>
        <v>0</v>
      </c>
      <c r="O28" s="52">
        <f>SUMIFS(XUẤT!$W:$W,XUẤT!$B:$B,TỒN!$B$12,XUẤT!$O:$O,TỒN!O27)</f>
        <v>0</v>
      </c>
      <c r="P28" s="52">
        <f t="shared" si="0"/>
        <v>0</v>
      </c>
      <c r="Q28" s="52"/>
      <c r="R28" s="52"/>
      <c r="S28" s="52"/>
      <c r="T28" s="52"/>
      <c r="U28" s="52"/>
      <c r="V28" s="52"/>
      <c r="W28" s="52"/>
    </row>
    <row r="29" spans="1:23" x14ac:dyDescent="0.35">
      <c r="A29" s="46">
        <v>24</v>
      </c>
      <c r="B29" s="47">
        <v>46289</v>
      </c>
      <c r="C29" s="48"/>
      <c r="D29" s="49"/>
      <c r="E29" s="50"/>
      <c r="F29" s="50"/>
      <c r="G29" s="51"/>
      <c r="H29" s="52"/>
      <c r="I29" s="52"/>
      <c r="J29" s="52">
        <f>SUMIFS(XUẤT!$W:$W,XUẤT!$B:$B,TỒN!$B$12,XUẤT!$O:$O,TỒN!J28)</f>
        <v>0</v>
      </c>
      <c r="K29" s="52">
        <f>SUMIFS(XUẤT!$W:$W,XUẤT!$B:$B,TỒN!$B$12,XUẤT!$O:$O,TỒN!K28)</f>
        <v>0</v>
      </c>
      <c r="L29" s="52">
        <f>SUMIFS(XUẤT!$W:$W,XUẤT!$B:$B,TỒN!$B$12,XUẤT!$O:$O,TỒN!L28)</f>
        <v>0</v>
      </c>
      <c r="M29" s="52">
        <f>SUMIFS(XUẤT!$W:$W,XUẤT!$B:$B,TỒN!$B$12,XUẤT!$O:$O,TỒN!M28)</f>
        <v>0</v>
      </c>
      <c r="N29" s="52">
        <f>SUMIFS(XUẤT!$W:$W,XUẤT!$B:$B,TỒN!$B$12,XUẤT!$O:$O,TỒN!N28)</f>
        <v>0</v>
      </c>
      <c r="O29" s="52">
        <f>SUMIFS(XUẤT!$W:$W,XUẤT!$B:$B,TỒN!$B$12,XUẤT!$O:$O,TỒN!O28)</f>
        <v>0</v>
      </c>
      <c r="P29" s="52">
        <f t="shared" si="0"/>
        <v>0</v>
      </c>
      <c r="Q29" s="52"/>
      <c r="R29" s="52"/>
      <c r="S29" s="52"/>
      <c r="T29" s="52"/>
      <c r="U29" s="52"/>
      <c r="V29" s="52"/>
      <c r="W29" s="52"/>
    </row>
    <row r="30" spans="1:23" x14ac:dyDescent="0.35">
      <c r="A30" s="46">
        <v>25</v>
      </c>
      <c r="B30" s="47">
        <v>46290</v>
      </c>
      <c r="C30" s="48"/>
      <c r="D30" s="49"/>
      <c r="E30" s="50"/>
      <c r="F30" s="50"/>
      <c r="G30" s="51"/>
      <c r="H30" s="52"/>
      <c r="I30" s="52"/>
      <c r="J30" s="52">
        <f>SUMIFS(XUẤT!$W:$W,XUẤT!$B:$B,TỒN!$B$12,XUẤT!$O:$O,TỒN!J29)</f>
        <v>0</v>
      </c>
      <c r="K30" s="52">
        <f>SUMIFS(XUẤT!$W:$W,XUẤT!$B:$B,TỒN!$B$12,XUẤT!$O:$O,TỒN!K29)</f>
        <v>0</v>
      </c>
      <c r="L30" s="52">
        <f>SUMIFS(XUẤT!$W:$W,XUẤT!$B:$B,TỒN!$B$12,XUẤT!$O:$O,TỒN!L29)</f>
        <v>0</v>
      </c>
      <c r="M30" s="52">
        <f>SUMIFS(XUẤT!$W:$W,XUẤT!$B:$B,TỒN!$B$12,XUẤT!$O:$O,TỒN!M29)</f>
        <v>0</v>
      </c>
      <c r="N30" s="52">
        <f>SUMIFS(XUẤT!$W:$W,XUẤT!$B:$B,TỒN!$B$12,XUẤT!$O:$O,TỒN!N29)</f>
        <v>0</v>
      </c>
      <c r="O30" s="52">
        <f>SUMIFS(XUẤT!$W:$W,XUẤT!$B:$B,TỒN!$B$12,XUẤT!$O:$O,TỒN!O29)</f>
        <v>0</v>
      </c>
      <c r="P30" s="52">
        <f t="shared" si="0"/>
        <v>0</v>
      </c>
      <c r="Q30" s="52"/>
      <c r="R30" s="52"/>
      <c r="S30" s="52"/>
      <c r="T30" s="52"/>
      <c r="U30" s="52"/>
      <c r="V30" s="52"/>
      <c r="W30" s="52"/>
    </row>
    <row r="31" spans="1:23" x14ac:dyDescent="0.35">
      <c r="A31" s="46">
        <v>26</v>
      </c>
      <c r="B31" s="47">
        <v>46291</v>
      </c>
      <c r="C31" s="48"/>
      <c r="D31" s="49"/>
      <c r="E31" s="50"/>
      <c r="F31" s="50"/>
      <c r="G31" s="51"/>
      <c r="H31" s="52"/>
      <c r="I31" s="52"/>
      <c r="J31" s="52">
        <f>SUMIFS(XUẤT!$W:$W,XUẤT!$B:$B,TỒN!$B$12,XUẤT!$O:$O,TỒN!J30)</f>
        <v>0</v>
      </c>
      <c r="K31" s="52">
        <f>SUMIFS(XUẤT!$W:$W,XUẤT!$B:$B,TỒN!$B$12,XUẤT!$O:$O,TỒN!K30)</f>
        <v>0</v>
      </c>
      <c r="L31" s="52">
        <f>SUMIFS(XUẤT!$W:$W,XUẤT!$B:$B,TỒN!$B$12,XUẤT!$O:$O,TỒN!L30)</f>
        <v>0</v>
      </c>
      <c r="M31" s="52">
        <f>SUMIFS(XUẤT!$W:$W,XUẤT!$B:$B,TỒN!$B$12,XUẤT!$O:$O,TỒN!M30)</f>
        <v>0</v>
      </c>
      <c r="N31" s="52">
        <f>SUMIFS(XUẤT!$W:$W,XUẤT!$B:$B,TỒN!$B$12,XUẤT!$O:$O,TỒN!N30)</f>
        <v>0</v>
      </c>
      <c r="O31" s="52">
        <f>SUMIFS(XUẤT!$W:$W,XUẤT!$B:$B,TỒN!$B$12,XUẤT!$O:$O,TỒN!O30)</f>
        <v>0</v>
      </c>
      <c r="P31" s="52">
        <f t="shared" si="0"/>
        <v>0</v>
      </c>
      <c r="Q31" s="52"/>
      <c r="R31" s="52"/>
      <c r="S31" s="52"/>
      <c r="T31" s="52"/>
      <c r="U31" s="52"/>
      <c r="V31" s="52"/>
      <c r="W31" s="52"/>
    </row>
    <row r="32" spans="1:23" x14ac:dyDescent="0.35">
      <c r="A32" s="46">
        <v>27</v>
      </c>
      <c r="B32" s="47">
        <v>46292</v>
      </c>
      <c r="C32" s="48"/>
      <c r="D32" s="49"/>
      <c r="E32" s="50"/>
      <c r="F32" s="50"/>
      <c r="G32" s="51"/>
      <c r="H32" s="52"/>
      <c r="I32" s="52"/>
      <c r="J32" s="52">
        <f>SUMIFS(XUẤT!$W:$W,XUẤT!$B:$B,TỒN!$B$12,XUẤT!$O:$O,TỒN!J31)</f>
        <v>0</v>
      </c>
      <c r="K32" s="52">
        <f>SUMIFS(XUẤT!$W:$W,XUẤT!$B:$B,TỒN!$B$12,XUẤT!$O:$O,TỒN!K31)</f>
        <v>0</v>
      </c>
      <c r="L32" s="52">
        <f>SUMIFS(XUẤT!$W:$W,XUẤT!$B:$B,TỒN!$B$12,XUẤT!$O:$O,TỒN!L31)</f>
        <v>0</v>
      </c>
      <c r="M32" s="52">
        <f>SUMIFS(XUẤT!$W:$W,XUẤT!$B:$B,TỒN!$B$12,XUẤT!$O:$O,TỒN!M31)</f>
        <v>0</v>
      </c>
      <c r="N32" s="52">
        <f>SUMIFS(XUẤT!$W:$W,XUẤT!$B:$B,TỒN!$B$12,XUẤT!$O:$O,TỒN!N31)</f>
        <v>0</v>
      </c>
      <c r="O32" s="52">
        <f>SUMIFS(XUẤT!$W:$W,XUẤT!$B:$B,TỒN!$B$12,XUẤT!$O:$O,TỒN!O31)</f>
        <v>0</v>
      </c>
      <c r="P32" s="52">
        <f t="shared" si="0"/>
        <v>0</v>
      </c>
      <c r="Q32" s="52"/>
      <c r="R32" s="52"/>
      <c r="S32" s="52"/>
      <c r="T32" s="52"/>
      <c r="U32" s="52"/>
      <c r="V32" s="52"/>
      <c r="W32" s="52"/>
    </row>
    <row r="33" spans="1:23" s="53" customFormat="1" x14ac:dyDescent="0.35">
      <c r="A33" s="46">
        <v>28</v>
      </c>
      <c r="B33" s="47">
        <v>46293</v>
      </c>
      <c r="C33" s="48"/>
      <c r="D33" s="49"/>
      <c r="E33" s="50"/>
      <c r="F33" s="50"/>
      <c r="G33" s="51"/>
      <c r="H33" s="52"/>
      <c r="I33" s="52"/>
      <c r="J33" s="52">
        <f>SUMIFS(XUẤT!$W:$W,XUẤT!$B:$B,TỒN!$B$12,XUẤT!$O:$O,TỒN!J32)</f>
        <v>0</v>
      </c>
      <c r="K33" s="52">
        <f>SUMIFS(XUẤT!$W:$W,XUẤT!$B:$B,TỒN!$B$12,XUẤT!$O:$O,TỒN!K32)</f>
        <v>0</v>
      </c>
      <c r="L33" s="52">
        <f>SUMIFS(XUẤT!$W:$W,XUẤT!$B:$B,TỒN!$B$12,XUẤT!$O:$O,TỒN!L32)</f>
        <v>0</v>
      </c>
      <c r="M33" s="52">
        <f>SUMIFS(XUẤT!$W:$W,XUẤT!$B:$B,TỒN!$B$12,XUẤT!$O:$O,TỒN!M32)</f>
        <v>0</v>
      </c>
      <c r="N33" s="52">
        <f>SUMIFS(XUẤT!$W:$W,XUẤT!$B:$B,TỒN!$B$12,XUẤT!$O:$O,TỒN!N32)</f>
        <v>0</v>
      </c>
      <c r="O33" s="52">
        <f>SUMIFS(XUẤT!$W:$W,XUẤT!$B:$B,TỒN!$B$12,XUẤT!$O:$O,TỒN!O32)</f>
        <v>0</v>
      </c>
      <c r="P33" s="52">
        <f t="shared" si="0"/>
        <v>0</v>
      </c>
      <c r="Q33" s="52"/>
      <c r="R33" s="52"/>
      <c r="S33" s="52"/>
      <c r="T33" s="52"/>
      <c r="U33" s="52"/>
      <c r="V33" s="52"/>
      <c r="W33" s="52"/>
    </row>
    <row r="34" spans="1:23" x14ac:dyDescent="0.35">
      <c r="A34" s="46">
        <v>29</v>
      </c>
      <c r="B34" s="47">
        <v>46294</v>
      </c>
      <c r="C34" s="48"/>
      <c r="D34" s="49"/>
      <c r="E34" s="50"/>
      <c r="F34" s="50"/>
      <c r="G34" s="51"/>
      <c r="H34" s="52"/>
      <c r="I34" s="52"/>
      <c r="J34" s="52">
        <f>SUMIFS(XUẤT!$W:$W,XUẤT!$B:$B,TỒN!$B$12,XUẤT!$O:$O,TỒN!J33)</f>
        <v>0</v>
      </c>
      <c r="K34" s="52">
        <f>SUMIFS(XUẤT!$W:$W,XUẤT!$B:$B,TỒN!$B$12,XUẤT!$O:$O,TỒN!K33)</f>
        <v>0</v>
      </c>
      <c r="L34" s="52">
        <f>SUMIFS(XUẤT!$W:$W,XUẤT!$B:$B,TỒN!$B$12,XUẤT!$O:$O,TỒN!L33)</f>
        <v>0</v>
      </c>
      <c r="M34" s="52">
        <f>SUMIFS(XUẤT!$W:$W,XUẤT!$B:$B,TỒN!$B$12,XUẤT!$O:$O,TỒN!M33)</f>
        <v>0</v>
      </c>
      <c r="N34" s="52">
        <f>SUMIFS(XUẤT!$W:$W,XUẤT!$B:$B,TỒN!$B$12,XUẤT!$O:$O,TỒN!N33)</f>
        <v>0</v>
      </c>
      <c r="O34" s="52">
        <f>SUMIFS(XUẤT!$W:$W,XUẤT!$B:$B,TỒN!$B$12,XUẤT!$O:$O,TỒN!O33)</f>
        <v>0</v>
      </c>
      <c r="P34" s="52">
        <f t="shared" si="0"/>
        <v>0</v>
      </c>
      <c r="Q34" s="52"/>
      <c r="R34" s="52"/>
      <c r="S34" s="52"/>
      <c r="T34" s="52"/>
      <c r="U34" s="52"/>
      <c r="V34" s="52"/>
      <c r="W34" s="52"/>
    </row>
    <row r="35" spans="1:23" x14ac:dyDescent="0.35">
      <c r="A35" s="46">
        <v>30</v>
      </c>
      <c r="B35" s="47">
        <v>46295</v>
      </c>
      <c r="C35" s="48"/>
      <c r="D35" s="49"/>
      <c r="E35" s="50"/>
      <c r="F35" s="50"/>
      <c r="G35" s="51"/>
      <c r="H35" s="52"/>
      <c r="I35" s="52"/>
      <c r="J35" s="52">
        <f>SUMIFS(XUẤT!$W:$W,XUẤT!$B:$B,TỒN!$B$12,XUẤT!$O:$O,TỒN!J34)</f>
        <v>0</v>
      </c>
      <c r="K35" s="52">
        <f>SUMIFS(XUẤT!$W:$W,XUẤT!$B:$B,TỒN!$B$12,XUẤT!$O:$O,TỒN!K34)</f>
        <v>0</v>
      </c>
      <c r="L35" s="52">
        <f>SUMIFS(XUẤT!$W:$W,XUẤT!$B:$B,TỒN!$B$12,XUẤT!$O:$O,TỒN!L34)</f>
        <v>0</v>
      </c>
      <c r="M35" s="52">
        <f>SUMIFS(XUẤT!$W:$W,XUẤT!$B:$B,TỒN!$B$12,XUẤT!$O:$O,TỒN!M34)</f>
        <v>0</v>
      </c>
      <c r="N35" s="52">
        <f>SUMIFS(XUẤT!$W:$W,XUẤT!$B:$B,TỒN!$B$12,XUẤT!$O:$O,TỒN!N34)</f>
        <v>0</v>
      </c>
      <c r="O35" s="52">
        <f>SUMIFS(XUẤT!$W:$W,XUẤT!$B:$B,TỒN!$B$12,XUẤT!$O:$O,TỒN!O34)</f>
        <v>0</v>
      </c>
      <c r="P35" s="52">
        <f t="shared" si="0"/>
        <v>0</v>
      </c>
      <c r="Q35" s="52"/>
      <c r="R35" s="52"/>
      <c r="S35" s="52"/>
      <c r="T35" s="52"/>
      <c r="U35" s="52"/>
      <c r="V35" s="52"/>
      <c r="W35" s="52"/>
    </row>
    <row r="36" spans="1:23" x14ac:dyDescent="0.35">
      <c r="A36" s="54"/>
      <c r="B36" s="55" t="s">
        <v>23</v>
      </c>
      <c r="C36" s="56">
        <f t="shared" ref="C36:W36" si="1">SUM(C12:C35)</f>
        <v>0</v>
      </c>
      <c r="D36" s="56">
        <f t="shared" si="1"/>
        <v>0</v>
      </c>
      <c r="E36" s="56">
        <f t="shared" si="1"/>
        <v>0</v>
      </c>
      <c r="F36" s="56">
        <f t="shared" si="1"/>
        <v>0</v>
      </c>
      <c r="G36" s="56">
        <f t="shared" si="1"/>
        <v>0</v>
      </c>
      <c r="H36" s="56">
        <f t="shared" si="1"/>
        <v>0</v>
      </c>
      <c r="I36" s="56">
        <f t="shared" si="1"/>
        <v>0</v>
      </c>
      <c r="J36" s="56">
        <f t="shared" si="1"/>
        <v>0</v>
      </c>
      <c r="K36" s="56">
        <f t="shared" si="1"/>
        <v>0</v>
      </c>
      <c r="L36" s="56">
        <f t="shared" si="1"/>
        <v>0</v>
      </c>
      <c r="M36" s="56">
        <f t="shared" si="1"/>
        <v>0</v>
      </c>
      <c r="N36" s="56">
        <f t="shared" si="1"/>
        <v>0</v>
      </c>
      <c r="O36" s="56">
        <f t="shared" si="1"/>
        <v>0</v>
      </c>
      <c r="P36" s="56">
        <f t="shared" si="1"/>
        <v>0</v>
      </c>
      <c r="Q36" s="56">
        <f t="shared" si="1"/>
        <v>0</v>
      </c>
      <c r="R36" s="56">
        <f t="shared" si="1"/>
        <v>0</v>
      </c>
      <c r="S36" s="56">
        <f t="shared" si="1"/>
        <v>0</v>
      </c>
      <c r="T36" s="56">
        <f t="shared" si="1"/>
        <v>0</v>
      </c>
      <c r="U36" s="56">
        <f t="shared" si="1"/>
        <v>0</v>
      </c>
      <c r="V36" s="56">
        <f t="shared" si="1"/>
        <v>0</v>
      </c>
      <c r="W36" s="56">
        <f t="shared" si="1"/>
        <v>0</v>
      </c>
    </row>
  </sheetData>
  <mergeCells count="8">
    <mergeCell ref="A1:V1"/>
    <mergeCell ref="A2:V2"/>
    <mergeCell ref="A3:D3"/>
    <mergeCell ref="A4:A5"/>
    <mergeCell ref="B4:B5"/>
    <mergeCell ref="C4:I4"/>
    <mergeCell ref="J4:P4"/>
    <mergeCell ref="Q4:W4"/>
  </mergeCells>
  <pageMargins left="0.7" right="0.7" top="0.75" bottom="0.75"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70C0"/>
  </sheetPr>
  <dimension ref="A1:M28"/>
  <sheetViews>
    <sheetView workbookViewId="0">
      <selection sqref="A1:J1"/>
    </sheetView>
  </sheetViews>
  <sheetFormatPr defaultColWidth="9.109375" defaultRowHeight="18" x14ac:dyDescent="0.3"/>
  <cols>
    <col min="1" max="1" width="6.5546875" style="57" customWidth="1"/>
    <col min="2" max="2" width="27" style="57" customWidth="1"/>
    <col min="3" max="3" width="18.109375" style="57" customWidth="1"/>
    <col min="4" max="4" width="20.6640625" style="57" customWidth="1"/>
    <col min="5" max="5" width="18.5546875" style="57" customWidth="1"/>
    <col min="6" max="6" width="24.109375" style="57" customWidth="1"/>
    <col min="7" max="7" width="8.109375" style="57" customWidth="1"/>
    <col min="8" max="8" width="13.109375" style="57" customWidth="1"/>
    <col min="9" max="9" width="14.44140625" style="57" customWidth="1"/>
    <col min="10" max="10" width="30" style="57" customWidth="1"/>
    <col min="11" max="11" width="9.109375" style="58"/>
    <col min="12" max="12" width="36.44140625" style="58" customWidth="1"/>
    <col min="13" max="16384" width="9.109375" style="58"/>
  </cols>
  <sheetData>
    <row r="1" spans="1:13" ht="27" customHeight="1" x14ac:dyDescent="0.3">
      <c r="A1" s="366" t="s">
        <v>317</v>
      </c>
      <c r="B1" s="366"/>
      <c r="C1" s="366"/>
      <c r="D1" s="366"/>
      <c r="E1" s="366"/>
      <c r="F1" s="366"/>
      <c r="G1" s="366"/>
      <c r="H1" s="366"/>
      <c r="I1" s="366"/>
      <c r="J1" s="366"/>
    </row>
    <row r="3" spans="1:13" ht="19.649999999999999" customHeight="1" x14ac:dyDescent="0.3">
      <c r="A3" s="44" t="s">
        <v>3</v>
      </c>
      <c r="B3" s="44" t="s">
        <v>318</v>
      </c>
      <c r="C3" s="44" t="s">
        <v>76</v>
      </c>
      <c r="D3" s="44" t="s">
        <v>319</v>
      </c>
      <c r="E3" s="44" t="s">
        <v>320</v>
      </c>
      <c r="F3" s="44" t="s">
        <v>321</v>
      </c>
      <c r="H3" s="367" t="s">
        <v>322</v>
      </c>
      <c r="I3" s="367"/>
      <c r="J3" s="367"/>
    </row>
    <row r="4" spans="1:13" x14ac:dyDescent="0.3">
      <c r="A4" s="59" t="s">
        <v>323</v>
      </c>
      <c r="B4" s="60" t="s">
        <v>324</v>
      </c>
      <c r="C4" s="60"/>
      <c r="D4" s="60"/>
      <c r="E4" s="60"/>
      <c r="F4" s="60"/>
      <c r="H4" s="61" t="s">
        <v>4</v>
      </c>
      <c r="I4" s="61" t="s">
        <v>325</v>
      </c>
      <c r="J4" s="61" t="s">
        <v>8</v>
      </c>
      <c r="L4" s="13" t="s">
        <v>124</v>
      </c>
      <c r="M4" s="58">
        <f t="shared" ref="M4:M10" si="0">COUNTIFS($J$5:$J$28,L4)</f>
        <v>4</v>
      </c>
    </row>
    <row r="5" spans="1:13" x14ac:dyDescent="0.3">
      <c r="A5" s="9">
        <v>1</v>
      </c>
      <c r="B5" s="8" t="s">
        <v>37</v>
      </c>
      <c r="C5" s="9" t="s">
        <v>326</v>
      </c>
      <c r="D5" s="9" t="s">
        <v>173</v>
      </c>
      <c r="E5" s="9" t="s">
        <v>327</v>
      </c>
      <c r="F5" s="9" t="s">
        <v>328</v>
      </c>
      <c r="H5" s="9">
        <v>7</v>
      </c>
      <c r="I5" s="9">
        <v>2</v>
      </c>
      <c r="J5" s="13" t="s">
        <v>124</v>
      </c>
      <c r="L5" s="13" t="s">
        <v>126</v>
      </c>
      <c r="M5" s="58">
        <f t="shared" si="0"/>
        <v>3</v>
      </c>
    </row>
    <row r="6" spans="1:13" ht="18.75" customHeight="1" x14ac:dyDescent="0.3">
      <c r="A6" s="9">
        <v>2</v>
      </c>
      <c r="B6" s="8" t="s">
        <v>329</v>
      </c>
      <c r="C6" s="368" t="s">
        <v>330</v>
      </c>
      <c r="D6" s="9" t="s">
        <v>331</v>
      </c>
      <c r="E6" s="9" t="s">
        <v>332</v>
      </c>
      <c r="F6" s="9"/>
      <c r="H6" s="9">
        <v>8</v>
      </c>
      <c r="I6" s="9">
        <v>3</v>
      </c>
      <c r="J6" s="13" t="s">
        <v>126</v>
      </c>
      <c r="L6" s="13" t="s">
        <v>127</v>
      </c>
      <c r="M6" s="58">
        <f t="shared" si="0"/>
        <v>4</v>
      </c>
    </row>
    <row r="7" spans="1:13" x14ac:dyDescent="0.3">
      <c r="A7" s="9">
        <v>3</v>
      </c>
      <c r="B7" s="8" t="s">
        <v>277</v>
      </c>
      <c r="C7" s="368"/>
      <c r="D7" s="9" t="s">
        <v>333</v>
      </c>
      <c r="E7" s="9" t="s">
        <v>334</v>
      </c>
      <c r="F7" s="9"/>
      <c r="H7" s="9">
        <v>9</v>
      </c>
      <c r="I7" s="9">
        <v>4</v>
      </c>
      <c r="J7" s="13" t="s">
        <v>127</v>
      </c>
      <c r="L7" s="13" t="s">
        <v>128</v>
      </c>
      <c r="M7" s="58">
        <f t="shared" si="0"/>
        <v>3</v>
      </c>
    </row>
    <row r="8" spans="1:13" ht="18.75" customHeight="1" x14ac:dyDescent="0.3">
      <c r="A8" s="9">
        <v>4</v>
      </c>
      <c r="B8" s="13" t="s">
        <v>124</v>
      </c>
      <c r="C8" s="368" t="s">
        <v>335</v>
      </c>
      <c r="D8" s="9" t="s">
        <v>336</v>
      </c>
      <c r="E8" s="9" t="s">
        <v>337</v>
      </c>
      <c r="F8" s="9"/>
      <c r="H8" s="9">
        <v>10</v>
      </c>
      <c r="I8" s="9">
        <v>5</v>
      </c>
      <c r="J8" s="13" t="s">
        <v>128</v>
      </c>
      <c r="L8" s="13" t="s">
        <v>338</v>
      </c>
      <c r="M8" s="58">
        <f t="shared" si="0"/>
        <v>3</v>
      </c>
    </row>
    <row r="9" spans="1:13" x14ac:dyDescent="0.3">
      <c r="A9" s="9">
        <v>5</v>
      </c>
      <c r="B9" s="13" t="s">
        <v>127</v>
      </c>
      <c r="C9" s="368"/>
      <c r="D9" s="9" t="s">
        <v>339</v>
      </c>
      <c r="E9" s="9" t="s">
        <v>340</v>
      </c>
      <c r="F9" s="9"/>
      <c r="H9" s="9">
        <v>11</v>
      </c>
      <c r="I9" s="9">
        <v>6</v>
      </c>
      <c r="J9" s="13" t="s">
        <v>130</v>
      </c>
      <c r="L9" s="13" t="s">
        <v>226</v>
      </c>
      <c r="M9" s="58">
        <f t="shared" si="0"/>
        <v>2</v>
      </c>
    </row>
    <row r="10" spans="1:13" x14ac:dyDescent="0.3">
      <c r="A10" s="9">
        <v>6</v>
      </c>
      <c r="B10" s="13" t="s">
        <v>126</v>
      </c>
      <c r="C10" s="368"/>
      <c r="D10" s="9" t="s">
        <v>336</v>
      </c>
      <c r="E10" s="9" t="s">
        <v>341</v>
      </c>
      <c r="F10" s="9"/>
      <c r="H10" s="9">
        <v>12</v>
      </c>
      <c r="I10" s="9">
        <v>7</v>
      </c>
      <c r="J10" s="13" t="s">
        <v>338</v>
      </c>
      <c r="L10" s="13" t="s">
        <v>130</v>
      </c>
      <c r="M10" s="58">
        <f t="shared" si="0"/>
        <v>4</v>
      </c>
    </row>
    <row r="11" spans="1:13" x14ac:dyDescent="0.3">
      <c r="A11" s="9">
        <v>7</v>
      </c>
      <c r="B11" s="13" t="s">
        <v>338</v>
      </c>
      <c r="C11" s="368"/>
      <c r="D11" s="9" t="s">
        <v>342</v>
      </c>
      <c r="E11" s="9" t="s">
        <v>343</v>
      </c>
      <c r="F11" s="9"/>
      <c r="H11" s="11"/>
      <c r="I11" s="11"/>
      <c r="J11" s="12"/>
    </row>
    <row r="12" spans="1:13" x14ac:dyDescent="0.3">
      <c r="A12" s="9">
        <v>8</v>
      </c>
      <c r="B12" s="13" t="s">
        <v>128</v>
      </c>
      <c r="C12" s="368"/>
      <c r="D12" s="9" t="s">
        <v>345</v>
      </c>
      <c r="E12" s="9" t="s">
        <v>346</v>
      </c>
      <c r="F12" s="9"/>
      <c r="H12" s="9">
        <v>14</v>
      </c>
      <c r="I12" s="9">
        <v>2</v>
      </c>
      <c r="J12" s="13" t="s">
        <v>128</v>
      </c>
    </row>
    <row r="13" spans="1:13" ht="36" x14ac:dyDescent="0.3">
      <c r="A13" s="9">
        <v>9</v>
      </c>
      <c r="B13" s="13" t="s">
        <v>130</v>
      </c>
      <c r="C13" s="368"/>
      <c r="D13" s="9" t="s">
        <v>336</v>
      </c>
      <c r="E13" s="9" t="s">
        <v>347</v>
      </c>
      <c r="F13" s="9"/>
      <c r="H13" s="263">
        <v>15</v>
      </c>
      <c r="I13" s="263">
        <v>3</v>
      </c>
      <c r="J13" s="264" t="s">
        <v>124</v>
      </c>
      <c r="K13" s="265" t="s">
        <v>550</v>
      </c>
    </row>
    <row r="14" spans="1:13" x14ac:dyDescent="0.3">
      <c r="A14" s="9">
        <v>10</v>
      </c>
      <c r="B14" s="13" t="s">
        <v>226</v>
      </c>
      <c r="C14" s="368"/>
      <c r="D14" s="9" t="s">
        <v>348</v>
      </c>
      <c r="E14" s="9" t="s">
        <v>349</v>
      </c>
      <c r="F14" s="9"/>
      <c r="H14" s="9">
        <v>16</v>
      </c>
      <c r="I14" s="9">
        <v>4</v>
      </c>
      <c r="J14" s="13" t="s">
        <v>127</v>
      </c>
    </row>
    <row r="15" spans="1:13" x14ac:dyDescent="0.3">
      <c r="A15" s="9">
        <v>11</v>
      </c>
      <c r="B15" s="8" t="s">
        <v>201</v>
      </c>
      <c r="C15" s="9" t="s">
        <v>192</v>
      </c>
      <c r="D15" s="9" t="s">
        <v>345</v>
      </c>
      <c r="E15" s="9" t="s">
        <v>350</v>
      </c>
      <c r="F15" s="9" t="s">
        <v>351</v>
      </c>
      <c r="H15" s="9">
        <v>17</v>
      </c>
      <c r="I15" s="9">
        <v>5</v>
      </c>
      <c r="J15" s="264" t="s">
        <v>226</v>
      </c>
    </row>
    <row r="16" spans="1:13" x14ac:dyDescent="0.3">
      <c r="A16" s="9">
        <v>12</v>
      </c>
      <c r="B16" s="7" t="s">
        <v>41</v>
      </c>
      <c r="C16" s="9" t="s">
        <v>154</v>
      </c>
      <c r="D16" s="9" t="s">
        <v>154</v>
      </c>
      <c r="E16" s="9" t="s">
        <v>352</v>
      </c>
      <c r="F16" s="9" t="s">
        <v>353</v>
      </c>
      <c r="H16" s="9">
        <v>18</v>
      </c>
      <c r="I16" s="9">
        <v>6</v>
      </c>
      <c r="J16" s="13" t="s">
        <v>338</v>
      </c>
    </row>
    <row r="17" spans="1:12" ht="36" x14ac:dyDescent="0.3">
      <c r="A17" s="9">
        <v>13</v>
      </c>
      <c r="B17" s="8" t="s">
        <v>48</v>
      </c>
      <c r="C17" s="9" t="s">
        <v>238</v>
      </c>
      <c r="D17" s="9"/>
      <c r="E17" s="9" t="s">
        <v>354</v>
      </c>
      <c r="F17" s="9" t="s">
        <v>238</v>
      </c>
      <c r="H17" s="263">
        <v>19</v>
      </c>
      <c r="I17" s="263">
        <v>7</v>
      </c>
      <c r="J17" s="264" t="s">
        <v>126</v>
      </c>
      <c r="K17" s="265" t="s">
        <v>550</v>
      </c>
    </row>
    <row r="18" spans="1:12" x14ac:dyDescent="0.3">
      <c r="A18" s="9">
        <v>14</v>
      </c>
      <c r="B18" s="8" t="s">
        <v>46</v>
      </c>
      <c r="C18" s="9" t="s">
        <v>214</v>
      </c>
      <c r="D18" s="9"/>
      <c r="E18" s="9" t="s">
        <v>355</v>
      </c>
      <c r="F18" s="9" t="s">
        <v>214</v>
      </c>
      <c r="H18" s="11">
        <v>20</v>
      </c>
      <c r="I18" s="317" t="s">
        <v>344</v>
      </c>
      <c r="J18" s="13" t="s">
        <v>130</v>
      </c>
      <c r="L18" s="316" t="s">
        <v>684</v>
      </c>
    </row>
    <row r="19" spans="1:12" ht="36" x14ac:dyDescent="0.3">
      <c r="A19" s="9">
        <v>15</v>
      </c>
      <c r="B19" s="8" t="s">
        <v>278</v>
      </c>
      <c r="C19" s="9" t="s">
        <v>279</v>
      </c>
      <c r="D19" s="9"/>
      <c r="E19" s="9" t="s">
        <v>356</v>
      </c>
      <c r="F19" s="9" t="s">
        <v>279</v>
      </c>
      <c r="H19" s="263">
        <v>21</v>
      </c>
      <c r="I19" s="317">
        <v>2</v>
      </c>
      <c r="J19" s="264" t="s">
        <v>126</v>
      </c>
      <c r="K19" s="265" t="s">
        <v>550</v>
      </c>
      <c r="L19" s="316" t="s">
        <v>684</v>
      </c>
    </row>
    <row r="20" spans="1:12" x14ac:dyDescent="0.3">
      <c r="A20" s="59" t="s">
        <v>357</v>
      </c>
      <c r="B20" s="60" t="s">
        <v>358</v>
      </c>
      <c r="C20" s="60"/>
      <c r="D20" s="60"/>
      <c r="E20" s="60"/>
      <c r="F20" s="60"/>
      <c r="H20" s="9">
        <v>22</v>
      </c>
      <c r="I20" s="9">
        <v>3</v>
      </c>
      <c r="J20" s="13" t="s">
        <v>338</v>
      </c>
    </row>
    <row r="21" spans="1:12" ht="36" x14ac:dyDescent="0.3">
      <c r="A21" s="9">
        <v>1</v>
      </c>
      <c r="B21" s="13" t="s">
        <v>225</v>
      </c>
      <c r="C21" s="9"/>
      <c r="D21" s="9" t="s">
        <v>348</v>
      </c>
      <c r="E21" s="9" t="s">
        <v>359</v>
      </c>
      <c r="F21" s="9"/>
      <c r="H21" s="9">
        <v>23</v>
      </c>
      <c r="I21" s="9">
        <v>4</v>
      </c>
      <c r="J21" s="13" t="s">
        <v>226</v>
      </c>
    </row>
    <row r="22" spans="1:12" x14ac:dyDescent="0.3">
      <c r="A22" s="9">
        <v>2</v>
      </c>
      <c r="B22" s="13" t="s">
        <v>132</v>
      </c>
      <c r="C22" s="9"/>
      <c r="D22" s="9" t="s">
        <v>173</v>
      </c>
      <c r="E22" s="9" t="s">
        <v>360</v>
      </c>
      <c r="F22" s="9"/>
      <c r="H22" s="9">
        <v>24</v>
      </c>
      <c r="I22" s="9">
        <v>5</v>
      </c>
      <c r="J22" s="13" t="s">
        <v>127</v>
      </c>
    </row>
    <row r="23" spans="1:12" x14ac:dyDescent="0.3">
      <c r="H23" s="9">
        <v>25</v>
      </c>
      <c r="I23" s="9">
        <v>6</v>
      </c>
      <c r="J23" s="13" t="s">
        <v>130</v>
      </c>
    </row>
    <row r="24" spans="1:12" x14ac:dyDescent="0.3">
      <c r="A24" s="62" t="s">
        <v>3</v>
      </c>
      <c r="B24" s="2" t="s">
        <v>361</v>
      </c>
      <c r="H24" s="9">
        <v>26</v>
      </c>
      <c r="I24" s="9">
        <v>7</v>
      </c>
      <c r="J24" s="13" t="s">
        <v>128</v>
      </c>
    </row>
    <row r="25" spans="1:12" x14ac:dyDescent="0.3">
      <c r="A25" s="9">
        <v>1</v>
      </c>
      <c r="B25" s="8" t="s">
        <v>362</v>
      </c>
      <c r="H25" s="11">
        <v>27</v>
      </c>
      <c r="I25" s="11" t="s">
        <v>344</v>
      </c>
      <c r="J25" s="12" t="s">
        <v>124</v>
      </c>
    </row>
    <row r="26" spans="1:12" x14ac:dyDescent="0.3">
      <c r="A26" s="9">
        <v>2</v>
      </c>
      <c r="B26" s="8" t="s">
        <v>363</v>
      </c>
      <c r="H26" s="9">
        <v>28</v>
      </c>
      <c r="I26" s="9">
        <v>2</v>
      </c>
      <c r="J26" s="13" t="s">
        <v>130</v>
      </c>
    </row>
    <row r="27" spans="1:12" x14ac:dyDescent="0.3">
      <c r="A27" s="9">
        <v>3</v>
      </c>
      <c r="B27" s="8" t="s">
        <v>364</v>
      </c>
      <c r="H27" s="9">
        <v>29</v>
      </c>
      <c r="I27" s="9">
        <v>3</v>
      </c>
      <c r="J27" s="13" t="s">
        <v>124</v>
      </c>
    </row>
    <row r="28" spans="1:12" x14ac:dyDescent="0.3">
      <c r="A28" s="9">
        <v>4</v>
      </c>
      <c r="B28" s="8" t="s">
        <v>365</v>
      </c>
      <c r="H28" s="9">
        <v>30</v>
      </c>
      <c r="I28" s="9">
        <v>4</v>
      </c>
      <c r="J28" s="13" t="s">
        <v>127</v>
      </c>
    </row>
  </sheetData>
  <mergeCells count="4">
    <mergeCell ref="A1:J1"/>
    <mergeCell ref="H3:J3"/>
    <mergeCell ref="C6:C7"/>
    <mergeCell ref="C8:C14"/>
  </mergeCells>
  <pageMargins left="0.7" right="0.7" top="0.17" bottom="0.75" header="0.17" footer="0.511811023622047"/>
  <pageSetup paperSize="9"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C000"/>
  </sheetPr>
  <dimension ref="A1:H162"/>
  <sheetViews>
    <sheetView workbookViewId="0">
      <selection sqref="A1:E1"/>
    </sheetView>
  </sheetViews>
  <sheetFormatPr defaultColWidth="9.109375" defaultRowHeight="18" x14ac:dyDescent="0.35"/>
  <cols>
    <col min="1" max="1" width="9.109375" style="63"/>
    <col min="2" max="2" width="34.88671875" style="64" customWidth="1"/>
    <col min="3" max="3" width="21" style="64" customWidth="1"/>
    <col min="4" max="4" width="11.6640625" style="64" customWidth="1"/>
    <col min="5" max="5" width="16" style="64" customWidth="1"/>
    <col min="6" max="6" width="18.109375" style="64" customWidth="1"/>
    <col min="7" max="7" width="9.109375" style="64"/>
    <col min="8" max="8" width="32.6640625" style="64" customWidth="1"/>
    <col min="9" max="16384" width="9.109375" style="64"/>
  </cols>
  <sheetData>
    <row r="1" spans="1:5" x14ac:dyDescent="0.35">
      <c r="A1" s="369" t="s">
        <v>366</v>
      </c>
      <c r="B1" s="369"/>
      <c r="C1" s="369"/>
      <c r="D1" s="369"/>
      <c r="E1" s="369"/>
    </row>
    <row r="2" spans="1:5" x14ac:dyDescent="0.35">
      <c r="A2" s="370" t="s">
        <v>313</v>
      </c>
      <c r="B2" s="370"/>
      <c r="C2" s="370"/>
      <c r="D2" s="370"/>
      <c r="E2" s="370"/>
    </row>
    <row r="4" spans="1:5" s="53" customFormat="1" ht="17.399999999999999" x14ac:dyDescent="0.3">
      <c r="A4" s="3" t="s">
        <v>3</v>
      </c>
      <c r="B4" s="65" t="s">
        <v>8</v>
      </c>
      <c r="C4" s="3" t="s">
        <v>76</v>
      </c>
      <c r="D4" s="3" t="s">
        <v>7</v>
      </c>
      <c r="E4" s="3" t="s">
        <v>17</v>
      </c>
    </row>
    <row r="5" spans="1:5" x14ac:dyDescent="0.35">
      <c r="A5" s="66">
        <v>1</v>
      </c>
      <c r="B5" s="67" t="s">
        <v>33</v>
      </c>
      <c r="C5" s="68"/>
      <c r="D5" s="69">
        <f>SUMIFS(XUẤT!AB:AB,XUẤT!AA:AA,'Vận chuyển'!B5)</f>
        <v>0</v>
      </c>
      <c r="E5" s="70">
        <f t="shared" ref="E5:E32" si="0">D5*5000</f>
        <v>0</v>
      </c>
    </row>
    <row r="6" spans="1:5" ht="18.75" customHeight="1" x14ac:dyDescent="0.35">
      <c r="A6" s="71">
        <v>2</v>
      </c>
      <c r="B6" s="72" t="s">
        <v>37</v>
      </c>
      <c r="C6" s="73" t="s">
        <v>326</v>
      </c>
      <c r="D6" s="69">
        <f>SUMIFS(XUẤT!AB:AB,XUẤT!AA:AA,'Vận chuyển'!B6)</f>
        <v>284</v>
      </c>
      <c r="E6" s="74">
        <f t="shared" si="0"/>
        <v>1420000</v>
      </c>
    </row>
    <row r="7" spans="1:5" ht="18.75" customHeight="1" x14ac:dyDescent="0.35">
      <c r="A7" s="71">
        <v>3</v>
      </c>
      <c r="B7" s="143" t="s">
        <v>330</v>
      </c>
      <c r="C7" s="73" t="s">
        <v>330</v>
      </c>
      <c r="D7" s="69">
        <f>SUMIFS(XUẤT!AB:AB,XUẤT!AA:AA,'Vận chuyển'!B7)</f>
        <v>24</v>
      </c>
      <c r="E7" s="74">
        <f t="shared" si="0"/>
        <v>120000</v>
      </c>
    </row>
    <row r="8" spans="1:5" ht="18.75" customHeight="1" x14ac:dyDescent="0.35">
      <c r="A8" s="71">
        <v>5</v>
      </c>
      <c r="B8" s="75" t="s">
        <v>124</v>
      </c>
      <c r="C8" s="371" t="s">
        <v>335</v>
      </c>
      <c r="D8" s="69">
        <f>SUMIFS(XUẤT!AB:AB,XUẤT!AA:AA,'Vận chuyển'!B8)</f>
        <v>0</v>
      </c>
      <c r="E8" s="74">
        <f t="shared" si="0"/>
        <v>0</v>
      </c>
    </row>
    <row r="9" spans="1:5" x14ac:dyDescent="0.35">
      <c r="A9" s="71">
        <v>6</v>
      </c>
      <c r="B9" s="75" t="s">
        <v>127</v>
      </c>
      <c r="C9" s="371"/>
      <c r="D9" s="69">
        <f>SUMIFS(XUẤT!AB:AB,XUẤT!AA:AA,'Vận chuyển'!B9)</f>
        <v>1</v>
      </c>
      <c r="E9" s="74">
        <f t="shared" si="0"/>
        <v>5000</v>
      </c>
    </row>
    <row r="10" spans="1:5" x14ac:dyDescent="0.35">
      <c r="A10" s="71">
        <v>7</v>
      </c>
      <c r="B10" s="245" t="s">
        <v>126</v>
      </c>
      <c r="C10" s="371"/>
      <c r="D10" s="69">
        <f>SUMIFS(XUẤT!AB:AB,XUẤT!AA:AA,'Vận chuyển'!B10)</f>
        <v>21</v>
      </c>
      <c r="E10" s="74">
        <f t="shared" si="0"/>
        <v>105000</v>
      </c>
    </row>
    <row r="11" spans="1:5" x14ac:dyDescent="0.35">
      <c r="A11" s="71">
        <v>8</v>
      </c>
      <c r="B11" s="245" t="s">
        <v>338</v>
      </c>
      <c r="C11" s="371"/>
      <c r="D11" s="69">
        <f>SUMIFS(XUẤT!AB:AB,XUẤT!AA:AA,'Vận chuyển'!B11)</f>
        <v>0</v>
      </c>
      <c r="E11" s="74">
        <f t="shared" si="0"/>
        <v>0</v>
      </c>
    </row>
    <row r="12" spans="1:5" x14ac:dyDescent="0.35">
      <c r="A12" s="71">
        <v>9</v>
      </c>
      <c r="B12" s="245" t="s">
        <v>128</v>
      </c>
      <c r="C12" s="371"/>
      <c r="D12" s="69">
        <f>SUMIFS(XUẤT!AB:AB,XUẤT!AA:AA,'Vận chuyển'!B12)</f>
        <v>10</v>
      </c>
      <c r="E12" s="74">
        <f t="shared" si="0"/>
        <v>50000</v>
      </c>
    </row>
    <row r="13" spans="1:5" x14ac:dyDescent="0.35">
      <c r="A13" s="71">
        <v>10</v>
      </c>
      <c r="B13" s="245" t="s">
        <v>130</v>
      </c>
      <c r="C13" s="371"/>
      <c r="D13" s="69">
        <f>SUMIFS(XUẤT!AB:AB,XUẤT!AA:AA,'Vận chuyển'!B13)</f>
        <v>5</v>
      </c>
      <c r="E13" s="74">
        <f t="shared" si="0"/>
        <v>25000</v>
      </c>
    </row>
    <row r="14" spans="1:5" x14ac:dyDescent="0.35">
      <c r="A14" s="71">
        <v>11</v>
      </c>
      <c r="B14" s="75" t="s">
        <v>226</v>
      </c>
      <c r="C14" s="371"/>
      <c r="D14" s="69">
        <f>SUMIFS(XUẤT!AB:AB,XUẤT!AA:AA,'Vận chuyển'!B14)</f>
        <v>0</v>
      </c>
      <c r="E14" s="74">
        <f t="shared" si="0"/>
        <v>0</v>
      </c>
    </row>
    <row r="15" spans="1:5" x14ac:dyDescent="0.35">
      <c r="A15" s="71">
        <v>12</v>
      </c>
      <c r="B15" s="143" t="s">
        <v>201</v>
      </c>
      <c r="C15" s="73" t="s">
        <v>192</v>
      </c>
      <c r="D15" s="69">
        <f>SUMIFS(XUẤT!AB:AB,XUẤT!AA:AA,'Vận chuyển'!B15)</f>
        <v>22</v>
      </c>
      <c r="E15" s="74">
        <f>D15*5000</f>
        <v>110000</v>
      </c>
    </row>
    <row r="16" spans="1:5" x14ac:dyDescent="0.35">
      <c r="A16" s="71">
        <v>13</v>
      </c>
      <c r="B16" s="10" t="s">
        <v>41</v>
      </c>
      <c r="C16" s="73" t="s">
        <v>154</v>
      </c>
      <c r="D16" s="69">
        <f>SUMIFS(XUẤT!AB:AB,XUẤT!AA:AA,'Vận chuyển'!B16)</f>
        <v>28</v>
      </c>
      <c r="E16" s="74">
        <f t="shared" si="0"/>
        <v>140000</v>
      </c>
    </row>
    <row r="17" spans="1:8" x14ac:dyDescent="0.35">
      <c r="A17" s="71">
        <v>14</v>
      </c>
      <c r="B17" s="143" t="s">
        <v>48</v>
      </c>
      <c r="C17" s="73" t="s">
        <v>238</v>
      </c>
      <c r="D17" s="69">
        <f>SUMIFS(XUẤT!AB:AB,XUẤT!AA:AA,'Vận chuyển'!B17)</f>
        <v>25</v>
      </c>
      <c r="E17" s="74">
        <f t="shared" si="0"/>
        <v>125000</v>
      </c>
    </row>
    <row r="18" spans="1:8" x14ac:dyDescent="0.35">
      <c r="A18" s="71">
        <v>15</v>
      </c>
      <c r="B18" s="72" t="s">
        <v>46</v>
      </c>
      <c r="C18" s="73" t="s">
        <v>214</v>
      </c>
      <c r="D18" s="69">
        <f>SUMIFS(XUẤT!AB:AB,XUẤT!AA:AA,'Vận chuyển'!B18)</f>
        <v>83</v>
      </c>
      <c r="E18" s="74">
        <f t="shared" si="0"/>
        <v>415000</v>
      </c>
    </row>
    <row r="19" spans="1:8" s="53" customFormat="1" x14ac:dyDescent="0.35">
      <c r="A19" s="71">
        <v>16</v>
      </c>
      <c r="B19" s="72" t="s">
        <v>278</v>
      </c>
      <c r="C19" s="73" t="s">
        <v>279</v>
      </c>
      <c r="D19" s="69">
        <f>SUMIFS(XUẤT!AB:AB,XUẤT!AA:AA,'Vận chuyển'!B19)</f>
        <v>0</v>
      </c>
      <c r="E19" s="74">
        <f t="shared" si="0"/>
        <v>0</v>
      </c>
      <c r="F19" s="64"/>
      <c r="G19" s="64"/>
      <c r="H19" s="64"/>
    </row>
    <row r="20" spans="1:8" x14ac:dyDescent="0.35">
      <c r="A20" s="76">
        <v>17</v>
      </c>
      <c r="B20" s="37" t="s">
        <v>50</v>
      </c>
      <c r="C20" s="77"/>
      <c r="D20" s="69">
        <f>SUMIFS(XUẤT!AB:AB,XUẤT!AA:AA,'Vận chuyển'!B20)</f>
        <v>2</v>
      </c>
      <c r="E20" s="78">
        <f t="shared" si="0"/>
        <v>10000</v>
      </c>
    </row>
    <row r="21" spans="1:8" x14ac:dyDescent="0.35">
      <c r="A21" s="218">
        <v>18</v>
      </c>
      <c r="B21" s="219" t="s">
        <v>134</v>
      </c>
      <c r="C21" s="220" t="s">
        <v>80</v>
      </c>
      <c r="D21" s="69">
        <f>SUMIFS(XUẤT!AB:AB,XUẤT!AA:AA,'Vận chuyển'!B21)</f>
        <v>0</v>
      </c>
      <c r="E21" s="78">
        <f t="shared" si="0"/>
        <v>0</v>
      </c>
    </row>
    <row r="22" spans="1:8" x14ac:dyDescent="0.35">
      <c r="A22" s="218">
        <v>18</v>
      </c>
      <c r="B22" s="221" t="s">
        <v>190</v>
      </c>
      <c r="C22" s="220" t="s">
        <v>173</v>
      </c>
      <c r="D22" s="69">
        <f>SUMIFS(XUẤT!AB:AB,XUẤT!AA:AA,'Vận chuyển'!B22)</f>
        <v>17</v>
      </c>
      <c r="E22" s="78">
        <f t="shared" si="0"/>
        <v>85000</v>
      </c>
    </row>
    <row r="23" spans="1:8" x14ac:dyDescent="0.35">
      <c r="A23" s="218">
        <v>19</v>
      </c>
      <c r="B23" s="10" t="s">
        <v>183</v>
      </c>
      <c r="C23" s="220" t="s">
        <v>173</v>
      </c>
      <c r="D23" s="69">
        <f>SUMIFS(XUẤT!AB:AB,XUẤT!AA:AA,'Vận chuyển'!B23)</f>
        <v>2</v>
      </c>
      <c r="E23" s="78">
        <f t="shared" si="0"/>
        <v>10000</v>
      </c>
    </row>
    <row r="24" spans="1:8" x14ac:dyDescent="0.35">
      <c r="A24" s="218">
        <v>20</v>
      </c>
      <c r="B24" s="231" t="s">
        <v>55</v>
      </c>
      <c r="C24" s="220" t="s">
        <v>173</v>
      </c>
      <c r="D24" s="69">
        <f>SUMIFS(XUẤT!AB:AB,XUẤT!AA:AA,'Vận chuyển'!B24)</f>
        <v>8</v>
      </c>
      <c r="E24" s="78">
        <f t="shared" si="0"/>
        <v>40000</v>
      </c>
    </row>
    <row r="25" spans="1:8" x14ac:dyDescent="0.35">
      <c r="A25" s="218">
        <v>21</v>
      </c>
      <c r="B25" s="231" t="s">
        <v>88</v>
      </c>
      <c r="C25" s="73" t="s">
        <v>326</v>
      </c>
      <c r="D25" s="69">
        <f>SUMIFS(XUẤT!AB:AB,XUẤT!AA:AA,'Vận chuyển'!B25)</f>
        <v>20</v>
      </c>
      <c r="E25" s="78">
        <f t="shared" si="0"/>
        <v>100000</v>
      </c>
    </row>
    <row r="26" spans="1:8" x14ac:dyDescent="0.35">
      <c r="A26" s="218">
        <v>22</v>
      </c>
      <c r="B26" s="231" t="s">
        <v>229</v>
      </c>
      <c r="C26" s="234" t="s">
        <v>214</v>
      </c>
      <c r="D26" s="69">
        <f>SUMIFS(XUẤT!AB:AB,XUẤT!AA:AA,'Vận chuyển'!B26)</f>
        <v>2</v>
      </c>
      <c r="E26" s="78">
        <f t="shared" si="0"/>
        <v>10000</v>
      </c>
    </row>
    <row r="27" spans="1:8" x14ac:dyDescent="0.35">
      <c r="A27" s="218">
        <v>23</v>
      </c>
      <c r="B27" s="231" t="s">
        <v>527</v>
      </c>
      <c r="C27" s="234" t="s">
        <v>80</v>
      </c>
      <c r="D27" s="69">
        <f>SUMIFS(XUẤT!AB:AB,XUẤT!AA:AA,'Vận chuyển'!B27)</f>
        <v>4</v>
      </c>
      <c r="E27" s="78">
        <f t="shared" si="0"/>
        <v>20000</v>
      </c>
    </row>
    <row r="28" spans="1:8" x14ac:dyDescent="0.35">
      <c r="A28" s="218">
        <v>24</v>
      </c>
      <c r="B28" s="33" t="s">
        <v>102</v>
      </c>
      <c r="C28" s="234" t="s">
        <v>80</v>
      </c>
      <c r="D28" s="69">
        <f>SUMIFS(XUẤT!AB:AB,XUẤT!AA:AA,'Vận chuyển'!B28)</f>
        <v>10</v>
      </c>
      <c r="E28" s="78">
        <f t="shared" si="0"/>
        <v>50000</v>
      </c>
    </row>
    <row r="29" spans="1:8" x14ac:dyDescent="0.35">
      <c r="A29" s="218">
        <v>25</v>
      </c>
      <c r="B29" s="10" t="s">
        <v>254</v>
      </c>
      <c r="C29" s="73" t="s">
        <v>238</v>
      </c>
      <c r="D29" s="69">
        <f>SUMIFS(XUẤT!AB:AB,XUẤT!AA:AA,'Vận chuyển'!B29)</f>
        <v>3</v>
      </c>
      <c r="E29" s="78">
        <f t="shared" si="0"/>
        <v>15000</v>
      </c>
    </row>
    <row r="30" spans="1:8" x14ac:dyDescent="0.35">
      <c r="A30" s="218">
        <v>26</v>
      </c>
      <c r="B30" s="231" t="s">
        <v>36</v>
      </c>
      <c r="C30" s="73" t="s">
        <v>238</v>
      </c>
      <c r="D30" s="69">
        <f>SUMIFS(XUẤT!AB:AB,XUẤT!AA:AA,'Vận chuyển'!B30)</f>
        <v>20</v>
      </c>
      <c r="E30" s="78">
        <f t="shared" si="0"/>
        <v>100000</v>
      </c>
    </row>
    <row r="31" spans="1:8" x14ac:dyDescent="0.35">
      <c r="A31" s="218">
        <v>27</v>
      </c>
      <c r="B31" s="231" t="s">
        <v>122</v>
      </c>
      <c r="C31" s="73" t="s">
        <v>238</v>
      </c>
      <c r="D31" s="69">
        <f>SUMIFS(XUẤT!AB:AB,XUẤT!AA:AA,'Vận chuyển'!B31)</f>
        <v>1</v>
      </c>
      <c r="E31" s="78">
        <f t="shared" si="0"/>
        <v>5000</v>
      </c>
    </row>
    <row r="32" spans="1:8" x14ac:dyDescent="0.35">
      <c r="A32" s="218">
        <v>28</v>
      </c>
      <c r="B32" s="221" t="s">
        <v>211</v>
      </c>
      <c r="C32" s="73" t="s">
        <v>192</v>
      </c>
      <c r="D32" s="69">
        <f>SUMIFS(XUẤT!AB:AB,XUẤT!AA:AA,'Vận chuyển'!B32)</f>
        <v>2</v>
      </c>
      <c r="E32" s="78">
        <f t="shared" si="0"/>
        <v>10000</v>
      </c>
    </row>
    <row r="33" spans="1:8" x14ac:dyDescent="0.35">
      <c r="A33" s="218">
        <v>29</v>
      </c>
      <c r="B33" s="10" t="s">
        <v>188</v>
      </c>
      <c r="D33" s="69">
        <f>SUMIFS(XUẤT!AB:AB,XUẤT!AA:AA,'Vận chuyển'!B33)</f>
        <v>3</v>
      </c>
      <c r="E33" s="78">
        <f t="shared" ref="E33:E37" si="1">D33*5000</f>
        <v>15000</v>
      </c>
    </row>
    <row r="34" spans="1:8" x14ac:dyDescent="0.35">
      <c r="A34" s="218">
        <v>30</v>
      </c>
      <c r="B34" s="10" t="s">
        <v>126</v>
      </c>
      <c r="C34" s="64" t="s">
        <v>335</v>
      </c>
      <c r="D34" s="69">
        <f>SUMIFS(XUẤT!AB:AB,XUẤT!AA:AA,'Vận chuyển'!B34)</f>
        <v>21</v>
      </c>
      <c r="E34" s="78">
        <f t="shared" si="1"/>
        <v>105000</v>
      </c>
    </row>
    <row r="35" spans="1:8" x14ac:dyDescent="0.35">
      <c r="A35" s="218">
        <v>31</v>
      </c>
      <c r="B35" s="7" t="s">
        <v>209</v>
      </c>
      <c r="D35" s="69">
        <f>SUMIFS(XUẤT!AB:AB,XUẤT!AA:AA,'Vận chuyển'!B35)</f>
        <v>10</v>
      </c>
      <c r="E35" s="78">
        <f t="shared" si="1"/>
        <v>50000</v>
      </c>
    </row>
    <row r="36" spans="1:8" x14ac:dyDescent="0.35">
      <c r="A36" s="218">
        <v>32</v>
      </c>
      <c r="B36" s="7" t="s">
        <v>225</v>
      </c>
      <c r="D36" s="69">
        <f>SUMIFS(XUẤT!AB:AB,XUẤT!AA:AA,'Vận chuyển'!B36)</f>
        <v>93</v>
      </c>
      <c r="E36" s="78">
        <f t="shared" si="1"/>
        <v>465000</v>
      </c>
    </row>
    <row r="37" spans="1:8" x14ac:dyDescent="0.35">
      <c r="A37" s="218">
        <v>33</v>
      </c>
      <c r="B37" s="10" t="s">
        <v>129</v>
      </c>
      <c r="D37" s="69">
        <f>SUMIFS(XUẤT!AB:AB,XUẤT!AA:AA,'Vận chuyển'!B37)</f>
        <v>3</v>
      </c>
      <c r="E37" s="78">
        <f t="shared" si="1"/>
        <v>15000</v>
      </c>
    </row>
    <row r="38" spans="1:8" x14ac:dyDescent="0.35">
      <c r="A38" s="218">
        <v>34</v>
      </c>
      <c r="B38" s="164" t="s">
        <v>31</v>
      </c>
      <c r="D38" s="69">
        <f>SUMIFS(XUẤT!AB:AB,XUẤT!AA:AA,'Vận chuyển'!B38)</f>
        <v>20</v>
      </c>
      <c r="E38" s="78">
        <f t="shared" ref="E38:E43" si="2">D38*5000</f>
        <v>100000</v>
      </c>
    </row>
    <row r="39" spans="1:8" x14ac:dyDescent="0.35">
      <c r="A39" s="218">
        <v>35</v>
      </c>
      <c r="B39" s="164" t="s">
        <v>665</v>
      </c>
      <c r="D39" s="69">
        <f>SUMIFS(XUẤT!AB:AB,XUẤT!AA:AA,'Vận chuyển'!B39)</f>
        <v>10</v>
      </c>
      <c r="E39" s="78">
        <f t="shared" si="2"/>
        <v>50000</v>
      </c>
    </row>
    <row r="40" spans="1:8" x14ac:dyDescent="0.35">
      <c r="A40" s="218">
        <v>36</v>
      </c>
      <c r="B40" s="164" t="s">
        <v>166</v>
      </c>
      <c r="D40" s="69">
        <f>SUMIFS(XUẤT!AB:AB,XUẤT!AA:AA,'Vận chuyển'!B40)</f>
        <v>2</v>
      </c>
      <c r="E40" s="78">
        <f t="shared" si="2"/>
        <v>10000</v>
      </c>
    </row>
    <row r="41" spans="1:8" x14ac:dyDescent="0.35">
      <c r="A41" s="218">
        <v>37</v>
      </c>
      <c r="B41" s="169" t="s">
        <v>675</v>
      </c>
      <c r="D41" s="69">
        <f>SUMIFS(XUẤT!AB:AB,XUẤT!AA:AA,'Vận chuyển'!B41)</f>
        <v>20</v>
      </c>
      <c r="E41" s="78">
        <f t="shared" si="2"/>
        <v>100000</v>
      </c>
    </row>
    <row r="42" spans="1:8" x14ac:dyDescent="0.35">
      <c r="A42" s="218">
        <v>38</v>
      </c>
      <c r="B42" s="94" t="s">
        <v>681</v>
      </c>
      <c r="D42" s="69">
        <f>SUMIFS(XUẤT!AB:AB,XUẤT!AA:AA,'Vận chuyển'!B42)</f>
        <v>5</v>
      </c>
      <c r="E42" s="78">
        <f t="shared" si="2"/>
        <v>25000</v>
      </c>
    </row>
    <row r="43" spans="1:8" x14ac:dyDescent="0.35">
      <c r="A43" s="218">
        <v>39</v>
      </c>
      <c r="B43" s="10" t="s">
        <v>98</v>
      </c>
      <c r="D43" s="69">
        <f>SUMIFS(XUẤT!AB:AB,XUẤT!AA:AA,'Vận chuyển'!B43)</f>
        <v>1</v>
      </c>
      <c r="E43" s="78">
        <f t="shared" si="2"/>
        <v>5000</v>
      </c>
    </row>
    <row r="44" spans="1:8" x14ac:dyDescent="0.35">
      <c r="A44" s="54"/>
      <c r="B44" s="55" t="s">
        <v>23</v>
      </c>
      <c r="C44" s="55"/>
      <c r="D44" s="55">
        <f>SUM(D5:D37)</f>
        <v>724</v>
      </c>
      <c r="E44" s="296">
        <f>SUM(E5:E38)</f>
        <v>3720000</v>
      </c>
      <c r="F44" s="295">
        <f>E44-XUẤT!AC5</f>
        <v>-1945000</v>
      </c>
      <c r="G44" s="53"/>
      <c r="H44" s="53"/>
    </row>
    <row r="46" spans="1:8" x14ac:dyDescent="0.35">
      <c r="B46"/>
    </row>
    <row r="47" spans="1:8" x14ac:dyDescent="0.35">
      <c r="B47"/>
    </row>
    <row r="48" spans="1:8" x14ac:dyDescent="0.35">
      <c r="B48"/>
    </row>
    <row r="49" spans="2:2" x14ac:dyDescent="0.35">
      <c r="B49"/>
    </row>
    <row r="50" spans="2:2" x14ac:dyDescent="0.35">
      <c r="B50"/>
    </row>
    <row r="51" spans="2:2" x14ac:dyDescent="0.35">
      <c r="B51"/>
    </row>
    <row r="52" spans="2:2" x14ac:dyDescent="0.35">
      <c r="B52"/>
    </row>
    <row r="53" spans="2:2" x14ac:dyDescent="0.35">
      <c r="B53"/>
    </row>
    <row r="54" spans="2:2" x14ac:dyDescent="0.35">
      <c r="B54"/>
    </row>
    <row r="55" spans="2:2" x14ac:dyDescent="0.35">
      <c r="B55"/>
    </row>
    <row r="56" spans="2:2" x14ac:dyDescent="0.35">
      <c r="B56"/>
    </row>
    <row r="57" spans="2:2" x14ac:dyDescent="0.35">
      <c r="B57"/>
    </row>
    <row r="58" spans="2:2" x14ac:dyDescent="0.35">
      <c r="B58"/>
    </row>
    <row r="59" spans="2:2" x14ac:dyDescent="0.35">
      <c r="B59"/>
    </row>
    <row r="60" spans="2:2" x14ac:dyDescent="0.35">
      <c r="B60"/>
    </row>
    <row r="61" spans="2:2" x14ac:dyDescent="0.35">
      <c r="B61"/>
    </row>
    <row r="62" spans="2:2" x14ac:dyDescent="0.35">
      <c r="B62"/>
    </row>
    <row r="63" spans="2:2" x14ac:dyDescent="0.35">
      <c r="B63"/>
    </row>
    <row r="64" spans="2:2" x14ac:dyDescent="0.35">
      <c r="B64"/>
    </row>
    <row r="65" spans="2:2" x14ac:dyDescent="0.35">
      <c r="B65"/>
    </row>
    <row r="66" spans="2:2" x14ac:dyDescent="0.35">
      <c r="B66"/>
    </row>
    <row r="67" spans="2:2" x14ac:dyDescent="0.35">
      <c r="B67"/>
    </row>
    <row r="68" spans="2:2" x14ac:dyDescent="0.35">
      <c r="B68"/>
    </row>
    <row r="69" spans="2:2" x14ac:dyDescent="0.35">
      <c r="B69"/>
    </row>
    <row r="70" spans="2:2" x14ac:dyDescent="0.35">
      <c r="B70"/>
    </row>
    <row r="71" spans="2:2" x14ac:dyDescent="0.35">
      <c r="B71"/>
    </row>
    <row r="72" spans="2:2" x14ac:dyDescent="0.35">
      <c r="B72"/>
    </row>
    <row r="73" spans="2:2" x14ac:dyDescent="0.35">
      <c r="B73"/>
    </row>
    <row r="74" spans="2:2" x14ac:dyDescent="0.35">
      <c r="B74"/>
    </row>
    <row r="75" spans="2:2" x14ac:dyDescent="0.35">
      <c r="B75"/>
    </row>
    <row r="76" spans="2:2" x14ac:dyDescent="0.35">
      <c r="B76"/>
    </row>
    <row r="77" spans="2:2" x14ac:dyDescent="0.35">
      <c r="B77"/>
    </row>
    <row r="78" spans="2:2" x14ac:dyDescent="0.35">
      <c r="B78"/>
    </row>
    <row r="79" spans="2:2" x14ac:dyDescent="0.35">
      <c r="B79"/>
    </row>
    <row r="80" spans="2:2" x14ac:dyDescent="0.35">
      <c r="B80"/>
    </row>
    <row r="81" spans="2:2" x14ac:dyDescent="0.35">
      <c r="B81"/>
    </row>
    <row r="82" spans="2:2" x14ac:dyDescent="0.35">
      <c r="B82"/>
    </row>
    <row r="83" spans="2:2" x14ac:dyDescent="0.35">
      <c r="B83"/>
    </row>
    <row r="84" spans="2:2" x14ac:dyDescent="0.35">
      <c r="B84"/>
    </row>
    <row r="85" spans="2:2" x14ac:dyDescent="0.35">
      <c r="B85"/>
    </row>
    <row r="86" spans="2:2" x14ac:dyDescent="0.35">
      <c r="B86"/>
    </row>
    <row r="87" spans="2:2" x14ac:dyDescent="0.35">
      <c r="B87"/>
    </row>
    <row r="88" spans="2:2" x14ac:dyDescent="0.35">
      <c r="B88"/>
    </row>
    <row r="89" spans="2:2" x14ac:dyDescent="0.35">
      <c r="B89"/>
    </row>
    <row r="90" spans="2:2" x14ac:dyDescent="0.35">
      <c r="B90"/>
    </row>
    <row r="91" spans="2:2" x14ac:dyDescent="0.35">
      <c r="B91"/>
    </row>
    <row r="92" spans="2:2" x14ac:dyDescent="0.35">
      <c r="B92"/>
    </row>
    <row r="93" spans="2:2" x14ac:dyDescent="0.35">
      <c r="B93"/>
    </row>
    <row r="94" spans="2:2" x14ac:dyDescent="0.35">
      <c r="B94"/>
    </row>
    <row r="95" spans="2:2" x14ac:dyDescent="0.35">
      <c r="B95"/>
    </row>
    <row r="96" spans="2:2" x14ac:dyDescent="0.35">
      <c r="B96"/>
    </row>
    <row r="97" spans="2:2" x14ac:dyDescent="0.35">
      <c r="B97"/>
    </row>
    <row r="98" spans="2:2" x14ac:dyDescent="0.35">
      <c r="B98"/>
    </row>
    <row r="99" spans="2:2" x14ac:dyDescent="0.35">
      <c r="B99"/>
    </row>
    <row r="100" spans="2:2" x14ac:dyDescent="0.35">
      <c r="B100"/>
    </row>
    <row r="101" spans="2:2" x14ac:dyDescent="0.35">
      <c r="B101"/>
    </row>
    <row r="102" spans="2:2" x14ac:dyDescent="0.35">
      <c r="B102"/>
    </row>
    <row r="103" spans="2:2" x14ac:dyDescent="0.35">
      <c r="B103"/>
    </row>
    <row r="104" spans="2:2" x14ac:dyDescent="0.35">
      <c r="B104"/>
    </row>
    <row r="105" spans="2:2" x14ac:dyDescent="0.35">
      <c r="B105"/>
    </row>
    <row r="106" spans="2:2" x14ac:dyDescent="0.35">
      <c r="B106"/>
    </row>
    <row r="107" spans="2:2" x14ac:dyDescent="0.35">
      <c r="B107"/>
    </row>
    <row r="108" spans="2:2" x14ac:dyDescent="0.35">
      <c r="B108"/>
    </row>
    <row r="109" spans="2:2" x14ac:dyDescent="0.35">
      <c r="B109"/>
    </row>
    <row r="110" spans="2:2" x14ac:dyDescent="0.35">
      <c r="B110"/>
    </row>
    <row r="111" spans="2:2" x14ac:dyDescent="0.35">
      <c r="B111"/>
    </row>
    <row r="112" spans="2:2" x14ac:dyDescent="0.35">
      <c r="B112"/>
    </row>
    <row r="113" spans="2:2" x14ac:dyDescent="0.35">
      <c r="B113"/>
    </row>
    <row r="114" spans="2:2" x14ac:dyDescent="0.35">
      <c r="B114"/>
    </row>
    <row r="115" spans="2:2" x14ac:dyDescent="0.35">
      <c r="B115"/>
    </row>
    <row r="116" spans="2:2" x14ac:dyDescent="0.35">
      <c r="B116"/>
    </row>
    <row r="117" spans="2:2" x14ac:dyDescent="0.35">
      <c r="B117"/>
    </row>
    <row r="118" spans="2:2" x14ac:dyDescent="0.35">
      <c r="B118"/>
    </row>
    <row r="119" spans="2:2" x14ac:dyDescent="0.35">
      <c r="B119"/>
    </row>
    <row r="120" spans="2:2" x14ac:dyDescent="0.35">
      <c r="B120"/>
    </row>
    <row r="121" spans="2:2" x14ac:dyDescent="0.35">
      <c r="B121"/>
    </row>
    <row r="122" spans="2:2" x14ac:dyDescent="0.35">
      <c r="B122"/>
    </row>
    <row r="123" spans="2:2" x14ac:dyDescent="0.35">
      <c r="B123"/>
    </row>
    <row r="124" spans="2:2" x14ac:dyDescent="0.35">
      <c r="B124"/>
    </row>
    <row r="125" spans="2:2" x14ac:dyDescent="0.35">
      <c r="B125"/>
    </row>
    <row r="126" spans="2:2" x14ac:dyDescent="0.35">
      <c r="B126"/>
    </row>
    <row r="127" spans="2:2" x14ac:dyDescent="0.35">
      <c r="B127"/>
    </row>
    <row r="128" spans="2:2" x14ac:dyDescent="0.35">
      <c r="B128"/>
    </row>
    <row r="129" spans="2:2" x14ac:dyDescent="0.35">
      <c r="B129"/>
    </row>
    <row r="130" spans="2:2" x14ac:dyDescent="0.35">
      <c r="B130"/>
    </row>
    <row r="131" spans="2:2" x14ac:dyDescent="0.35">
      <c r="B131"/>
    </row>
    <row r="132" spans="2:2" x14ac:dyDescent="0.35">
      <c r="B132"/>
    </row>
    <row r="133" spans="2:2" x14ac:dyDescent="0.35">
      <c r="B133"/>
    </row>
    <row r="134" spans="2:2" x14ac:dyDescent="0.35">
      <c r="B134"/>
    </row>
    <row r="135" spans="2:2" x14ac:dyDescent="0.35">
      <c r="B135"/>
    </row>
    <row r="136" spans="2:2" x14ac:dyDescent="0.35">
      <c r="B136"/>
    </row>
    <row r="137" spans="2:2" x14ac:dyDescent="0.35">
      <c r="B137"/>
    </row>
    <row r="138" spans="2:2" x14ac:dyDescent="0.35">
      <c r="B138"/>
    </row>
    <row r="139" spans="2:2" x14ac:dyDescent="0.35">
      <c r="B139"/>
    </row>
    <row r="140" spans="2:2" x14ac:dyDescent="0.35">
      <c r="B140"/>
    </row>
    <row r="141" spans="2:2" x14ac:dyDescent="0.35">
      <c r="B141"/>
    </row>
    <row r="142" spans="2:2" x14ac:dyDescent="0.35">
      <c r="B142"/>
    </row>
    <row r="143" spans="2:2" x14ac:dyDescent="0.35">
      <c r="B143"/>
    </row>
    <row r="144" spans="2:2" x14ac:dyDescent="0.35">
      <c r="B144"/>
    </row>
    <row r="145" spans="2:2" x14ac:dyDescent="0.35">
      <c r="B145"/>
    </row>
    <row r="146" spans="2:2" x14ac:dyDescent="0.35">
      <c r="B146"/>
    </row>
    <row r="147" spans="2:2" x14ac:dyDescent="0.35">
      <c r="B147"/>
    </row>
    <row r="148" spans="2:2" x14ac:dyDescent="0.35">
      <c r="B148"/>
    </row>
    <row r="149" spans="2:2" x14ac:dyDescent="0.35">
      <c r="B149"/>
    </row>
    <row r="150" spans="2:2" x14ac:dyDescent="0.35">
      <c r="B150"/>
    </row>
    <row r="151" spans="2:2" x14ac:dyDescent="0.35">
      <c r="B151"/>
    </row>
    <row r="152" spans="2:2" x14ac:dyDescent="0.35">
      <c r="B152"/>
    </row>
    <row r="153" spans="2:2" x14ac:dyDescent="0.35">
      <c r="B153"/>
    </row>
    <row r="154" spans="2:2" x14ac:dyDescent="0.35">
      <c r="B154"/>
    </row>
    <row r="155" spans="2:2" x14ac:dyDescent="0.35">
      <c r="B155"/>
    </row>
    <row r="156" spans="2:2" x14ac:dyDescent="0.35">
      <c r="B156"/>
    </row>
    <row r="157" spans="2:2" x14ac:dyDescent="0.35">
      <c r="B157"/>
    </row>
    <row r="158" spans="2:2" x14ac:dyDescent="0.35">
      <c r="B158"/>
    </row>
    <row r="159" spans="2:2" x14ac:dyDescent="0.35">
      <c r="B159"/>
    </row>
    <row r="160" spans="2:2" x14ac:dyDescent="0.35">
      <c r="B160"/>
    </row>
    <row r="161" spans="2:2" x14ac:dyDescent="0.35">
      <c r="B161"/>
    </row>
    <row r="162" spans="2:2" x14ac:dyDescent="0.35">
      <c r="B162"/>
    </row>
  </sheetData>
  <mergeCells count="3">
    <mergeCell ref="A1:E1"/>
    <mergeCell ref="A2:E2"/>
    <mergeCell ref="C8:C14"/>
  </mergeCells>
  <conditionalFormatting sqref="B20:B21">
    <cfRule type="duplicateValues" dxfId="12" priority="67"/>
  </conditionalFormatting>
  <conditionalFormatting sqref="B22 B24:B27">
    <cfRule type="duplicateValues" dxfId="11" priority="64"/>
  </conditionalFormatting>
  <conditionalFormatting sqref="B23">
    <cfRule type="duplicateValues" dxfId="10" priority="60"/>
  </conditionalFormatting>
  <conditionalFormatting sqref="B28">
    <cfRule type="duplicateValues" dxfId="9" priority="63"/>
  </conditionalFormatting>
  <conditionalFormatting sqref="B29:B31">
    <cfRule type="duplicateValues" dxfId="8" priority="62"/>
  </conditionalFormatting>
  <conditionalFormatting sqref="B32">
    <cfRule type="duplicateValues" dxfId="7" priority="61"/>
  </conditionalFormatting>
  <conditionalFormatting sqref="B33">
    <cfRule type="duplicateValues" dxfId="6" priority="3"/>
  </conditionalFormatting>
  <conditionalFormatting sqref="B34">
    <cfRule type="duplicateValues" dxfId="5" priority="2"/>
  </conditionalFormatting>
  <conditionalFormatting sqref="B36">
    <cfRule type="duplicateValues" dxfId="4" priority="42"/>
  </conditionalFormatting>
  <conditionalFormatting sqref="B37">
    <cfRule type="duplicateValues" dxfId="3" priority="37"/>
  </conditionalFormatting>
  <conditionalFormatting sqref="B43">
    <cfRule type="duplicateValues" dxfId="2" priority="1"/>
  </conditionalFormatting>
  <conditionalFormatting sqref="B163:B1048576 B1:B32 B35:B37 B44:B45">
    <cfRule type="duplicateValues" dxfId="1" priority="178"/>
  </conditionalFormatting>
  <conditionalFormatting sqref="B163:B1048576 B44:B45 B3:B21">
    <cfRule type="duplicateValues" dxfId="0" priority="66"/>
  </conditionalFormatting>
  <pageMargins left="0.7" right="0.7" top="0.75" bottom="0.75"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1">
        <x14:dataValidation type="list" allowBlank="1" showInputMessage="1" showErrorMessage="1" xr:uid="{55FD6AE5-B278-43B6-B341-CE5F82D4EA99}">
          <x14:formula1>
            <xm:f>'Đơn giá'!$B$4:$B$9</xm:f>
          </x14:formula1>
          <xm:sqref>B43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3:F9"/>
  <sheetViews>
    <sheetView workbookViewId="0"/>
  </sheetViews>
  <sheetFormatPr defaultColWidth="8.5546875" defaultRowHeight="14.4" x14ac:dyDescent="0.3"/>
  <cols>
    <col min="2" max="2" width="13.109375" customWidth="1"/>
    <col min="3" max="3" width="11.109375" customWidth="1"/>
    <col min="6" max="6" width="15.109375" customWidth="1"/>
  </cols>
  <sheetData>
    <row r="3" spans="1:6" ht="17.399999999999999" x14ac:dyDescent="0.3">
      <c r="A3" s="4" t="s">
        <v>3</v>
      </c>
      <c r="B3" s="4" t="s">
        <v>19</v>
      </c>
      <c r="C3" s="4" t="s">
        <v>20</v>
      </c>
    </row>
    <row r="4" spans="1:6" ht="18" x14ac:dyDescent="0.3">
      <c r="A4" s="15">
        <v>1</v>
      </c>
      <c r="B4" s="5" t="s">
        <v>29</v>
      </c>
      <c r="C4" s="6">
        <v>85000</v>
      </c>
      <c r="F4" t="s">
        <v>45</v>
      </c>
    </row>
    <row r="5" spans="1:6" ht="18" x14ac:dyDescent="0.3">
      <c r="A5" s="15">
        <v>2</v>
      </c>
      <c r="B5" s="5" t="s">
        <v>38</v>
      </c>
      <c r="C5" s="6">
        <v>93000</v>
      </c>
      <c r="E5" s="5"/>
      <c r="F5" t="s">
        <v>33</v>
      </c>
    </row>
    <row r="6" spans="1:6" ht="18" x14ac:dyDescent="0.3">
      <c r="A6" s="15">
        <v>3</v>
      </c>
      <c r="B6" s="5" t="s">
        <v>26</v>
      </c>
      <c r="C6" s="6">
        <v>98000</v>
      </c>
    </row>
    <row r="7" spans="1:6" ht="18" x14ac:dyDescent="0.3">
      <c r="A7" s="15">
        <v>4</v>
      </c>
      <c r="B7" s="5" t="s">
        <v>35</v>
      </c>
      <c r="C7" s="6">
        <v>106000</v>
      </c>
    </row>
    <row r="8" spans="1:6" ht="18" x14ac:dyDescent="0.3">
      <c r="A8" s="15">
        <v>5</v>
      </c>
      <c r="B8" s="5" t="s">
        <v>39</v>
      </c>
      <c r="C8" s="6">
        <v>52000</v>
      </c>
    </row>
    <row r="9" spans="1:6" ht="18" x14ac:dyDescent="0.3">
      <c r="A9" s="15">
        <v>6</v>
      </c>
      <c r="B9" s="5" t="s">
        <v>42</v>
      </c>
      <c r="C9" s="6">
        <v>48000</v>
      </c>
    </row>
  </sheetData>
  <pageMargins left="0.7" right="0.7" top="0.75" bottom="0.75"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886007-DA33-457E-973D-29066436F714}">
  <dimension ref="A1:L52"/>
  <sheetViews>
    <sheetView workbookViewId="0">
      <selection sqref="A1:A2"/>
    </sheetView>
  </sheetViews>
  <sheetFormatPr defaultColWidth="10.109375" defaultRowHeight="13.8" x14ac:dyDescent="0.3"/>
  <cols>
    <col min="1" max="1" width="5.5546875" style="196" customWidth="1"/>
    <col min="2" max="2" width="13.109375" style="199" customWidth="1"/>
    <col min="3" max="3" width="17.44140625" style="199" customWidth="1"/>
    <col min="4" max="4" width="13.44140625" style="196" bestFit="1" customWidth="1"/>
    <col min="5" max="5" width="14.109375" style="196" customWidth="1"/>
    <col min="6" max="6" width="11.5546875" style="196" customWidth="1"/>
    <col min="7" max="8" width="10.109375" style="196"/>
    <col min="9" max="9" width="12.5546875" style="196" customWidth="1"/>
    <col min="10" max="13" width="10.109375" style="196"/>
    <col min="14" max="14" width="13.44140625" style="196" bestFit="1" customWidth="1"/>
    <col min="15" max="16384" width="10.109375" style="196"/>
  </cols>
  <sheetData>
    <row r="1" spans="1:9" ht="30.6" customHeight="1" x14ac:dyDescent="0.3">
      <c r="A1" s="372" t="s">
        <v>3</v>
      </c>
      <c r="B1" s="372" t="s">
        <v>367</v>
      </c>
      <c r="C1" s="193" t="s">
        <v>478</v>
      </c>
      <c r="D1" s="376" t="s">
        <v>371</v>
      </c>
      <c r="E1" s="376"/>
      <c r="F1" s="376"/>
      <c r="G1" s="376"/>
      <c r="H1" s="376"/>
      <c r="I1" s="193" t="s">
        <v>18</v>
      </c>
    </row>
    <row r="2" spans="1:9" ht="32.85" customHeight="1" x14ac:dyDescent="0.3">
      <c r="A2" s="372"/>
      <c r="B2" s="372"/>
      <c r="C2" s="193"/>
      <c r="D2" s="261" t="s">
        <v>372</v>
      </c>
      <c r="E2" s="262" t="s">
        <v>373</v>
      </c>
      <c r="F2" s="262" t="s">
        <v>547</v>
      </c>
      <c r="G2" s="261" t="s">
        <v>374</v>
      </c>
      <c r="H2" s="261" t="s">
        <v>375</v>
      </c>
      <c r="I2" s="197" t="s">
        <v>376</v>
      </c>
    </row>
    <row r="3" spans="1:9" ht="32.85" customHeight="1" x14ac:dyDescent="0.3">
      <c r="A3" s="198">
        <v>1</v>
      </c>
      <c r="B3" s="377" t="s">
        <v>524</v>
      </c>
      <c r="C3" s="233" t="s">
        <v>545</v>
      </c>
      <c r="D3" s="197">
        <f>'TỒN KHO HUẾ'!R7</f>
        <v>0</v>
      </c>
      <c r="E3" s="197">
        <f>'TỒN KHO HUẾ'!S7</f>
        <v>0</v>
      </c>
      <c r="F3" s="197">
        <f>'TỒN KHO HUẾ'!T7</f>
        <v>0</v>
      </c>
      <c r="G3" s="197">
        <f>'TỒN KHO HUẾ'!U7</f>
        <v>40</v>
      </c>
      <c r="H3" s="197">
        <f>'TỒN KHO HUẾ'!V7</f>
        <v>8</v>
      </c>
      <c r="I3" s="197"/>
    </row>
    <row r="4" spans="1:9" ht="32.85" customHeight="1" x14ac:dyDescent="0.3">
      <c r="A4" s="198">
        <v>2</v>
      </c>
      <c r="B4" s="378"/>
      <c r="C4" s="200" t="s">
        <v>395</v>
      </c>
      <c r="D4" s="197">
        <f>'TỒN KHO TĂNG ÁP'!R7</f>
        <v>0</v>
      </c>
      <c r="E4" s="197">
        <f>'TỒN KHO TĂNG ÁP'!S7</f>
        <v>21</v>
      </c>
      <c r="F4" s="197">
        <f>'TỒN KHO TĂNG ÁP'!T7</f>
        <v>0</v>
      </c>
      <c r="G4" s="197">
        <f>'TỒN KHO TĂNG ÁP'!U7</f>
        <v>139</v>
      </c>
      <c r="H4" s="197">
        <f>'TỒN KHO TĂNG ÁP'!V7</f>
        <v>57</v>
      </c>
      <c r="I4" s="197"/>
    </row>
    <row r="5" spans="1:9" s="260" customFormat="1" ht="32.85" customHeight="1" x14ac:dyDescent="0.3">
      <c r="A5" s="257">
        <v>3</v>
      </c>
      <c r="B5" s="379"/>
      <c r="C5" s="258" t="s">
        <v>546</v>
      </c>
      <c r="D5" s="259">
        <f>'Tồn kho văn phòng'!R6</f>
        <v>0</v>
      </c>
      <c r="E5" s="259">
        <f>'Tồn kho văn phòng'!S6</f>
        <v>0</v>
      </c>
      <c r="F5" s="259">
        <f>'Tồn kho văn phòng'!T6</f>
        <v>0</v>
      </c>
      <c r="G5" s="259">
        <f>'Tồn kho văn phòng'!U6</f>
        <v>51</v>
      </c>
      <c r="H5" s="259">
        <f>'Tồn kho văn phòng'!V6</f>
        <v>0</v>
      </c>
      <c r="I5" s="259"/>
    </row>
    <row r="6" spans="1:9" ht="32.85" customHeight="1" x14ac:dyDescent="0.3">
      <c r="A6" s="198">
        <v>4</v>
      </c>
      <c r="B6" s="377">
        <v>46365</v>
      </c>
      <c r="C6" s="233" t="s">
        <v>545</v>
      </c>
      <c r="D6" s="197">
        <f>'TỒN KHO HUẾ'!R8</f>
        <v>0</v>
      </c>
      <c r="E6" s="197">
        <f>'TỒN KHO HUẾ'!S8</f>
        <v>0</v>
      </c>
      <c r="F6" s="197">
        <f>'TỒN KHO HUẾ'!T8</f>
        <v>0</v>
      </c>
      <c r="G6" s="197">
        <f>'TỒN KHO HUẾ'!U8</f>
        <v>8</v>
      </c>
      <c r="H6" s="197">
        <f>'TỒN KHO HUẾ'!V8</f>
        <v>8</v>
      </c>
      <c r="I6" s="197"/>
    </row>
    <row r="7" spans="1:9" ht="32.85" customHeight="1" x14ac:dyDescent="0.3">
      <c r="A7" s="198">
        <v>5</v>
      </c>
      <c r="B7" s="378"/>
      <c r="C7" s="200" t="s">
        <v>395</v>
      </c>
      <c r="D7" s="197">
        <f>'TỒN KHO TĂNG ÁP'!R8</f>
        <v>0</v>
      </c>
      <c r="E7" s="197">
        <f>'TỒN KHO TĂNG ÁP'!S8</f>
        <v>21</v>
      </c>
      <c r="F7" s="197">
        <f>'TỒN KHO TĂNG ÁP'!T8</f>
        <v>0</v>
      </c>
      <c r="G7" s="197">
        <f>'TỒN KHO TĂNG ÁP'!U8</f>
        <v>123</v>
      </c>
      <c r="H7" s="197">
        <f>'TỒN KHO TĂNG ÁP'!V8</f>
        <v>41</v>
      </c>
      <c r="I7" s="197"/>
    </row>
    <row r="8" spans="1:9" ht="35.1" customHeight="1" x14ac:dyDescent="0.3">
      <c r="A8" s="198">
        <v>6</v>
      </c>
      <c r="B8" s="379"/>
      <c r="C8" s="258" t="s">
        <v>546</v>
      </c>
      <c r="D8" s="197">
        <f>'Tồn kho văn phòng'!R7</f>
        <v>0</v>
      </c>
      <c r="E8" s="197">
        <f>'Tồn kho văn phòng'!S7</f>
        <v>0</v>
      </c>
      <c r="F8" s="197">
        <f>'Tồn kho văn phòng'!T7</f>
        <v>0</v>
      </c>
      <c r="G8" s="197">
        <f>'Tồn kho văn phòng'!U7</f>
        <v>47</v>
      </c>
      <c r="H8" s="197">
        <f>'Tồn kho văn phòng'!V7</f>
        <v>0</v>
      </c>
      <c r="I8" s="197"/>
    </row>
    <row r="9" spans="1:9" ht="35.1" customHeight="1" x14ac:dyDescent="0.3">
      <c r="A9" s="198">
        <v>7</v>
      </c>
      <c r="B9" s="373" t="s">
        <v>570</v>
      </c>
      <c r="C9" s="233" t="s">
        <v>545</v>
      </c>
      <c r="D9" s="197">
        <f>'TỒN KHO HUẾ'!R9</f>
        <v>0</v>
      </c>
      <c r="E9" s="197">
        <f>'TỒN KHO HUẾ'!S9</f>
        <v>0</v>
      </c>
      <c r="F9" s="197">
        <f>'TỒN KHO HUẾ'!T9</f>
        <v>0</v>
      </c>
      <c r="G9" s="197">
        <f>'TỒN KHO HUẾ'!U9</f>
        <v>0</v>
      </c>
      <c r="H9" s="197">
        <f>'TỒN KHO HUẾ'!V9</f>
        <v>8</v>
      </c>
      <c r="I9" s="197"/>
    </row>
    <row r="10" spans="1:9" ht="35.1" customHeight="1" x14ac:dyDescent="0.3">
      <c r="A10" s="198">
        <v>8</v>
      </c>
      <c r="B10" s="374"/>
      <c r="C10" s="200" t="s">
        <v>395</v>
      </c>
      <c r="D10" s="197">
        <f>'TỒN KHO TĂNG ÁP'!R9</f>
        <v>0</v>
      </c>
      <c r="E10" s="197">
        <f>'TỒN KHO TĂNG ÁP'!S9</f>
        <v>21</v>
      </c>
      <c r="F10" s="197">
        <f>'TỒN KHO TĂNG ÁP'!T9</f>
        <v>0</v>
      </c>
      <c r="G10" s="197">
        <f>'TỒN KHO TĂNG ÁP'!U9</f>
        <v>44</v>
      </c>
      <c r="H10" s="197">
        <f>'TỒN KHO TĂNG ÁP'!V9</f>
        <v>41</v>
      </c>
      <c r="I10" s="197"/>
    </row>
    <row r="11" spans="1:9" ht="35.1" customHeight="1" x14ac:dyDescent="0.3">
      <c r="A11" s="198">
        <v>9</v>
      </c>
      <c r="B11" s="374"/>
      <c r="C11" s="258" t="s">
        <v>546</v>
      </c>
      <c r="D11" s="197">
        <f>'Tồn kho văn phòng'!R8</f>
        <v>0</v>
      </c>
      <c r="E11" s="197">
        <f>'Tồn kho văn phòng'!S8</f>
        <v>0</v>
      </c>
      <c r="F11" s="197">
        <f>'Tồn kho văn phòng'!T8</f>
        <v>0</v>
      </c>
      <c r="G11" s="197">
        <f>'Tồn kho văn phòng'!U8</f>
        <v>29</v>
      </c>
      <c r="H11" s="197">
        <f>'Tồn kho văn phòng'!V8</f>
        <v>0</v>
      </c>
      <c r="I11" s="197"/>
    </row>
    <row r="12" spans="1:9" ht="35.1" customHeight="1" x14ac:dyDescent="0.3">
      <c r="A12" s="198">
        <v>10</v>
      </c>
      <c r="B12" s="375"/>
      <c r="C12" s="197" t="s">
        <v>577</v>
      </c>
      <c r="D12" s="197">
        <f>'tồn xe'!O5</f>
        <v>0</v>
      </c>
      <c r="E12" s="197">
        <f>'tồn xe'!P5</f>
        <v>0</v>
      </c>
      <c r="F12" s="197">
        <f>'tồn xe'!Q5</f>
        <v>11</v>
      </c>
      <c r="G12" s="197">
        <f>'tồn xe'!R5</f>
        <v>0</v>
      </c>
      <c r="H12" s="197">
        <f>'tồn xe'!S5</f>
        <v>0</v>
      </c>
      <c r="I12" s="197"/>
    </row>
    <row r="13" spans="1:9" ht="35.1" customHeight="1" x14ac:dyDescent="0.3">
      <c r="A13" s="198">
        <v>11</v>
      </c>
      <c r="B13" s="373" t="s">
        <v>581</v>
      </c>
      <c r="C13" s="233" t="s">
        <v>545</v>
      </c>
      <c r="D13" s="197">
        <f>'TỒN KHO HUẾ'!R10</f>
        <v>0</v>
      </c>
      <c r="E13" s="197">
        <f>'TỒN KHO HUẾ'!S10</f>
        <v>0</v>
      </c>
      <c r="F13" s="197">
        <f>'TỒN KHO HUẾ'!T10</f>
        <v>0</v>
      </c>
      <c r="G13" s="197">
        <f>'TỒN KHO HUẾ'!U10</f>
        <v>33</v>
      </c>
      <c r="H13" s="197">
        <f>'TỒN KHO HUẾ'!V10</f>
        <v>58</v>
      </c>
      <c r="I13" s="197"/>
    </row>
    <row r="14" spans="1:9" ht="35.1" customHeight="1" x14ac:dyDescent="0.3">
      <c r="A14" s="198">
        <v>12</v>
      </c>
      <c r="B14" s="374"/>
      <c r="C14" s="200" t="s">
        <v>395</v>
      </c>
      <c r="D14" s="197">
        <f>'TỒN KHO TĂNG ÁP'!R10</f>
        <v>0</v>
      </c>
      <c r="E14" s="197">
        <f>'TỒN KHO TĂNG ÁP'!S10</f>
        <v>11</v>
      </c>
      <c r="F14" s="197">
        <f>'TỒN KHO TĂNG ÁP'!T10</f>
        <v>0</v>
      </c>
      <c r="G14" s="197">
        <f>'TỒN KHO TĂNG ÁP'!U10</f>
        <v>45</v>
      </c>
      <c r="H14" s="197">
        <f>'TỒN KHO TĂNG ÁP'!V10</f>
        <v>41</v>
      </c>
      <c r="I14" s="197"/>
    </row>
    <row r="15" spans="1:9" ht="35.1" customHeight="1" x14ac:dyDescent="0.3">
      <c r="A15" s="198">
        <v>13</v>
      </c>
      <c r="B15" s="374"/>
      <c r="C15" s="258" t="s">
        <v>546</v>
      </c>
      <c r="D15" s="197">
        <f>'Tồn kho văn phòng'!R9</f>
        <v>0</v>
      </c>
      <c r="E15" s="197">
        <f>'Tồn kho văn phòng'!S9</f>
        <v>0</v>
      </c>
      <c r="F15" s="197">
        <f>'Tồn kho văn phòng'!T9</f>
        <v>0</v>
      </c>
      <c r="G15" s="197">
        <f>'Tồn kho văn phòng'!U9</f>
        <v>29</v>
      </c>
      <c r="H15" s="197">
        <f>'Tồn kho văn phòng'!V9</f>
        <v>0</v>
      </c>
      <c r="I15" s="197"/>
    </row>
    <row r="16" spans="1:9" ht="35.1" customHeight="1" x14ac:dyDescent="0.3">
      <c r="A16" s="198">
        <v>14</v>
      </c>
      <c r="B16" s="374"/>
      <c r="C16" s="197" t="s">
        <v>577</v>
      </c>
      <c r="D16" s="197">
        <f>'tồn xe'!O6</f>
        <v>0</v>
      </c>
      <c r="E16" s="197">
        <f>'tồn xe'!P6</f>
        <v>0</v>
      </c>
      <c r="F16" s="197">
        <f>'tồn xe'!Q6</f>
        <v>0</v>
      </c>
      <c r="G16" s="197">
        <f>'tồn xe'!R6</f>
        <v>0</v>
      </c>
      <c r="H16" s="197">
        <f>'tồn xe'!S6</f>
        <v>0</v>
      </c>
      <c r="I16" s="197"/>
    </row>
    <row r="17" spans="1:9" ht="35.1" customHeight="1" x14ac:dyDescent="0.3">
      <c r="A17" s="198">
        <v>15</v>
      </c>
      <c r="B17" s="375"/>
      <c r="C17" s="197" t="s">
        <v>600</v>
      </c>
      <c r="D17" s="197">
        <f>'TỒN KHO HÀ LẦM'!R7</f>
        <v>0</v>
      </c>
      <c r="E17" s="197">
        <f>'TỒN KHO HÀ LẦM'!S7</f>
        <v>0</v>
      </c>
      <c r="F17" s="197">
        <f>'TỒN KHO HÀ LẦM'!T7</f>
        <v>0</v>
      </c>
      <c r="G17" s="197">
        <f>'TỒN KHO HÀ LẦM'!U7</f>
        <v>17</v>
      </c>
      <c r="H17" s="197">
        <f>'TỒN KHO HÀ LẦM'!V7</f>
        <v>30</v>
      </c>
      <c r="I17" s="197"/>
    </row>
    <row r="18" spans="1:9" ht="35.1" customHeight="1" x14ac:dyDescent="0.3">
      <c r="A18" s="198">
        <v>16</v>
      </c>
      <c r="B18" s="373" t="s">
        <v>608</v>
      </c>
      <c r="C18" s="233" t="s">
        <v>545</v>
      </c>
      <c r="D18" s="197">
        <f>'TỒN KHO HUẾ'!R11</f>
        <v>0</v>
      </c>
      <c r="E18" s="197">
        <f>'TỒN KHO HUẾ'!S11</f>
        <v>0</v>
      </c>
      <c r="F18" s="197">
        <f>'TỒN KHO HUẾ'!T11</f>
        <v>0</v>
      </c>
      <c r="G18" s="197">
        <f>'TỒN KHO HUẾ'!U11</f>
        <v>39</v>
      </c>
      <c r="H18" s="197">
        <f>'TỒN KHO HUẾ'!V11</f>
        <v>58</v>
      </c>
      <c r="I18" s="197"/>
    </row>
    <row r="19" spans="1:9" ht="35.1" customHeight="1" x14ac:dyDescent="0.3">
      <c r="A19" s="198">
        <v>17</v>
      </c>
      <c r="B19" s="374"/>
      <c r="C19" s="200" t="s">
        <v>395</v>
      </c>
      <c r="D19" s="197">
        <f>'TỒN KHO TĂNG ÁP'!R11</f>
        <v>0</v>
      </c>
      <c r="E19" s="197">
        <f>'TỒN KHO TĂNG ÁP'!S11</f>
        <v>11</v>
      </c>
      <c r="F19" s="197">
        <f>'TỒN KHO TĂNG ÁP'!T11</f>
        <v>0</v>
      </c>
      <c r="G19" s="197">
        <f>'TỒN KHO TĂNG ÁP'!U11</f>
        <v>99</v>
      </c>
      <c r="H19" s="197">
        <f>'TỒN KHO TĂNG ÁP'!V11</f>
        <v>39</v>
      </c>
      <c r="I19" s="197"/>
    </row>
    <row r="20" spans="1:9" ht="35.1" customHeight="1" x14ac:dyDescent="0.3">
      <c r="A20" s="198">
        <v>18</v>
      </c>
      <c r="B20" s="374"/>
      <c r="C20" s="258" t="s">
        <v>546</v>
      </c>
      <c r="D20" s="197">
        <f>'Tồn kho văn phòng'!R10</f>
        <v>0</v>
      </c>
      <c r="E20" s="197">
        <f>'Tồn kho văn phòng'!S10</f>
        <v>0</v>
      </c>
      <c r="F20" s="197">
        <f>'Tồn kho văn phòng'!T10</f>
        <v>0</v>
      </c>
      <c r="G20" s="197">
        <f>'Tồn kho văn phòng'!U10</f>
        <v>28</v>
      </c>
      <c r="H20" s="197">
        <f>'Tồn kho văn phòng'!V10</f>
        <v>0</v>
      </c>
      <c r="I20" s="197"/>
    </row>
    <row r="21" spans="1:9" ht="35.1" customHeight="1" x14ac:dyDescent="0.3">
      <c r="A21" s="198">
        <v>19</v>
      </c>
      <c r="B21" s="374"/>
      <c r="C21" s="197" t="s">
        <v>577</v>
      </c>
      <c r="D21" s="197">
        <f>'tồn xe'!O7</f>
        <v>0</v>
      </c>
      <c r="E21" s="197">
        <f>'tồn xe'!P7</f>
        <v>0</v>
      </c>
      <c r="F21" s="197">
        <f>'tồn xe'!Q7</f>
        <v>0</v>
      </c>
      <c r="G21" s="197">
        <f>'tồn xe'!R7</f>
        <v>0</v>
      </c>
      <c r="H21" s="197">
        <f>'tồn xe'!S7</f>
        <v>0</v>
      </c>
      <c r="I21" s="197"/>
    </row>
    <row r="22" spans="1:9" ht="35.1" customHeight="1" x14ac:dyDescent="0.3">
      <c r="A22" s="198">
        <v>20</v>
      </c>
      <c r="B22" s="375"/>
      <c r="C22" s="197" t="s">
        <v>600</v>
      </c>
      <c r="D22" s="197">
        <f>'TỒN KHO HÀ LẦM'!R8</f>
        <v>0</v>
      </c>
      <c r="E22" s="197">
        <f>'TỒN KHO HÀ LẦM'!S8</f>
        <v>0</v>
      </c>
      <c r="F22" s="197">
        <f>'TỒN KHO HÀ LẦM'!T8</f>
        <v>0</v>
      </c>
      <c r="G22" s="197">
        <f>'TỒN KHO HÀ LẦM'!U8</f>
        <v>17</v>
      </c>
      <c r="H22" s="197">
        <f>'TỒN KHO HÀ LẦM'!V8</f>
        <v>30</v>
      </c>
      <c r="I22" s="197"/>
    </row>
    <row r="23" spans="1:9" ht="35.1" customHeight="1" x14ac:dyDescent="0.3">
      <c r="A23" s="198">
        <v>21</v>
      </c>
      <c r="B23" s="373" t="s">
        <v>628</v>
      </c>
      <c r="C23" s="233" t="s">
        <v>545</v>
      </c>
      <c r="D23" s="197">
        <f>'TỒN KHO HUẾ'!R12</f>
        <v>0</v>
      </c>
      <c r="E23" s="197">
        <f>'TỒN KHO HUẾ'!S12</f>
        <v>0</v>
      </c>
      <c r="F23" s="197">
        <f>'TỒN KHO HUẾ'!T12</f>
        <v>0</v>
      </c>
      <c r="G23" s="197">
        <f>'TỒN KHO HUẾ'!U12</f>
        <v>36</v>
      </c>
      <c r="H23" s="197">
        <f>'TỒN KHO HUẾ'!V12</f>
        <v>58</v>
      </c>
      <c r="I23" s="197"/>
    </row>
    <row r="24" spans="1:9" ht="35.1" customHeight="1" x14ac:dyDescent="0.3">
      <c r="A24" s="198">
        <v>22</v>
      </c>
      <c r="B24" s="374"/>
      <c r="C24" s="200" t="s">
        <v>395</v>
      </c>
      <c r="D24" s="197">
        <f>'TỒN KHO TĂNG ÁP'!R12</f>
        <v>0</v>
      </c>
      <c r="E24" s="197">
        <f>'TỒN KHO TĂNG ÁP'!S12</f>
        <v>0</v>
      </c>
      <c r="F24" s="197">
        <f>'TỒN KHO TĂNG ÁP'!T12</f>
        <v>0</v>
      </c>
      <c r="G24" s="197">
        <f>'TỒN KHO TĂNG ÁP'!U12</f>
        <v>139</v>
      </c>
      <c r="H24" s="197">
        <f>'TỒN KHO TĂNG ÁP'!V12</f>
        <v>39</v>
      </c>
      <c r="I24" s="197"/>
    </row>
    <row r="25" spans="1:9" ht="35.1" customHeight="1" x14ac:dyDescent="0.3">
      <c r="A25" s="198">
        <v>23</v>
      </c>
      <c r="B25" s="374"/>
      <c r="C25" s="258" t="s">
        <v>546</v>
      </c>
      <c r="D25" s="197">
        <f>'Tồn kho văn phòng'!R11</f>
        <v>0</v>
      </c>
      <c r="E25" s="197">
        <f>'Tồn kho văn phòng'!S11</f>
        <v>0</v>
      </c>
      <c r="F25" s="197">
        <f>'Tồn kho văn phòng'!T11</f>
        <v>0</v>
      </c>
      <c r="G25" s="197">
        <f>'Tồn kho văn phòng'!U11</f>
        <v>24</v>
      </c>
      <c r="H25" s="197">
        <f>'Tồn kho văn phòng'!V11</f>
        <v>0</v>
      </c>
      <c r="I25" s="197"/>
    </row>
    <row r="26" spans="1:9" ht="28.8" customHeight="1" x14ac:dyDescent="0.3">
      <c r="A26" s="197"/>
      <c r="B26" s="374"/>
      <c r="C26" s="197" t="s">
        <v>577</v>
      </c>
      <c r="D26" s="197"/>
      <c r="E26" s="197"/>
      <c r="F26" s="197"/>
      <c r="G26" s="197"/>
      <c r="H26" s="197"/>
      <c r="I26" s="197"/>
    </row>
    <row r="27" spans="1:9" ht="28.8" customHeight="1" x14ac:dyDescent="0.3">
      <c r="A27" s="197"/>
      <c r="B27" s="375"/>
      <c r="C27" s="197" t="s">
        <v>600</v>
      </c>
      <c r="D27" s="197">
        <f>'TỒN KHO HÀ LẦM'!R9</f>
        <v>0</v>
      </c>
      <c r="E27" s="197">
        <f>'TỒN KHO HÀ LẦM'!S9</f>
        <v>0</v>
      </c>
      <c r="F27" s="197">
        <f>'TỒN KHO HÀ LẦM'!T9</f>
        <v>0</v>
      </c>
      <c r="G27" s="197">
        <f>'TỒN KHO HÀ LẦM'!U9</f>
        <v>17</v>
      </c>
      <c r="H27" s="197">
        <f>'TỒN KHO HÀ LẦM'!V9</f>
        <v>30</v>
      </c>
      <c r="I27" s="197"/>
    </row>
    <row r="28" spans="1:9" ht="33" customHeight="1" x14ac:dyDescent="0.3">
      <c r="A28" s="197"/>
      <c r="B28" s="373" t="s">
        <v>641</v>
      </c>
      <c r="C28" s="233" t="s">
        <v>545</v>
      </c>
      <c r="D28" s="197">
        <f>'TỒN KHO HUẾ'!R13</f>
        <v>20</v>
      </c>
      <c r="E28" s="197">
        <f>'TỒN KHO HUẾ'!S13</f>
        <v>20</v>
      </c>
      <c r="F28" s="197">
        <f>'TỒN KHO HUẾ'!T13</f>
        <v>0</v>
      </c>
      <c r="G28" s="197">
        <f>'TỒN KHO HUẾ'!U13</f>
        <v>68</v>
      </c>
      <c r="H28" s="197">
        <f>'TỒN KHO HUẾ'!V13</f>
        <v>47</v>
      </c>
      <c r="I28" s="197"/>
    </row>
    <row r="29" spans="1:9" ht="33" customHeight="1" x14ac:dyDescent="0.3">
      <c r="A29" s="197"/>
      <c r="B29" s="374"/>
      <c r="C29" s="200" t="s">
        <v>395</v>
      </c>
      <c r="D29" s="197">
        <f>'TỒN KHO TĂNG ÁP'!R13</f>
        <v>0</v>
      </c>
      <c r="E29" s="197">
        <f>'TỒN KHO TĂNG ÁP'!S13</f>
        <v>0</v>
      </c>
      <c r="F29" s="197">
        <f>'TỒN KHO TĂNG ÁP'!T13</f>
        <v>0</v>
      </c>
      <c r="G29" s="197">
        <f>'TỒN KHO TĂNG ÁP'!U13</f>
        <v>130</v>
      </c>
      <c r="H29" s="197">
        <f>'TỒN KHO TĂNG ÁP'!V13</f>
        <v>37</v>
      </c>
      <c r="I29" s="197"/>
    </row>
    <row r="30" spans="1:9" ht="33" customHeight="1" x14ac:dyDescent="0.3">
      <c r="A30" s="197"/>
      <c r="B30" s="374"/>
      <c r="C30" s="258" t="s">
        <v>546</v>
      </c>
      <c r="D30" s="197">
        <f>'Tồn kho văn phòng'!R12</f>
        <v>0</v>
      </c>
      <c r="E30" s="197">
        <f>'Tồn kho văn phòng'!S12</f>
        <v>0</v>
      </c>
      <c r="F30" s="197">
        <f>'Tồn kho văn phòng'!T12</f>
        <v>0</v>
      </c>
      <c r="G30" s="197">
        <f>'Tồn kho văn phòng'!U12</f>
        <v>22</v>
      </c>
      <c r="H30" s="197">
        <f>'Tồn kho văn phòng'!V12</f>
        <v>0</v>
      </c>
      <c r="I30" s="197"/>
    </row>
    <row r="31" spans="1:9" ht="33" customHeight="1" x14ac:dyDescent="0.3">
      <c r="A31" s="197"/>
      <c r="B31" s="374"/>
      <c r="C31" s="197" t="s">
        <v>577</v>
      </c>
      <c r="D31" s="197">
        <f>'tồn xe'!O9</f>
        <v>0</v>
      </c>
      <c r="E31" s="197">
        <f>'tồn xe'!P9</f>
        <v>0</v>
      </c>
      <c r="F31" s="197">
        <f>'tồn xe'!Q9</f>
        <v>0</v>
      </c>
      <c r="G31" s="197">
        <f>'tồn xe'!R9</f>
        <v>0</v>
      </c>
      <c r="H31" s="197">
        <f>'tồn xe'!S9</f>
        <v>0</v>
      </c>
      <c r="I31" s="197"/>
    </row>
    <row r="32" spans="1:9" ht="33" customHeight="1" x14ac:dyDescent="0.3">
      <c r="A32" s="197"/>
      <c r="B32" s="375"/>
      <c r="C32" s="197" t="s">
        <v>600</v>
      </c>
      <c r="D32" s="197">
        <f>'TỒN KHO HÀ LẦM'!R8</f>
        <v>0</v>
      </c>
      <c r="E32" s="197">
        <f>'TỒN KHO HÀ LẦM'!S8</f>
        <v>0</v>
      </c>
      <c r="F32" s="197">
        <f>'TỒN KHO HÀ LẦM'!T8</f>
        <v>0</v>
      </c>
      <c r="G32" s="197">
        <f>'TỒN KHO HÀ LẦM'!U8</f>
        <v>17</v>
      </c>
      <c r="H32" s="197">
        <f>'TỒN KHO HÀ LẦM'!V8</f>
        <v>30</v>
      </c>
      <c r="I32" s="197"/>
    </row>
    <row r="33" spans="1:12" ht="29.4" customHeight="1" x14ac:dyDescent="0.3">
      <c r="A33" s="197"/>
      <c r="B33" s="373" t="s">
        <v>674</v>
      </c>
      <c r="C33" s="233" t="s">
        <v>545</v>
      </c>
      <c r="D33" s="197">
        <f>'TỒN KHO HUẾ'!R14</f>
        <v>3</v>
      </c>
      <c r="E33" s="197">
        <f>'TỒN KHO HUẾ'!S14</f>
        <v>9</v>
      </c>
      <c r="F33" s="197">
        <f>'TỒN KHO HUẾ'!T14</f>
        <v>0</v>
      </c>
      <c r="G33" s="197">
        <f>'TỒN KHO HUẾ'!U14</f>
        <v>106</v>
      </c>
      <c r="H33" s="197">
        <f>'TỒN KHO HUẾ'!V14</f>
        <v>25</v>
      </c>
      <c r="I33" s="197"/>
    </row>
    <row r="34" spans="1:12" ht="29.4" customHeight="1" x14ac:dyDescent="0.3">
      <c r="A34" s="197"/>
      <c r="B34" s="374"/>
      <c r="C34" s="200" t="s">
        <v>395</v>
      </c>
      <c r="D34" s="197">
        <f>'TỒN KHO TĂNG ÁP'!R14</f>
        <v>0</v>
      </c>
      <c r="E34" s="197">
        <f>'TỒN KHO TĂNG ÁP'!S14</f>
        <v>0</v>
      </c>
      <c r="F34" s="197">
        <f>'TỒN KHO TĂNG ÁP'!T14</f>
        <v>0</v>
      </c>
      <c r="G34" s="197">
        <f>'TỒN KHO TĂNG ÁP'!U14</f>
        <v>191</v>
      </c>
      <c r="H34" s="197">
        <f>'TỒN KHO TĂNG ÁP'!V14</f>
        <v>26</v>
      </c>
      <c r="I34" s="197"/>
    </row>
    <row r="35" spans="1:12" ht="29.4" customHeight="1" x14ac:dyDescent="0.3">
      <c r="A35" s="197"/>
      <c r="B35" s="374"/>
      <c r="C35" s="258" t="s">
        <v>546</v>
      </c>
      <c r="D35" s="197">
        <f>'Tồn kho văn phòng'!R13</f>
        <v>0</v>
      </c>
      <c r="E35" s="197">
        <f>'Tồn kho văn phòng'!S13</f>
        <v>0</v>
      </c>
      <c r="F35" s="197">
        <f>'Tồn kho văn phòng'!T13</f>
        <v>0</v>
      </c>
      <c r="G35" s="197">
        <f>'Tồn kho văn phòng'!U13</f>
        <v>18</v>
      </c>
      <c r="H35" s="197">
        <f>'Tồn kho văn phòng'!V13</f>
        <v>0</v>
      </c>
      <c r="I35" s="197"/>
    </row>
    <row r="36" spans="1:12" ht="29.4" customHeight="1" x14ac:dyDescent="0.3">
      <c r="A36" s="197"/>
      <c r="B36" s="374"/>
      <c r="C36" s="197" t="s">
        <v>577</v>
      </c>
      <c r="D36" s="197">
        <f>'tồn xe'!O10</f>
        <v>0</v>
      </c>
      <c r="E36" s="197">
        <f>'tồn xe'!P10</f>
        <v>0</v>
      </c>
      <c r="F36" s="197">
        <f>'tồn xe'!Q10</f>
        <v>0</v>
      </c>
      <c r="G36" s="197">
        <f>'tồn xe'!R10</f>
        <v>0</v>
      </c>
      <c r="H36" s="197">
        <f>'tồn xe'!S10</f>
        <v>0</v>
      </c>
      <c r="I36" s="197"/>
    </row>
    <row r="37" spans="1:12" ht="29.4" customHeight="1" x14ac:dyDescent="0.3">
      <c r="A37" s="197"/>
      <c r="B37" s="375"/>
      <c r="C37" s="197" t="s">
        <v>600</v>
      </c>
      <c r="D37" s="197">
        <f>'TỒN KHO HÀ LẦM'!R11</f>
        <v>0</v>
      </c>
      <c r="E37" s="197">
        <f>'TỒN KHO HÀ LẦM'!S11</f>
        <v>0</v>
      </c>
      <c r="F37" s="197">
        <f>'TỒN KHO HÀ LẦM'!T11</f>
        <v>0</v>
      </c>
      <c r="G37" s="197">
        <f>'TỒN KHO HÀ LẦM'!U11</f>
        <v>17</v>
      </c>
      <c r="H37" s="197">
        <f>'TỒN KHO HÀ LẦM'!V11</f>
        <v>30</v>
      </c>
      <c r="I37" s="197"/>
    </row>
    <row r="38" spans="1:12" x14ac:dyDescent="0.3">
      <c r="A38" s="197"/>
      <c r="B38" s="198"/>
      <c r="C38" s="198"/>
      <c r="D38" s="197"/>
      <c r="E38" s="197"/>
      <c r="F38" s="197"/>
      <c r="G38" s="197"/>
      <c r="H38" s="197"/>
      <c r="I38" s="197"/>
    </row>
    <row r="39" spans="1:12" x14ac:dyDescent="0.3">
      <c r="A39" s="197"/>
      <c r="B39" s="198"/>
      <c r="C39" s="198"/>
      <c r="D39" s="197"/>
      <c r="E39" s="197"/>
      <c r="F39" s="197"/>
      <c r="G39" s="197"/>
      <c r="H39" s="197"/>
      <c r="I39" s="197"/>
    </row>
    <row r="40" spans="1:12" x14ac:dyDescent="0.3">
      <c r="A40" s="197"/>
      <c r="B40" s="198"/>
      <c r="C40" s="198"/>
      <c r="D40" s="197"/>
      <c r="E40" s="197"/>
      <c r="F40" s="197"/>
      <c r="G40" s="197"/>
      <c r="H40" s="197"/>
      <c r="I40" s="197"/>
    </row>
    <row r="41" spans="1:12" x14ac:dyDescent="0.3">
      <c r="A41" s="197"/>
      <c r="B41" s="198"/>
      <c r="C41" s="198"/>
      <c r="D41" s="197"/>
      <c r="E41" s="197"/>
      <c r="F41" s="197"/>
      <c r="G41" s="197"/>
      <c r="H41" s="197"/>
      <c r="I41" s="197"/>
    </row>
    <row r="42" spans="1:12" x14ac:dyDescent="0.3">
      <c r="A42" s="197"/>
      <c r="B42" s="198"/>
      <c r="C42" s="198"/>
      <c r="D42" s="197"/>
      <c r="E42" s="197"/>
      <c r="F42" s="197"/>
      <c r="G42" s="197"/>
      <c r="H42" s="197"/>
      <c r="I42" s="197"/>
    </row>
    <row r="48" spans="1:12" x14ac:dyDescent="0.3">
      <c r="L48" s="399"/>
    </row>
    <row r="49" spans="12:12" x14ac:dyDescent="0.3">
      <c r="L49" s="399"/>
    </row>
    <row r="50" spans="12:12" x14ac:dyDescent="0.3">
      <c r="L50" s="399"/>
    </row>
    <row r="51" spans="12:12" x14ac:dyDescent="0.3">
      <c r="L51" s="399"/>
    </row>
    <row r="52" spans="12:12" x14ac:dyDescent="0.3">
      <c r="L52" s="399"/>
    </row>
  </sheetData>
  <mergeCells count="11">
    <mergeCell ref="A1:A2"/>
    <mergeCell ref="B1:B2"/>
    <mergeCell ref="B33:B37"/>
    <mergeCell ref="D1:H1"/>
    <mergeCell ref="B6:B8"/>
    <mergeCell ref="B13:B17"/>
    <mergeCell ref="B9:B12"/>
    <mergeCell ref="B3:B5"/>
    <mergeCell ref="B28:B32"/>
    <mergeCell ref="B23:B27"/>
    <mergeCell ref="B18:B2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L104"/>
  <sheetViews>
    <sheetView workbookViewId="0"/>
  </sheetViews>
  <sheetFormatPr defaultColWidth="10.109375" defaultRowHeight="14.4" x14ac:dyDescent="0.3"/>
  <cols>
    <col min="1" max="1" width="5.5546875" customWidth="1"/>
    <col min="2" max="2" width="13.109375" style="81" customWidth="1"/>
    <col min="3" max="3" width="13.109375" customWidth="1"/>
    <col min="23" max="23" width="14.33203125" customWidth="1"/>
    <col min="24" max="24" width="23.33203125" style="136" customWidth="1"/>
    <col min="25" max="25" width="23.33203125" customWidth="1"/>
    <col min="26" max="26" width="14.33203125" customWidth="1"/>
    <col min="27" max="27" width="10.44140625"/>
    <col min="28" max="28" width="7.88671875" customWidth="1"/>
    <col min="29" max="29" width="7.33203125" customWidth="1"/>
    <col min="30" max="30" width="9.33203125" customWidth="1"/>
    <col min="31" max="31" width="8" customWidth="1"/>
    <col min="32" max="33" width="8.109375" customWidth="1"/>
    <col min="34" max="34" width="7.88671875" customWidth="1"/>
    <col min="35" max="35" width="7.109375" customWidth="1"/>
    <col min="36" max="36" width="8.109375" customWidth="1"/>
    <col min="37" max="37" width="7.44140625" customWidth="1"/>
    <col min="38" max="38" width="7.6640625" customWidth="1"/>
  </cols>
  <sheetData>
    <row r="1" spans="1:38" ht="30.6" customHeight="1" x14ac:dyDescent="0.3">
      <c r="A1" s="80" t="s">
        <v>3</v>
      </c>
      <c r="B1" s="80" t="s">
        <v>367</v>
      </c>
      <c r="C1" s="380" t="s">
        <v>368</v>
      </c>
      <c r="D1" s="380"/>
      <c r="E1" s="380"/>
      <c r="F1" s="380"/>
      <c r="G1" s="380"/>
      <c r="H1" s="381" t="s">
        <v>369</v>
      </c>
      <c r="I1" s="381"/>
      <c r="J1" s="381"/>
      <c r="K1" s="381"/>
      <c r="L1" s="381"/>
      <c r="M1" s="382" t="s">
        <v>370</v>
      </c>
      <c r="N1" s="382"/>
      <c r="O1" s="382"/>
      <c r="P1" s="382"/>
      <c r="Q1" s="382"/>
      <c r="R1" s="383" t="s">
        <v>371</v>
      </c>
      <c r="S1" s="383"/>
      <c r="T1" s="383"/>
      <c r="U1" s="383"/>
      <c r="V1" s="383"/>
      <c r="W1" s="79" t="s">
        <v>441</v>
      </c>
      <c r="X1" s="128"/>
      <c r="Y1" s="127" t="s">
        <v>370</v>
      </c>
      <c r="Z1" s="127"/>
      <c r="AA1" s="127"/>
      <c r="AB1" s="127"/>
      <c r="AC1" s="127"/>
      <c r="AD1" s="127"/>
      <c r="AE1" s="127"/>
      <c r="AF1" s="127"/>
      <c r="AG1" s="127"/>
      <c r="AH1" s="127"/>
      <c r="AI1" s="127"/>
      <c r="AJ1" s="127"/>
      <c r="AK1" s="127"/>
      <c r="AL1" s="127"/>
    </row>
    <row r="2" spans="1:38" ht="30.6" customHeight="1" x14ac:dyDescent="0.3">
      <c r="A2" s="80"/>
      <c r="B2" s="80"/>
      <c r="C2" s="213"/>
      <c r="D2" s="213"/>
      <c r="E2" s="213"/>
      <c r="F2" s="213"/>
      <c r="G2" s="213"/>
      <c r="H2" s="214"/>
      <c r="I2" s="214"/>
      <c r="J2" s="214"/>
      <c r="K2" s="214"/>
      <c r="L2" s="214"/>
      <c r="M2" s="215"/>
      <c r="N2" s="215"/>
      <c r="O2" s="215"/>
      <c r="P2" s="215"/>
      <c r="Q2" s="215"/>
      <c r="R2" s="216"/>
      <c r="S2" s="216"/>
      <c r="T2" s="216"/>
      <c r="U2" s="216"/>
      <c r="V2" s="216"/>
      <c r="W2" s="79"/>
      <c r="X2" s="128"/>
      <c r="Y2" s="127"/>
      <c r="Z2" s="127"/>
      <c r="AA2" s="127"/>
      <c r="AB2" s="127"/>
      <c r="AC2" s="127"/>
      <c r="AD2" s="127"/>
      <c r="AE2" s="127"/>
      <c r="AF2" s="127"/>
      <c r="AG2" s="127"/>
      <c r="AH2" s="127"/>
      <c r="AI2" s="127"/>
      <c r="AJ2" s="127"/>
      <c r="AK2" s="127"/>
      <c r="AL2" s="127"/>
    </row>
    <row r="3" spans="1:38" ht="32.85" customHeight="1" x14ac:dyDescent="0.3">
      <c r="A3" s="79"/>
      <c r="B3" s="82"/>
      <c r="C3" s="99" t="s">
        <v>372</v>
      </c>
      <c r="D3" s="99" t="s">
        <v>373</v>
      </c>
      <c r="E3" s="99" t="s">
        <v>507</v>
      </c>
      <c r="F3" s="99" t="s">
        <v>374</v>
      </c>
      <c r="G3" s="99" t="s">
        <v>375</v>
      </c>
      <c r="H3" s="100" t="s">
        <v>372</v>
      </c>
      <c r="I3" s="100" t="s">
        <v>373</v>
      </c>
      <c r="J3" s="100" t="s">
        <v>506</v>
      </c>
      <c r="K3" s="100" t="s">
        <v>374</v>
      </c>
      <c r="L3" s="100" t="s">
        <v>375</v>
      </c>
      <c r="M3" s="101" t="s">
        <v>372</v>
      </c>
      <c r="N3" s="101" t="s">
        <v>373</v>
      </c>
      <c r="O3" s="101" t="s">
        <v>507</v>
      </c>
      <c r="P3" s="101" t="s">
        <v>374</v>
      </c>
      <c r="Q3" s="101" t="s">
        <v>375</v>
      </c>
      <c r="R3" s="237" t="s">
        <v>372</v>
      </c>
      <c r="S3" s="237" t="s">
        <v>373</v>
      </c>
      <c r="T3" s="237" t="s">
        <v>508</v>
      </c>
      <c r="U3" s="237" t="s">
        <v>374</v>
      </c>
      <c r="V3" s="237" t="s">
        <v>375</v>
      </c>
      <c r="W3" s="79"/>
      <c r="X3" s="134"/>
      <c r="Y3" s="119" t="s">
        <v>318</v>
      </c>
      <c r="Z3" s="119" t="s">
        <v>403</v>
      </c>
      <c r="AA3" s="120" t="s">
        <v>26</v>
      </c>
      <c r="AB3" s="118" t="s">
        <v>404</v>
      </c>
      <c r="AC3" s="118" t="s">
        <v>405</v>
      </c>
      <c r="AD3" s="118" t="s">
        <v>406</v>
      </c>
      <c r="AE3" s="118" t="s">
        <v>29</v>
      </c>
      <c r="AF3" s="118" t="s">
        <v>407</v>
      </c>
      <c r="AG3" s="118" t="s">
        <v>408</v>
      </c>
      <c r="AH3" s="118" t="s">
        <v>409</v>
      </c>
      <c r="AI3" s="118" t="s">
        <v>410</v>
      </c>
      <c r="AJ3" s="118" t="s">
        <v>411</v>
      </c>
      <c r="AK3" s="118" t="s">
        <v>42</v>
      </c>
      <c r="AL3" s="118" t="s">
        <v>412</v>
      </c>
    </row>
    <row r="4" spans="1:38" ht="32.85" customHeight="1" x14ac:dyDescent="0.35">
      <c r="A4" s="79"/>
      <c r="B4" s="82">
        <v>46273</v>
      </c>
      <c r="C4" s="79"/>
      <c r="D4" s="79">
        <v>0</v>
      </c>
      <c r="E4" s="79"/>
      <c r="F4" s="79">
        <v>17</v>
      </c>
      <c r="G4" s="79">
        <v>30</v>
      </c>
      <c r="H4" s="79"/>
      <c r="I4" s="79"/>
      <c r="J4" s="79"/>
      <c r="K4" s="79">
        <f>120</f>
        <v>120</v>
      </c>
      <c r="L4" s="79"/>
      <c r="M4" s="79"/>
      <c r="N4" s="79"/>
      <c r="O4" s="79"/>
      <c r="P4" s="79">
        <f>11+4+3</f>
        <v>18</v>
      </c>
      <c r="Q4" s="79"/>
      <c r="R4" s="79">
        <f>C4+H4-M4</f>
        <v>0</v>
      </c>
      <c r="S4" s="79">
        <f>D4+I4-N4</f>
        <v>0</v>
      </c>
      <c r="T4" s="79">
        <f>E4+J4-O4</f>
        <v>0</v>
      </c>
      <c r="U4" s="79">
        <f>F4+K4-P4</f>
        <v>119</v>
      </c>
      <c r="V4" s="79">
        <f>G4+L4-Q4</f>
        <v>30</v>
      </c>
      <c r="W4" s="79"/>
      <c r="X4" s="137"/>
      <c r="Y4" s="121"/>
      <c r="Z4" s="121"/>
      <c r="AA4" s="121"/>
      <c r="AB4" s="121"/>
      <c r="AC4" s="121"/>
      <c r="AD4" s="121"/>
      <c r="AE4" s="121"/>
      <c r="AF4" s="121"/>
      <c r="AG4" s="121"/>
      <c r="AH4" s="121"/>
      <c r="AI4" s="121"/>
      <c r="AJ4" s="121"/>
      <c r="AK4" s="121"/>
      <c r="AL4" s="121"/>
    </row>
    <row r="5" spans="1:38" ht="32.85" customHeight="1" x14ac:dyDescent="0.3">
      <c r="A5" s="79"/>
      <c r="B5" s="102" t="s">
        <v>388</v>
      </c>
      <c r="C5" s="79">
        <f t="shared" ref="C5:D7" si="0">R4</f>
        <v>0</v>
      </c>
      <c r="D5" s="79">
        <f t="shared" si="0"/>
        <v>0</v>
      </c>
      <c r="E5" s="79"/>
      <c r="F5" s="79">
        <f t="shared" ref="F5:G7" si="1">U4</f>
        <v>119</v>
      </c>
      <c r="G5" s="79">
        <f t="shared" si="1"/>
        <v>30</v>
      </c>
      <c r="H5" s="79"/>
      <c r="I5" s="79"/>
      <c r="J5" s="79"/>
      <c r="K5" s="79"/>
      <c r="L5" s="79"/>
      <c r="M5" s="79"/>
      <c r="N5" s="79"/>
      <c r="O5" s="79"/>
      <c r="P5" s="79"/>
      <c r="Q5" s="79"/>
      <c r="R5" s="79">
        <f t="shared" ref="R5:R9" si="2">C5+H5-M5</f>
        <v>0</v>
      </c>
      <c r="S5" s="79">
        <f t="shared" ref="S5:V6" si="3">D5+I5-N5</f>
        <v>0</v>
      </c>
      <c r="T5" s="79">
        <f t="shared" si="3"/>
        <v>0</v>
      </c>
      <c r="U5" s="79">
        <f t="shared" si="3"/>
        <v>119</v>
      </c>
      <c r="V5" s="79">
        <f t="shared" si="3"/>
        <v>30</v>
      </c>
      <c r="W5" s="79"/>
      <c r="X5" s="135">
        <v>46263</v>
      </c>
      <c r="Y5" s="122" t="s">
        <v>413</v>
      </c>
      <c r="Z5" s="122" t="s">
        <v>414</v>
      </c>
      <c r="AA5" s="122">
        <v>113</v>
      </c>
      <c r="AB5" s="122"/>
      <c r="AC5" s="122"/>
      <c r="AD5" s="122"/>
      <c r="AE5" s="122"/>
      <c r="AF5" s="122"/>
      <c r="AG5" s="122"/>
      <c r="AH5" s="122"/>
      <c r="AI5" s="122"/>
      <c r="AJ5" s="122"/>
      <c r="AK5" s="122"/>
      <c r="AL5" s="122"/>
    </row>
    <row r="6" spans="1:38" ht="32.85" customHeight="1" x14ac:dyDescent="0.3">
      <c r="A6" s="79"/>
      <c r="B6" s="102" t="s">
        <v>489</v>
      </c>
      <c r="C6" s="79">
        <f t="shared" si="0"/>
        <v>0</v>
      </c>
      <c r="D6" s="79">
        <f t="shared" si="0"/>
        <v>0</v>
      </c>
      <c r="E6" s="79"/>
      <c r="F6" s="79">
        <f t="shared" si="1"/>
        <v>119</v>
      </c>
      <c r="G6" s="79">
        <f t="shared" si="1"/>
        <v>30</v>
      </c>
      <c r="H6" s="79"/>
      <c r="I6" s="79"/>
      <c r="J6" s="79"/>
      <c r="K6" s="79"/>
      <c r="L6" s="79"/>
      <c r="M6" s="79"/>
      <c r="N6" s="79"/>
      <c r="O6" s="79"/>
      <c r="P6" s="79">
        <v>47</v>
      </c>
      <c r="Q6" s="79">
        <v>22</v>
      </c>
      <c r="R6" s="79">
        <f t="shared" si="2"/>
        <v>0</v>
      </c>
      <c r="S6" s="79">
        <f t="shared" si="3"/>
        <v>0</v>
      </c>
      <c r="T6" s="79">
        <f t="shared" si="3"/>
        <v>0</v>
      </c>
      <c r="U6" s="79">
        <f t="shared" si="3"/>
        <v>72</v>
      </c>
      <c r="V6" s="79">
        <f t="shared" si="3"/>
        <v>8</v>
      </c>
      <c r="W6" s="79"/>
      <c r="X6" s="135">
        <v>46263</v>
      </c>
      <c r="Y6" s="122" t="s">
        <v>415</v>
      </c>
      <c r="Z6" s="122" t="s">
        <v>414</v>
      </c>
      <c r="AA6" s="122">
        <v>44</v>
      </c>
      <c r="AB6" s="122"/>
      <c r="AC6" s="122"/>
      <c r="AD6" s="122"/>
      <c r="AE6" s="122"/>
      <c r="AF6" s="122"/>
      <c r="AG6" s="122"/>
      <c r="AH6" s="122"/>
      <c r="AI6" s="122"/>
      <c r="AJ6" s="122"/>
      <c r="AK6" s="122"/>
      <c r="AL6" s="122"/>
    </row>
    <row r="7" spans="1:38" ht="32.85" customHeight="1" x14ac:dyDescent="0.3">
      <c r="A7" s="79"/>
      <c r="B7" s="102" t="s">
        <v>523</v>
      </c>
      <c r="C7" s="79">
        <f t="shared" si="0"/>
        <v>0</v>
      </c>
      <c r="D7" s="79">
        <f t="shared" si="0"/>
        <v>0</v>
      </c>
      <c r="E7" s="79"/>
      <c r="F7" s="79">
        <f t="shared" si="1"/>
        <v>72</v>
      </c>
      <c r="G7" s="79">
        <f t="shared" si="1"/>
        <v>8</v>
      </c>
      <c r="H7" s="79"/>
      <c r="I7" s="79"/>
      <c r="J7" s="79"/>
      <c r="K7" s="79"/>
      <c r="L7" s="79"/>
      <c r="M7" s="79"/>
      <c r="N7" s="79"/>
      <c r="O7" s="79"/>
      <c r="P7" s="79">
        <v>32</v>
      </c>
      <c r="Q7" s="79"/>
      <c r="R7" s="79">
        <f t="shared" si="2"/>
        <v>0</v>
      </c>
      <c r="S7" s="79">
        <f t="shared" ref="S7" si="4">D7+I7-N7</f>
        <v>0</v>
      </c>
      <c r="T7" s="79">
        <f t="shared" ref="T7" si="5">E7+J7-O7</f>
        <v>0</v>
      </c>
      <c r="U7" s="79">
        <f t="shared" ref="U7" si="6">F7+K7-P7</f>
        <v>40</v>
      </c>
      <c r="V7" s="79">
        <f t="shared" ref="V7" si="7">G7+L7-Q7</f>
        <v>8</v>
      </c>
      <c r="W7" s="79"/>
      <c r="X7" s="135">
        <v>46264</v>
      </c>
      <c r="Y7" s="122" t="s">
        <v>416</v>
      </c>
      <c r="Z7" s="122" t="s">
        <v>414</v>
      </c>
      <c r="AA7" s="122"/>
      <c r="AB7" s="122"/>
      <c r="AC7" s="122"/>
      <c r="AD7" s="122"/>
      <c r="AE7" s="122">
        <v>1</v>
      </c>
      <c r="AF7" s="122"/>
      <c r="AG7" s="122"/>
      <c r="AH7" s="122"/>
      <c r="AI7" s="122"/>
      <c r="AJ7" s="122"/>
      <c r="AK7" s="122"/>
      <c r="AL7" s="122"/>
    </row>
    <row r="8" spans="1:38" ht="32.85" customHeight="1" x14ac:dyDescent="0.3">
      <c r="A8" s="79"/>
      <c r="B8" s="266" t="s">
        <v>553</v>
      </c>
      <c r="C8" s="79">
        <f t="shared" ref="C8" si="8">R7</f>
        <v>0</v>
      </c>
      <c r="D8" s="79">
        <f t="shared" ref="D8" si="9">S7</f>
        <v>0</v>
      </c>
      <c r="E8" s="79"/>
      <c r="F8" s="79">
        <f t="shared" ref="F8" si="10">U7</f>
        <v>40</v>
      </c>
      <c r="G8" s="79">
        <f t="shared" ref="G8" si="11">V7</f>
        <v>8</v>
      </c>
      <c r="H8" s="79"/>
      <c r="I8" s="79"/>
      <c r="J8" s="79"/>
      <c r="K8" s="79"/>
      <c r="L8" s="79"/>
      <c r="M8" s="79"/>
      <c r="N8" s="79"/>
      <c r="O8" s="79"/>
      <c r="P8" s="79">
        <v>32</v>
      </c>
      <c r="Q8" s="79"/>
      <c r="R8" s="79">
        <f t="shared" si="2"/>
        <v>0</v>
      </c>
      <c r="S8" s="79">
        <f t="shared" ref="S8" si="12">D8+I8-N8</f>
        <v>0</v>
      </c>
      <c r="T8" s="79">
        <f t="shared" ref="T8" si="13">E8+J8-O8</f>
        <v>0</v>
      </c>
      <c r="U8" s="79">
        <f t="shared" ref="U8" si="14">F8+K8-P8</f>
        <v>8</v>
      </c>
      <c r="V8" s="79">
        <f t="shared" ref="V8" si="15">G8+L8-Q8</f>
        <v>8</v>
      </c>
      <c r="W8" s="79"/>
      <c r="X8" s="135">
        <v>46264</v>
      </c>
      <c r="Y8" s="123" t="s">
        <v>417</v>
      </c>
      <c r="Z8" s="122" t="s">
        <v>414</v>
      </c>
      <c r="AA8" s="123"/>
      <c r="AB8" s="124"/>
      <c r="AC8" s="122"/>
      <c r="AD8" s="122"/>
      <c r="AE8" s="122">
        <v>2</v>
      </c>
      <c r="AF8" s="122"/>
      <c r="AG8" s="122"/>
      <c r="AH8" s="122"/>
      <c r="AI8" s="122"/>
      <c r="AJ8" s="122"/>
      <c r="AK8" s="122"/>
      <c r="AL8" s="122"/>
    </row>
    <row r="9" spans="1:38" ht="35.1" customHeight="1" x14ac:dyDescent="0.3">
      <c r="A9" s="79"/>
      <c r="B9" s="87" t="s">
        <v>570</v>
      </c>
      <c r="C9" s="79">
        <f t="shared" ref="C9" si="16">R8</f>
        <v>0</v>
      </c>
      <c r="D9" s="79">
        <f t="shared" ref="D9" si="17">S8</f>
        <v>0</v>
      </c>
      <c r="E9" s="79"/>
      <c r="F9" s="79">
        <f t="shared" ref="F9" si="18">U8</f>
        <v>8</v>
      </c>
      <c r="G9" s="79">
        <f t="shared" ref="G9" si="19">V8</f>
        <v>8</v>
      </c>
      <c r="H9" s="79"/>
      <c r="I9" s="79"/>
      <c r="J9" s="79"/>
      <c r="K9" s="79"/>
      <c r="L9" s="79"/>
      <c r="M9" s="79"/>
      <c r="N9" s="79"/>
      <c r="O9" s="79"/>
      <c r="P9" s="79">
        <v>8</v>
      </c>
      <c r="Q9" s="79"/>
      <c r="R9" s="79">
        <f t="shared" si="2"/>
        <v>0</v>
      </c>
      <c r="S9" s="79">
        <f t="shared" ref="S9" si="20">D9+I9-N9</f>
        <v>0</v>
      </c>
      <c r="T9" s="79">
        <f t="shared" ref="T9" si="21">E9+J9-O9</f>
        <v>0</v>
      </c>
      <c r="U9" s="79">
        <f t="shared" ref="U9" si="22">F9+K9-P9</f>
        <v>0</v>
      </c>
      <c r="V9" s="79">
        <f t="shared" ref="V9" si="23">G9+L9-Q9</f>
        <v>8</v>
      </c>
      <c r="W9" s="79"/>
      <c r="X9" s="135">
        <v>46264</v>
      </c>
      <c r="Y9" s="123" t="s">
        <v>413</v>
      </c>
      <c r="Z9" s="122" t="s">
        <v>414</v>
      </c>
      <c r="AA9" s="122">
        <v>11</v>
      </c>
      <c r="AB9" s="122"/>
      <c r="AC9" s="122"/>
      <c r="AD9" s="122"/>
      <c r="AE9" s="122"/>
      <c r="AF9" s="122"/>
      <c r="AG9" s="122"/>
      <c r="AH9" s="122"/>
      <c r="AI9" s="122"/>
      <c r="AJ9" s="122"/>
      <c r="AK9" s="122"/>
      <c r="AL9" s="122"/>
    </row>
    <row r="10" spans="1:38" ht="35.1" customHeight="1" x14ac:dyDescent="0.3">
      <c r="A10" s="79"/>
      <c r="B10" s="87" t="s">
        <v>581</v>
      </c>
      <c r="C10" s="79">
        <f t="shared" ref="C10" si="24">R9</f>
        <v>0</v>
      </c>
      <c r="D10" s="79">
        <f t="shared" ref="D10" si="25">S9</f>
        <v>0</v>
      </c>
      <c r="E10" s="79"/>
      <c r="F10" s="79">
        <f t="shared" ref="F10" si="26">U9</f>
        <v>0</v>
      </c>
      <c r="G10" s="79">
        <f t="shared" ref="G10" si="27">V9</f>
        <v>8</v>
      </c>
      <c r="H10" s="79"/>
      <c r="I10" s="79"/>
      <c r="J10" s="79"/>
      <c r="K10" s="79">
        <v>38</v>
      </c>
      <c r="L10" s="79">
        <v>50</v>
      </c>
      <c r="M10" s="79"/>
      <c r="N10" s="79"/>
      <c r="O10" s="79"/>
      <c r="P10" s="79">
        <v>5</v>
      </c>
      <c r="Q10" s="79"/>
      <c r="R10" s="79">
        <f t="shared" ref="R10" si="28">C10+H10-M10</f>
        <v>0</v>
      </c>
      <c r="S10" s="79">
        <f t="shared" ref="S10" si="29">D10+I10-N10</f>
        <v>0</v>
      </c>
      <c r="T10" s="79">
        <f t="shared" ref="T10" si="30">E10+J10-O10</f>
        <v>0</v>
      </c>
      <c r="U10" s="79">
        <f t="shared" ref="U10" si="31">F10+K10-P10</f>
        <v>33</v>
      </c>
      <c r="V10" s="79">
        <f t="shared" ref="V10" si="32">G10+L10-Q10</f>
        <v>58</v>
      </c>
      <c r="W10" s="79"/>
      <c r="X10" s="135">
        <v>46267</v>
      </c>
      <c r="Y10" s="122" t="s">
        <v>418</v>
      </c>
      <c r="Z10" s="122" t="s">
        <v>414</v>
      </c>
      <c r="AA10" s="122"/>
      <c r="AB10" s="122"/>
      <c r="AC10" s="122"/>
      <c r="AD10" s="122"/>
      <c r="AE10" s="122">
        <v>5</v>
      </c>
      <c r="AF10" s="122"/>
      <c r="AG10" s="122"/>
      <c r="AH10" s="122"/>
      <c r="AI10" s="122"/>
      <c r="AJ10" s="122"/>
      <c r="AK10" s="122"/>
      <c r="AL10" s="122"/>
    </row>
    <row r="11" spans="1:38" ht="35.1" customHeight="1" x14ac:dyDescent="0.3">
      <c r="A11" s="79"/>
      <c r="B11" s="87" t="s">
        <v>608</v>
      </c>
      <c r="C11" s="79">
        <f t="shared" ref="C11" si="33">R10</f>
        <v>0</v>
      </c>
      <c r="D11" s="79">
        <f t="shared" ref="D11" si="34">S10</f>
        <v>0</v>
      </c>
      <c r="E11" s="79"/>
      <c r="F11" s="79">
        <f t="shared" ref="F11" si="35">U10</f>
        <v>33</v>
      </c>
      <c r="G11" s="79">
        <f t="shared" ref="G11" si="36">V10</f>
        <v>58</v>
      </c>
      <c r="H11" s="79"/>
      <c r="I11" s="79"/>
      <c r="J11" s="79"/>
      <c r="K11" s="79">
        <v>50</v>
      </c>
      <c r="L11" s="79"/>
      <c r="M11" s="79"/>
      <c r="N11" s="79"/>
      <c r="O11" s="79"/>
      <c r="P11" s="79">
        <f>33+11</f>
        <v>44</v>
      </c>
      <c r="Q11" s="79"/>
      <c r="R11" s="79">
        <f t="shared" ref="R11" si="37">C11+H11-M11</f>
        <v>0</v>
      </c>
      <c r="S11" s="79">
        <f t="shared" ref="S11" si="38">D11+I11-N11</f>
        <v>0</v>
      </c>
      <c r="T11" s="79">
        <f t="shared" ref="T11" si="39">E11+J11-O11</f>
        <v>0</v>
      </c>
      <c r="U11" s="79">
        <f t="shared" ref="U11" si="40">F11+K11-P11</f>
        <v>39</v>
      </c>
      <c r="V11" s="79">
        <f t="shared" ref="V11" si="41">G11+L11-Q11</f>
        <v>58</v>
      </c>
      <c r="W11" s="79"/>
      <c r="X11" s="135">
        <v>46268</v>
      </c>
      <c r="Y11" s="122" t="s">
        <v>419</v>
      </c>
      <c r="Z11" s="122" t="s">
        <v>414</v>
      </c>
      <c r="AA11" s="122">
        <v>5</v>
      </c>
      <c r="AB11" s="122"/>
      <c r="AC11" s="122"/>
      <c r="AD11" s="122"/>
      <c r="AE11" s="122"/>
      <c r="AF11" s="122"/>
      <c r="AG11" s="122"/>
      <c r="AH11" s="122"/>
      <c r="AI11" s="122"/>
      <c r="AJ11" s="122"/>
      <c r="AK11" s="122"/>
      <c r="AL11" s="122"/>
    </row>
    <row r="12" spans="1:38" ht="35.1" customHeight="1" x14ac:dyDescent="0.3">
      <c r="A12" s="79"/>
      <c r="B12" s="87" t="s">
        <v>628</v>
      </c>
      <c r="C12" s="79">
        <f t="shared" ref="C12" si="42">R11</f>
        <v>0</v>
      </c>
      <c r="D12" s="79">
        <f t="shared" ref="D12" si="43">S11</f>
        <v>0</v>
      </c>
      <c r="E12" s="79"/>
      <c r="F12" s="79">
        <f t="shared" ref="F12" si="44">U11</f>
        <v>39</v>
      </c>
      <c r="G12" s="79">
        <f t="shared" ref="G12" si="45">V11</f>
        <v>58</v>
      </c>
      <c r="H12" s="79">
        <f>17+13</f>
        <v>30</v>
      </c>
      <c r="I12" s="79"/>
      <c r="J12" s="79"/>
      <c r="K12" s="79">
        <v>8</v>
      </c>
      <c r="L12" s="79"/>
      <c r="M12" s="79">
        <f>17+13</f>
        <v>30</v>
      </c>
      <c r="N12" s="79"/>
      <c r="O12" s="79"/>
      <c r="P12" s="79">
        <v>11</v>
      </c>
      <c r="Q12" s="79"/>
      <c r="R12" s="79">
        <f t="shared" ref="R12" si="46">C12+H12-M12</f>
        <v>0</v>
      </c>
      <c r="S12" s="79">
        <f t="shared" ref="S12" si="47">D12+I12-N12</f>
        <v>0</v>
      </c>
      <c r="T12" s="79">
        <f t="shared" ref="T12" si="48">E12+J12-O12</f>
        <v>0</v>
      </c>
      <c r="U12" s="79">
        <f t="shared" ref="U12" si="49">F12+K12-P12</f>
        <v>36</v>
      </c>
      <c r="V12" s="79">
        <f t="shared" ref="V12" si="50">G12+L12-Q12</f>
        <v>58</v>
      </c>
      <c r="W12" s="79"/>
      <c r="X12" s="135">
        <v>46268</v>
      </c>
      <c r="Y12" s="122" t="s">
        <v>420</v>
      </c>
      <c r="Z12" s="122" t="s">
        <v>414</v>
      </c>
      <c r="AA12" s="122">
        <v>2</v>
      </c>
      <c r="AB12" s="122"/>
      <c r="AC12" s="122"/>
      <c r="AD12" s="122"/>
      <c r="AE12" s="122"/>
      <c r="AF12" s="122"/>
      <c r="AG12" s="122"/>
      <c r="AH12" s="122"/>
      <c r="AI12" s="122"/>
      <c r="AJ12" s="122"/>
      <c r="AK12" s="122"/>
      <c r="AL12" s="122"/>
    </row>
    <row r="13" spans="1:38" ht="35.1" customHeight="1" x14ac:dyDescent="0.3">
      <c r="A13" s="79"/>
      <c r="B13" s="87" t="s">
        <v>641</v>
      </c>
      <c r="C13" s="79">
        <f t="shared" ref="C13" si="51">R12</f>
        <v>0</v>
      </c>
      <c r="D13" s="79">
        <f t="shared" ref="D13" si="52">S12</f>
        <v>0</v>
      </c>
      <c r="E13" s="79"/>
      <c r="F13" s="79">
        <f t="shared" ref="F13" si="53">U12</f>
        <v>36</v>
      </c>
      <c r="G13" s="79">
        <f t="shared" ref="G13" si="54">V12</f>
        <v>58</v>
      </c>
      <c r="H13" s="79">
        <v>20</v>
      </c>
      <c r="I13" s="79">
        <v>20</v>
      </c>
      <c r="J13" s="79"/>
      <c r="K13" s="79">
        <v>55</v>
      </c>
      <c r="L13" s="79"/>
      <c r="M13" s="79"/>
      <c r="N13" s="79"/>
      <c r="O13" s="79"/>
      <c r="P13" s="79">
        <v>23</v>
      </c>
      <c r="Q13" s="79">
        <v>11</v>
      </c>
      <c r="R13" s="79">
        <f t="shared" ref="R13" si="55">C13+H13-M13</f>
        <v>20</v>
      </c>
      <c r="S13" s="79">
        <f t="shared" ref="S13" si="56">D13+I13-N13</f>
        <v>20</v>
      </c>
      <c r="T13" s="79">
        <f t="shared" ref="T13" si="57">E13+J13-O13</f>
        <v>0</v>
      </c>
      <c r="U13" s="79">
        <f t="shared" ref="U13" si="58">F13+K13-P13</f>
        <v>68</v>
      </c>
      <c r="V13" s="79">
        <f t="shared" ref="V13" si="59">G13+L13-Q13</f>
        <v>47</v>
      </c>
      <c r="W13" s="79"/>
      <c r="X13" s="135">
        <v>46269</v>
      </c>
      <c r="Y13" s="122" t="s">
        <v>421</v>
      </c>
      <c r="Z13" s="122" t="s">
        <v>422</v>
      </c>
      <c r="AA13" s="122">
        <v>11</v>
      </c>
      <c r="AB13" s="122"/>
      <c r="AC13" s="122"/>
      <c r="AD13" s="122"/>
      <c r="AE13" s="122"/>
      <c r="AF13" s="122"/>
      <c r="AG13" s="122"/>
      <c r="AH13" s="122"/>
      <c r="AI13" s="122"/>
      <c r="AJ13" s="122"/>
      <c r="AK13" s="122"/>
      <c r="AL13" s="122"/>
    </row>
    <row r="14" spans="1:38" ht="35.1" customHeight="1" x14ac:dyDescent="0.3">
      <c r="A14" s="79"/>
      <c r="B14" s="87" t="s">
        <v>674</v>
      </c>
      <c r="C14" s="79">
        <f t="shared" ref="C14" si="60">R13</f>
        <v>20</v>
      </c>
      <c r="D14" s="79">
        <f t="shared" ref="D14" si="61">S13</f>
        <v>20</v>
      </c>
      <c r="E14" s="79"/>
      <c r="F14" s="79">
        <f t="shared" ref="F14" si="62">U13</f>
        <v>68</v>
      </c>
      <c r="G14" s="79">
        <f t="shared" ref="G14" si="63">V13</f>
        <v>47</v>
      </c>
      <c r="H14" s="79"/>
      <c r="I14" s="79"/>
      <c r="J14" s="79"/>
      <c r="K14" s="79">
        <v>50</v>
      </c>
      <c r="L14" s="79"/>
      <c r="M14" s="79">
        <v>17</v>
      </c>
      <c r="N14" s="79">
        <v>11</v>
      </c>
      <c r="O14" s="79"/>
      <c r="P14" s="79">
        <v>12</v>
      </c>
      <c r="Q14" s="79">
        <v>22</v>
      </c>
      <c r="R14" s="131">
        <f t="shared" ref="R14" si="64">C14+H14-M14</f>
        <v>3</v>
      </c>
      <c r="S14" s="131">
        <f t="shared" ref="S14" si="65">D14+I14-N14</f>
        <v>9</v>
      </c>
      <c r="T14" s="79">
        <f t="shared" ref="T14" si="66">E14+J14-O14</f>
        <v>0</v>
      </c>
      <c r="U14" s="99">
        <f t="shared" ref="U14" si="67">F14+K14-P14</f>
        <v>106</v>
      </c>
      <c r="V14" s="79">
        <f t="shared" ref="V14" si="68">G14+L14-Q14</f>
        <v>25</v>
      </c>
      <c r="W14" s="79"/>
      <c r="X14" s="135">
        <v>46269</v>
      </c>
      <c r="Y14" s="122" t="s">
        <v>423</v>
      </c>
      <c r="Z14" s="122" t="s">
        <v>414</v>
      </c>
      <c r="AA14" s="122">
        <v>11</v>
      </c>
      <c r="AB14" s="122"/>
      <c r="AC14" s="122"/>
      <c r="AD14" s="122"/>
      <c r="AE14" s="122"/>
      <c r="AF14" s="122"/>
      <c r="AG14" s="122"/>
      <c r="AH14" s="122"/>
      <c r="AI14" s="122"/>
      <c r="AJ14" s="122"/>
      <c r="AK14" s="122"/>
      <c r="AL14" s="122"/>
    </row>
    <row r="15" spans="1:38" ht="35.1" customHeight="1" x14ac:dyDescent="0.3">
      <c r="A15" s="79"/>
      <c r="B15" s="87"/>
      <c r="C15" s="79"/>
      <c r="D15" s="79"/>
      <c r="E15" s="79"/>
      <c r="F15" s="79"/>
      <c r="G15" s="79"/>
      <c r="H15" s="79"/>
      <c r="I15" s="79"/>
      <c r="J15" s="79"/>
      <c r="K15" s="79"/>
      <c r="L15" s="79"/>
      <c r="M15" s="79"/>
      <c r="N15" s="79"/>
      <c r="O15" s="79"/>
      <c r="P15" s="79"/>
      <c r="Q15" s="79"/>
      <c r="R15" s="79"/>
      <c r="S15" s="79"/>
      <c r="T15" s="79"/>
      <c r="U15" s="79"/>
      <c r="V15" s="79"/>
      <c r="W15" s="79"/>
      <c r="X15" s="135">
        <v>46269</v>
      </c>
      <c r="Y15" s="122" t="s">
        <v>424</v>
      </c>
      <c r="Z15" s="122" t="s">
        <v>414</v>
      </c>
      <c r="AA15" s="122">
        <v>11</v>
      </c>
      <c r="AB15" s="122"/>
      <c r="AC15" s="122"/>
      <c r="AD15" s="122"/>
      <c r="AE15" s="122"/>
      <c r="AF15" s="122"/>
      <c r="AG15" s="122"/>
      <c r="AH15" s="122"/>
      <c r="AI15" s="122"/>
      <c r="AJ15" s="122"/>
      <c r="AK15" s="122"/>
      <c r="AL15" s="122"/>
    </row>
    <row r="16" spans="1:38" ht="35.1" customHeight="1" x14ac:dyDescent="0.3">
      <c r="A16" s="79"/>
      <c r="B16" s="87"/>
      <c r="C16" s="79"/>
      <c r="D16" s="79"/>
      <c r="E16" s="79"/>
      <c r="F16" s="79"/>
      <c r="G16" s="79"/>
      <c r="H16" s="79"/>
      <c r="I16" s="79"/>
      <c r="J16" s="79"/>
      <c r="K16" s="79"/>
      <c r="L16" s="79"/>
      <c r="M16" s="79"/>
      <c r="N16" s="79"/>
      <c r="O16" s="79"/>
      <c r="P16" s="79"/>
      <c r="Q16" s="79"/>
      <c r="R16" s="79"/>
      <c r="S16" s="79"/>
      <c r="T16" s="79"/>
      <c r="U16" s="79"/>
      <c r="V16" s="79"/>
      <c r="W16" s="79"/>
      <c r="X16" s="135">
        <v>46269</v>
      </c>
      <c r="Y16" s="122" t="s">
        <v>425</v>
      </c>
      <c r="Z16" s="122" t="s">
        <v>426</v>
      </c>
      <c r="AA16" s="122">
        <v>11</v>
      </c>
      <c r="AB16" s="122"/>
      <c r="AC16" s="122"/>
      <c r="AD16" s="122"/>
      <c r="AE16" s="122"/>
      <c r="AF16" s="122"/>
      <c r="AG16" s="122"/>
      <c r="AH16" s="122"/>
      <c r="AI16" s="122"/>
      <c r="AJ16" s="122"/>
      <c r="AK16" s="122"/>
      <c r="AL16" s="122"/>
    </row>
    <row r="17" spans="1:38" ht="35.1" customHeight="1" x14ac:dyDescent="0.3">
      <c r="A17" s="79"/>
      <c r="B17" s="87"/>
      <c r="C17" s="79"/>
      <c r="D17" s="79"/>
      <c r="E17" s="79"/>
      <c r="F17" s="79"/>
      <c r="G17" s="79"/>
      <c r="H17" s="79"/>
      <c r="I17" s="79"/>
      <c r="J17" s="79"/>
      <c r="K17" s="79"/>
      <c r="L17" s="79"/>
      <c r="M17" s="79"/>
      <c r="N17" s="79"/>
      <c r="O17" s="79"/>
      <c r="P17" s="79"/>
      <c r="Q17" s="79"/>
      <c r="R17" s="79"/>
      <c r="S17" s="79"/>
      <c r="T17" s="79"/>
      <c r="U17" s="79"/>
      <c r="V17" s="79"/>
      <c r="W17" s="79"/>
      <c r="X17" s="135">
        <v>46269</v>
      </c>
      <c r="Y17" s="122" t="s">
        <v>427</v>
      </c>
      <c r="Z17" s="122" t="s">
        <v>414</v>
      </c>
      <c r="AA17" s="122">
        <v>11</v>
      </c>
      <c r="AB17" s="122"/>
      <c r="AC17" s="122"/>
      <c r="AD17" s="122"/>
      <c r="AE17" s="122"/>
      <c r="AF17" s="122"/>
      <c r="AG17" s="122"/>
      <c r="AH17" s="122"/>
      <c r="AI17" s="122"/>
      <c r="AJ17" s="122"/>
      <c r="AK17" s="122"/>
      <c r="AL17" s="122"/>
    </row>
    <row r="18" spans="1:38" ht="35.1" customHeight="1" x14ac:dyDescent="0.3">
      <c r="A18" s="79"/>
      <c r="B18" s="87"/>
      <c r="C18" s="79"/>
      <c r="D18" s="79"/>
      <c r="E18" s="79"/>
      <c r="F18" s="79"/>
      <c r="G18" s="79"/>
      <c r="H18" s="79"/>
      <c r="I18" s="79"/>
      <c r="J18" s="79"/>
      <c r="K18" s="79"/>
      <c r="L18" s="79"/>
      <c r="M18" s="79"/>
      <c r="N18" s="79"/>
      <c r="O18" s="79"/>
      <c r="P18" s="79"/>
      <c r="Q18" s="79"/>
      <c r="R18" s="79"/>
      <c r="S18" s="79"/>
      <c r="T18" s="79"/>
      <c r="U18" s="79"/>
      <c r="V18" s="79"/>
      <c r="W18" s="79"/>
      <c r="X18" s="135">
        <v>46269</v>
      </c>
      <c r="Y18" s="122" t="s">
        <v>428</v>
      </c>
      <c r="Z18" s="122" t="s">
        <v>429</v>
      </c>
      <c r="AA18" s="122">
        <v>11</v>
      </c>
      <c r="AB18" s="122"/>
      <c r="AC18" s="122"/>
      <c r="AD18" s="122"/>
      <c r="AE18" s="122"/>
      <c r="AF18" s="122"/>
      <c r="AG18" s="122"/>
      <c r="AH18" s="122"/>
      <c r="AI18" s="122"/>
      <c r="AJ18" s="122"/>
      <c r="AK18" s="122"/>
      <c r="AL18" s="122"/>
    </row>
    <row r="19" spans="1:38" ht="35.1" customHeight="1" x14ac:dyDescent="0.3">
      <c r="A19" s="79"/>
      <c r="B19" s="87"/>
      <c r="C19" s="79"/>
      <c r="D19" s="79"/>
      <c r="E19" s="79"/>
      <c r="F19" s="79"/>
      <c r="G19" s="79"/>
      <c r="H19" s="79"/>
      <c r="I19" s="79"/>
      <c r="J19" s="79"/>
      <c r="K19" s="79"/>
      <c r="L19" s="79"/>
      <c r="M19" s="79"/>
      <c r="N19" s="79"/>
      <c r="O19" s="79"/>
      <c r="P19" s="79"/>
      <c r="Q19" s="79"/>
      <c r="R19" s="79"/>
      <c r="S19" s="79"/>
      <c r="T19" s="79"/>
      <c r="U19" s="79"/>
      <c r="V19" s="79"/>
      <c r="W19" s="79"/>
      <c r="X19" s="135">
        <v>46269</v>
      </c>
      <c r="Y19" s="122" t="s">
        <v>430</v>
      </c>
      <c r="Z19" s="122" t="s">
        <v>414</v>
      </c>
      <c r="AA19" s="122">
        <v>11</v>
      </c>
      <c r="AB19" s="122"/>
      <c r="AC19" s="122"/>
      <c r="AD19" s="122"/>
      <c r="AE19" s="122"/>
      <c r="AF19" s="122"/>
      <c r="AG19" s="122"/>
      <c r="AH19" s="122"/>
      <c r="AI19" s="122"/>
      <c r="AJ19" s="122"/>
      <c r="AK19" s="122"/>
      <c r="AL19" s="122"/>
    </row>
    <row r="20" spans="1:38" ht="35.1" customHeight="1" x14ac:dyDescent="0.3">
      <c r="A20" s="79"/>
      <c r="B20" s="87"/>
      <c r="C20" s="79"/>
      <c r="D20" s="79"/>
      <c r="E20" s="79"/>
      <c r="F20" s="79"/>
      <c r="G20" s="79"/>
      <c r="H20" s="79"/>
      <c r="I20" s="79"/>
      <c r="J20" s="79"/>
      <c r="K20" s="79"/>
      <c r="L20" s="79"/>
      <c r="M20" s="79"/>
      <c r="N20" s="79"/>
      <c r="O20" s="79"/>
      <c r="P20" s="79"/>
      <c r="Q20" s="79"/>
      <c r="R20" s="79"/>
      <c r="S20" s="79"/>
      <c r="T20" s="79"/>
      <c r="U20" s="79"/>
      <c r="V20" s="79"/>
      <c r="W20" s="79"/>
      <c r="X20" s="135">
        <v>46269</v>
      </c>
      <c r="Y20" s="122" t="s">
        <v>431</v>
      </c>
      <c r="Z20" s="122" t="s">
        <v>414</v>
      </c>
      <c r="AA20" s="122">
        <v>11</v>
      </c>
      <c r="AB20" s="122"/>
      <c r="AC20" s="122"/>
      <c r="AD20" s="122"/>
      <c r="AE20" s="122"/>
      <c r="AF20" s="122"/>
      <c r="AG20" s="122"/>
      <c r="AH20" s="122"/>
      <c r="AI20" s="122"/>
      <c r="AJ20" s="122"/>
      <c r="AK20" s="122"/>
      <c r="AL20" s="122"/>
    </row>
    <row r="21" spans="1:38" ht="35.1" customHeight="1" x14ac:dyDescent="0.3">
      <c r="A21" s="79"/>
      <c r="B21" s="87"/>
      <c r="C21" s="79"/>
      <c r="D21" s="79"/>
      <c r="E21" s="79"/>
      <c r="F21" s="79"/>
      <c r="G21" s="79"/>
      <c r="H21" s="79"/>
      <c r="I21" s="79"/>
      <c r="J21" s="79"/>
      <c r="K21" s="79"/>
      <c r="L21" s="79"/>
      <c r="M21" s="79"/>
      <c r="N21" s="79"/>
      <c r="O21" s="79"/>
      <c r="P21" s="79"/>
      <c r="Q21" s="79"/>
      <c r="R21" s="79"/>
      <c r="S21" s="79"/>
      <c r="T21" s="79"/>
      <c r="U21" s="79"/>
      <c r="V21" s="79"/>
      <c r="W21" s="79"/>
      <c r="X21" s="135">
        <v>46269</v>
      </c>
      <c r="Y21" s="122" t="s">
        <v>432</v>
      </c>
      <c r="Z21" s="122" t="s">
        <v>414</v>
      </c>
      <c r="AA21" s="122">
        <v>2</v>
      </c>
      <c r="AB21" s="122"/>
      <c r="AC21" s="122"/>
      <c r="AD21" s="122"/>
      <c r="AE21" s="122"/>
      <c r="AF21" s="122"/>
      <c r="AG21" s="122"/>
      <c r="AH21" s="122"/>
      <c r="AI21" s="122"/>
      <c r="AJ21" s="122"/>
      <c r="AK21" s="122"/>
      <c r="AL21" s="122"/>
    </row>
    <row r="22" spans="1:38" ht="35.1" customHeight="1" x14ac:dyDescent="0.3">
      <c r="A22" s="79"/>
      <c r="B22" s="87"/>
      <c r="C22" s="79"/>
      <c r="D22" s="79"/>
      <c r="E22" s="79"/>
      <c r="F22" s="79"/>
      <c r="G22" s="79"/>
      <c r="H22" s="79"/>
      <c r="I22" s="79"/>
      <c r="J22" s="79"/>
      <c r="K22" s="79"/>
      <c r="L22" s="79"/>
      <c r="M22" s="79"/>
      <c r="N22" s="79"/>
      <c r="O22" s="79"/>
      <c r="P22" s="79"/>
      <c r="Q22" s="79"/>
      <c r="R22" s="79"/>
      <c r="S22" s="79"/>
      <c r="T22" s="79"/>
      <c r="U22" s="79"/>
      <c r="V22" s="79"/>
      <c r="W22" s="79"/>
      <c r="X22" s="135">
        <v>46269</v>
      </c>
      <c r="Y22" s="122" t="s">
        <v>419</v>
      </c>
      <c r="Z22" s="122" t="s">
        <v>414</v>
      </c>
      <c r="AA22" s="122">
        <v>2</v>
      </c>
      <c r="AB22" s="122"/>
      <c r="AC22" s="122"/>
      <c r="AD22" s="122"/>
      <c r="AE22" s="122"/>
      <c r="AF22" s="122"/>
      <c r="AG22" s="122"/>
      <c r="AH22" s="122"/>
      <c r="AI22" s="122"/>
      <c r="AJ22" s="122"/>
      <c r="AK22" s="122"/>
      <c r="AL22" s="122"/>
    </row>
    <row r="23" spans="1:38" ht="35.1" customHeight="1" x14ac:dyDescent="0.3">
      <c r="A23" s="79"/>
      <c r="B23" s="87"/>
      <c r="C23" s="79"/>
      <c r="D23" s="79"/>
      <c r="E23" s="79"/>
      <c r="F23" s="79"/>
      <c r="G23" s="79"/>
      <c r="H23" s="79"/>
      <c r="I23" s="79"/>
      <c r="J23" s="79"/>
      <c r="K23" s="79"/>
      <c r="L23" s="79"/>
      <c r="M23" s="79"/>
      <c r="N23" s="79"/>
      <c r="O23" s="79"/>
      <c r="P23" s="79"/>
      <c r="Q23" s="79"/>
      <c r="R23" s="79"/>
      <c r="S23" s="79"/>
      <c r="T23" s="79"/>
      <c r="U23" s="79"/>
      <c r="V23" s="79"/>
      <c r="W23" s="79"/>
      <c r="X23" s="135">
        <v>46269</v>
      </c>
      <c r="Y23" s="122" t="s">
        <v>433</v>
      </c>
      <c r="Z23" s="122" t="s">
        <v>422</v>
      </c>
      <c r="AA23" s="122"/>
      <c r="AB23" s="122"/>
      <c r="AC23" s="122"/>
      <c r="AD23" s="122"/>
      <c r="AE23" s="122">
        <v>5</v>
      </c>
      <c r="AF23" s="122"/>
      <c r="AG23" s="122"/>
      <c r="AH23" s="122"/>
      <c r="AI23" s="122"/>
      <c r="AJ23" s="122"/>
      <c r="AK23" s="122"/>
      <c r="AL23" s="122"/>
    </row>
    <row r="24" spans="1:38" ht="35.1" customHeight="1" x14ac:dyDescent="0.3">
      <c r="A24" s="79"/>
      <c r="B24" s="87"/>
      <c r="C24" s="79"/>
      <c r="D24" s="79"/>
      <c r="E24" s="79"/>
      <c r="F24" s="79"/>
      <c r="G24" s="79"/>
      <c r="H24" s="79"/>
      <c r="I24" s="79"/>
      <c r="J24" s="79"/>
      <c r="K24" s="79"/>
      <c r="L24" s="79"/>
      <c r="M24" s="79"/>
      <c r="N24" s="79"/>
      <c r="O24" s="79"/>
      <c r="P24" s="79"/>
      <c r="Q24" s="79"/>
      <c r="R24" s="79"/>
      <c r="S24" s="79"/>
      <c r="T24" s="79"/>
      <c r="U24" s="79"/>
      <c r="V24" s="79"/>
      <c r="W24" s="79"/>
      <c r="X24" s="135">
        <v>46270</v>
      </c>
      <c r="Y24" s="122" t="s">
        <v>434</v>
      </c>
      <c r="Z24" s="122" t="s">
        <v>414</v>
      </c>
      <c r="AA24" s="122">
        <v>55</v>
      </c>
      <c r="AB24" s="122"/>
      <c r="AC24" s="122"/>
      <c r="AD24" s="122"/>
      <c r="AE24" s="122"/>
      <c r="AF24" s="122"/>
      <c r="AG24" s="122"/>
      <c r="AH24" s="122"/>
      <c r="AI24" s="122"/>
      <c r="AJ24" s="122"/>
      <c r="AK24" s="122"/>
      <c r="AL24" s="122"/>
    </row>
    <row r="25" spans="1:38" ht="35.1" customHeight="1" x14ac:dyDescent="0.3">
      <c r="A25" s="79"/>
      <c r="B25" s="87"/>
      <c r="C25" s="79"/>
      <c r="D25" s="79"/>
      <c r="E25" s="79"/>
      <c r="F25" s="79"/>
      <c r="G25" s="79"/>
      <c r="H25" s="79"/>
      <c r="I25" s="79"/>
      <c r="J25" s="79"/>
      <c r="K25" s="79"/>
      <c r="L25" s="79"/>
      <c r="M25" s="79"/>
      <c r="N25" s="79"/>
      <c r="O25" s="79"/>
      <c r="P25" s="79"/>
      <c r="Q25" s="79"/>
      <c r="R25" s="79"/>
      <c r="S25" s="79"/>
      <c r="T25" s="79"/>
      <c r="U25" s="79"/>
      <c r="V25" s="79"/>
      <c r="W25" s="79"/>
      <c r="X25" s="135">
        <v>46271</v>
      </c>
      <c r="Y25" s="122" t="s">
        <v>435</v>
      </c>
      <c r="Z25" s="122" t="s">
        <v>414</v>
      </c>
      <c r="AA25" s="122">
        <v>2</v>
      </c>
      <c r="AB25" s="122"/>
      <c r="AC25" s="122"/>
      <c r="AD25" s="122"/>
      <c r="AE25" s="122"/>
      <c r="AF25" s="122"/>
      <c r="AG25" s="122"/>
      <c r="AH25" s="122"/>
      <c r="AI25" s="122"/>
      <c r="AJ25" s="122"/>
      <c r="AK25" s="122"/>
      <c r="AL25" s="122"/>
    </row>
    <row r="26" spans="1:38" ht="35.1" customHeight="1" x14ac:dyDescent="0.3">
      <c r="R26" s="79"/>
      <c r="S26" s="79"/>
      <c r="T26" s="79"/>
      <c r="U26" s="79"/>
      <c r="V26" s="79"/>
      <c r="W26" s="79"/>
      <c r="X26" s="135">
        <v>46271</v>
      </c>
      <c r="Y26" s="122" t="s">
        <v>436</v>
      </c>
      <c r="Z26" s="122" t="s">
        <v>414</v>
      </c>
      <c r="AA26" s="122">
        <v>11</v>
      </c>
      <c r="AB26" s="122"/>
      <c r="AC26" s="122"/>
      <c r="AD26" s="122"/>
      <c r="AE26" s="122"/>
      <c r="AF26" s="122"/>
      <c r="AG26" s="122"/>
      <c r="AH26" s="122"/>
      <c r="AI26" s="122"/>
      <c r="AJ26" s="122"/>
      <c r="AK26" s="122"/>
      <c r="AL26" s="122"/>
    </row>
    <row r="27" spans="1:38" ht="35.1" customHeight="1" x14ac:dyDescent="0.3">
      <c r="R27" s="79"/>
      <c r="S27" s="79"/>
      <c r="T27" s="79"/>
      <c r="U27" s="79"/>
      <c r="V27" s="79"/>
      <c r="W27" s="79"/>
      <c r="X27" s="135">
        <v>46271</v>
      </c>
      <c r="Y27" s="122" t="s">
        <v>437</v>
      </c>
      <c r="Z27" s="122" t="s">
        <v>414</v>
      </c>
      <c r="AA27" s="122"/>
      <c r="AB27" s="122"/>
      <c r="AC27" s="122"/>
      <c r="AD27" s="122"/>
      <c r="AE27" s="122">
        <v>1</v>
      </c>
      <c r="AF27" s="122"/>
      <c r="AG27" s="122"/>
      <c r="AH27" s="122"/>
      <c r="AI27" s="122"/>
      <c r="AJ27" s="122"/>
      <c r="AK27" s="122"/>
      <c r="AL27" s="122"/>
    </row>
    <row r="28" spans="1:38" ht="35.1" customHeight="1" x14ac:dyDescent="0.3">
      <c r="R28" s="79"/>
      <c r="S28" s="79"/>
      <c r="T28" s="79"/>
      <c r="U28" s="79"/>
      <c r="V28" s="79"/>
      <c r="W28" s="79"/>
      <c r="X28" s="226" t="s">
        <v>500</v>
      </c>
      <c r="Y28" s="122" t="s">
        <v>415</v>
      </c>
      <c r="Z28" s="122"/>
      <c r="AA28" s="122">
        <v>22</v>
      </c>
      <c r="AB28" s="122"/>
      <c r="AC28" s="122"/>
      <c r="AD28" s="122"/>
      <c r="AE28" s="122"/>
      <c r="AF28" s="122"/>
      <c r="AG28" s="122"/>
      <c r="AH28" s="122"/>
      <c r="AI28" s="122"/>
      <c r="AJ28" s="122"/>
      <c r="AK28" s="122"/>
      <c r="AL28" s="122"/>
    </row>
    <row r="29" spans="1:38" ht="35.1" customHeight="1" x14ac:dyDescent="0.3">
      <c r="R29" s="79"/>
      <c r="S29" s="79"/>
      <c r="T29" s="79"/>
      <c r="U29" s="79"/>
      <c r="V29" s="79"/>
      <c r="W29" s="79"/>
      <c r="X29" s="226" t="s">
        <v>500</v>
      </c>
      <c r="Y29" s="122" t="s">
        <v>415</v>
      </c>
      <c r="Z29" s="122"/>
      <c r="AA29" s="122">
        <v>17</v>
      </c>
      <c r="AB29" s="122"/>
      <c r="AC29" s="122"/>
      <c r="AD29" s="122"/>
      <c r="AE29" s="122"/>
      <c r="AF29" s="122"/>
      <c r="AG29" s="122"/>
      <c r="AH29" s="122"/>
      <c r="AI29" s="122"/>
      <c r="AJ29" s="122"/>
      <c r="AK29" s="122"/>
      <c r="AL29" s="122"/>
    </row>
    <row r="30" spans="1:38" ht="35.1" customHeight="1" x14ac:dyDescent="0.3">
      <c r="R30" s="79"/>
      <c r="S30" s="79"/>
      <c r="T30" s="79"/>
      <c r="U30" s="79"/>
      <c r="V30" s="79"/>
      <c r="W30" s="79"/>
      <c r="X30" s="226" t="s">
        <v>500</v>
      </c>
      <c r="Y30" s="122" t="s">
        <v>438</v>
      </c>
      <c r="Z30" s="122" t="s">
        <v>426</v>
      </c>
      <c r="AA30" s="122"/>
      <c r="AB30" s="122"/>
      <c r="AC30" s="122"/>
      <c r="AD30" s="122"/>
      <c r="AE30" s="122"/>
      <c r="AF30" s="122"/>
      <c r="AG30" s="122"/>
      <c r="AH30" s="122"/>
      <c r="AI30" s="122">
        <v>1</v>
      </c>
      <c r="AJ30" s="122"/>
      <c r="AK30" s="122"/>
      <c r="AL30" s="122"/>
    </row>
    <row r="31" spans="1:38" ht="35.1" customHeight="1" x14ac:dyDescent="0.3">
      <c r="R31" s="79"/>
      <c r="S31" s="79"/>
      <c r="T31" s="79"/>
      <c r="U31" s="79"/>
      <c r="V31" s="79"/>
      <c r="W31" s="79"/>
      <c r="X31" s="226" t="s">
        <v>500</v>
      </c>
      <c r="Y31" s="122" t="s">
        <v>438</v>
      </c>
      <c r="Z31" s="122" t="s">
        <v>426</v>
      </c>
      <c r="AA31" s="122"/>
      <c r="AB31" s="122"/>
      <c r="AC31" s="122"/>
      <c r="AD31" s="122"/>
      <c r="AE31" s="122"/>
      <c r="AF31" s="122"/>
      <c r="AG31" s="122"/>
      <c r="AH31" s="122"/>
      <c r="AI31" s="122">
        <v>1</v>
      </c>
      <c r="AJ31" s="122"/>
      <c r="AK31" s="122"/>
      <c r="AL31" s="122"/>
    </row>
    <row r="32" spans="1:38" ht="35.1" customHeight="1" x14ac:dyDescent="0.3">
      <c r="X32" s="138" t="s">
        <v>390</v>
      </c>
      <c r="Y32" s="122" t="s">
        <v>444</v>
      </c>
      <c r="Z32" s="122"/>
      <c r="AA32" s="122">
        <v>11</v>
      </c>
      <c r="AB32" s="122"/>
      <c r="AC32" s="122"/>
      <c r="AD32" s="122"/>
      <c r="AE32" s="122"/>
      <c r="AF32" s="122"/>
      <c r="AG32" s="122"/>
      <c r="AH32" s="122"/>
      <c r="AI32" s="122"/>
      <c r="AJ32" s="122"/>
      <c r="AK32" s="122"/>
      <c r="AL32" s="122"/>
    </row>
    <row r="33" spans="24:38" ht="35.1" customHeight="1" x14ac:dyDescent="0.3">
      <c r="X33" s="132"/>
      <c r="Y33" s="122" t="s">
        <v>442</v>
      </c>
      <c r="Z33" s="122"/>
      <c r="AA33" s="122">
        <v>4</v>
      </c>
      <c r="AB33" s="122"/>
      <c r="AC33" s="122"/>
      <c r="AD33" s="122"/>
      <c r="AE33" s="122"/>
      <c r="AF33" s="122"/>
      <c r="AG33" s="122"/>
      <c r="AH33" s="122"/>
      <c r="AI33" s="122"/>
      <c r="AJ33" s="122"/>
      <c r="AK33" s="122"/>
      <c r="AL33" s="122"/>
    </row>
    <row r="34" spans="24:38" ht="35.1" customHeight="1" x14ac:dyDescent="0.3">
      <c r="X34" s="132"/>
      <c r="Y34" s="122" t="s">
        <v>443</v>
      </c>
      <c r="Z34" s="122"/>
      <c r="AA34" s="122">
        <v>3</v>
      </c>
      <c r="AB34" s="122"/>
      <c r="AC34" s="122"/>
      <c r="AD34" s="122"/>
      <c r="AE34" s="122"/>
      <c r="AF34" s="122"/>
      <c r="AG34" s="122"/>
      <c r="AH34" s="122"/>
      <c r="AI34" s="122"/>
      <c r="AJ34" s="122"/>
      <c r="AK34" s="122"/>
      <c r="AL34" s="122"/>
    </row>
    <row r="35" spans="24:38" ht="35.1" customHeight="1" x14ac:dyDescent="0.3">
      <c r="X35" s="138" t="s">
        <v>489</v>
      </c>
      <c r="Y35" s="166" t="s">
        <v>492</v>
      </c>
      <c r="Z35" s="122"/>
      <c r="AA35" s="122"/>
      <c r="AB35" s="122"/>
      <c r="AC35" s="122"/>
      <c r="AD35" s="122"/>
      <c r="AE35" s="122"/>
      <c r="AF35" s="122"/>
      <c r="AG35" s="122"/>
      <c r="AH35" s="122"/>
      <c r="AI35" s="122"/>
      <c r="AJ35" s="122"/>
      <c r="AK35" s="122"/>
      <c r="AL35" s="122"/>
    </row>
    <row r="36" spans="24:38" x14ac:dyDescent="0.3">
      <c r="X36" s="333"/>
      <c r="Y36" s="333" t="s">
        <v>493</v>
      </c>
      <c r="Z36" s="122"/>
      <c r="AA36" s="122"/>
      <c r="AB36" s="122"/>
      <c r="AC36" s="122"/>
      <c r="AD36" s="122"/>
      <c r="AE36" s="122"/>
      <c r="AF36" s="122"/>
      <c r="AG36" s="122"/>
      <c r="AH36" s="122"/>
      <c r="AI36" s="122"/>
      <c r="AJ36" s="122"/>
      <c r="AK36" s="122"/>
      <c r="AL36" s="122"/>
    </row>
    <row r="37" spans="24:38" x14ac:dyDescent="0.3">
      <c r="X37" s="334"/>
      <c r="Y37" s="334"/>
      <c r="Z37" s="122"/>
      <c r="AA37" s="122"/>
      <c r="AB37" s="122"/>
      <c r="AC37" s="122"/>
      <c r="AD37" s="122"/>
      <c r="AE37" s="122"/>
      <c r="AF37" s="122"/>
      <c r="AG37" s="122"/>
      <c r="AH37" s="122"/>
      <c r="AI37" s="122"/>
      <c r="AJ37" s="122"/>
      <c r="AK37" s="122"/>
      <c r="AL37" s="122"/>
    </row>
    <row r="38" spans="24:38" x14ac:dyDescent="0.3">
      <c r="X38" s="132"/>
      <c r="Y38" s="122"/>
      <c r="Z38" s="122"/>
      <c r="AA38" s="122"/>
      <c r="AB38" s="122"/>
      <c r="AC38" s="122"/>
      <c r="AD38" s="122"/>
      <c r="AE38" s="122"/>
      <c r="AF38" s="122"/>
      <c r="AG38" s="122"/>
      <c r="AH38" s="122"/>
      <c r="AI38" s="122"/>
      <c r="AJ38" s="122"/>
      <c r="AK38" s="122"/>
      <c r="AL38" s="122"/>
    </row>
    <row r="39" spans="24:38" x14ac:dyDescent="0.3">
      <c r="X39" s="132"/>
      <c r="Y39" s="122"/>
      <c r="Z39" s="122"/>
      <c r="AA39" s="122"/>
      <c r="AB39" s="122"/>
      <c r="AC39" s="122"/>
      <c r="AD39" s="122"/>
      <c r="AE39" s="122"/>
      <c r="AF39" s="122"/>
      <c r="AG39" s="122"/>
      <c r="AH39" s="122"/>
      <c r="AI39" s="122"/>
      <c r="AJ39" s="122"/>
      <c r="AK39" s="122"/>
      <c r="AL39" s="122"/>
    </row>
    <row r="40" spans="24:38" x14ac:dyDescent="0.3">
      <c r="X40" s="132"/>
      <c r="Y40" s="122"/>
      <c r="Z40" s="122"/>
      <c r="AA40" s="122"/>
      <c r="AB40" s="122"/>
      <c r="AC40" s="122"/>
      <c r="AD40" s="122"/>
      <c r="AE40" s="122"/>
      <c r="AF40" s="122"/>
      <c r="AG40" s="122"/>
      <c r="AH40" s="122"/>
      <c r="AI40" s="122"/>
      <c r="AJ40" s="122"/>
      <c r="AK40" s="122"/>
      <c r="AL40" s="122"/>
    </row>
    <row r="41" spans="24:38" x14ac:dyDescent="0.3">
      <c r="X41" s="132"/>
      <c r="Y41" s="122"/>
      <c r="Z41" s="122"/>
      <c r="AA41" s="122"/>
      <c r="AB41" s="122"/>
      <c r="AC41" s="122"/>
      <c r="AD41" s="122"/>
      <c r="AE41" s="122"/>
      <c r="AF41" s="122"/>
      <c r="AG41" s="122"/>
      <c r="AH41" s="122"/>
      <c r="AI41" s="122"/>
      <c r="AJ41" s="122"/>
      <c r="AK41" s="122"/>
      <c r="AL41" s="122"/>
    </row>
    <row r="42" spans="24:38" x14ac:dyDescent="0.3">
      <c r="X42" s="132"/>
      <c r="Y42" s="122"/>
      <c r="Z42" s="122"/>
      <c r="AA42" s="122"/>
      <c r="AB42" s="122"/>
      <c r="AC42" s="122"/>
      <c r="AD42" s="122"/>
      <c r="AE42" s="122"/>
      <c r="AF42" s="122"/>
      <c r="AG42" s="122"/>
      <c r="AH42" s="122"/>
      <c r="AI42" s="122"/>
      <c r="AJ42" s="122"/>
      <c r="AK42" s="122"/>
      <c r="AL42" s="122"/>
    </row>
    <row r="43" spans="24:38" x14ac:dyDescent="0.3">
      <c r="X43" s="132"/>
      <c r="Y43" s="122"/>
      <c r="Z43" s="122"/>
      <c r="AA43" s="122"/>
      <c r="AB43" s="122"/>
      <c r="AC43" s="122"/>
      <c r="AD43" s="122"/>
      <c r="AE43" s="122"/>
      <c r="AF43" s="122"/>
      <c r="AG43" s="122"/>
      <c r="AH43" s="122"/>
      <c r="AI43" s="122"/>
      <c r="AJ43" s="122"/>
      <c r="AK43" s="122"/>
      <c r="AL43" s="122"/>
    </row>
    <row r="44" spans="24:38" x14ac:dyDescent="0.3">
      <c r="X44" s="132"/>
      <c r="Y44" s="122"/>
      <c r="Z44" s="122"/>
      <c r="AA44" s="122"/>
      <c r="AB44" s="122"/>
      <c r="AC44" s="122"/>
      <c r="AD44" s="122"/>
      <c r="AE44" s="122"/>
      <c r="AF44" s="122"/>
      <c r="AG44" s="122"/>
      <c r="AH44" s="122"/>
      <c r="AI44" s="122"/>
      <c r="AJ44" s="122"/>
      <c r="AK44" s="122"/>
      <c r="AL44" s="122"/>
    </row>
    <row r="45" spans="24:38" x14ac:dyDescent="0.3">
      <c r="X45" s="132"/>
      <c r="Y45" s="122"/>
      <c r="Z45" s="122"/>
      <c r="AA45" s="122"/>
      <c r="AB45" s="122"/>
      <c r="AC45" s="122"/>
      <c r="AD45" s="122"/>
      <c r="AE45" s="122"/>
      <c r="AF45" s="122"/>
      <c r="AG45" s="122"/>
      <c r="AH45" s="122"/>
      <c r="AI45" s="122"/>
      <c r="AJ45" s="122"/>
      <c r="AK45" s="122"/>
      <c r="AL45" s="122"/>
    </row>
    <row r="46" spans="24:38" x14ac:dyDescent="0.3">
      <c r="X46" s="132"/>
      <c r="Y46" s="122"/>
      <c r="Z46" s="122"/>
      <c r="AA46" s="122"/>
      <c r="AB46" s="122"/>
      <c r="AC46" s="122"/>
      <c r="AD46" s="122"/>
      <c r="AE46" s="122"/>
      <c r="AF46" s="122"/>
      <c r="AG46" s="122"/>
      <c r="AH46" s="122"/>
      <c r="AI46" s="122"/>
      <c r="AJ46" s="122"/>
      <c r="AK46" s="122"/>
      <c r="AL46" s="122"/>
    </row>
    <row r="47" spans="24:38" x14ac:dyDescent="0.3">
      <c r="X47" s="132"/>
      <c r="Y47" s="122"/>
      <c r="Z47" s="122"/>
      <c r="AA47" s="122"/>
      <c r="AB47" s="122"/>
      <c r="AC47" s="122"/>
      <c r="AD47" s="122"/>
      <c r="AE47" s="122"/>
      <c r="AF47" s="122"/>
      <c r="AG47" s="122"/>
      <c r="AH47" s="122"/>
      <c r="AI47" s="122"/>
      <c r="AJ47" s="122"/>
      <c r="AK47" s="122"/>
      <c r="AL47" s="122"/>
    </row>
    <row r="48" spans="24:38" x14ac:dyDescent="0.3">
      <c r="X48" s="132"/>
      <c r="Y48" s="122"/>
      <c r="Z48" s="122"/>
      <c r="AA48" s="122"/>
      <c r="AB48" s="122"/>
      <c r="AC48" s="122"/>
      <c r="AD48" s="122"/>
      <c r="AE48" s="122"/>
      <c r="AF48" s="122"/>
      <c r="AG48" s="122"/>
      <c r="AH48" s="122"/>
      <c r="AI48" s="122"/>
      <c r="AJ48" s="122"/>
      <c r="AK48" s="122"/>
      <c r="AL48" s="122"/>
    </row>
    <row r="49" spans="24:38" x14ac:dyDescent="0.3">
      <c r="X49" s="132"/>
      <c r="Y49" s="122"/>
      <c r="Z49" s="122"/>
      <c r="AA49" s="122"/>
      <c r="AB49" s="122"/>
      <c r="AC49" s="122"/>
      <c r="AD49" s="122"/>
      <c r="AE49" s="122"/>
      <c r="AF49" s="122"/>
      <c r="AG49" s="122"/>
      <c r="AH49" s="122"/>
      <c r="AI49" s="122"/>
      <c r="AJ49" s="122"/>
      <c r="AK49" s="122"/>
      <c r="AL49" s="122"/>
    </row>
    <row r="50" spans="24:38" x14ac:dyDescent="0.3">
      <c r="X50" s="132"/>
      <c r="Y50" s="122"/>
      <c r="Z50" s="122"/>
      <c r="AA50" s="122"/>
      <c r="AB50" s="122"/>
      <c r="AC50" s="122"/>
      <c r="AD50" s="122"/>
      <c r="AE50" s="122"/>
      <c r="AF50" s="122"/>
      <c r="AG50" s="122"/>
      <c r="AH50" s="122"/>
      <c r="AI50" s="122"/>
      <c r="AJ50" s="122"/>
      <c r="AK50" s="122"/>
      <c r="AL50" s="122"/>
    </row>
    <row r="51" spans="24:38" x14ac:dyDescent="0.3">
      <c r="X51" s="132"/>
      <c r="Y51" s="122"/>
      <c r="Z51" s="122"/>
      <c r="AA51" s="122"/>
      <c r="AB51" s="122"/>
      <c r="AC51" s="122"/>
      <c r="AD51" s="122"/>
      <c r="AE51" s="122"/>
      <c r="AF51" s="122"/>
      <c r="AG51" s="122"/>
      <c r="AH51" s="122"/>
      <c r="AI51" s="122"/>
      <c r="AJ51" s="122"/>
      <c r="AK51" s="122"/>
      <c r="AL51" s="122"/>
    </row>
    <row r="52" spans="24:38" x14ac:dyDescent="0.3">
      <c r="X52" s="132"/>
      <c r="Y52" s="122"/>
      <c r="Z52" s="122"/>
      <c r="AA52" s="122"/>
      <c r="AB52" s="122"/>
      <c r="AC52" s="122"/>
      <c r="AD52" s="122"/>
      <c r="AE52" s="122"/>
      <c r="AF52" s="122"/>
      <c r="AG52" s="122"/>
      <c r="AH52" s="122"/>
      <c r="AI52" s="122"/>
      <c r="AJ52" s="122"/>
      <c r="AK52" s="122"/>
      <c r="AL52" s="122"/>
    </row>
    <row r="53" spans="24:38" x14ac:dyDescent="0.3">
      <c r="X53" s="132"/>
      <c r="Y53" s="122"/>
      <c r="Z53" s="122"/>
      <c r="AA53" s="122"/>
      <c r="AB53" s="122"/>
      <c r="AC53" s="122"/>
      <c r="AD53" s="122"/>
      <c r="AE53" s="122"/>
      <c r="AF53" s="122"/>
      <c r="AG53" s="122"/>
      <c r="AH53" s="122"/>
      <c r="AI53" s="122"/>
      <c r="AJ53" s="122"/>
      <c r="AK53" s="122"/>
      <c r="AL53" s="122"/>
    </row>
    <row r="54" spans="24:38" x14ac:dyDescent="0.3">
      <c r="X54" s="132"/>
      <c r="Y54" s="122"/>
      <c r="Z54" s="122"/>
      <c r="AA54" s="122"/>
      <c r="AB54" s="122"/>
      <c r="AC54" s="122"/>
      <c r="AD54" s="122"/>
      <c r="AE54" s="122"/>
      <c r="AF54" s="122"/>
      <c r="AG54" s="122"/>
      <c r="AH54" s="122"/>
      <c r="AI54" s="122"/>
      <c r="AJ54" s="122"/>
      <c r="AK54" s="122"/>
      <c r="AL54" s="122"/>
    </row>
    <row r="55" spans="24:38" x14ac:dyDescent="0.3">
      <c r="X55" s="132"/>
      <c r="Y55" s="122"/>
      <c r="Z55" s="122"/>
      <c r="AA55" s="122"/>
      <c r="AB55" s="122"/>
      <c r="AC55" s="122"/>
      <c r="AD55" s="122"/>
      <c r="AE55" s="122"/>
      <c r="AF55" s="122"/>
      <c r="AG55" s="122"/>
      <c r="AH55" s="122"/>
      <c r="AI55" s="122"/>
      <c r="AJ55" s="122"/>
      <c r="AK55" s="122"/>
      <c r="AL55" s="122"/>
    </row>
    <row r="56" spans="24:38" x14ac:dyDescent="0.3">
      <c r="X56" s="132"/>
      <c r="Y56" s="122"/>
      <c r="Z56" s="122"/>
      <c r="AA56" s="122"/>
      <c r="AB56" s="122"/>
      <c r="AC56" s="122"/>
      <c r="AD56" s="122"/>
      <c r="AE56" s="122"/>
      <c r="AF56" s="122"/>
      <c r="AG56" s="122"/>
      <c r="AH56" s="122"/>
      <c r="AI56" s="122"/>
      <c r="AJ56" s="122"/>
      <c r="AK56" s="122"/>
      <c r="AL56" s="122"/>
    </row>
    <row r="57" spans="24:38" x14ac:dyDescent="0.3">
      <c r="X57" s="132"/>
      <c r="Y57" s="122"/>
      <c r="Z57" s="122"/>
      <c r="AA57" s="122"/>
      <c r="AB57" s="122"/>
      <c r="AC57" s="122"/>
      <c r="AD57" s="122"/>
      <c r="AE57" s="122"/>
      <c r="AF57" s="122"/>
      <c r="AG57" s="122"/>
      <c r="AH57" s="122"/>
      <c r="AI57" s="122"/>
      <c r="AJ57" s="122"/>
      <c r="AK57" s="122"/>
      <c r="AL57" s="122"/>
    </row>
    <row r="58" spans="24:38" x14ac:dyDescent="0.3">
      <c r="X58" s="132"/>
      <c r="Y58" s="122"/>
      <c r="Z58" s="122"/>
      <c r="AA58" s="122"/>
      <c r="AB58" s="122"/>
      <c r="AC58" s="122"/>
      <c r="AD58" s="122"/>
      <c r="AE58" s="122"/>
      <c r="AF58" s="122"/>
      <c r="AG58" s="122"/>
      <c r="AH58" s="122"/>
      <c r="AI58" s="122"/>
      <c r="AJ58" s="122"/>
      <c r="AK58" s="122"/>
      <c r="AL58" s="122"/>
    </row>
    <row r="59" spans="24:38" x14ac:dyDescent="0.3">
      <c r="X59" s="133"/>
      <c r="Y59" s="79"/>
      <c r="Z59" s="79"/>
      <c r="AA59" s="79"/>
      <c r="AB59" s="79"/>
      <c r="AC59" s="79"/>
      <c r="AD59" s="79"/>
      <c r="AE59" s="79"/>
      <c r="AF59" s="79"/>
      <c r="AG59" s="79"/>
      <c r="AH59" s="79"/>
      <c r="AI59" s="79"/>
      <c r="AJ59" s="79"/>
      <c r="AK59" s="79"/>
      <c r="AL59" s="79"/>
    </row>
    <row r="60" spans="24:38" x14ac:dyDescent="0.3">
      <c r="X60" s="133"/>
      <c r="Y60" s="79"/>
      <c r="Z60" s="79"/>
      <c r="AA60" s="79"/>
      <c r="AB60" s="79"/>
      <c r="AC60" s="79"/>
      <c r="AD60" s="79"/>
      <c r="AE60" s="79"/>
      <c r="AF60" s="79"/>
      <c r="AG60" s="79"/>
      <c r="AH60" s="79"/>
      <c r="AI60" s="79"/>
      <c r="AJ60" s="79"/>
      <c r="AK60" s="79"/>
      <c r="AL60" s="79"/>
    </row>
    <row r="61" spans="24:38" x14ac:dyDescent="0.3">
      <c r="X61" s="133"/>
      <c r="Y61" s="79"/>
      <c r="Z61" s="79"/>
      <c r="AA61" s="79"/>
      <c r="AB61" s="79"/>
      <c r="AC61" s="79"/>
      <c r="AD61" s="79"/>
      <c r="AE61" s="79"/>
      <c r="AF61" s="79"/>
      <c r="AG61" s="79"/>
      <c r="AH61" s="79"/>
      <c r="AI61" s="79"/>
      <c r="AJ61" s="79"/>
      <c r="AK61" s="79"/>
      <c r="AL61" s="79"/>
    </row>
    <row r="62" spans="24:38" x14ac:dyDescent="0.3">
      <c r="X62" s="133"/>
      <c r="Y62" s="79"/>
      <c r="Z62" s="79"/>
      <c r="AA62" s="79"/>
      <c r="AB62" s="79"/>
      <c r="AC62" s="79"/>
      <c r="AD62" s="79"/>
      <c r="AE62" s="79"/>
      <c r="AF62" s="79"/>
      <c r="AG62" s="79"/>
      <c r="AH62" s="79"/>
      <c r="AI62" s="79"/>
      <c r="AJ62" s="79"/>
      <c r="AK62" s="79"/>
      <c r="AL62" s="79"/>
    </row>
    <row r="63" spans="24:38" x14ac:dyDescent="0.3">
      <c r="X63" s="133"/>
      <c r="Y63" s="79"/>
      <c r="Z63" s="79"/>
      <c r="AA63" s="79"/>
      <c r="AB63" s="79"/>
      <c r="AC63" s="79"/>
      <c r="AD63" s="79"/>
      <c r="AE63" s="79"/>
      <c r="AF63" s="79"/>
      <c r="AG63" s="79"/>
      <c r="AH63" s="79"/>
      <c r="AI63" s="79"/>
      <c r="AJ63" s="79"/>
      <c r="AK63" s="79"/>
      <c r="AL63" s="79"/>
    </row>
    <row r="64" spans="24:38" x14ac:dyDescent="0.3">
      <c r="X64" s="133"/>
      <c r="Y64" s="79"/>
      <c r="Z64" s="79"/>
      <c r="AA64" s="79"/>
      <c r="AB64" s="79"/>
      <c r="AC64" s="79"/>
      <c r="AD64" s="79"/>
      <c r="AE64" s="79"/>
      <c r="AF64" s="79"/>
      <c r="AG64" s="79"/>
      <c r="AH64" s="79"/>
      <c r="AI64" s="79"/>
      <c r="AJ64" s="79"/>
      <c r="AK64" s="79"/>
      <c r="AL64" s="79"/>
    </row>
    <row r="65" spans="24:38" x14ac:dyDescent="0.3">
      <c r="X65" s="133"/>
      <c r="Y65" s="79"/>
      <c r="Z65" s="79"/>
      <c r="AA65" s="79"/>
      <c r="AB65" s="79"/>
      <c r="AC65" s="79"/>
      <c r="AD65" s="79"/>
      <c r="AE65" s="79"/>
      <c r="AF65" s="79"/>
      <c r="AG65" s="79"/>
      <c r="AH65" s="79"/>
      <c r="AI65" s="79"/>
      <c r="AJ65" s="79"/>
      <c r="AK65" s="79"/>
      <c r="AL65" s="79"/>
    </row>
    <row r="66" spans="24:38" x14ac:dyDescent="0.3">
      <c r="X66" s="133"/>
      <c r="Y66" s="79"/>
      <c r="Z66" s="79"/>
      <c r="AA66" s="79"/>
      <c r="AB66" s="79"/>
      <c r="AC66" s="79"/>
      <c r="AD66" s="79"/>
      <c r="AE66" s="79"/>
      <c r="AF66" s="79"/>
      <c r="AG66" s="79"/>
      <c r="AH66" s="79"/>
      <c r="AI66" s="79"/>
      <c r="AJ66" s="79"/>
      <c r="AK66" s="79"/>
      <c r="AL66" s="79"/>
    </row>
    <row r="67" spans="24:38" x14ac:dyDescent="0.3">
      <c r="X67" s="133"/>
      <c r="Y67" s="79"/>
      <c r="Z67" s="79"/>
      <c r="AA67" s="79"/>
      <c r="AB67" s="79"/>
      <c r="AC67" s="79"/>
      <c r="AD67" s="79"/>
      <c r="AE67" s="79"/>
      <c r="AF67" s="79"/>
      <c r="AG67" s="79"/>
      <c r="AH67" s="79"/>
      <c r="AI67" s="79"/>
      <c r="AJ67" s="79"/>
      <c r="AK67" s="79"/>
      <c r="AL67" s="79"/>
    </row>
    <row r="68" spans="24:38" x14ac:dyDescent="0.3">
      <c r="X68" s="133"/>
      <c r="Y68" s="79"/>
      <c r="Z68" s="79"/>
      <c r="AA68" s="79"/>
      <c r="AB68" s="79"/>
      <c r="AC68" s="79"/>
      <c r="AD68" s="79"/>
      <c r="AE68" s="79"/>
      <c r="AF68" s="79"/>
      <c r="AG68" s="79"/>
      <c r="AH68" s="79"/>
      <c r="AI68" s="79"/>
      <c r="AJ68" s="79"/>
      <c r="AK68" s="79"/>
      <c r="AL68" s="79"/>
    </row>
    <row r="69" spans="24:38" x14ac:dyDescent="0.3">
      <c r="X69" s="133"/>
      <c r="Y69" s="79"/>
      <c r="Z69" s="79"/>
      <c r="AA69" s="79"/>
      <c r="AB69" s="79"/>
      <c r="AC69" s="79"/>
      <c r="AD69" s="79"/>
      <c r="AE69" s="79"/>
      <c r="AF69" s="79"/>
      <c r="AG69" s="79"/>
      <c r="AH69" s="79"/>
      <c r="AI69" s="79"/>
      <c r="AJ69" s="79"/>
      <c r="AK69" s="79"/>
      <c r="AL69" s="79"/>
    </row>
    <row r="70" spans="24:38" x14ac:dyDescent="0.3">
      <c r="X70" s="133"/>
      <c r="Y70" s="79"/>
      <c r="Z70" s="79"/>
      <c r="AA70" s="79"/>
      <c r="AB70" s="79"/>
      <c r="AC70" s="79"/>
      <c r="AD70" s="79"/>
      <c r="AE70" s="79"/>
      <c r="AF70" s="79"/>
      <c r="AG70" s="79"/>
      <c r="AH70" s="79"/>
      <c r="AI70" s="79"/>
      <c r="AJ70" s="79"/>
      <c r="AK70" s="79"/>
      <c r="AL70" s="79"/>
    </row>
    <row r="71" spans="24:38" x14ac:dyDescent="0.3">
      <c r="X71" s="133"/>
      <c r="Y71" s="79"/>
      <c r="Z71" s="79"/>
      <c r="AA71" s="79"/>
      <c r="AB71" s="79"/>
      <c r="AC71" s="79"/>
      <c r="AD71" s="79"/>
      <c r="AE71" s="79"/>
      <c r="AF71" s="79"/>
      <c r="AG71" s="79"/>
      <c r="AH71" s="79"/>
      <c r="AI71" s="79"/>
      <c r="AJ71" s="79"/>
      <c r="AK71" s="79"/>
      <c r="AL71" s="79"/>
    </row>
    <row r="72" spans="24:38" x14ac:dyDescent="0.3">
      <c r="X72" s="133"/>
      <c r="Y72" s="79"/>
      <c r="Z72" s="79"/>
      <c r="AA72" s="79"/>
      <c r="AB72" s="79"/>
      <c r="AC72" s="79"/>
      <c r="AD72" s="79"/>
      <c r="AE72" s="79"/>
      <c r="AF72" s="79"/>
      <c r="AG72" s="79"/>
      <c r="AH72" s="79"/>
      <c r="AI72" s="79"/>
      <c r="AJ72" s="79"/>
      <c r="AK72" s="79"/>
      <c r="AL72" s="79"/>
    </row>
    <row r="73" spans="24:38" x14ac:dyDescent="0.3">
      <c r="X73" s="133"/>
      <c r="Y73" s="79"/>
      <c r="Z73" s="79"/>
      <c r="AA73" s="79"/>
      <c r="AB73" s="79"/>
      <c r="AC73" s="79"/>
      <c r="AD73" s="79"/>
      <c r="AE73" s="79"/>
      <c r="AF73" s="79"/>
      <c r="AG73" s="79"/>
      <c r="AH73" s="79"/>
      <c r="AI73" s="79"/>
      <c r="AJ73" s="79"/>
      <c r="AK73" s="79"/>
      <c r="AL73" s="79"/>
    </row>
    <row r="74" spans="24:38" x14ac:dyDescent="0.3">
      <c r="X74" s="133"/>
      <c r="Y74" s="79"/>
      <c r="Z74" s="79"/>
      <c r="AA74" s="79"/>
      <c r="AB74" s="79"/>
      <c r="AC74" s="79"/>
      <c r="AD74" s="79"/>
      <c r="AE74" s="79"/>
      <c r="AF74" s="79"/>
      <c r="AG74" s="79"/>
      <c r="AH74" s="79"/>
      <c r="AI74" s="79"/>
      <c r="AJ74" s="79"/>
      <c r="AK74" s="79"/>
      <c r="AL74" s="79"/>
    </row>
    <row r="75" spans="24:38" x14ac:dyDescent="0.3">
      <c r="X75" s="133"/>
      <c r="Y75" s="79"/>
      <c r="Z75" s="79"/>
      <c r="AA75" s="79"/>
      <c r="AB75" s="79"/>
      <c r="AC75" s="79"/>
      <c r="AD75" s="79"/>
      <c r="AE75" s="79"/>
      <c r="AF75" s="79"/>
      <c r="AG75" s="79"/>
      <c r="AH75" s="79"/>
      <c r="AI75" s="79"/>
      <c r="AJ75" s="79"/>
      <c r="AK75" s="79"/>
      <c r="AL75" s="79"/>
    </row>
    <row r="76" spans="24:38" x14ac:dyDescent="0.3">
      <c r="X76" s="133"/>
      <c r="Y76" s="79"/>
      <c r="Z76" s="79"/>
      <c r="AA76" s="79"/>
      <c r="AB76" s="79"/>
      <c r="AC76" s="79"/>
      <c r="AD76" s="79"/>
      <c r="AE76" s="79"/>
      <c r="AF76" s="79"/>
      <c r="AG76" s="79"/>
      <c r="AH76" s="79"/>
      <c r="AI76" s="79"/>
      <c r="AJ76" s="79"/>
      <c r="AK76" s="79"/>
      <c r="AL76" s="79"/>
    </row>
    <row r="77" spans="24:38" x14ac:dyDescent="0.3">
      <c r="X77" s="133"/>
      <c r="Y77" s="79"/>
      <c r="Z77" s="79"/>
      <c r="AA77" s="79"/>
      <c r="AB77" s="79"/>
      <c r="AC77" s="79"/>
      <c r="AD77" s="79"/>
      <c r="AE77" s="79"/>
      <c r="AF77" s="79"/>
      <c r="AG77" s="79"/>
      <c r="AH77" s="79"/>
      <c r="AI77" s="79"/>
      <c r="AJ77" s="79"/>
      <c r="AK77" s="79"/>
      <c r="AL77" s="79"/>
    </row>
    <row r="78" spans="24:38" x14ac:dyDescent="0.3">
      <c r="X78" s="133"/>
      <c r="Y78" s="79"/>
      <c r="Z78" s="79"/>
      <c r="AA78" s="79"/>
      <c r="AB78" s="79"/>
      <c r="AC78" s="79"/>
      <c r="AD78" s="79"/>
      <c r="AE78" s="79"/>
      <c r="AF78" s="79"/>
      <c r="AG78" s="79"/>
      <c r="AH78" s="79"/>
      <c r="AI78" s="79"/>
      <c r="AJ78" s="79"/>
      <c r="AK78" s="79"/>
      <c r="AL78" s="79"/>
    </row>
    <row r="79" spans="24:38" x14ac:dyDescent="0.3">
      <c r="X79" s="133"/>
      <c r="Y79" s="79"/>
      <c r="Z79" s="79"/>
      <c r="AA79" s="79"/>
      <c r="AB79" s="79"/>
      <c r="AC79" s="79"/>
      <c r="AD79" s="79"/>
      <c r="AE79" s="79"/>
      <c r="AF79" s="79"/>
      <c r="AG79" s="79"/>
      <c r="AH79" s="79"/>
      <c r="AI79" s="79"/>
      <c r="AJ79" s="79"/>
      <c r="AK79" s="79"/>
      <c r="AL79" s="79"/>
    </row>
    <row r="80" spans="24:38" x14ac:dyDescent="0.3">
      <c r="X80" s="133"/>
      <c r="Y80" s="79"/>
      <c r="Z80" s="79"/>
      <c r="AA80" s="79"/>
      <c r="AB80" s="79"/>
      <c r="AC80" s="79"/>
      <c r="AD80" s="79"/>
      <c r="AE80" s="79"/>
      <c r="AF80" s="79"/>
      <c r="AG80" s="79"/>
      <c r="AH80" s="79"/>
      <c r="AI80" s="79"/>
      <c r="AJ80" s="79"/>
      <c r="AK80" s="79"/>
      <c r="AL80" s="79"/>
    </row>
    <row r="81" spans="24:38" x14ac:dyDescent="0.3">
      <c r="X81" s="133"/>
      <c r="Y81" s="79"/>
      <c r="Z81" s="79"/>
      <c r="AA81" s="79"/>
      <c r="AB81" s="79"/>
      <c r="AC81" s="79"/>
      <c r="AD81" s="79"/>
      <c r="AE81" s="79"/>
      <c r="AF81" s="79"/>
      <c r="AG81" s="79"/>
      <c r="AH81" s="79"/>
      <c r="AI81" s="79"/>
      <c r="AJ81" s="79"/>
      <c r="AK81" s="79"/>
      <c r="AL81" s="79"/>
    </row>
    <row r="82" spans="24:38" x14ac:dyDescent="0.3">
      <c r="X82" s="133"/>
      <c r="Y82" s="79"/>
      <c r="Z82" s="79"/>
      <c r="AA82" s="79"/>
      <c r="AB82" s="79"/>
      <c r="AC82" s="79"/>
      <c r="AD82" s="79"/>
      <c r="AE82" s="79"/>
      <c r="AF82" s="79"/>
      <c r="AG82" s="79"/>
      <c r="AH82" s="79"/>
      <c r="AI82" s="79"/>
      <c r="AJ82" s="79"/>
      <c r="AK82" s="79"/>
      <c r="AL82" s="79"/>
    </row>
    <row r="83" spans="24:38" x14ac:dyDescent="0.3">
      <c r="X83" s="133"/>
      <c r="Y83" s="79"/>
      <c r="Z83" s="79"/>
      <c r="AA83" s="79"/>
      <c r="AB83" s="79"/>
      <c r="AC83" s="79"/>
      <c r="AD83" s="79"/>
      <c r="AE83" s="79"/>
      <c r="AF83" s="79"/>
      <c r="AG83" s="79"/>
      <c r="AH83" s="79"/>
      <c r="AI83" s="79"/>
      <c r="AJ83" s="79"/>
      <c r="AK83" s="79"/>
      <c r="AL83" s="79"/>
    </row>
    <row r="84" spans="24:38" x14ac:dyDescent="0.3">
      <c r="X84" s="133"/>
      <c r="Y84" s="79"/>
      <c r="Z84" s="79"/>
      <c r="AA84" s="79"/>
      <c r="AB84" s="79"/>
      <c r="AC84" s="79"/>
      <c r="AD84" s="79"/>
      <c r="AE84" s="79"/>
      <c r="AF84" s="79"/>
      <c r="AG84" s="79"/>
      <c r="AH84" s="79"/>
      <c r="AI84" s="79"/>
      <c r="AJ84" s="79"/>
      <c r="AK84" s="79"/>
      <c r="AL84" s="79"/>
    </row>
    <row r="85" spans="24:38" x14ac:dyDescent="0.3">
      <c r="X85" s="133"/>
      <c r="Y85" s="79"/>
      <c r="Z85" s="79"/>
      <c r="AA85" s="79"/>
      <c r="AB85" s="79"/>
      <c r="AC85" s="79"/>
      <c r="AD85" s="79"/>
      <c r="AE85" s="79"/>
      <c r="AF85" s="79"/>
      <c r="AG85" s="79"/>
      <c r="AH85" s="79"/>
      <c r="AI85" s="79"/>
      <c r="AJ85" s="79"/>
      <c r="AK85" s="79"/>
      <c r="AL85" s="79"/>
    </row>
    <row r="86" spans="24:38" x14ac:dyDescent="0.3">
      <c r="X86" s="133"/>
      <c r="Y86" s="79"/>
      <c r="Z86" s="79"/>
      <c r="AA86" s="79"/>
      <c r="AB86" s="79"/>
      <c r="AC86" s="79"/>
      <c r="AD86" s="79"/>
      <c r="AE86" s="79"/>
      <c r="AF86" s="79"/>
      <c r="AG86" s="79"/>
      <c r="AH86" s="79"/>
      <c r="AI86" s="79"/>
      <c r="AJ86" s="79"/>
      <c r="AK86" s="79"/>
      <c r="AL86" s="79"/>
    </row>
    <row r="87" spans="24:38" x14ac:dyDescent="0.3">
      <c r="X87" s="133"/>
      <c r="Y87" s="79"/>
      <c r="Z87" s="79"/>
      <c r="AA87" s="79"/>
      <c r="AB87" s="79"/>
      <c r="AC87" s="79"/>
      <c r="AD87" s="79"/>
      <c r="AE87" s="79"/>
      <c r="AF87" s="79"/>
      <c r="AG87" s="79"/>
      <c r="AH87" s="79"/>
      <c r="AI87" s="79"/>
      <c r="AJ87" s="79"/>
      <c r="AK87" s="79"/>
      <c r="AL87" s="79"/>
    </row>
    <row r="88" spans="24:38" x14ac:dyDescent="0.3">
      <c r="X88" s="133"/>
      <c r="Y88" s="79"/>
      <c r="Z88" s="79"/>
      <c r="AA88" s="79"/>
      <c r="AB88" s="79"/>
      <c r="AC88" s="79"/>
      <c r="AD88" s="79"/>
      <c r="AE88" s="79"/>
      <c r="AF88" s="79"/>
      <c r="AG88" s="79"/>
      <c r="AH88" s="79"/>
      <c r="AI88" s="79"/>
      <c r="AJ88" s="79"/>
      <c r="AK88" s="79"/>
      <c r="AL88" s="79"/>
    </row>
    <row r="89" spans="24:38" x14ac:dyDescent="0.3">
      <c r="X89" s="133"/>
      <c r="Y89" s="79"/>
      <c r="Z89" s="79"/>
      <c r="AA89" s="79"/>
      <c r="AB89" s="79"/>
      <c r="AC89" s="79"/>
      <c r="AD89" s="79"/>
      <c r="AE89" s="79"/>
      <c r="AF89" s="79"/>
      <c r="AG89" s="79"/>
      <c r="AH89" s="79"/>
      <c r="AI89" s="79"/>
      <c r="AJ89" s="79"/>
      <c r="AK89" s="79"/>
      <c r="AL89" s="79"/>
    </row>
    <row r="90" spans="24:38" x14ac:dyDescent="0.3">
      <c r="X90" s="133"/>
      <c r="Y90" s="79"/>
      <c r="Z90" s="79"/>
      <c r="AA90" s="79"/>
      <c r="AB90" s="79"/>
      <c r="AC90" s="79"/>
      <c r="AD90" s="79"/>
      <c r="AE90" s="79"/>
      <c r="AF90" s="79"/>
      <c r="AG90" s="79"/>
      <c r="AH90" s="79"/>
      <c r="AI90" s="79"/>
      <c r="AJ90" s="79"/>
      <c r="AK90" s="79"/>
      <c r="AL90" s="79"/>
    </row>
    <row r="91" spans="24:38" x14ac:dyDescent="0.3">
      <c r="X91" s="133"/>
      <c r="Y91" s="79"/>
      <c r="Z91" s="79"/>
      <c r="AA91" s="79"/>
      <c r="AB91" s="79"/>
      <c r="AC91" s="79"/>
      <c r="AD91" s="79"/>
      <c r="AE91" s="79"/>
      <c r="AF91" s="79"/>
      <c r="AG91" s="79"/>
      <c r="AH91" s="79"/>
      <c r="AI91" s="79"/>
      <c r="AJ91" s="79"/>
      <c r="AK91" s="79"/>
      <c r="AL91" s="79"/>
    </row>
    <row r="92" spans="24:38" x14ac:dyDescent="0.3">
      <c r="X92" s="133"/>
      <c r="Y92" s="79"/>
      <c r="Z92" s="79"/>
      <c r="AA92" s="79"/>
      <c r="AB92" s="79"/>
      <c r="AC92" s="79"/>
      <c r="AD92" s="79"/>
      <c r="AE92" s="79"/>
      <c r="AF92" s="79"/>
      <c r="AG92" s="79"/>
      <c r="AH92" s="79"/>
      <c r="AI92" s="79"/>
      <c r="AJ92" s="79"/>
      <c r="AK92" s="79"/>
      <c r="AL92" s="79"/>
    </row>
    <row r="93" spans="24:38" x14ac:dyDescent="0.3">
      <c r="X93" s="133"/>
      <c r="Y93" s="79"/>
      <c r="Z93" s="79"/>
      <c r="AA93" s="79"/>
      <c r="AB93" s="79"/>
      <c r="AC93" s="79"/>
      <c r="AD93" s="79"/>
      <c r="AE93" s="79"/>
      <c r="AF93" s="79"/>
      <c r="AG93" s="79"/>
      <c r="AH93" s="79"/>
      <c r="AI93" s="79"/>
      <c r="AJ93" s="79"/>
      <c r="AK93" s="79"/>
      <c r="AL93" s="79"/>
    </row>
    <row r="94" spans="24:38" x14ac:dyDescent="0.3">
      <c r="X94" s="133"/>
      <c r="Y94" s="79"/>
      <c r="Z94" s="79"/>
      <c r="AA94" s="79"/>
      <c r="AB94" s="79"/>
      <c r="AC94" s="79"/>
      <c r="AD94" s="79"/>
      <c r="AE94" s="79"/>
      <c r="AF94" s="79"/>
      <c r="AG94" s="79"/>
      <c r="AH94" s="79"/>
      <c r="AI94" s="79"/>
      <c r="AJ94" s="79"/>
      <c r="AK94" s="79"/>
      <c r="AL94" s="79"/>
    </row>
    <row r="95" spans="24:38" x14ac:dyDescent="0.3">
      <c r="X95" s="133"/>
      <c r="Y95" s="79"/>
      <c r="Z95" s="79"/>
      <c r="AA95" s="79"/>
      <c r="AB95" s="79"/>
      <c r="AC95" s="79"/>
      <c r="AD95" s="79"/>
      <c r="AE95" s="79"/>
      <c r="AF95" s="79"/>
      <c r="AG95" s="79"/>
      <c r="AH95" s="79"/>
      <c r="AI95" s="79"/>
      <c r="AJ95" s="79"/>
      <c r="AK95" s="79"/>
      <c r="AL95" s="79"/>
    </row>
    <row r="96" spans="24:38" x14ac:dyDescent="0.3">
      <c r="X96" s="133"/>
      <c r="Y96" s="79"/>
      <c r="Z96" s="79"/>
      <c r="AA96" s="79"/>
      <c r="AB96" s="79"/>
      <c r="AC96" s="79"/>
      <c r="AD96" s="79"/>
      <c r="AE96" s="79"/>
      <c r="AF96" s="79"/>
      <c r="AG96" s="79"/>
      <c r="AH96" s="79"/>
      <c r="AI96" s="79"/>
      <c r="AJ96" s="79"/>
      <c r="AK96" s="79"/>
      <c r="AL96" s="79"/>
    </row>
    <row r="97" spans="24:38" x14ac:dyDescent="0.3">
      <c r="X97" s="133"/>
      <c r="Y97" s="79"/>
      <c r="Z97" s="79"/>
      <c r="AA97" s="79"/>
      <c r="AB97" s="79"/>
      <c r="AC97" s="79"/>
      <c r="AD97" s="79"/>
      <c r="AE97" s="79"/>
      <c r="AF97" s="79"/>
      <c r="AG97" s="79"/>
      <c r="AH97" s="79"/>
      <c r="AI97" s="79"/>
      <c r="AJ97" s="79"/>
      <c r="AK97" s="79"/>
      <c r="AL97" s="79"/>
    </row>
    <row r="98" spans="24:38" x14ac:dyDescent="0.3">
      <c r="X98" s="133"/>
      <c r="Y98" s="79"/>
      <c r="Z98" s="79"/>
      <c r="AA98" s="79"/>
      <c r="AB98" s="79"/>
      <c r="AC98" s="79"/>
      <c r="AD98" s="79"/>
      <c r="AE98" s="79"/>
      <c r="AF98" s="79"/>
      <c r="AG98" s="79"/>
      <c r="AH98" s="79"/>
      <c r="AI98" s="79"/>
      <c r="AJ98" s="79"/>
      <c r="AK98" s="79"/>
      <c r="AL98" s="79"/>
    </row>
    <row r="99" spans="24:38" x14ac:dyDescent="0.3">
      <c r="X99" s="133"/>
      <c r="Y99" s="79"/>
      <c r="Z99" s="79"/>
      <c r="AA99" s="79"/>
      <c r="AB99" s="79"/>
      <c r="AC99" s="79"/>
      <c r="AD99" s="79"/>
      <c r="AE99" s="79"/>
      <c r="AF99" s="79"/>
      <c r="AG99" s="79"/>
      <c r="AH99" s="79"/>
      <c r="AI99" s="79"/>
      <c r="AJ99" s="79"/>
      <c r="AK99" s="79"/>
      <c r="AL99" s="79"/>
    </row>
    <row r="100" spans="24:38" x14ac:dyDescent="0.3">
      <c r="X100" s="133"/>
      <c r="Y100" s="79"/>
      <c r="Z100" s="79"/>
      <c r="AA100" s="79"/>
      <c r="AB100" s="79"/>
      <c r="AC100" s="79"/>
      <c r="AD100" s="79"/>
      <c r="AE100" s="79"/>
      <c r="AF100" s="79"/>
      <c r="AG100" s="79"/>
      <c r="AH100" s="79"/>
      <c r="AI100" s="79"/>
      <c r="AJ100" s="79"/>
      <c r="AK100" s="79"/>
      <c r="AL100" s="79"/>
    </row>
    <row r="101" spans="24:38" x14ac:dyDescent="0.3">
      <c r="X101" s="133"/>
      <c r="Y101" s="79"/>
      <c r="Z101" s="79"/>
      <c r="AA101" s="79"/>
      <c r="AB101" s="79"/>
      <c r="AC101" s="79"/>
      <c r="AD101" s="79"/>
      <c r="AE101" s="79"/>
      <c r="AF101" s="79"/>
      <c r="AG101" s="79"/>
      <c r="AH101" s="79"/>
      <c r="AI101" s="79"/>
      <c r="AJ101" s="79"/>
      <c r="AK101" s="79"/>
      <c r="AL101" s="79"/>
    </row>
    <row r="102" spans="24:38" x14ac:dyDescent="0.3">
      <c r="X102" s="133"/>
      <c r="Y102" s="79"/>
      <c r="Z102" s="79"/>
      <c r="AA102" s="79"/>
      <c r="AB102" s="79"/>
      <c r="AC102" s="79"/>
      <c r="AD102" s="79"/>
      <c r="AE102" s="79"/>
      <c r="AF102" s="79"/>
      <c r="AG102" s="79"/>
      <c r="AH102" s="79"/>
      <c r="AI102" s="79"/>
      <c r="AJ102" s="79"/>
      <c r="AK102" s="79"/>
      <c r="AL102" s="79"/>
    </row>
    <row r="103" spans="24:38" x14ac:dyDescent="0.3">
      <c r="X103" s="133"/>
      <c r="Y103" s="79"/>
      <c r="Z103" s="125" t="s">
        <v>439</v>
      </c>
      <c r="AA103" s="79">
        <f t="shared" ref="AA103:AL103" si="69">SUM(AA6:AA102)</f>
        <v>279</v>
      </c>
      <c r="AB103" s="79">
        <f t="shared" si="69"/>
        <v>0</v>
      </c>
      <c r="AC103" s="79">
        <f t="shared" si="69"/>
        <v>0</v>
      </c>
      <c r="AD103" s="79">
        <f t="shared" si="69"/>
        <v>0</v>
      </c>
      <c r="AE103" s="79">
        <f t="shared" si="69"/>
        <v>14</v>
      </c>
      <c r="AF103" s="79">
        <f t="shared" si="69"/>
        <v>0</v>
      </c>
      <c r="AG103" s="79">
        <f t="shared" si="69"/>
        <v>0</v>
      </c>
      <c r="AH103" s="79">
        <f t="shared" si="69"/>
        <v>0</v>
      </c>
      <c r="AI103" s="79">
        <f t="shared" si="69"/>
        <v>2</v>
      </c>
      <c r="AJ103" s="79">
        <f t="shared" si="69"/>
        <v>0</v>
      </c>
      <c r="AK103" s="79">
        <f t="shared" si="69"/>
        <v>0</v>
      </c>
      <c r="AL103" s="79">
        <f t="shared" si="69"/>
        <v>0</v>
      </c>
    </row>
    <row r="104" spans="24:38" x14ac:dyDescent="0.3">
      <c r="X104" s="133"/>
      <c r="Y104" s="79"/>
      <c r="Z104" s="125" t="s">
        <v>440</v>
      </c>
      <c r="AA104" s="126">
        <f>I5+I103-AA103</f>
        <v>-279</v>
      </c>
      <c r="AB104" s="126">
        <f>K5+K103-AB103</f>
        <v>0</v>
      </c>
      <c r="AC104" s="126">
        <f>L5+L103-AC103</f>
        <v>0</v>
      </c>
      <c r="AD104" s="126">
        <f>M5+M103-AD103</f>
        <v>0</v>
      </c>
      <c r="AE104" s="126">
        <f>N5+N103-AE103</f>
        <v>-14</v>
      </c>
      <c r="AF104" s="126">
        <f>P5+P103-AF103</f>
        <v>0</v>
      </c>
      <c r="AG104" s="126">
        <f>Q5+Q103-AG103</f>
        <v>0</v>
      </c>
      <c r="AH104" s="126">
        <f>R5+R103-AH103</f>
        <v>0</v>
      </c>
      <c r="AI104" s="126">
        <f>S5+S103-AI103</f>
        <v>-2</v>
      </c>
      <c r="AJ104" s="126">
        <f t="shared" ref="AJ104:AL104" si="70">U5+U103-AJ103</f>
        <v>119</v>
      </c>
      <c r="AK104" s="126">
        <f t="shared" si="70"/>
        <v>30</v>
      </c>
      <c r="AL104" s="126">
        <f t="shared" si="70"/>
        <v>0</v>
      </c>
    </row>
  </sheetData>
  <autoFilter ref="A2:AL2" xr:uid="{00000000-0001-0000-0700-000000000000}"/>
  <mergeCells count="6">
    <mergeCell ref="Y36:Y37"/>
    <mergeCell ref="C1:G1"/>
    <mergeCell ref="H1:L1"/>
    <mergeCell ref="M1:Q1"/>
    <mergeCell ref="R1:V1"/>
    <mergeCell ref="X36:X37"/>
  </mergeCells>
  <dataValidations count="1">
    <dataValidation type="list" allowBlank="1" showInputMessage="1" showErrorMessage="1" sqref="Y103:Y1104 Y1:Y4" xr:uid="{F3A35D46-F104-47B1-AFD8-5FB672FEA399}">
      <formula1>$A$4:$A$454</formula1>
      <formula2>0</formula2>
    </dataValidation>
  </dataValidations>
  <pageMargins left="0.78749999999999998" right="0.78749999999999998" top="1.05277777777778" bottom="1.05277777777778" header="0.78749999999999998" footer="0.78749999999999998"/>
  <pageSetup paperSize="9" orientation="portrait" horizontalDpi="300" verticalDpi="300"/>
  <headerFooter>
    <oddHeader>&amp;C&amp;"Times New Roman,thường"&amp;12&amp;Kffffff&amp;A</oddHeader>
    <oddFooter>&amp;C&amp;"Times New Roman,thường"&amp;12&amp;KffffffTrang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L126"/>
  <sheetViews>
    <sheetView workbookViewId="0"/>
  </sheetViews>
  <sheetFormatPr defaultColWidth="10.109375" defaultRowHeight="14.4" x14ac:dyDescent="0.3"/>
  <cols>
    <col min="1" max="1" width="5.5546875" customWidth="1"/>
    <col min="2" max="2" width="13.109375" style="81" customWidth="1"/>
    <col min="3" max="3" width="7.44140625" customWidth="1"/>
    <col min="4" max="5" width="11.109375" customWidth="1"/>
    <col min="19" max="20" width="11.6640625" customWidth="1"/>
    <col min="24" max="25" width="26.6640625" customWidth="1"/>
    <col min="26" max="26" width="14.33203125" customWidth="1"/>
    <col min="27" max="27" width="10.44140625"/>
    <col min="28" max="28" width="7.88671875" customWidth="1"/>
    <col min="29" max="29" width="9.44140625" customWidth="1"/>
    <col min="30" max="30" width="9.33203125" customWidth="1"/>
    <col min="31" max="31" width="8" customWidth="1"/>
    <col min="32" max="33" width="8.109375" customWidth="1"/>
    <col min="34" max="34" width="7.88671875" customWidth="1"/>
    <col min="35" max="35" width="7.109375" customWidth="1"/>
    <col min="36" max="36" width="8.109375" customWidth="1"/>
    <col min="37" max="37" width="7.44140625" customWidth="1"/>
    <col min="38" max="38" width="7.6640625" customWidth="1"/>
  </cols>
  <sheetData>
    <row r="1" spans="1:38" ht="30.6" customHeight="1" x14ac:dyDescent="0.3">
      <c r="A1" s="80" t="s">
        <v>3</v>
      </c>
      <c r="B1" s="80" t="s">
        <v>367</v>
      </c>
      <c r="C1" s="380" t="s">
        <v>368</v>
      </c>
      <c r="D1" s="380"/>
      <c r="E1" s="380"/>
      <c r="F1" s="380"/>
      <c r="G1" s="380"/>
      <c r="H1" s="381" t="s">
        <v>369</v>
      </c>
      <c r="I1" s="381"/>
      <c r="J1" s="381"/>
      <c r="K1" s="381"/>
      <c r="L1" s="381"/>
      <c r="M1" s="382" t="s">
        <v>370</v>
      </c>
      <c r="N1" s="382"/>
      <c r="O1" s="382"/>
      <c r="P1" s="382"/>
      <c r="Q1" s="382"/>
      <c r="R1" s="383" t="s">
        <v>371</v>
      </c>
      <c r="S1" s="383"/>
      <c r="T1" s="383"/>
      <c r="U1" s="383"/>
      <c r="V1" s="383"/>
      <c r="W1" s="79"/>
      <c r="X1" s="128"/>
      <c r="Y1" s="127" t="s">
        <v>370</v>
      </c>
      <c r="Z1" s="127"/>
      <c r="AA1" s="127"/>
      <c r="AB1" s="127"/>
      <c r="AC1" s="127"/>
      <c r="AD1" s="127"/>
      <c r="AE1" s="127"/>
      <c r="AF1" s="127"/>
      <c r="AG1" s="127"/>
      <c r="AH1" s="127"/>
      <c r="AI1" s="127"/>
      <c r="AJ1" s="127"/>
      <c r="AK1" s="127"/>
      <c r="AL1" s="127"/>
    </row>
    <row r="2" spans="1:38" ht="32.85" customHeight="1" x14ac:dyDescent="0.3">
      <c r="A2" s="79"/>
      <c r="B2" s="82"/>
      <c r="C2" s="83" t="s">
        <v>372</v>
      </c>
      <c r="D2" s="83" t="s">
        <v>373</v>
      </c>
      <c r="E2" s="83" t="s">
        <v>485</v>
      </c>
      <c r="F2" s="83" t="s">
        <v>374</v>
      </c>
      <c r="G2" s="83" t="s">
        <v>375</v>
      </c>
      <c r="H2" s="84" t="s">
        <v>372</v>
      </c>
      <c r="I2" s="84" t="s">
        <v>373</v>
      </c>
      <c r="J2" s="84" t="s">
        <v>485</v>
      </c>
      <c r="K2" s="84" t="s">
        <v>374</v>
      </c>
      <c r="L2" s="84" t="s">
        <v>375</v>
      </c>
      <c r="M2" s="85" t="s">
        <v>372</v>
      </c>
      <c r="N2" s="85" t="s">
        <v>373</v>
      </c>
      <c r="O2" s="211" t="s">
        <v>485</v>
      </c>
      <c r="P2" s="85" t="s">
        <v>374</v>
      </c>
      <c r="Q2" s="85" t="s">
        <v>375</v>
      </c>
      <c r="R2" s="86" t="s">
        <v>372</v>
      </c>
      <c r="S2" s="86" t="s">
        <v>373</v>
      </c>
      <c r="T2" s="210" t="s">
        <v>485</v>
      </c>
      <c r="U2" s="86" t="s">
        <v>374</v>
      </c>
      <c r="V2" s="86" t="s">
        <v>375</v>
      </c>
      <c r="W2" s="79"/>
      <c r="X2" s="129"/>
      <c r="Y2" s="119" t="s">
        <v>318</v>
      </c>
      <c r="Z2" s="119" t="s">
        <v>403</v>
      </c>
      <c r="AA2" s="120" t="s">
        <v>26</v>
      </c>
      <c r="AB2" s="118" t="s">
        <v>404</v>
      </c>
      <c r="AC2" s="118" t="s">
        <v>405</v>
      </c>
      <c r="AD2" s="118" t="s">
        <v>406</v>
      </c>
      <c r="AE2" s="118" t="s">
        <v>29</v>
      </c>
      <c r="AF2" s="118" t="s">
        <v>407</v>
      </c>
      <c r="AG2" s="118" t="s">
        <v>408</v>
      </c>
      <c r="AH2" s="118" t="s">
        <v>409</v>
      </c>
      <c r="AI2" s="118" t="s">
        <v>410</v>
      </c>
      <c r="AJ2" s="118" t="s">
        <v>411</v>
      </c>
      <c r="AK2" s="118" t="s">
        <v>42</v>
      </c>
      <c r="AL2" s="118" t="s">
        <v>412</v>
      </c>
    </row>
    <row r="3" spans="1:38" ht="32.85" customHeight="1" x14ac:dyDescent="0.3">
      <c r="A3" s="79"/>
      <c r="B3" s="82"/>
      <c r="C3" s="83"/>
      <c r="D3" s="83"/>
      <c r="E3" s="83"/>
      <c r="F3" s="83"/>
      <c r="G3" s="83"/>
      <c r="H3" s="84"/>
      <c r="I3" s="84"/>
      <c r="J3" s="84"/>
      <c r="K3" s="84"/>
      <c r="L3" s="84"/>
      <c r="M3" s="85"/>
      <c r="N3" s="85"/>
      <c r="O3" s="211"/>
      <c r="P3" s="85"/>
      <c r="Q3" s="85"/>
      <c r="R3" s="86"/>
      <c r="S3" s="86"/>
      <c r="T3" s="210"/>
      <c r="U3" s="86"/>
      <c r="V3" s="86"/>
      <c r="W3" s="79"/>
      <c r="X3" s="129"/>
      <c r="Y3" s="119"/>
      <c r="Z3" s="119"/>
      <c r="AA3" s="120"/>
      <c r="AB3" s="118"/>
      <c r="AC3" s="118"/>
      <c r="AD3" s="118"/>
      <c r="AE3" s="118"/>
      <c r="AF3" s="118"/>
      <c r="AG3" s="118"/>
      <c r="AH3" s="118"/>
      <c r="AI3" s="118"/>
      <c r="AJ3" s="118"/>
      <c r="AK3" s="118"/>
      <c r="AL3" s="118"/>
    </row>
    <row r="4" spans="1:38" ht="32.85" customHeight="1" x14ac:dyDescent="0.35">
      <c r="A4" s="79"/>
      <c r="B4" s="82">
        <v>46273</v>
      </c>
      <c r="C4" s="79"/>
      <c r="D4" s="79">
        <v>9</v>
      </c>
      <c r="E4" s="79"/>
      <c r="F4" s="79">
        <v>0</v>
      </c>
      <c r="G4" s="79">
        <v>16</v>
      </c>
      <c r="H4" s="79"/>
      <c r="I4" s="79">
        <v>3</v>
      </c>
      <c r="J4" s="79"/>
      <c r="K4" s="79">
        <f>52+60</f>
        <v>112</v>
      </c>
      <c r="L4" s="79">
        <v>38</v>
      </c>
      <c r="M4" s="79"/>
      <c r="N4" s="79">
        <f>4+3</f>
        <v>7</v>
      </c>
      <c r="O4" s="79"/>
      <c r="P4" s="79">
        <f>22+22+3+2+4</f>
        <v>53</v>
      </c>
      <c r="Q4" s="79">
        <f>11+3+22</f>
        <v>36</v>
      </c>
      <c r="R4" s="79">
        <f t="shared" ref="R4:V5" si="0">C4+H4-M4</f>
        <v>0</v>
      </c>
      <c r="S4" s="79">
        <f t="shared" si="0"/>
        <v>5</v>
      </c>
      <c r="T4" s="79">
        <f t="shared" si="0"/>
        <v>0</v>
      </c>
      <c r="U4" s="79">
        <f t="shared" si="0"/>
        <v>59</v>
      </c>
      <c r="V4" s="79">
        <f t="shared" si="0"/>
        <v>18</v>
      </c>
      <c r="W4" s="79"/>
      <c r="X4" s="130"/>
      <c r="Y4" s="121"/>
      <c r="Z4" s="121"/>
      <c r="AA4" s="121"/>
      <c r="AB4" s="121"/>
      <c r="AC4" s="121"/>
      <c r="AD4" s="121"/>
      <c r="AE4" s="121"/>
      <c r="AF4" s="121"/>
      <c r="AG4" s="121"/>
      <c r="AH4" s="121"/>
      <c r="AI4" s="121"/>
      <c r="AJ4" s="121"/>
      <c r="AK4" s="121"/>
      <c r="AL4" s="121"/>
    </row>
    <row r="5" spans="1:38" ht="32.85" customHeight="1" x14ac:dyDescent="0.3">
      <c r="A5" s="79"/>
      <c r="B5" s="82">
        <v>46274</v>
      </c>
      <c r="C5" s="79">
        <f t="shared" ref="C5:C10" si="1">R4</f>
        <v>0</v>
      </c>
      <c r="D5" s="79">
        <f t="shared" ref="D5" si="2">S4</f>
        <v>5</v>
      </c>
      <c r="E5" s="79"/>
      <c r="F5" s="79">
        <f t="shared" ref="F5:G6" si="3">U4</f>
        <v>59</v>
      </c>
      <c r="G5" s="79">
        <f t="shared" si="3"/>
        <v>18</v>
      </c>
      <c r="H5" s="79"/>
      <c r="I5" s="79">
        <v>20</v>
      </c>
      <c r="J5" s="79">
        <v>11</v>
      </c>
      <c r="K5" s="79"/>
      <c r="L5" s="79">
        <v>40</v>
      </c>
      <c r="M5" s="79">
        <f>AK70</f>
        <v>0</v>
      </c>
      <c r="N5" s="79">
        <v>3</v>
      </c>
      <c r="O5" s="79">
        <v>11</v>
      </c>
      <c r="P5" s="79">
        <v>7</v>
      </c>
      <c r="Q5" s="79">
        <v>1</v>
      </c>
      <c r="R5" s="79">
        <f>C5+H5-M5</f>
        <v>0</v>
      </c>
      <c r="S5" s="79">
        <f>D5+I5-N5</f>
        <v>22</v>
      </c>
      <c r="T5" s="79">
        <f t="shared" si="0"/>
        <v>0</v>
      </c>
      <c r="U5" s="79">
        <f t="shared" si="0"/>
        <v>52</v>
      </c>
      <c r="V5" s="79">
        <f t="shared" si="0"/>
        <v>57</v>
      </c>
      <c r="W5" s="79"/>
      <c r="X5" s="139">
        <v>46262</v>
      </c>
      <c r="Y5" s="79" t="s">
        <v>445</v>
      </c>
      <c r="Z5" s="79" t="s">
        <v>45</v>
      </c>
      <c r="AA5" s="79">
        <v>11</v>
      </c>
      <c r="AB5" s="79"/>
      <c r="AC5" s="79"/>
      <c r="AD5" s="79"/>
      <c r="AE5" s="79"/>
      <c r="AF5" s="79"/>
      <c r="AG5" s="79"/>
      <c r="AH5" s="79"/>
      <c r="AI5" s="79"/>
      <c r="AJ5" s="79"/>
      <c r="AK5" s="79"/>
      <c r="AL5" s="79"/>
    </row>
    <row r="6" spans="1:38" ht="32.85" customHeight="1" x14ac:dyDescent="0.3">
      <c r="A6" s="79"/>
      <c r="B6" s="102" t="s">
        <v>489</v>
      </c>
      <c r="C6" s="79">
        <f t="shared" si="1"/>
        <v>0</v>
      </c>
      <c r="D6" s="79">
        <f t="shared" ref="D6" si="4">S5</f>
        <v>22</v>
      </c>
      <c r="E6" s="79">
        <v>11</v>
      </c>
      <c r="F6" s="79">
        <f t="shared" si="3"/>
        <v>52</v>
      </c>
      <c r="G6" s="79">
        <f t="shared" si="3"/>
        <v>57</v>
      </c>
      <c r="H6" s="79"/>
      <c r="I6" s="79">
        <v>22</v>
      </c>
      <c r="J6" s="79"/>
      <c r="K6" s="79">
        <v>66</v>
      </c>
      <c r="L6" s="79"/>
      <c r="M6" s="79"/>
      <c r="N6" s="79">
        <v>23</v>
      </c>
      <c r="O6" s="79">
        <v>11</v>
      </c>
      <c r="P6" s="79">
        <v>33</v>
      </c>
      <c r="Q6" s="79"/>
      <c r="R6" s="79">
        <f>C6+H6-M6</f>
        <v>0</v>
      </c>
      <c r="S6" s="79">
        <f>D6+I6-N6</f>
        <v>21</v>
      </c>
      <c r="T6" s="79">
        <f t="shared" ref="T6" si="5">E6+J6-O6</f>
        <v>0</v>
      </c>
      <c r="U6" s="79">
        <f t="shared" ref="U6" si="6">F6+K6-P6</f>
        <v>85</v>
      </c>
      <c r="V6" s="79">
        <f t="shared" ref="V6" si="7">G6+L6-Q6</f>
        <v>57</v>
      </c>
      <c r="W6" s="79"/>
      <c r="X6" s="139">
        <v>46262</v>
      </c>
      <c r="Y6" s="79" t="s">
        <v>446</v>
      </c>
      <c r="Z6" s="79" t="s">
        <v>62</v>
      </c>
      <c r="AA6" s="79"/>
      <c r="AB6" s="79"/>
      <c r="AC6" s="79"/>
      <c r="AD6" s="79"/>
      <c r="AE6" s="79">
        <v>3</v>
      </c>
      <c r="AF6" s="79"/>
      <c r="AG6" s="79"/>
      <c r="AH6" s="79"/>
      <c r="AI6" s="79"/>
      <c r="AJ6" s="79"/>
      <c r="AK6" s="79"/>
      <c r="AL6" s="79"/>
    </row>
    <row r="7" spans="1:38" ht="32.85" customHeight="1" x14ac:dyDescent="0.3">
      <c r="A7" s="79"/>
      <c r="B7" s="102" t="s">
        <v>536</v>
      </c>
      <c r="C7" s="79">
        <f t="shared" si="1"/>
        <v>0</v>
      </c>
      <c r="D7" s="79">
        <f t="shared" ref="D7" si="8">S6</f>
        <v>21</v>
      </c>
      <c r="E7" s="79"/>
      <c r="F7" s="79">
        <f t="shared" ref="F7" si="9">U6</f>
        <v>85</v>
      </c>
      <c r="G7" s="79">
        <f t="shared" ref="G7" si="10">V6</f>
        <v>57</v>
      </c>
      <c r="H7" s="79"/>
      <c r="I7" s="79"/>
      <c r="J7" s="79"/>
      <c r="K7" s="79">
        <v>60</v>
      </c>
      <c r="L7" s="79"/>
      <c r="M7" s="79"/>
      <c r="N7" s="79"/>
      <c r="O7" s="79"/>
      <c r="P7" s="79">
        <v>6</v>
      </c>
      <c r="Q7" s="79"/>
      <c r="R7" s="79"/>
      <c r="S7" s="79">
        <f t="shared" ref="S7:S12" si="11">D7+I7-N7</f>
        <v>21</v>
      </c>
      <c r="T7" s="79">
        <f t="shared" ref="T7" si="12">E7+J7-O7</f>
        <v>0</v>
      </c>
      <c r="U7" s="79">
        <f t="shared" ref="U7" si="13">F7+K7-P7</f>
        <v>139</v>
      </c>
      <c r="V7" s="79">
        <f t="shared" ref="V7" si="14">G7+L7-Q7</f>
        <v>57</v>
      </c>
      <c r="W7" s="79"/>
      <c r="X7" s="140">
        <v>46262</v>
      </c>
      <c r="Y7" s="79" t="s">
        <v>447</v>
      </c>
      <c r="Z7" s="79" t="s">
        <v>414</v>
      </c>
      <c r="AA7" s="79"/>
      <c r="AB7" s="79"/>
      <c r="AC7" s="79"/>
      <c r="AD7" s="79"/>
      <c r="AE7" s="79">
        <v>3</v>
      </c>
      <c r="AF7" s="79"/>
      <c r="AG7" s="79"/>
      <c r="AH7" s="79"/>
      <c r="AI7" s="79"/>
      <c r="AJ7" s="79"/>
      <c r="AK7" s="79"/>
      <c r="AL7" s="79"/>
    </row>
    <row r="8" spans="1:38" ht="32.85" customHeight="1" x14ac:dyDescent="0.3">
      <c r="A8" s="79"/>
      <c r="B8" s="102" t="s">
        <v>563</v>
      </c>
      <c r="C8" s="79">
        <f t="shared" si="1"/>
        <v>0</v>
      </c>
      <c r="D8" s="79">
        <f t="shared" ref="D8" si="15">S7</f>
        <v>21</v>
      </c>
      <c r="E8" s="79"/>
      <c r="F8" s="79">
        <f t="shared" ref="F8" si="16">U7</f>
        <v>139</v>
      </c>
      <c r="G8" s="79">
        <f t="shared" ref="G8" si="17">V7</f>
        <v>57</v>
      </c>
      <c r="H8" s="79"/>
      <c r="I8" s="79"/>
      <c r="J8" s="79"/>
      <c r="K8" s="79"/>
      <c r="L8" s="79">
        <v>20</v>
      </c>
      <c r="M8" s="79"/>
      <c r="N8" s="79"/>
      <c r="O8" s="79"/>
      <c r="P8" s="79">
        <v>16</v>
      </c>
      <c r="Q8" s="79">
        <v>36</v>
      </c>
      <c r="R8" s="79"/>
      <c r="S8" s="79">
        <f t="shared" si="11"/>
        <v>21</v>
      </c>
      <c r="T8" s="79">
        <f t="shared" ref="T8" si="18">E8+J8-O8</f>
        <v>0</v>
      </c>
      <c r="U8" s="79">
        <f t="shared" ref="U8" si="19">F8+K8-P8</f>
        <v>123</v>
      </c>
      <c r="V8" s="79">
        <f t="shared" ref="V8" si="20">G8+L8-Q8</f>
        <v>41</v>
      </c>
      <c r="W8" s="79"/>
      <c r="X8" s="140">
        <v>46262</v>
      </c>
      <c r="Y8" s="79" t="s">
        <v>415</v>
      </c>
      <c r="Z8" s="79" t="s">
        <v>414</v>
      </c>
      <c r="AA8" s="79">
        <v>22</v>
      </c>
      <c r="AB8" s="79"/>
      <c r="AC8" s="79"/>
      <c r="AD8" s="79"/>
      <c r="AE8" s="79"/>
      <c r="AF8" s="79"/>
      <c r="AG8" s="79"/>
      <c r="AH8" s="79"/>
      <c r="AI8" s="79"/>
      <c r="AJ8" s="79"/>
      <c r="AK8" s="79"/>
      <c r="AL8" s="79"/>
    </row>
    <row r="9" spans="1:38" ht="35.1" customHeight="1" x14ac:dyDescent="0.3">
      <c r="A9" s="79"/>
      <c r="B9" s="87" t="s">
        <v>570</v>
      </c>
      <c r="C9" s="79">
        <f t="shared" si="1"/>
        <v>0</v>
      </c>
      <c r="D9" s="79">
        <f t="shared" ref="D9" si="21">S8</f>
        <v>21</v>
      </c>
      <c r="E9" s="79"/>
      <c r="F9" s="79">
        <f t="shared" ref="F9" si="22">U8</f>
        <v>123</v>
      </c>
      <c r="G9" s="79">
        <f t="shared" ref="G9" si="23">V8</f>
        <v>41</v>
      </c>
      <c r="H9" s="79"/>
      <c r="I9" s="79"/>
      <c r="J9" s="79"/>
      <c r="K9" s="79"/>
      <c r="L9" s="79"/>
      <c r="M9" s="79"/>
      <c r="N9" s="79"/>
      <c r="O9" s="79"/>
      <c r="P9" s="79">
        <f>46+33</f>
        <v>79</v>
      </c>
      <c r="Q9" s="79"/>
      <c r="R9" s="79"/>
      <c r="S9" s="79">
        <f t="shared" si="11"/>
        <v>21</v>
      </c>
      <c r="T9" s="79">
        <f t="shared" ref="T9" si="24">E9+J9-O9</f>
        <v>0</v>
      </c>
      <c r="U9" s="79">
        <f t="shared" ref="U9" si="25">F9+K9-P9</f>
        <v>44</v>
      </c>
      <c r="V9" s="79">
        <f t="shared" ref="V9" si="26">G9+L9-Q9</f>
        <v>41</v>
      </c>
      <c r="W9" s="79"/>
      <c r="X9" s="140">
        <v>46263</v>
      </c>
      <c r="Y9" s="79" t="s">
        <v>448</v>
      </c>
      <c r="Z9" s="79" t="s">
        <v>414</v>
      </c>
      <c r="AA9" s="79">
        <v>2</v>
      </c>
      <c r="AB9" s="79"/>
      <c r="AC9" s="79"/>
      <c r="AD9" s="79"/>
      <c r="AE9" s="79"/>
      <c r="AF9" s="79"/>
      <c r="AG9" s="79"/>
      <c r="AH9" s="79"/>
      <c r="AI9" s="79"/>
      <c r="AJ9" s="79"/>
      <c r="AK9" s="79"/>
      <c r="AL9" s="79"/>
    </row>
    <row r="10" spans="1:38" ht="35.1" customHeight="1" x14ac:dyDescent="0.3">
      <c r="A10" s="79"/>
      <c r="B10" s="87" t="s">
        <v>581</v>
      </c>
      <c r="C10" s="79">
        <f t="shared" si="1"/>
        <v>0</v>
      </c>
      <c r="D10" s="79">
        <f t="shared" ref="D10" si="27">S9</f>
        <v>21</v>
      </c>
      <c r="E10" s="79"/>
      <c r="F10" s="79">
        <f t="shared" ref="F10" si="28">U9</f>
        <v>44</v>
      </c>
      <c r="G10" s="79">
        <f t="shared" ref="G10" si="29">V9</f>
        <v>41</v>
      </c>
      <c r="H10" s="79"/>
      <c r="I10" s="79"/>
      <c r="J10" s="79"/>
      <c r="K10" s="79">
        <v>50</v>
      </c>
      <c r="L10" s="79"/>
      <c r="M10" s="79"/>
      <c r="N10" s="79">
        <v>10</v>
      </c>
      <c r="O10" s="79"/>
      <c r="P10" s="79">
        <f>44+5</f>
        <v>49</v>
      </c>
      <c r="Q10" s="79"/>
      <c r="R10" s="79"/>
      <c r="S10" s="79">
        <f t="shared" si="11"/>
        <v>11</v>
      </c>
      <c r="T10" s="79">
        <f t="shared" ref="T10" si="30">E10+J10-O10</f>
        <v>0</v>
      </c>
      <c r="U10" s="79">
        <f t="shared" ref="U10" si="31">F10+K10-P10</f>
        <v>45</v>
      </c>
      <c r="V10" s="79">
        <f t="shared" ref="V10" si="32">G10+L10-Q10</f>
        <v>41</v>
      </c>
      <c r="W10" s="79"/>
      <c r="X10" s="140">
        <v>46263</v>
      </c>
      <c r="Y10" s="79" t="s">
        <v>449</v>
      </c>
      <c r="Z10" s="79" t="s">
        <v>414</v>
      </c>
      <c r="AA10" s="79">
        <v>11</v>
      </c>
      <c r="AB10" s="79"/>
      <c r="AC10" s="79"/>
      <c r="AD10" s="79"/>
      <c r="AE10" s="79"/>
      <c r="AF10" s="79"/>
      <c r="AG10" s="79"/>
      <c r="AH10" s="79"/>
      <c r="AI10" s="79"/>
      <c r="AJ10" s="79"/>
      <c r="AK10" s="79"/>
      <c r="AL10" s="79"/>
    </row>
    <row r="11" spans="1:38" ht="35.1" customHeight="1" x14ac:dyDescent="0.3">
      <c r="A11" s="79"/>
      <c r="B11" s="87" t="s">
        <v>608</v>
      </c>
      <c r="C11" s="79">
        <f t="shared" ref="C11" si="33">R10</f>
        <v>0</v>
      </c>
      <c r="D11" s="79">
        <f t="shared" ref="D11" si="34">S10</f>
        <v>11</v>
      </c>
      <c r="E11" s="79"/>
      <c r="F11" s="79">
        <f t="shared" ref="F11" si="35">U10</f>
        <v>45</v>
      </c>
      <c r="G11" s="79">
        <f t="shared" ref="G11" si="36">V10</f>
        <v>41</v>
      </c>
      <c r="H11" s="79">
        <v>4</v>
      </c>
      <c r="I11" s="79">
        <v>10</v>
      </c>
      <c r="J11" s="79"/>
      <c r="K11" s="79">
        <v>54</v>
      </c>
      <c r="L11" s="79"/>
      <c r="M11" s="79">
        <v>4</v>
      </c>
      <c r="N11" s="79">
        <v>10</v>
      </c>
      <c r="O11" s="79"/>
      <c r="P11" s="79"/>
      <c r="Q11" s="79">
        <v>2</v>
      </c>
      <c r="R11" s="79"/>
      <c r="S11" s="79">
        <f t="shared" si="11"/>
        <v>11</v>
      </c>
      <c r="T11" s="79">
        <f t="shared" ref="T11" si="37">E11+J11-O11</f>
        <v>0</v>
      </c>
      <c r="U11" s="79">
        <f t="shared" ref="U11" si="38">F11+K11-P11</f>
        <v>99</v>
      </c>
      <c r="V11" s="79">
        <f t="shared" ref="V11" si="39">G11+L11-Q11</f>
        <v>39</v>
      </c>
      <c r="W11" s="79"/>
      <c r="X11" s="140">
        <v>46263</v>
      </c>
      <c r="Y11" s="79" t="s">
        <v>450</v>
      </c>
      <c r="Z11" s="79" t="s">
        <v>414</v>
      </c>
      <c r="AA11" s="79">
        <v>33</v>
      </c>
      <c r="AB11" s="79"/>
      <c r="AC11" s="79"/>
      <c r="AD11" s="79"/>
      <c r="AE11" s="79"/>
      <c r="AF11" s="79"/>
      <c r="AG11" s="79"/>
      <c r="AH11" s="79"/>
      <c r="AI11" s="79"/>
      <c r="AJ11" s="79"/>
      <c r="AK11" s="79"/>
      <c r="AL11" s="79"/>
    </row>
    <row r="12" spans="1:38" ht="35.1" customHeight="1" x14ac:dyDescent="0.3">
      <c r="A12" s="79"/>
      <c r="B12" s="87" t="s">
        <v>628</v>
      </c>
      <c r="C12" s="79">
        <f t="shared" ref="C12" si="40">R11</f>
        <v>0</v>
      </c>
      <c r="D12" s="79">
        <f t="shared" ref="D12" si="41">S11</f>
        <v>11</v>
      </c>
      <c r="E12" s="79"/>
      <c r="F12" s="79">
        <f t="shared" ref="F12" si="42">U11</f>
        <v>99</v>
      </c>
      <c r="G12" s="79">
        <f t="shared" ref="G12" si="43">V11</f>
        <v>39</v>
      </c>
      <c r="H12" s="79"/>
      <c r="I12" s="79">
        <v>22</v>
      </c>
      <c r="J12" s="79"/>
      <c r="K12" s="79">
        <v>58</v>
      </c>
      <c r="L12" s="79"/>
      <c r="M12" s="79"/>
      <c r="N12" s="79">
        <v>33</v>
      </c>
      <c r="O12" s="79"/>
      <c r="P12" s="79">
        <v>18</v>
      </c>
      <c r="Q12" s="79"/>
      <c r="R12" s="79"/>
      <c r="S12" s="79">
        <f t="shared" si="11"/>
        <v>0</v>
      </c>
      <c r="T12" s="79">
        <f t="shared" ref="T12" si="44">E12+J12-O12</f>
        <v>0</v>
      </c>
      <c r="U12" s="79">
        <f t="shared" ref="U12" si="45">F12+K12-P12</f>
        <v>139</v>
      </c>
      <c r="V12" s="79">
        <f t="shared" ref="V12" si="46">G12+L12-Q12</f>
        <v>39</v>
      </c>
      <c r="W12" s="79"/>
      <c r="X12" s="140">
        <v>46263</v>
      </c>
      <c r="Y12" s="79" t="s">
        <v>451</v>
      </c>
      <c r="Z12" s="79" t="s">
        <v>414</v>
      </c>
      <c r="AA12" s="79"/>
      <c r="AB12" s="79"/>
      <c r="AC12" s="79"/>
      <c r="AD12" s="79"/>
      <c r="AE12" s="79"/>
      <c r="AF12" s="79"/>
      <c r="AG12" s="79"/>
      <c r="AH12" s="79"/>
      <c r="AI12" s="79">
        <v>2</v>
      </c>
      <c r="AJ12" s="79"/>
      <c r="AK12" s="79"/>
      <c r="AL12" s="79"/>
    </row>
    <row r="13" spans="1:38" ht="35.1" customHeight="1" x14ac:dyDescent="0.3">
      <c r="A13" s="79"/>
      <c r="B13" s="87" t="s">
        <v>641</v>
      </c>
      <c r="C13" s="79">
        <f t="shared" ref="C13" si="47">R12</f>
        <v>0</v>
      </c>
      <c r="D13" s="79">
        <f t="shared" ref="D13" si="48">S12</f>
        <v>0</v>
      </c>
      <c r="E13" s="79"/>
      <c r="F13" s="79">
        <f t="shared" ref="F13" si="49">U12</f>
        <v>139</v>
      </c>
      <c r="G13" s="79">
        <f t="shared" ref="G13" si="50">V12</f>
        <v>39</v>
      </c>
      <c r="H13" s="79"/>
      <c r="I13" s="79"/>
      <c r="J13" s="79"/>
      <c r="K13" s="79">
        <v>85</v>
      </c>
      <c r="L13" s="79"/>
      <c r="M13" s="79"/>
      <c r="N13" s="79"/>
      <c r="O13" s="79"/>
      <c r="P13" s="79">
        <v>94</v>
      </c>
      <c r="Q13" s="79">
        <v>2</v>
      </c>
      <c r="R13" s="79"/>
      <c r="S13" s="79">
        <f t="shared" ref="S13" si="51">D13+I13-N13</f>
        <v>0</v>
      </c>
      <c r="T13" s="79">
        <f t="shared" ref="T13" si="52">E13+J13-O13</f>
        <v>0</v>
      </c>
      <c r="U13" s="79">
        <f t="shared" ref="U13" si="53">F13+K13-P13</f>
        <v>130</v>
      </c>
      <c r="V13" s="79">
        <f t="shared" ref="V13" si="54">G13+L13-Q13</f>
        <v>37</v>
      </c>
      <c r="W13" s="79"/>
      <c r="X13" s="140">
        <v>46264</v>
      </c>
      <c r="Y13" s="79" t="s">
        <v>452</v>
      </c>
      <c r="Z13" s="79"/>
      <c r="AA13" s="79">
        <v>22</v>
      </c>
      <c r="AB13" s="79"/>
      <c r="AC13" s="79"/>
      <c r="AD13" s="79"/>
      <c r="AE13" s="79"/>
      <c r="AF13" s="79"/>
      <c r="AG13" s="79"/>
      <c r="AH13" s="79"/>
      <c r="AI13" s="79"/>
      <c r="AJ13" s="79"/>
      <c r="AK13" s="79"/>
      <c r="AL13" s="79"/>
    </row>
    <row r="14" spans="1:38" ht="35.1" customHeight="1" x14ac:dyDescent="0.3">
      <c r="A14" s="79"/>
      <c r="B14" s="87" t="s">
        <v>674</v>
      </c>
      <c r="C14" s="79">
        <f t="shared" ref="C14" si="55">R13</f>
        <v>0</v>
      </c>
      <c r="D14" s="79">
        <f t="shared" ref="D14" si="56">S13</f>
        <v>0</v>
      </c>
      <c r="E14" s="79"/>
      <c r="F14" s="79">
        <f t="shared" ref="F14" si="57">U13</f>
        <v>130</v>
      </c>
      <c r="G14" s="79">
        <f t="shared" ref="G14" si="58">V13</f>
        <v>37</v>
      </c>
      <c r="H14" s="79"/>
      <c r="I14" s="79"/>
      <c r="J14" s="79"/>
      <c r="K14" s="79">
        <f>70+3</f>
        <v>73</v>
      </c>
      <c r="L14" s="79"/>
      <c r="M14" s="79"/>
      <c r="N14" s="79"/>
      <c r="O14" s="79"/>
      <c r="P14" s="79">
        <v>12</v>
      </c>
      <c r="Q14" s="79">
        <v>11</v>
      </c>
      <c r="R14" s="79"/>
      <c r="S14" s="79">
        <f t="shared" ref="S14" si="59">D14+I14-N14</f>
        <v>0</v>
      </c>
      <c r="T14" s="79">
        <f t="shared" ref="T14" si="60">E14+J14-O14</f>
        <v>0</v>
      </c>
      <c r="U14" s="79">
        <f t="shared" ref="U14" si="61">F14+K14-P14</f>
        <v>191</v>
      </c>
      <c r="V14" s="79">
        <f t="shared" ref="V14" si="62">G14+L14-Q14</f>
        <v>26</v>
      </c>
      <c r="W14" s="79"/>
      <c r="X14" s="140">
        <v>46264</v>
      </c>
      <c r="Y14" s="79" t="s">
        <v>453</v>
      </c>
      <c r="Z14" s="79"/>
      <c r="AA14" s="79">
        <v>2</v>
      </c>
      <c r="AB14" s="79"/>
      <c r="AC14" s="79"/>
      <c r="AD14" s="79"/>
      <c r="AE14" s="79"/>
      <c r="AF14" s="79"/>
      <c r="AG14" s="79"/>
      <c r="AH14" s="79"/>
      <c r="AI14" s="79"/>
      <c r="AJ14" s="79"/>
      <c r="AK14" s="79"/>
      <c r="AL14" s="79"/>
    </row>
    <row r="15" spans="1:38" ht="35.1" customHeight="1" x14ac:dyDescent="0.3">
      <c r="A15" s="79"/>
      <c r="B15" s="87"/>
      <c r="C15" s="79"/>
      <c r="D15" s="79"/>
      <c r="E15" s="79"/>
      <c r="F15" s="79"/>
      <c r="G15" s="79"/>
      <c r="H15" s="79"/>
      <c r="I15" s="79"/>
      <c r="J15" s="79"/>
      <c r="K15" s="79"/>
      <c r="L15" s="79"/>
      <c r="M15" s="79"/>
      <c r="N15" s="79"/>
      <c r="O15" s="79"/>
      <c r="P15" s="79"/>
      <c r="Q15" s="79"/>
      <c r="R15" s="79"/>
      <c r="S15" s="79"/>
      <c r="T15" s="79"/>
      <c r="U15" s="79"/>
      <c r="V15" s="79"/>
      <c r="W15" s="79"/>
      <c r="X15" s="140">
        <v>46264</v>
      </c>
      <c r="Y15" s="79" t="s">
        <v>454</v>
      </c>
      <c r="Z15" s="79"/>
      <c r="AA15" s="79"/>
      <c r="AB15" s="79"/>
      <c r="AC15" s="79"/>
      <c r="AD15" s="79"/>
      <c r="AE15" s="79">
        <v>4</v>
      </c>
      <c r="AF15" s="79"/>
      <c r="AG15" s="79"/>
      <c r="AH15" s="79"/>
      <c r="AI15" s="79"/>
      <c r="AJ15" s="79"/>
      <c r="AK15" s="79"/>
      <c r="AL15" s="79"/>
    </row>
    <row r="16" spans="1:38" ht="35.1" customHeight="1" x14ac:dyDescent="0.3">
      <c r="A16" s="79"/>
      <c r="B16" s="87"/>
      <c r="C16" s="79"/>
      <c r="D16" s="79"/>
      <c r="E16" s="79"/>
      <c r="F16" s="79"/>
      <c r="G16" s="79"/>
      <c r="H16" s="79"/>
      <c r="I16" s="79"/>
      <c r="J16" s="79"/>
      <c r="K16" s="79"/>
      <c r="L16" s="79"/>
      <c r="M16" s="79"/>
      <c r="N16" s="79"/>
      <c r="O16" s="79"/>
      <c r="P16" s="79"/>
      <c r="Q16" s="79"/>
      <c r="R16" s="79"/>
      <c r="S16" s="79"/>
      <c r="T16" s="79"/>
      <c r="U16" s="79"/>
      <c r="V16" s="79"/>
      <c r="W16" s="79"/>
      <c r="X16" s="140">
        <v>46264</v>
      </c>
      <c r="Y16" s="79" t="s">
        <v>452</v>
      </c>
      <c r="Z16" s="79"/>
      <c r="AA16" s="79"/>
      <c r="AB16" s="79"/>
      <c r="AC16" s="79"/>
      <c r="AD16" s="79"/>
      <c r="AE16" s="79"/>
      <c r="AF16" s="79"/>
      <c r="AG16" s="79"/>
      <c r="AH16" s="79"/>
      <c r="AI16" s="79">
        <v>5</v>
      </c>
      <c r="AJ16" s="79"/>
      <c r="AK16" s="79"/>
      <c r="AL16" s="79"/>
    </row>
    <row r="17" spans="1:38" ht="35.1" customHeight="1" x14ac:dyDescent="0.3">
      <c r="A17" s="79"/>
      <c r="B17" s="87"/>
      <c r="C17" s="79"/>
      <c r="D17" s="79"/>
      <c r="E17" s="79"/>
      <c r="F17" s="79"/>
      <c r="G17" s="79"/>
      <c r="H17" s="79"/>
      <c r="I17" s="79"/>
      <c r="J17" s="79"/>
      <c r="K17" s="79"/>
      <c r="L17" s="79"/>
      <c r="M17" s="79"/>
      <c r="N17" s="79"/>
      <c r="O17" s="79"/>
      <c r="P17" s="79"/>
      <c r="Q17" s="79"/>
      <c r="R17" s="79"/>
      <c r="S17" s="79"/>
      <c r="T17" s="79"/>
      <c r="U17" s="79"/>
      <c r="V17" s="79"/>
      <c r="W17" s="79"/>
      <c r="X17" s="140">
        <v>46264</v>
      </c>
      <c r="Y17" s="79" t="s">
        <v>452</v>
      </c>
      <c r="Z17" s="79"/>
      <c r="AA17" s="79"/>
      <c r="AB17" s="79"/>
      <c r="AC17" s="79"/>
      <c r="AD17" s="79"/>
      <c r="AE17" s="79"/>
      <c r="AF17" s="79"/>
      <c r="AG17" s="79"/>
      <c r="AH17" s="79"/>
      <c r="AI17" s="79"/>
      <c r="AJ17" s="79"/>
      <c r="AK17" s="79">
        <v>6</v>
      </c>
      <c r="AL17" s="79"/>
    </row>
    <row r="18" spans="1:38" ht="35.1" customHeight="1" x14ac:dyDescent="0.3">
      <c r="A18" s="79"/>
      <c r="B18" s="87"/>
      <c r="C18" s="79"/>
      <c r="D18" s="79"/>
      <c r="E18" s="79"/>
      <c r="F18" s="79"/>
      <c r="G18" s="79"/>
      <c r="H18" s="79"/>
      <c r="I18" s="79"/>
      <c r="J18" s="79"/>
      <c r="K18" s="79"/>
      <c r="L18" s="79"/>
      <c r="M18" s="79"/>
      <c r="N18" s="79"/>
      <c r="O18" s="79"/>
      <c r="P18" s="79"/>
      <c r="Q18" s="79"/>
      <c r="R18" s="79"/>
      <c r="S18" s="79"/>
      <c r="T18" s="79"/>
      <c r="U18" s="79"/>
      <c r="V18" s="79"/>
      <c r="W18" s="79"/>
      <c r="X18" s="141">
        <v>46266</v>
      </c>
      <c r="Y18" s="131" t="s">
        <v>455</v>
      </c>
      <c r="Z18" s="79" t="s">
        <v>422</v>
      </c>
      <c r="AA18" s="131">
        <v>3</v>
      </c>
      <c r="AB18" s="79"/>
      <c r="AC18" s="79"/>
      <c r="AD18" s="79"/>
      <c r="AE18" s="79"/>
      <c r="AF18" s="79"/>
      <c r="AG18" s="79"/>
      <c r="AH18" s="79"/>
      <c r="AI18" s="79"/>
      <c r="AJ18" s="79"/>
      <c r="AK18" s="79"/>
      <c r="AL18" s="79"/>
    </row>
    <row r="19" spans="1:38" ht="35.1" customHeight="1" x14ac:dyDescent="0.3">
      <c r="A19" s="79"/>
      <c r="B19" s="87"/>
      <c r="C19" s="79"/>
      <c r="D19" s="79"/>
      <c r="E19" s="79"/>
      <c r="F19" s="79"/>
      <c r="G19" s="79"/>
      <c r="H19" s="79"/>
      <c r="I19" s="79"/>
      <c r="J19" s="79"/>
      <c r="K19" s="79"/>
      <c r="L19" s="79"/>
      <c r="M19" s="79"/>
      <c r="N19" s="79"/>
      <c r="O19" s="79"/>
      <c r="P19" s="79"/>
      <c r="Q19" s="79"/>
      <c r="R19" s="79"/>
      <c r="S19" s="79"/>
      <c r="T19" s="79"/>
      <c r="U19" s="79"/>
      <c r="V19" s="79"/>
      <c r="W19" s="79"/>
      <c r="X19" s="140">
        <v>46266</v>
      </c>
      <c r="Y19" s="79" t="s">
        <v>451</v>
      </c>
      <c r="Z19" s="79" t="s">
        <v>414</v>
      </c>
      <c r="AA19" s="79">
        <v>5</v>
      </c>
      <c r="AB19" s="79"/>
      <c r="AC19" s="79"/>
      <c r="AD19" s="79"/>
      <c r="AE19" s="79"/>
      <c r="AF19" s="79"/>
      <c r="AG19" s="79"/>
      <c r="AH19" s="79"/>
      <c r="AI19" s="79"/>
      <c r="AJ19" s="79"/>
      <c r="AK19" s="79"/>
      <c r="AL19" s="79"/>
    </row>
    <row r="20" spans="1:38" ht="35.1" customHeight="1" x14ac:dyDescent="0.3">
      <c r="A20" s="79"/>
      <c r="B20" s="87"/>
      <c r="C20" s="79"/>
      <c r="D20" s="79"/>
      <c r="E20" s="79"/>
      <c r="F20" s="79"/>
      <c r="G20" s="79"/>
      <c r="H20" s="79"/>
      <c r="I20" s="79"/>
      <c r="J20" s="79"/>
      <c r="K20" s="79"/>
      <c r="L20" s="79"/>
      <c r="M20" s="79"/>
      <c r="N20" s="79"/>
      <c r="O20" s="79"/>
      <c r="P20" s="79"/>
      <c r="Q20" s="79"/>
      <c r="R20" s="79"/>
      <c r="S20" s="79"/>
      <c r="T20" s="79"/>
      <c r="U20" s="79"/>
      <c r="V20" s="79"/>
      <c r="W20" s="79"/>
      <c r="X20" s="140">
        <v>46266</v>
      </c>
      <c r="Y20" s="79" t="s">
        <v>452</v>
      </c>
      <c r="Z20" s="79"/>
      <c r="AA20" s="79"/>
      <c r="AB20" s="79"/>
      <c r="AC20" s="79"/>
      <c r="AD20" s="79"/>
      <c r="AE20" s="79"/>
      <c r="AF20" s="79"/>
      <c r="AG20" s="79"/>
      <c r="AH20" s="79"/>
      <c r="AI20" s="79">
        <v>2</v>
      </c>
      <c r="AJ20" s="79"/>
      <c r="AK20" s="79"/>
      <c r="AL20" s="79"/>
    </row>
    <row r="21" spans="1:38" ht="35.1" customHeight="1" x14ac:dyDescent="0.3">
      <c r="A21" s="79"/>
      <c r="B21" s="87"/>
      <c r="C21" s="79"/>
      <c r="D21" s="79"/>
      <c r="E21" s="79"/>
      <c r="F21" s="79"/>
      <c r="G21" s="79"/>
      <c r="H21" s="79"/>
      <c r="I21" s="79"/>
      <c r="J21" s="79"/>
      <c r="K21" s="79"/>
      <c r="L21" s="79"/>
      <c r="M21" s="79"/>
      <c r="N21" s="79"/>
      <c r="O21" s="79"/>
      <c r="P21" s="79"/>
      <c r="Q21" s="79"/>
      <c r="R21" s="79"/>
      <c r="S21" s="79"/>
      <c r="T21" s="79"/>
      <c r="U21" s="79"/>
      <c r="V21" s="79"/>
      <c r="W21" s="79"/>
      <c r="X21" s="140">
        <v>46267</v>
      </c>
      <c r="Y21" s="79" t="s">
        <v>452</v>
      </c>
      <c r="Z21" s="79"/>
      <c r="AA21" s="79"/>
      <c r="AB21" s="79"/>
      <c r="AC21" s="79"/>
      <c r="AD21" s="79"/>
      <c r="AE21" s="79"/>
      <c r="AF21" s="79"/>
      <c r="AG21" s="79"/>
      <c r="AH21" s="79"/>
      <c r="AI21" s="79">
        <v>4</v>
      </c>
      <c r="AJ21" s="79"/>
      <c r="AK21" s="79"/>
      <c r="AL21" s="79"/>
    </row>
    <row r="22" spans="1:38" ht="35.1" customHeight="1" x14ac:dyDescent="0.3">
      <c r="A22" s="79"/>
      <c r="B22" s="87"/>
      <c r="C22" s="79"/>
      <c r="D22" s="79"/>
      <c r="E22" s="79"/>
      <c r="F22" s="79"/>
      <c r="G22" s="79"/>
      <c r="H22" s="79"/>
      <c r="I22" s="79"/>
      <c r="J22" s="79"/>
      <c r="K22" s="79"/>
      <c r="L22" s="79"/>
      <c r="M22" s="79"/>
      <c r="N22" s="79"/>
      <c r="O22" s="79"/>
      <c r="P22" s="79"/>
      <c r="Q22" s="79"/>
      <c r="R22" s="79"/>
      <c r="S22" s="79"/>
      <c r="T22" s="79"/>
      <c r="U22" s="79"/>
      <c r="V22" s="79"/>
      <c r="W22" s="79"/>
      <c r="X22" s="140">
        <v>46268</v>
      </c>
      <c r="Y22" s="79" t="s">
        <v>456</v>
      </c>
      <c r="Z22" s="79"/>
      <c r="AA22" s="79"/>
      <c r="AB22" s="79"/>
      <c r="AC22" s="79"/>
      <c r="AD22" s="79"/>
      <c r="AE22" s="79"/>
      <c r="AF22" s="79"/>
      <c r="AG22" s="79"/>
      <c r="AH22" s="79"/>
      <c r="AI22" s="79"/>
      <c r="AJ22" s="79"/>
      <c r="AK22" s="79">
        <v>2</v>
      </c>
      <c r="AL22" s="79"/>
    </row>
    <row r="23" spans="1:38" ht="35.1" customHeight="1" x14ac:dyDescent="0.3">
      <c r="A23" s="79"/>
      <c r="B23" s="87"/>
      <c r="C23" s="79"/>
      <c r="D23" s="79"/>
      <c r="E23" s="79"/>
      <c r="F23" s="79"/>
      <c r="G23" s="79"/>
      <c r="H23" s="79"/>
      <c r="I23" s="79"/>
      <c r="J23" s="79"/>
      <c r="K23" s="79"/>
      <c r="L23" s="79"/>
      <c r="M23" s="79"/>
      <c r="N23" s="79"/>
      <c r="O23" s="79"/>
      <c r="P23" s="79"/>
      <c r="Q23" s="79"/>
      <c r="R23" s="79"/>
      <c r="S23" s="79"/>
      <c r="T23" s="79"/>
      <c r="U23" s="79"/>
      <c r="V23" s="79"/>
      <c r="W23" s="79"/>
      <c r="X23" s="140">
        <v>46268</v>
      </c>
      <c r="Y23" s="79" t="s">
        <v>457</v>
      </c>
      <c r="Z23" s="79" t="s">
        <v>414</v>
      </c>
      <c r="AA23" s="79"/>
      <c r="AB23" s="79"/>
      <c r="AC23" s="79"/>
      <c r="AD23" s="79"/>
      <c r="AE23" s="79"/>
      <c r="AF23" s="79"/>
      <c r="AG23" s="79"/>
      <c r="AH23" s="79"/>
      <c r="AI23" s="79"/>
      <c r="AJ23" s="79"/>
      <c r="AK23" s="79">
        <v>3</v>
      </c>
      <c r="AL23" s="79"/>
    </row>
    <row r="24" spans="1:38" ht="35.1" customHeight="1" x14ac:dyDescent="0.3">
      <c r="A24" s="79"/>
      <c r="B24" s="87"/>
      <c r="C24" s="79"/>
      <c r="D24" s="79"/>
      <c r="E24" s="79"/>
      <c r="F24" s="79"/>
      <c r="G24" s="79"/>
      <c r="H24" s="79"/>
      <c r="I24" s="79"/>
      <c r="J24" s="79"/>
      <c r="K24" s="79"/>
      <c r="L24" s="79"/>
      <c r="M24" s="79"/>
      <c r="N24" s="79"/>
      <c r="O24" s="79"/>
      <c r="P24" s="79"/>
      <c r="Q24" s="79"/>
      <c r="R24" s="79"/>
      <c r="S24" s="79"/>
      <c r="T24" s="79"/>
      <c r="U24" s="79"/>
      <c r="V24" s="79"/>
      <c r="W24" s="79"/>
      <c r="X24" s="140">
        <v>46268</v>
      </c>
      <c r="Y24" s="79" t="s">
        <v>458</v>
      </c>
      <c r="Z24" s="79" t="s">
        <v>45</v>
      </c>
      <c r="AA24" s="79"/>
      <c r="AB24" s="79"/>
      <c r="AC24" s="79"/>
      <c r="AD24" s="79"/>
      <c r="AE24" s="79"/>
      <c r="AF24" s="79"/>
      <c r="AG24" s="79"/>
      <c r="AH24" s="79"/>
      <c r="AI24" s="79">
        <v>2</v>
      </c>
      <c r="AJ24" s="79"/>
      <c r="AK24" s="79"/>
      <c r="AL24" s="79"/>
    </row>
    <row r="25" spans="1:38" ht="35.1" customHeight="1" x14ac:dyDescent="0.3">
      <c r="A25" s="79"/>
      <c r="B25" s="87"/>
      <c r="C25" s="79"/>
      <c r="D25" s="79"/>
      <c r="E25" s="79"/>
      <c r="F25" s="79"/>
      <c r="G25" s="79"/>
      <c r="H25" s="79"/>
      <c r="I25" s="79"/>
      <c r="J25" s="79"/>
      <c r="K25" s="79"/>
      <c r="L25" s="79"/>
      <c r="M25" s="79"/>
      <c r="N25" s="79"/>
      <c r="O25" s="79"/>
      <c r="P25" s="79"/>
      <c r="Q25" s="79"/>
      <c r="R25" s="79"/>
      <c r="S25" s="79"/>
      <c r="T25" s="79"/>
      <c r="U25" s="79"/>
      <c r="V25" s="79"/>
      <c r="W25" s="79"/>
      <c r="X25" s="140">
        <v>46268</v>
      </c>
      <c r="Y25" s="79" t="s">
        <v>459</v>
      </c>
      <c r="Z25" s="79" t="s">
        <v>45</v>
      </c>
      <c r="AA25" s="79"/>
      <c r="AB25" s="79"/>
      <c r="AC25" s="79"/>
      <c r="AD25" s="79"/>
      <c r="AE25" s="79"/>
      <c r="AF25" s="79"/>
      <c r="AG25" s="79"/>
      <c r="AH25" s="79"/>
      <c r="AI25" s="79">
        <v>4</v>
      </c>
      <c r="AJ25" s="79"/>
      <c r="AK25" s="79"/>
      <c r="AL25" s="79"/>
    </row>
    <row r="26" spans="1:38" ht="35.1" customHeight="1" x14ac:dyDescent="0.3">
      <c r="R26" s="79"/>
      <c r="S26" s="79"/>
      <c r="T26" s="79"/>
      <c r="U26" s="79"/>
      <c r="V26" s="79"/>
      <c r="W26" s="79"/>
      <c r="X26" s="140">
        <v>46268</v>
      </c>
      <c r="Y26" s="79" t="s">
        <v>415</v>
      </c>
      <c r="Z26" s="79"/>
      <c r="AA26" s="79">
        <v>21</v>
      </c>
      <c r="AB26" s="79"/>
      <c r="AC26" s="79"/>
      <c r="AD26" s="79"/>
      <c r="AE26" s="79"/>
      <c r="AF26" s="79"/>
      <c r="AG26" s="79"/>
      <c r="AH26" s="79"/>
      <c r="AI26" s="79"/>
      <c r="AJ26" s="79"/>
      <c r="AK26" s="79"/>
      <c r="AL26" s="79"/>
    </row>
    <row r="27" spans="1:38" ht="35.1" customHeight="1" x14ac:dyDescent="0.3">
      <c r="R27" s="79"/>
      <c r="S27" s="79"/>
      <c r="T27" s="79"/>
      <c r="U27" s="79"/>
      <c r="V27" s="79"/>
      <c r="W27" s="79"/>
      <c r="X27" s="140">
        <v>46268</v>
      </c>
      <c r="Y27" s="79" t="s">
        <v>460</v>
      </c>
      <c r="Z27" s="79"/>
      <c r="AA27" s="79">
        <v>12</v>
      </c>
      <c r="AB27" s="79"/>
      <c r="AC27" s="79"/>
      <c r="AD27" s="79"/>
      <c r="AE27" s="79"/>
      <c r="AF27" s="79"/>
      <c r="AG27" s="79"/>
      <c r="AH27" s="79"/>
      <c r="AI27" s="79"/>
      <c r="AJ27" s="79"/>
      <c r="AK27" s="79"/>
      <c r="AL27" s="79"/>
    </row>
    <row r="28" spans="1:38" ht="35.1" customHeight="1" x14ac:dyDescent="0.3">
      <c r="R28" s="79"/>
      <c r="S28" s="79"/>
      <c r="T28" s="79"/>
      <c r="U28" s="79"/>
      <c r="V28" s="79"/>
      <c r="W28" s="79"/>
      <c r="X28" s="140">
        <v>46269</v>
      </c>
      <c r="Y28" s="79" t="s">
        <v>415</v>
      </c>
      <c r="Z28" s="79"/>
      <c r="AA28" s="79">
        <v>22</v>
      </c>
      <c r="AB28" s="79"/>
      <c r="AC28" s="79"/>
      <c r="AD28" s="79"/>
      <c r="AE28" s="79">
        <v>16</v>
      </c>
      <c r="AF28" s="79"/>
      <c r="AG28" s="79"/>
      <c r="AH28" s="79"/>
      <c r="AI28" s="79"/>
      <c r="AJ28" s="79"/>
      <c r="AK28" s="79"/>
      <c r="AL28" s="79"/>
    </row>
    <row r="29" spans="1:38" ht="35.1" customHeight="1" x14ac:dyDescent="0.3">
      <c r="R29" s="79"/>
      <c r="S29" s="79"/>
      <c r="T29" s="79"/>
      <c r="U29" s="79"/>
      <c r="V29" s="79"/>
      <c r="W29" s="79"/>
      <c r="X29" s="140">
        <v>46269</v>
      </c>
      <c r="Y29" s="79" t="s">
        <v>461</v>
      </c>
      <c r="Z29" s="79"/>
      <c r="AA29" s="79"/>
      <c r="AB29" s="79"/>
      <c r="AC29" s="79"/>
      <c r="AD29" s="79"/>
      <c r="AE29" s="79"/>
      <c r="AF29" s="79"/>
      <c r="AG29" s="79"/>
      <c r="AH29" s="79"/>
      <c r="AI29" s="79">
        <v>3</v>
      </c>
      <c r="AJ29" s="79"/>
      <c r="AK29" s="79"/>
      <c r="AL29" s="79"/>
    </row>
    <row r="30" spans="1:38" ht="35.1" customHeight="1" x14ac:dyDescent="0.3">
      <c r="R30" s="79"/>
      <c r="S30" s="79"/>
      <c r="T30" s="79"/>
      <c r="U30" s="79"/>
      <c r="V30" s="79"/>
      <c r="W30" s="79"/>
      <c r="X30" s="140">
        <v>46269</v>
      </c>
      <c r="Y30" s="79" t="s">
        <v>462</v>
      </c>
      <c r="Z30" s="79"/>
      <c r="AA30" s="79">
        <v>2</v>
      </c>
      <c r="AB30" s="79"/>
      <c r="AC30" s="79"/>
      <c r="AD30" s="79"/>
      <c r="AE30" s="79"/>
      <c r="AF30" s="79"/>
      <c r="AG30" s="79"/>
      <c r="AH30" s="79"/>
      <c r="AI30" s="79"/>
      <c r="AJ30" s="79"/>
      <c r="AK30" s="79"/>
      <c r="AL30" s="79"/>
    </row>
    <row r="31" spans="1:38" ht="35.1" customHeight="1" x14ac:dyDescent="0.3">
      <c r="R31" s="79"/>
      <c r="S31" s="79"/>
      <c r="T31" s="79"/>
      <c r="U31" s="79"/>
      <c r="V31" s="79"/>
      <c r="W31" s="79"/>
      <c r="X31" s="140">
        <v>46270</v>
      </c>
      <c r="Y31" s="79" t="s">
        <v>415</v>
      </c>
      <c r="Z31" s="79"/>
      <c r="AA31" s="79">
        <v>33</v>
      </c>
      <c r="AB31" s="79"/>
      <c r="AC31" s="79"/>
      <c r="AD31" s="79"/>
      <c r="AE31" s="79"/>
      <c r="AF31" s="79"/>
      <c r="AG31" s="79"/>
      <c r="AH31" s="79"/>
      <c r="AI31" s="79"/>
      <c r="AJ31" s="79"/>
      <c r="AK31" s="79"/>
      <c r="AL31" s="79"/>
    </row>
    <row r="32" spans="1:38" ht="35.1" customHeight="1" x14ac:dyDescent="0.3">
      <c r="X32" s="140">
        <v>46270</v>
      </c>
      <c r="Y32" s="79" t="s">
        <v>463</v>
      </c>
      <c r="Z32" s="79" t="s">
        <v>422</v>
      </c>
      <c r="AA32" s="79">
        <v>2</v>
      </c>
      <c r="AB32" s="79"/>
      <c r="AC32" s="79"/>
      <c r="AD32" s="79"/>
      <c r="AE32" s="79"/>
      <c r="AF32" s="79"/>
      <c r="AG32" s="79"/>
      <c r="AH32" s="79"/>
      <c r="AI32" s="79"/>
      <c r="AJ32" s="79"/>
      <c r="AK32" s="79"/>
      <c r="AL32" s="79"/>
    </row>
    <row r="33" spans="24:38" ht="35.1" customHeight="1" x14ac:dyDescent="0.3">
      <c r="X33" s="140">
        <v>46270</v>
      </c>
      <c r="Y33" s="79" t="s">
        <v>464</v>
      </c>
      <c r="Z33" s="79" t="s">
        <v>422</v>
      </c>
      <c r="AA33" s="79">
        <v>4</v>
      </c>
      <c r="AB33" s="79"/>
      <c r="AC33" s="79"/>
      <c r="AD33" s="79"/>
      <c r="AE33" s="79"/>
      <c r="AF33" s="79"/>
      <c r="AG33" s="79"/>
      <c r="AH33" s="79"/>
      <c r="AI33" s="79"/>
      <c r="AJ33" s="79"/>
      <c r="AK33" s="79"/>
      <c r="AL33" s="79"/>
    </row>
    <row r="34" spans="24:38" ht="35.1" customHeight="1" x14ac:dyDescent="0.3">
      <c r="X34" s="140">
        <v>46271</v>
      </c>
      <c r="Y34" s="79" t="s">
        <v>464</v>
      </c>
      <c r="Z34" s="79" t="s">
        <v>422</v>
      </c>
      <c r="AA34" s="79"/>
      <c r="AB34" s="79"/>
      <c r="AC34" s="79"/>
      <c r="AD34" s="79"/>
      <c r="AE34" s="79">
        <v>2</v>
      </c>
      <c r="AF34" s="79"/>
      <c r="AG34" s="79"/>
      <c r="AH34" s="79"/>
      <c r="AI34" s="79"/>
      <c r="AJ34" s="79"/>
      <c r="AK34" s="79"/>
      <c r="AL34" s="79"/>
    </row>
    <row r="35" spans="24:38" ht="35.1" customHeight="1" x14ac:dyDescent="0.3">
      <c r="X35" s="140">
        <v>46271</v>
      </c>
      <c r="Y35" s="79" t="s">
        <v>465</v>
      </c>
      <c r="Z35" s="79" t="s">
        <v>414</v>
      </c>
      <c r="AA35" s="79"/>
      <c r="AB35" s="79"/>
      <c r="AC35" s="79"/>
      <c r="AD35" s="79"/>
      <c r="AE35" s="79"/>
      <c r="AF35" s="79"/>
      <c r="AG35" s="79"/>
      <c r="AH35" s="79"/>
      <c r="AI35" s="79">
        <v>2</v>
      </c>
      <c r="AJ35" s="79"/>
      <c r="AK35" s="79"/>
      <c r="AL35" s="79"/>
    </row>
    <row r="36" spans="24:38" x14ac:dyDescent="0.3">
      <c r="X36" s="140">
        <v>46271</v>
      </c>
      <c r="Y36" s="79" t="s">
        <v>464</v>
      </c>
      <c r="Z36" s="79" t="s">
        <v>422</v>
      </c>
      <c r="AA36" s="79"/>
      <c r="AB36" s="79"/>
      <c r="AC36" s="79"/>
      <c r="AD36" s="79"/>
      <c r="AE36" s="79"/>
      <c r="AF36" s="79"/>
      <c r="AG36" s="79"/>
      <c r="AH36" s="79"/>
      <c r="AI36" s="79">
        <v>2</v>
      </c>
      <c r="AJ36" s="79"/>
      <c r="AK36" s="79"/>
      <c r="AL36" s="79"/>
    </row>
    <row r="37" spans="24:38" x14ac:dyDescent="0.3">
      <c r="X37" s="140">
        <v>46272</v>
      </c>
      <c r="Y37" s="79" t="s">
        <v>63</v>
      </c>
      <c r="Z37" s="79"/>
      <c r="AA37" s="79">
        <v>3</v>
      </c>
      <c r="AB37" s="79"/>
      <c r="AC37" s="79"/>
      <c r="AD37" s="79"/>
      <c r="AE37" s="79">
        <v>2</v>
      </c>
      <c r="AF37" s="79"/>
      <c r="AG37" s="79"/>
      <c r="AH37" s="79"/>
      <c r="AI37" s="79">
        <v>10</v>
      </c>
      <c r="AJ37" s="79">
        <v>1</v>
      </c>
      <c r="AK37" s="79"/>
      <c r="AL37" s="79"/>
    </row>
    <row r="38" spans="24:38" x14ac:dyDescent="0.3">
      <c r="X38" s="140">
        <v>46272</v>
      </c>
      <c r="Y38" s="79" t="s">
        <v>63</v>
      </c>
      <c r="Z38" s="79"/>
      <c r="AA38" s="79">
        <v>3</v>
      </c>
      <c r="AB38" s="79"/>
      <c r="AC38" s="79"/>
      <c r="AD38" s="79"/>
      <c r="AE38" s="79">
        <v>2</v>
      </c>
      <c r="AF38" s="79"/>
      <c r="AG38" s="79"/>
      <c r="AH38" s="79"/>
      <c r="AI38" s="79">
        <v>10</v>
      </c>
      <c r="AJ38" s="79">
        <v>1</v>
      </c>
      <c r="AK38" s="79"/>
      <c r="AL38" s="79"/>
    </row>
    <row r="39" spans="24:38" x14ac:dyDescent="0.3">
      <c r="X39" s="79"/>
      <c r="Y39" s="79" t="s">
        <v>448</v>
      </c>
      <c r="Z39" s="79"/>
      <c r="AA39" s="79">
        <v>2</v>
      </c>
      <c r="AB39" s="79"/>
      <c r="AC39" s="79"/>
      <c r="AD39" s="79"/>
      <c r="AE39" s="79"/>
      <c r="AF39" s="79"/>
      <c r="AG39" s="79"/>
      <c r="AH39" s="79"/>
      <c r="AI39" s="79"/>
      <c r="AJ39" s="79"/>
      <c r="AK39" s="79"/>
      <c r="AL39" s="79"/>
    </row>
    <row r="40" spans="24:38" x14ac:dyDescent="0.3">
      <c r="X40" s="79"/>
      <c r="Y40" s="79" t="s">
        <v>415</v>
      </c>
      <c r="Z40" s="79"/>
      <c r="AA40" s="79">
        <v>36</v>
      </c>
      <c r="AB40" s="79"/>
      <c r="AC40" s="79"/>
      <c r="AD40" s="79"/>
      <c r="AE40" s="79"/>
      <c r="AF40" s="79"/>
      <c r="AG40" s="79"/>
      <c r="AH40" s="79"/>
      <c r="AI40" s="79"/>
      <c r="AJ40" s="79"/>
      <c r="AK40" s="79"/>
      <c r="AL40" s="79"/>
    </row>
    <row r="41" spans="24:38" x14ac:dyDescent="0.3">
      <c r="X41" s="79"/>
      <c r="Y41" s="79" t="s">
        <v>466</v>
      </c>
      <c r="Z41" s="79"/>
      <c r="AA41" s="79">
        <v>6</v>
      </c>
      <c r="AB41" s="79"/>
      <c r="AC41" s="79"/>
      <c r="AD41" s="79"/>
      <c r="AE41" s="79"/>
      <c r="AF41" s="79"/>
      <c r="AG41" s="79"/>
      <c r="AH41" s="79"/>
      <c r="AI41" s="79"/>
      <c r="AJ41" s="79"/>
      <c r="AK41" s="79"/>
      <c r="AL41" s="79"/>
    </row>
    <row r="42" spans="24:38" x14ac:dyDescent="0.3">
      <c r="X42" s="79"/>
      <c r="Y42" s="79" t="s">
        <v>467</v>
      </c>
      <c r="Z42" s="79"/>
      <c r="AA42" s="79"/>
      <c r="AB42" s="79"/>
      <c r="AC42" s="79"/>
      <c r="AD42" s="79"/>
      <c r="AE42" s="79"/>
      <c r="AF42" s="79"/>
      <c r="AG42" s="79"/>
      <c r="AH42" s="79"/>
      <c r="AI42" s="79"/>
      <c r="AJ42" s="79"/>
      <c r="AK42" s="79">
        <v>10</v>
      </c>
      <c r="AL42" s="79">
        <v>1</v>
      </c>
    </row>
    <row r="43" spans="24:38" x14ac:dyDescent="0.3">
      <c r="X43" s="79"/>
      <c r="Y43" s="79" t="s">
        <v>468</v>
      </c>
      <c r="Z43" s="79"/>
      <c r="AA43" s="79">
        <v>2</v>
      </c>
      <c r="AB43" s="79"/>
      <c r="AC43" s="79"/>
      <c r="AD43" s="79"/>
      <c r="AE43" s="79"/>
      <c r="AF43" s="79"/>
      <c r="AG43" s="79"/>
      <c r="AH43" s="79"/>
      <c r="AI43" s="79"/>
      <c r="AJ43" s="79"/>
      <c r="AK43" s="79"/>
      <c r="AL43" s="79"/>
    </row>
    <row r="44" spans="24:38" x14ac:dyDescent="0.3">
      <c r="X44" s="79"/>
      <c r="Y44" s="79" t="s">
        <v>469</v>
      </c>
      <c r="Z44" s="79"/>
      <c r="AA44" s="79">
        <v>6</v>
      </c>
      <c r="AB44" s="79"/>
      <c r="AC44" s="79"/>
      <c r="AD44" s="79"/>
      <c r="AE44" s="79"/>
      <c r="AF44" s="79"/>
      <c r="AG44" s="79"/>
      <c r="AH44" s="79"/>
      <c r="AI44" s="79"/>
      <c r="AJ44" s="79"/>
      <c r="AK44" s="79"/>
      <c r="AL44" s="79"/>
    </row>
    <row r="45" spans="24:38" x14ac:dyDescent="0.3">
      <c r="X45" s="79"/>
      <c r="Y45" s="79" t="s">
        <v>470</v>
      </c>
      <c r="Z45" s="79"/>
      <c r="AA45" s="79">
        <v>2</v>
      </c>
      <c r="AB45" s="79"/>
      <c r="AC45" s="79"/>
      <c r="AD45" s="79"/>
      <c r="AE45" s="79"/>
      <c r="AF45" s="79"/>
      <c r="AG45" s="79"/>
      <c r="AH45" s="79"/>
      <c r="AI45" s="79"/>
      <c r="AJ45" s="79"/>
      <c r="AK45" s="79"/>
      <c r="AL45" s="79"/>
    </row>
    <row r="46" spans="24:38" x14ac:dyDescent="0.3">
      <c r="X46" s="79"/>
      <c r="Y46" s="79" t="s">
        <v>471</v>
      </c>
      <c r="Z46" s="79"/>
      <c r="AA46" s="79"/>
      <c r="AB46" s="79"/>
      <c r="AC46" s="79"/>
      <c r="AD46" s="79"/>
      <c r="AE46" s="79"/>
      <c r="AF46" s="79"/>
      <c r="AG46" s="79"/>
      <c r="AH46" s="79"/>
      <c r="AI46" s="79">
        <v>4</v>
      </c>
      <c r="AJ46" s="79"/>
      <c r="AK46" s="79"/>
      <c r="AL46" s="79"/>
    </row>
    <row r="47" spans="24:38" x14ac:dyDescent="0.3">
      <c r="X47" s="79"/>
      <c r="Y47" s="79" t="s">
        <v>415</v>
      </c>
      <c r="Z47" s="79"/>
      <c r="AA47" s="79">
        <v>11</v>
      </c>
      <c r="AB47" s="79"/>
      <c r="AC47" s="79"/>
      <c r="AD47" s="79"/>
      <c r="AE47" s="79">
        <v>33</v>
      </c>
      <c r="AF47" s="79"/>
      <c r="AG47" s="79"/>
      <c r="AH47" s="79"/>
      <c r="AI47" s="79">
        <v>2</v>
      </c>
      <c r="AJ47" s="79"/>
      <c r="AK47" s="79"/>
      <c r="AL47" s="79"/>
    </row>
    <row r="48" spans="24:38" x14ac:dyDescent="0.3">
      <c r="X48" s="79"/>
      <c r="Y48" s="79" t="s">
        <v>472</v>
      </c>
      <c r="Z48" s="79"/>
      <c r="AA48" s="79"/>
      <c r="AB48" s="79"/>
      <c r="AC48" s="79"/>
      <c r="AD48" s="79"/>
      <c r="AE48" s="79"/>
      <c r="AF48" s="79"/>
      <c r="AG48" s="79"/>
      <c r="AH48" s="79"/>
      <c r="AI48" s="79"/>
      <c r="AJ48" s="79"/>
      <c r="AK48" s="79">
        <v>8</v>
      </c>
      <c r="AL48" s="79"/>
    </row>
    <row r="49" spans="24:38" x14ac:dyDescent="0.3">
      <c r="X49" s="79"/>
      <c r="Y49" s="79" t="s">
        <v>461</v>
      </c>
      <c r="Z49" s="79"/>
      <c r="AA49" s="79"/>
      <c r="AB49" s="79"/>
      <c r="AC49" s="79"/>
      <c r="AD49" s="79"/>
      <c r="AE49" s="79"/>
      <c r="AF49" s="79"/>
      <c r="AG49" s="79"/>
      <c r="AH49" s="79"/>
      <c r="AI49" s="79"/>
      <c r="AJ49" s="79"/>
      <c r="AK49" s="79">
        <v>4</v>
      </c>
      <c r="AL49" s="79"/>
    </row>
    <row r="50" spans="24:38" x14ac:dyDescent="0.3">
      <c r="X50" s="140">
        <v>46243</v>
      </c>
      <c r="Y50" s="79" t="s">
        <v>473</v>
      </c>
      <c r="Z50" s="79"/>
      <c r="AA50" s="79">
        <v>22</v>
      </c>
      <c r="AB50" s="79"/>
      <c r="AC50" s="79"/>
      <c r="AD50" s="79"/>
      <c r="AE50" s="79"/>
      <c r="AF50" s="79"/>
      <c r="AG50" s="79"/>
      <c r="AH50" s="79"/>
      <c r="AI50" s="79"/>
      <c r="AJ50" s="79"/>
      <c r="AK50" s="79"/>
      <c r="AL50" s="79"/>
    </row>
    <row r="51" spans="24:38" x14ac:dyDescent="0.3">
      <c r="X51" s="79"/>
      <c r="Y51" s="79" t="s">
        <v>473</v>
      </c>
      <c r="Z51" s="79"/>
      <c r="AA51" s="79">
        <v>22</v>
      </c>
      <c r="AB51" s="79"/>
      <c r="AC51" s="79"/>
      <c r="AD51" s="79"/>
      <c r="AE51" s="79"/>
      <c r="AF51" s="79"/>
      <c r="AG51" s="79"/>
      <c r="AH51" s="79"/>
      <c r="AI51" s="79"/>
      <c r="AJ51" s="79"/>
      <c r="AK51" s="79"/>
      <c r="AL51" s="79"/>
    </row>
    <row r="52" spans="24:38" x14ac:dyDescent="0.3">
      <c r="X52" s="79"/>
      <c r="Y52" s="79" t="s">
        <v>473</v>
      </c>
      <c r="Z52" s="79"/>
      <c r="AA52" s="79"/>
      <c r="AB52" s="79"/>
      <c r="AC52" s="79"/>
      <c r="AD52" s="79"/>
      <c r="AE52" s="79">
        <v>11</v>
      </c>
      <c r="AF52" s="79"/>
      <c r="AG52" s="79"/>
      <c r="AH52" s="79"/>
      <c r="AI52" s="79">
        <v>4</v>
      </c>
      <c r="AJ52" s="79"/>
      <c r="AK52" s="79"/>
      <c r="AL52" s="79"/>
    </row>
    <row r="53" spans="24:38" x14ac:dyDescent="0.3">
      <c r="X53" s="79"/>
      <c r="Y53" s="79" t="s">
        <v>63</v>
      </c>
      <c r="Z53" s="79"/>
      <c r="AA53" s="79">
        <v>3</v>
      </c>
      <c r="AB53" s="79"/>
      <c r="AC53" s="79"/>
      <c r="AD53" s="79"/>
      <c r="AE53" s="79">
        <v>3</v>
      </c>
      <c r="AF53" s="79"/>
      <c r="AG53" s="79"/>
      <c r="AH53" s="79"/>
      <c r="AI53" s="79"/>
      <c r="AJ53" s="79"/>
      <c r="AK53" s="79"/>
      <c r="AL53" s="79"/>
    </row>
    <row r="54" spans="24:38" x14ac:dyDescent="0.3">
      <c r="X54" s="79"/>
      <c r="Y54" s="79" t="s">
        <v>474</v>
      </c>
      <c r="Z54" s="79"/>
      <c r="AA54" s="79">
        <v>2</v>
      </c>
      <c r="AB54" s="79"/>
      <c r="AC54" s="79"/>
      <c r="AD54" s="79"/>
      <c r="AE54" s="79"/>
      <c r="AF54" s="79"/>
      <c r="AG54" s="79"/>
      <c r="AH54" s="79"/>
      <c r="AI54" s="79"/>
      <c r="AJ54" s="79"/>
      <c r="AK54" s="79"/>
      <c r="AL54" s="79"/>
    </row>
    <row r="55" spans="24:38" x14ac:dyDescent="0.3">
      <c r="X55" s="79"/>
      <c r="Y55" s="79" t="s">
        <v>466</v>
      </c>
      <c r="Z55" s="79"/>
      <c r="AA55" s="79">
        <v>4</v>
      </c>
      <c r="AB55" s="79"/>
      <c r="AC55" s="79"/>
      <c r="AD55" s="79"/>
      <c r="AE55" s="79"/>
      <c r="AF55" s="79"/>
      <c r="AG55" s="79"/>
      <c r="AH55" s="79"/>
      <c r="AI55" s="79"/>
      <c r="AJ55" s="79"/>
      <c r="AK55" s="79"/>
      <c r="AL55" s="79"/>
    </row>
    <row r="56" spans="24:38" x14ac:dyDescent="0.3">
      <c r="X56" s="79"/>
      <c r="Y56" s="79" t="s">
        <v>473</v>
      </c>
      <c r="Z56" s="79"/>
      <c r="AA56" s="79"/>
      <c r="AB56" s="79"/>
      <c r="AC56" s="79"/>
      <c r="AD56" s="79"/>
      <c r="AE56" s="79">
        <v>22</v>
      </c>
      <c r="AF56" s="79"/>
      <c r="AG56" s="79"/>
      <c r="AH56" s="79"/>
      <c r="AI56" s="79"/>
      <c r="AJ56" s="79"/>
      <c r="AK56" s="79"/>
      <c r="AL56" s="79"/>
    </row>
    <row r="57" spans="24:38" x14ac:dyDescent="0.3">
      <c r="X57" s="79"/>
      <c r="Y57" s="79" t="s">
        <v>475</v>
      </c>
      <c r="Z57" s="79"/>
      <c r="AA57" s="79"/>
      <c r="AB57" s="79"/>
      <c r="AC57" s="79"/>
      <c r="AD57" s="79"/>
      <c r="AE57" s="79"/>
      <c r="AF57" s="79"/>
      <c r="AG57" s="79"/>
      <c r="AH57" s="79"/>
      <c r="AI57" s="79">
        <v>3</v>
      </c>
      <c r="AJ57" s="79"/>
      <c r="AK57" s="79"/>
      <c r="AL57" s="79"/>
    </row>
    <row r="58" spans="24:38" x14ac:dyDescent="0.3">
      <c r="X58" s="212" t="s">
        <v>388</v>
      </c>
      <c r="Y58" s="79" t="s">
        <v>474</v>
      </c>
      <c r="Z58" s="79"/>
      <c r="AA58" s="79"/>
      <c r="AB58" s="79"/>
      <c r="AC58" s="79"/>
      <c r="AD58" s="79"/>
      <c r="AE58" s="79"/>
      <c r="AF58" s="79"/>
      <c r="AG58" s="79"/>
      <c r="AH58" s="79"/>
      <c r="AI58" s="79">
        <v>1</v>
      </c>
      <c r="AJ58" s="79"/>
      <c r="AK58" s="79"/>
      <c r="AL58" s="79"/>
    </row>
    <row r="59" spans="24:38" x14ac:dyDescent="0.3">
      <c r="X59" s="79"/>
      <c r="Y59" s="79" t="s">
        <v>63</v>
      </c>
      <c r="Z59" s="79"/>
      <c r="AA59" s="79">
        <v>4</v>
      </c>
      <c r="AB59" s="79"/>
      <c r="AC59" s="79"/>
      <c r="AD59" s="79"/>
      <c r="AE59" s="79"/>
      <c r="AF59" s="79"/>
      <c r="AG59" s="79"/>
      <c r="AH59" s="79"/>
      <c r="AI59" s="79"/>
      <c r="AJ59" s="79"/>
      <c r="AK59" s="79"/>
      <c r="AL59" s="79"/>
    </row>
    <row r="60" spans="24:38" x14ac:dyDescent="0.3">
      <c r="X60" s="79"/>
      <c r="Y60" s="79" t="s">
        <v>474</v>
      </c>
      <c r="Z60" s="79"/>
      <c r="AA60" s="79">
        <v>3</v>
      </c>
      <c r="AB60" s="79"/>
      <c r="AC60" s="79"/>
      <c r="AD60" s="79"/>
      <c r="AE60" s="79">
        <v>1</v>
      </c>
      <c r="AF60" s="79"/>
      <c r="AG60" s="79"/>
      <c r="AH60" s="79"/>
      <c r="AI60" s="79"/>
      <c r="AJ60" s="79"/>
      <c r="AK60" s="79"/>
      <c r="AL60" s="79"/>
    </row>
    <row r="61" spans="24:38" x14ac:dyDescent="0.3">
      <c r="X61" s="79"/>
      <c r="Y61" s="79" t="s">
        <v>487</v>
      </c>
      <c r="Z61" s="79"/>
      <c r="AA61" s="79"/>
      <c r="AB61" s="79"/>
      <c r="AC61" s="79"/>
      <c r="AD61" s="79"/>
      <c r="AE61" s="79"/>
      <c r="AF61" s="79"/>
      <c r="AG61" s="79"/>
      <c r="AH61" s="79"/>
      <c r="AI61" s="79">
        <v>2</v>
      </c>
      <c r="AJ61" s="79"/>
      <c r="AK61" s="79"/>
      <c r="AL61" s="79"/>
    </row>
    <row r="62" spans="24:38" x14ac:dyDescent="0.3">
      <c r="X62" s="79"/>
      <c r="Y62" s="79" t="s">
        <v>488</v>
      </c>
      <c r="Z62" s="79"/>
      <c r="AA62" s="79"/>
      <c r="AB62" s="79"/>
      <c r="AC62" s="79">
        <v>11</v>
      </c>
      <c r="AD62" s="79"/>
      <c r="AE62" s="79"/>
      <c r="AF62" s="79"/>
      <c r="AG62" s="79"/>
      <c r="AH62" s="79"/>
      <c r="AI62" s="79"/>
      <c r="AJ62" s="79"/>
      <c r="AK62" s="79"/>
      <c r="AL62" s="79"/>
    </row>
    <row r="63" spans="24:38" x14ac:dyDescent="0.3">
      <c r="X63" s="79"/>
      <c r="Y63" s="79"/>
      <c r="Z63" s="79"/>
      <c r="AA63" s="79"/>
      <c r="AB63" s="79"/>
      <c r="AC63" s="79"/>
      <c r="AD63" s="79"/>
      <c r="AE63" s="79"/>
      <c r="AF63" s="79"/>
      <c r="AG63" s="79"/>
      <c r="AH63" s="79"/>
      <c r="AI63" s="79"/>
      <c r="AJ63" s="79"/>
      <c r="AK63" s="79"/>
      <c r="AL63" s="79"/>
    </row>
    <row r="64" spans="24:38" x14ac:dyDescent="0.3">
      <c r="X64" s="79"/>
      <c r="Y64" s="79"/>
      <c r="Z64" s="79"/>
      <c r="AA64" s="79"/>
      <c r="AB64" s="79"/>
      <c r="AC64" s="79"/>
      <c r="AD64" s="79"/>
      <c r="AE64" s="79"/>
      <c r="AF64" s="79"/>
      <c r="AG64" s="79"/>
      <c r="AH64" s="79"/>
      <c r="AI64" s="79"/>
      <c r="AJ64" s="79"/>
      <c r="AK64" s="79"/>
      <c r="AL64" s="79"/>
    </row>
    <row r="65" spans="24:38" x14ac:dyDescent="0.3">
      <c r="X65" s="79"/>
      <c r="Y65" s="79"/>
      <c r="Z65" s="79"/>
      <c r="AA65" s="79"/>
      <c r="AB65" s="79"/>
      <c r="AC65" s="79"/>
      <c r="AD65" s="79"/>
      <c r="AE65" s="79"/>
      <c r="AF65" s="79"/>
      <c r="AG65" s="79"/>
      <c r="AH65" s="79"/>
      <c r="AI65" s="79"/>
      <c r="AJ65" s="79"/>
      <c r="AK65" s="79"/>
      <c r="AL65" s="79"/>
    </row>
    <row r="66" spans="24:38" x14ac:dyDescent="0.3">
      <c r="X66" s="79"/>
      <c r="Y66" s="79"/>
      <c r="Z66" s="79"/>
      <c r="AA66" s="79"/>
      <c r="AB66" s="79"/>
      <c r="AC66" s="79"/>
      <c r="AD66" s="79"/>
      <c r="AE66" s="79"/>
      <c r="AF66" s="79"/>
      <c r="AG66" s="79"/>
      <c r="AH66" s="79"/>
      <c r="AI66" s="79"/>
      <c r="AJ66" s="79"/>
      <c r="AK66" s="79"/>
      <c r="AL66" s="79"/>
    </row>
    <row r="67" spans="24:38" x14ac:dyDescent="0.3">
      <c r="X67" s="79"/>
      <c r="Z67" s="79"/>
      <c r="AA67" s="79"/>
      <c r="AB67" s="79"/>
      <c r="AC67" s="79"/>
      <c r="AD67" s="79"/>
      <c r="AE67" s="79"/>
      <c r="AF67" s="79"/>
      <c r="AG67" s="79"/>
      <c r="AH67" s="79"/>
      <c r="AI67" s="79"/>
      <c r="AJ67" s="79"/>
      <c r="AK67" s="79"/>
      <c r="AL67" s="79"/>
    </row>
    <row r="68" spans="24:38" x14ac:dyDescent="0.3">
      <c r="X68" s="79"/>
      <c r="Y68" s="79"/>
      <c r="Z68" s="79"/>
      <c r="AA68" s="79"/>
      <c r="AB68" s="79"/>
      <c r="AC68" s="79"/>
      <c r="AD68" s="79"/>
      <c r="AE68" s="79"/>
      <c r="AF68" s="79"/>
      <c r="AG68" s="79"/>
      <c r="AH68" s="79"/>
      <c r="AI68" s="79"/>
      <c r="AJ68" s="79"/>
      <c r="AK68" s="79"/>
      <c r="AL68" s="79"/>
    </row>
    <row r="69" spans="24:38" x14ac:dyDescent="0.3">
      <c r="X69" s="79"/>
      <c r="Y69" s="79"/>
      <c r="Z69" s="79"/>
      <c r="AA69" s="79"/>
      <c r="AB69" s="79"/>
      <c r="AC69" s="79"/>
      <c r="AD69" s="79"/>
      <c r="AE69" s="79"/>
      <c r="AF69" s="79"/>
      <c r="AG69" s="79"/>
      <c r="AH69" s="79"/>
      <c r="AI69" s="79"/>
      <c r="AJ69" s="79"/>
      <c r="AK69" s="79"/>
      <c r="AL69" s="79"/>
    </row>
    <row r="70" spans="24:38" x14ac:dyDescent="0.3">
      <c r="X70" s="79"/>
      <c r="Y70" s="79"/>
      <c r="Z70" s="125" t="s">
        <v>439</v>
      </c>
      <c r="AA70" s="79">
        <f>SUM(AA50:AA69)</f>
        <v>60</v>
      </c>
      <c r="AB70" s="79">
        <f t="shared" ref="AB70:AL70" si="63">SUM(AB50:AB69)</f>
        <v>0</v>
      </c>
      <c r="AC70" s="79">
        <f t="shared" si="63"/>
        <v>11</v>
      </c>
      <c r="AD70" s="79">
        <f t="shared" si="63"/>
        <v>0</v>
      </c>
      <c r="AE70" s="79">
        <f t="shared" si="63"/>
        <v>37</v>
      </c>
      <c r="AF70" s="79">
        <f t="shared" si="63"/>
        <v>0</v>
      </c>
      <c r="AG70" s="79">
        <f t="shared" si="63"/>
        <v>0</v>
      </c>
      <c r="AH70" s="79">
        <f t="shared" si="63"/>
        <v>0</v>
      </c>
      <c r="AI70" s="79">
        <f t="shared" si="63"/>
        <v>10</v>
      </c>
      <c r="AJ70" s="79">
        <f t="shared" si="63"/>
        <v>0</v>
      </c>
      <c r="AK70" s="79">
        <f t="shared" si="63"/>
        <v>0</v>
      </c>
      <c r="AL70" s="79">
        <f t="shared" si="63"/>
        <v>0</v>
      </c>
    </row>
    <row r="71" spans="24:38" x14ac:dyDescent="0.3">
      <c r="X71" s="79"/>
      <c r="Y71" s="79"/>
      <c r="Z71" s="125" t="s">
        <v>440</v>
      </c>
      <c r="AA71" s="126">
        <f>I5+I125-AA70</f>
        <v>-40</v>
      </c>
      <c r="AB71" s="126">
        <f>K5+K125-AB70</f>
        <v>0</v>
      </c>
      <c r="AC71" s="126">
        <f>L5+L125-AC70</f>
        <v>29</v>
      </c>
      <c r="AD71" s="126">
        <f>M5+M125-AD70</f>
        <v>0</v>
      </c>
      <c r="AE71" s="126">
        <f>N5+N125-AE70</f>
        <v>-34</v>
      </c>
      <c r="AF71" s="126">
        <f>P5+P125-AF70</f>
        <v>7</v>
      </c>
      <c r="AG71" s="126">
        <f>Q5+Q125-AG70</f>
        <v>1</v>
      </c>
      <c r="AH71" s="126">
        <f>R5+R125-AH70</f>
        <v>0</v>
      </c>
      <c r="AI71" s="126">
        <f>S5+S125-AI70</f>
        <v>12</v>
      </c>
      <c r="AJ71" s="126">
        <f t="shared" ref="AJ71:AL71" si="64">U5+U125-AJ70</f>
        <v>52</v>
      </c>
      <c r="AK71" s="126">
        <f t="shared" si="64"/>
        <v>57</v>
      </c>
      <c r="AL71" s="126">
        <f t="shared" si="64"/>
        <v>0</v>
      </c>
    </row>
    <row r="72" spans="24:38" x14ac:dyDescent="0.3">
      <c r="X72" s="79"/>
    </row>
    <row r="73" spans="24:38" x14ac:dyDescent="0.3">
      <c r="X73" s="79"/>
    </row>
    <row r="74" spans="24:38" x14ac:dyDescent="0.3">
      <c r="X74" s="79"/>
    </row>
    <row r="75" spans="24:38" x14ac:dyDescent="0.3">
      <c r="X75" s="79"/>
    </row>
    <row r="76" spans="24:38" x14ac:dyDescent="0.3">
      <c r="X76" s="79"/>
    </row>
    <row r="77" spans="24:38" x14ac:dyDescent="0.3">
      <c r="X77" s="79"/>
    </row>
    <row r="78" spans="24:38" x14ac:dyDescent="0.3">
      <c r="X78" s="79"/>
    </row>
    <row r="79" spans="24:38" x14ac:dyDescent="0.3">
      <c r="X79" s="79"/>
    </row>
    <row r="80" spans="24:38" x14ac:dyDescent="0.3">
      <c r="X80" s="79"/>
    </row>
    <row r="81" spans="24:24" x14ac:dyDescent="0.3">
      <c r="X81" s="79"/>
    </row>
    <row r="82" spans="24:24" x14ac:dyDescent="0.3">
      <c r="X82" s="79"/>
    </row>
    <row r="83" spans="24:24" x14ac:dyDescent="0.3">
      <c r="X83" s="79"/>
    </row>
    <row r="84" spans="24:24" x14ac:dyDescent="0.3">
      <c r="X84" s="79"/>
    </row>
    <row r="85" spans="24:24" x14ac:dyDescent="0.3">
      <c r="X85" s="79"/>
    </row>
    <row r="86" spans="24:24" x14ac:dyDescent="0.3">
      <c r="X86" s="79"/>
    </row>
    <row r="87" spans="24:24" x14ac:dyDescent="0.3">
      <c r="X87" s="79"/>
    </row>
    <row r="88" spans="24:24" x14ac:dyDescent="0.3">
      <c r="X88" s="79"/>
    </row>
    <row r="89" spans="24:24" x14ac:dyDescent="0.3">
      <c r="X89" s="79"/>
    </row>
    <row r="90" spans="24:24" x14ac:dyDescent="0.3">
      <c r="X90" s="79"/>
    </row>
    <row r="91" spans="24:24" x14ac:dyDescent="0.3">
      <c r="X91" s="79"/>
    </row>
    <row r="92" spans="24:24" x14ac:dyDescent="0.3">
      <c r="X92" s="79"/>
    </row>
    <row r="93" spans="24:24" x14ac:dyDescent="0.3">
      <c r="X93" s="79"/>
    </row>
    <row r="94" spans="24:24" x14ac:dyDescent="0.3">
      <c r="X94" s="79"/>
    </row>
    <row r="95" spans="24:24" x14ac:dyDescent="0.3">
      <c r="X95" s="79"/>
    </row>
    <row r="96" spans="24:24" x14ac:dyDescent="0.3">
      <c r="X96" s="79"/>
    </row>
    <row r="97" spans="24:24" x14ac:dyDescent="0.3">
      <c r="X97" s="79"/>
    </row>
    <row r="98" spans="24:24" x14ac:dyDescent="0.3">
      <c r="X98" s="79"/>
    </row>
    <row r="99" spans="24:24" x14ac:dyDescent="0.3">
      <c r="X99" s="79"/>
    </row>
    <row r="100" spans="24:24" x14ac:dyDescent="0.3">
      <c r="X100" s="79"/>
    </row>
    <row r="101" spans="24:24" x14ac:dyDescent="0.3">
      <c r="X101" s="79"/>
    </row>
    <row r="102" spans="24:24" x14ac:dyDescent="0.3">
      <c r="X102" s="79"/>
    </row>
    <row r="103" spans="24:24" x14ac:dyDescent="0.3">
      <c r="X103" s="79"/>
    </row>
    <row r="104" spans="24:24" x14ac:dyDescent="0.3">
      <c r="X104" s="79"/>
    </row>
    <row r="105" spans="24:24" x14ac:dyDescent="0.3">
      <c r="X105" s="79"/>
    </row>
    <row r="106" spans="24:24" x14ac:dyDescent="0.3">
      <c r="X106" s="79"/>
    </row>
    <row r="107" spans="24:24" x14ac:dyDescent="0.3">
      <c r="X107" s="79"/>
    </row>
    <row r="108" spans="24:24" x14ac:dyDescent="0.3">
      <c r="X108" s="79"/>
    </row>
    <row r="109" spans="24:24" x14ac:dyDescent="0.3">
      <c r="X109" s="79"/>
    </row>
    <row r="110" spans="24:24" x14ac:dyDescent="0.3">
      <c r="X110" s="79"/>
    </row>
    <row r="111" spans="24:24" x14ac:dyDescent="0.3">
      <c r="X111" s="79"/>
    </row>
    <row r="112" spans="24:24" x14ac:dyDescent="0.3">
      <c r="X112" s="79"/>
    </row>
    <row r="113" spans="24:24" x14ac:dyDescent="0.3">
      <c r="X113" s="79"/>
    </row>
    <row r="114" spans="24:24" x14ac:dyDescent="0.3">
      <c r="X114" s="79"/>
    </row>
    <row r="115" spans="24:24" x14ac:dyDescent="0.3">
      <c r="X115" s="79"/>
    </row>
    <row r="116" spans="24:24" x14ac:dyDescent="0.3">
      <c r="X116" s="79"/>
    </row>
    <row r="117" spans="24:24" x14ac:dyDescent="0.3">
      <c r="X117" s="79"/>
    </row>
    <row r="118" spans="24:24" x14ac:dyDescent="0.3">
      <c r="X118" s="79"/>
    </row>
    <row r="119" spans="24:24" x14ac:dyDescent="0.3">
      <c r="X119" s="79"/>
    </row>
    <row r="120" spans="24:24" x14ac:dyDescent="0.3">
      <c r="X120" s="79"/>
    </row>
    <row r="121" spans="24:24" x14ac:dyDescent="0.3">
      <c r="X121" s="79"/>
    </row>
    <row r="122" spans="24:24" x14ac:dyDescent="0.3">
      <c r="X122" s="79"/>
    </row>
    <row r="123" spans="24:24" x14ac:dyDescent="0.3">
      <c r="X123" s="79"/>
    </row>
    <row r="124" spans="24:24" x14ac:dyDescent="0.3">
      <c r="X124" s="79"/>
    </row>
    <row r="125" spans="24:24" x14ac:dyDescent="0.3">
      <c r="X125" s="79"/>
    </row>
    <row r="126" spans="24:24" x14ac:dyDescent="0.3">
      <c r="X126" s="79"/>
    </row>
  </sheetData>
  <mergeCells count="4">
    <mergeCell ref="C1:G1"/>
    <mergeCell ref="H1:L1"/>
    <mergeCell ref="M1:Q1"/>
    <mergeCell ref="R1:V1"/>
  </mergeCells>
  <dataValidations count="1">
    <dataValidation type="list" allowBlank="1" showInputMessage="1" showErrorMessage="1" sqref="Y70:Y1071 Y1:Y4" xr:uid="{DCAE6A82-7BE0-4C4E-A8DC-91242BF08B54}">
      <formula1>$A$4:$A$476</formula1>
      <formula2>0</formula2>
    </dataValidation>
  </dataValidations>
  <pageMargins left="0.78749999999999998" right="0.78749999999999998" top="1.05277777777778" bottom="1.05277777777778" header="0.78749999999999998" footer="0.78749999999999998"/>
  <pageSetup paperSize="9" orientation="portrait" horizontalDpi="300" verticalDpi="300" r:id="rId1"/>
  <headerFooter>
    <oddHeader>&amp;C&amp;"Times New Roman,thường"&amp;12&amp;Kffffff&amp;A</oddHeader>
    <oddFooter>&amp;C&amp;"Times New Roman,thường"&amp;12&amp;KffffffTrang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3BA2E9-C323-41E9-986E-93A3DDC3FB46}">
  <dimension ref="A1:AH125"/>
  <sheetViews>
    <sheetView workbookViewId="0"/>
  </sheetViews>
  <sheetFormatPr defaultColWidth="10.109375" defaultRowHeight="14.4" x14ac:dyDescent="0.3"/>
  <cols>
    <col min="1" max="1" width="5.5546875" customWidth="1"/>
    <col min="2" max="2" width="13.109375" style="81" customWidth="1"/>
    <col min="3" max="3" width="13.109375" customWidth="1"/>
    <col min="4" max="4" width="11.109375" customWidth="1"/>
    <col min="16" max="16" width="11.6640625" customWidth="1"/>
    <col min="20" max="21" width="26.6640625" customWidth="1"/>
    <col min="22" max="22" width="14.33203125" customWidth="1"/>
    <col min="24" max="24" width="7.88671875" customWidth="1"/>
    <col min="25" max="25" width="7.33203125" customWidth="1"/>
    <col min="26" max="26" width="9.33203125" customWidth="1"/>
    <col min="27" max="27" width="8" customWidth="1"/>
    <col min="28" max="29" width="8.109375" customWidth="1"/>
    <col min="30" max="30" width="7.88671875" customWidth="1"/>
    <col min="31" max="31" width="7.109375" customWidth="1"/>
    <col min="32" max="32" width="8.109375" customWidth="1"/>
    <col min="33" max="33" width="7.44140625" customWidth="1"/>
    <col min="34" max="34" width="7.6640625" customWidth="1"/>
  </cols>
  <sheetData>
    <row r="1" spans="1:34" ht="30.6" customHeight="1" x14ac:dyDescent="0.3">
      <c r="A1" s="80" t="s">
        <v>3</v>
      </c>
      <c r="B1" s="80" t="s">
        <v>367</v>
      </c>
      <c r="C1" s="380" t="s">
        <v>368</v>
      </c>
      <c r="D1" s="380"/>
      <c r="E1" s="380"/>
      <c r="F1" s="380"/>
      <c r="G1" s="381" t="s">
        <v>369</v>
      </c>
      <c r="H1" s="381"/>
      <c r="I1" s="381"/>
      <c r="J1" s="381"/>
      <c r="K1" s="382" t="s">
        <v>370</v>
      </c>
      <c r="L1" s="382"/>
      <c r="M1" s="382"/>
      <c r="N1" s="382"/>
      <c r="O1" s="383" t="s">
        <v>371</v>
      </c>
      <c r="P1" s="383"/>
      <c r="Q1" s="383"/>
      <c r="R1" s="383"/>
      <c r="S1" s="79"/>
      <c r="T1" s="128"/>
      <c r="U1" s="127" t="s">
        <v>370</v>
      </c>
      <c r="V1" s="127"/>
      <c r="W1" s="127"/>
      <c r="X1" s="127"/>
      <c r="Y1" s="127"/>
      <c r="Z1" s="127"/>
      <c r="AA1" s="127"/>
      <c r="AB1" s="127"/>
      <c r="AC1" s="127"/>
      <c r="AD1" s="127"/>
      <c r="AE1" s="127"/>
      <c r="AF1" s="127"/>
      <c r="AG1" s="127"/>
      <c r="AH1" s="127"/>
    </row>
    <row r="2" spans="1:34" ht="32.85" customHeight="1" x14ac:dyDescent="0.3">
      <c r="A2" s="79"/>
      <c r="B2" s="82"/>
      <c r="C2" s="83" t="s">
        <v>372</v>
      </c>
      <c r="D2" s="83" t="s">
        <v>373</v>
      </c>
      <c r="E2" s="83" t="s">
        <v>374</v>
      </c>
      <c r="F2" s="83" t="s">
        <v>375</v>
      </c>
      <c r="G2" s="84" t="s">
        <v>372</v>
      </c>
      <c r="H2" s="84" t="s">
        <v>373</v>
      </c>
      <c r="I2" s="84" t="s">
        <v>374</v>
      </c>
      <c r="J2" s="84" t="s">
        <v>375</v>
      </c>
      <c r="K2" s="85" t="s">
        <v>372</v>
      </c>
      <c r="L2" s="85" t="s">
        <v>373</v>
      </c>
      <c r="M2" s="85" t="s">
        <v>374</v>
      </c>
      <c r="N2" s="85" t="s">
        <v>375</v>
      </c>
      <c r="O2" s="86" t="s">
        <v>372</v>
      </c>
      <c r="P2" s="86" t="s">
        <v>373</v>
      </c>
      <c r="Q2" s="86" t="s">
        <v>374</v>
      </c>
      <c r="R2" s="86" t="s">
        <v>375</v>
      </c>
      <c r="S2" s="79"/>
      <c r="T2" s="129"/>
      <c r="U2" s="119" t="s">
        <v>318</v>
      </c>
      <c r="V2" s="119" t="s">
        <v>403</v>
      </c>
      <c r="W2" s="120" t="s">
        <v>26</v>
      </c>
      <c r="X2" s="118" t="s">
        <v>404</v>
      </c>
      <c r="Y2" s="118" t="s">
        <v>405</v>
      </c>
      <c r="Z2" s="118" t="s">
        <v>406</v>
      </c>
      <c r="AA2" s="118" t="s">
        <v>29</v>
      </c>
      <c r="AB2" s="118" t="s">
        <v>407</v>
      </c>
      <c r="AC2" s="118" t="s">
        <v>408</v>
      </c>
      <c r="AD2" s="118" t="s">
        <v>409</v>
      </c>
      <c r="AE2" s="118" t="s">
        <v>410</v>
      </c>
      <c r="AF2" s="118" t="s">
        <v>411</v>
      </c>
      <c r="AG2" s="118" t="s">
        <v>42</v>
      </c>
      <c r="AH2" s="118" t="s">
        <v>412</v>
      </c>
    </row>
    <row r="3" spans="1:34" ht="32.85" customHeight="1" x14ac:dyDescent="0.35">
      <c r="A3" s="79"/>
      <c r="B3" s="82">
        <v>46273</v>
      </c>
      <c r="C3" s="79"/>
      <c r="D3" s="79"/>
      <c r="E3" s="79">
        <v>11</v>
      </c>
      <c r="F3" s="79"/>
      <c r="G3" s="79"/>
      <c r="H3" s="79"/>
      <c r="I3" s="79"/>
      <c r="J3" s="79"/>
      <c r="K3" s="79"/>
      <c r="L3" s="79"/>
      <c r="M3" s="79">
        <v>11</v>
      </c>
      <c r="N3" s="79"/>
      <c r="O3" s="79">
        <f>C3+G3-K3</f>
        <v>0</v>
      </c>
      <c r="P3" s="79">
        <f>D3+H3-L3</f>
        <v>0</v>
      </c>
      <c r="Q3" s="79">
        <f>E3+I3-M3</f>
        <v>0</v>
      </c>
      <c r="R3" s="79">
        <f>F3+J3-N3</f>
        <v>0</v>
      </c>
      <c r="S3" s="79"/>
      <c r="T3" s="130"/>
      <c r="U3" s="121"/>
      <c r="V3" s="121"/>
      <c r="W3" s="121"/>
      <c r="X3" s="121"/>
      <c r="Y3" s="121"/>
      <c r="Z3" s="121"/>
      <c r="AA3" s="121"/>
      <c r="AB3" s="121"/>
      <c r="AC3" s="121"/>
      <c r="AD3" s="121"/>
      <c r="AE3" s="121"/>
      <c r="AF3" s="121"/>
      <c r="AG3" s="121"/>
      <c r="AH3" s="121"/>
    </row>
    <row r="4" spans="1:34" ht="32.85" customHeight="1" x14ac:dyDescent="0.3">
      <c r="A4" s="79"/>
      <c r="B4" s="82">
        <v>46274</v>
      </c>
      <c r="C4" s="79"/>
      <c r="D4" s="79"/>
      <c r="E4" s="79"/>
      <c r="F4" s="79"/>
      <c r="G4" s="79"/>
      <c r="H4" s="79"/>
      <c r="I4" s="79"/>
      <c r="J4" s="79"/>
      <c r="K4" s="79"/>
      <c r="L4" s="79"/>
      <c r="M4" s="79"/>
      <c r="N4" s="79"/>
      <c r="O4" s="79">
        <f t="shared" ref="O4:O5" si="0">C4+G4-K4</f>
        <v>0</v>
      </c>
      <c r="P4" s="79">
        <f t="shared" ref="P4:P5" si="1">D4+H4-L4</f>
        <v>0</v>
      </c>
      <c r="Q4" s="79">
        <f t="shared" ref="Q4:Q5" si="2">E4+I4-M4</f>
        <v>0</v>
      </c>
      <c r="R4" s="79">
        <f t="shared" ref="R4:R5" si="3">F4+J4-N4</f>
        <v>0</v>
      </c>
      <c r="S4" s="142"/>
      <c r="T4" s="140">
        <v>46243</v>
      </c>
      <c r="U4" s="88" t="s">
        <v>53</v>
      </c>
      <c r="V4" s="79"/>
      <c r="W4" s="79">
        <v>11</v>
      </c>
      <c r="X4" s="79"/>
      <c r="Y4" s="79"/>
      <c r="Z4" s="79"/>
      <c r="AA4" s="79"/>
      <c r="AB4" s="79"/>
      <c r="AC4" s="79"/>
      <c r="AD4" s="79"/>
      <c r="AE4" s="79"/>
      <c r="AF4" s="79"/>
      <c r="AG4" s="79"/>
      <c r="AH4" s="79"/>
    </row>
    <row r="5" spans="1:34" ht="32.85" customHeight="1" x14ac:dyDescent="0.3">
      <c r="A5" s="79"/>
      <c r="B5" s="87" t="s">
        <v>570</v>
      </c>
      <c r="C5" s="79"/>
      <c r="D5" s="79"/>
      <c r="E5" s="79"/>
      <c r="F5" s="79"/>
      <c r="G5" s="79"/>
      <c r="H5" s="79"/>
      <c r="I5" s="79">
        <f>49+8</f>
        <v>57</v>
      </c>
      <c r="J5" s="79"/>
      <c r="K5" s="79"/>
      <c r="L5" s="79"/>
      <c r="M5" s="79">
        <f>22+24</f>
        <v>46</v>
      </c>
      <c r="N5" s="79"/>
      <c r="O5" s="79">
        <f t="shared" si="0"/>
        <v>0</v>
      </c>
      <c r="P5" s="79">
        <f t="shared" si="1"/>
        <v>0</v>
      </c>
      <c r="Q5" s="79">
        <f t="shared" si="2"/>
        <v>11</v>
      </c>
      <c r="R5" s="79">
        <f t="shared" si="3"/>
        <v>0</v>
      </c>
      <c r="S5" s="142"/>
      <c r="T5" s="79"/>
      <c r="U5" s="79"/>
      <c r="V5" s="79"/>
      <c r="W5" s="79"/>
      <c r="X5" s="79"/>
      <c r="Y5" s="79"/>
      <c r="Z5" s="79"/>
      <c r="AA5" s="79"/>
      <c r="AB5" s="79"/>
      <c r="AC5" s="79"/>
      <c r="AD5" s="79"/>
      <c r="AE5" s="79"/>
      <c r="AF5" s="79"/>
      <c r="AG5" s="79"/>
      <c r="AH5" s="79"/>
    </row>
    <row r="6" spans="1:34" ht="32.85" customHeight="1" x14ac:dyDescent="0.3">
      <c r="A6" s="79"/>
      <c r="B6" s="87" t="s">
        <v>581</v>
      </c>
      <c r="C6" s="79">
        <f>O5</f>
        <v>0</v>
      </c>
      <c r="D6" s="79">
        <f t="shared" ref="D6:F6" si="4">P5</f>
        <v>0</v>
      </c>
      <c r="E6" s="79">
        <f t="shared" si="4"/>
        <v>11</v>
      </c>
      <c r="F6" s="79">
        <f t="shared" si="4"/>
        <v>0</v>
      </c>
      <c r="G6" s="79"/>
      <c r="H6" s="79"/>
      <c r="I6" s="79"/>
      <c r="J6" s="79"/>
      <c r="K6" s="79"/>
      <c r="L6" s="79"/>
      <c r="M6" s="79">
        <v>11</v>
      </c>
      <c r="N6" s="79"/>
      <c r="O6" s="79">
        <f t="shared" ref="O6" si="5">C6+G6-K6</f>
        <v>0</v>
      </c>
      <c r="P6" s="79">
        <f t="shared" ref="P6" si="6">D6+H6-L6</f>
        <v>0</v>
      </c>
      <c r="Q6" s="79">
        <f t="shared" ref="Q6" si="7">E6+I6-M6</f>
        <v>0</v>
      </c>
      <c r="R6" s="79">
        <f t="shared" ref="R6" si="8">F6+J6-N6</f>
        <v>0</v>
      </c>
      <c r="S6" s="142"/>
      <c r="T6" s="79"/>
      <c r="U6" s="79"/>
      <c r="V6" s="79"/>
      <c r="W6" s="79"/>
      <c r="X6" s="79"/>
      <c r="Y6" s="79"/>
      <c r="Z6" s="79"/>
      <c r="AA6" s="79"/>
      <c r="AB6" s="79"/>
      <c r="AC6" s="79"/>
      <c r="AD6" s="79"/>
      <c r="AE6" s="79"/>
      <c r="AF6" s="79"/>
      <c r="AG6" s="79"/>
      <c r="AH6" s="79"/>
    </row>
    <row r="7" spans="1:34" ht="32.85" customHeight="1" x14ac:dyDescent="0.3">
      <c r="A7" s="79"/>
      <c r="B7" s="87" t="s">
        <v>608</v>
      </c>
      <c r="C7" s="79">
        <f>O6</f>
        <v>0</v>
      </c>
      <c r="D7" s="79">
        <f t="shared" ref="D7" si="9">P6</f>
        <v>0</v>
      </c>
      <c r="E7" s="79">
        <f t="shared" ref="E7" si="10">Q6</f>
        <v>0</v>
      </c>
      <c r="F7" s="79">
        <f t="shared" ref="F7" si="11">R6</f>
        <v>0</v>
      </c>
      <c r="G7" s="79"/>
      <c r="H7" s="79"/>
      <c r="I7" s="79">
        <v>33</v>
      </c>
      <c r="J7" s="79"/>
      <c r="K7" s="79"/>
      <c r="L7" s="79"/>
      <c r="M7" s="79">
        <f>22+11</f>
        <v>33</v>
      </c>
      <c r="N7" s="79"/>
      <c r="O7" s="79">
        <f t="shared" ref="O7" si="12">C7+G7-K7</f>
        <v>0</v>
      </c>
      <c r="P7" s="79">
        <f t="shared" ref="P7" si="13">D7+H7-L7</f>
        <v>0</v>
      </c>
      <c r="Q7" s="79">
        <f t="shared" ref="Q7" si="14">E7+I7-M7</f>
        <v>0</v>
      </c>
      <c r="R7" s="79">
        <f t="shared" ref="R7" si="15">F7+J7-N7</f>
        <v>0</v>
      </c>
      <c r="S7" s="142"/>
      <c r="T7" s="79"/>
      <c r="U7" s="79"/>
      <c r="V7" s="79"/>
      <c r="W7" s="79"/>
      <c r="X7" s="79"/>
      <c r="Y7" s="79"/>
      <c r="Z7" s="79"/>
      <c r="AA7" s="79"/>
      <c r="AB7" s="79"/>
      <c r="AC7" s="79"/>
      <c r="AD7" s="79"/>
      <c r="AE7" s="79"/>
      <c r="AF7" s="79"/>
      <c r="AG7" s="79"/>
      <c r="AH7" s="79"/>
    </row>
    <row r="8" spans="1:34" ht="35.1" customHeight="1" x14ac:dyDescent="0.3">
      <c r="A8" s="79"/>
      <c r="B8" s="87" t="s">
        <v>628</v>
      </c>
      <c r="C8" s="79">
        <f t="shared" ref="C8:C9" si="16">O7</f>
        <v>0</v>
      </c>
      <c r="D8" s="79">
        <f t="shared" ref="D8:D9" si="17">P7</f>
        <v>0</v>
      </c>
      <c r="E8" s="79">
        <f t="shared" ref="E8:E9" si="18">Q7</f>
        <v>0</v>
      </c>
      <c r="F8" s="79">
        <f t="shared" ref="F8:F9" si="19">R7</f>
        <v>0</v>
      </c>
      <c r="G8" s="79"/>
      <c r="H8" s="79"/>
      <c r="I8" s="79"/>
      <c r="J8" s="79"/>
      <c r="K8" s="79"/>
      <c r="L8" s="79"/>
      <c r="M8" s="79"/>
      <c r="N8" s="79"/>
      <c r="O8" s="79">
        <f t="shared" ref="O8:O9" si="20">C8+G8-K8</f>
        <v>0</v>
      </c>
      <c r="P8" s="79">
        <f t="shared" ref="P8:P9" si="21">D8+H8-L8</f>
        <v>0</v>
      </c>
      <c r="Q8" s="79">
        <f t="shared" ref="Q8:Q9" si="22">E8+I8-M8</f>
        <v>0</v>
      </c>
      <c r="R8" s="79">
        <f t="shared" ref="R8:R9" si="23">F8+J8-N8</f>
        <v>0</v>
      </c>
      <c r="S8" s="142"/>
      <c r="T8" s="79"/>
      <c r="U8" s="79"/>
      <c r="V8" s="79"/>
      <c r="W8" s="79"/>
      <c r="X8" s="79"/>
      <c r="Y8" s="79"/>
      <c r="Z8" s="79"/>
      <c r="AA8" s="79"/>
      <c r="AB8" s="79"/>
      <c r="AC8" s="79"/>
      <c r="AD8" s="79"/>
      <c r="AE8" s="79"/>
      <c r="AF8" s="79"/>
      <c r="AG8" s="79"/>
      <c r="AH8" s="79"/>
    </row>
    <row r="9" spans="1:34" ht="35.1" customHeight="1" x14ac:dyDescent="0.3">
      <c r="A9" s="79"/>
      <c r="B9" s="87" t="s">
        <v>641</v>
      </c>
      <c r="C9" s="79">
        <f t="shared" si="16"/>
        <v>0</v>
      </c>
      <c r="D9" s="79">
        <f t="shared" si="17"/>
        <v>0</v>
      </c>
      <c r="E9" s="79">
        <f t="shared" si="18"/>
        <v>0</v>
      </c>
      <c r="F9" s="79">
        <f t="shared" si="19"/>
        <v>0</v>
      </c>
      <c r="G9" s="79"/>
      <c r="H9" s="79"/>
      <c r="I9" s="79"/>
      <c r="J9" s="79"/>
      <c r="K9" s="79"/>
      <c r="L9" s="79"/>
      <c r="M9" s="79"/>
      <c r="N9" s="79"/>
      <c r="O9" s="79">
        <f t="shared" si="20"/>
        <v>0</v>
      </c>
      <c r="P9" s="79">
        <f t="shared" si="21"/>
        <v>0</v>
      </c>
      <c r="Q9" s="79">
        <f t="shared" si="22"/>
        <v>0</v>
      </c>
      <c r="R9" s="79">
        <f t="shared" si="23"/>
        <v>0</v>
      </c>
      <c r="S9" s="142"/>
      <c r="T9" s="79"/>
      <c r="U9" s="79"/>
      <c r="V9" s="79"/>
      <c r="W9" s="79"/>
      <c r="X9" s="79"/>
      <c r="Y9" s="79"/>
      <c r="Z9" s="79"/>
      <c r="AA9" s="79"/>
      <c r="AB9" s="79"/>
      <c r="AC9" s="79"/>
      <c r="AD9" s="79"/>
      <c r="AE9" s="79"/>
      <c r="AF9" s="79"/>
      <c r="AG9" s="79"/>
      <c r="AH9" s="79"/>
    </row>
    <row r="10" spans="1:34" ht="35.1" customHeight="1" x14ac:dyDescent="0.3">
      <c r="A10" s="79"/>
      <c r="B10" s="87" t="s">
        <v>674</v>
      </c>
      <c r="C10" s="79">
        <f t="shared" ref="C10" si="24">O9</f>
        <v>0</v>
      </c>
      <c r="D10" s="79">
        <f t="shared" ref="D10" si="25">P9</f>
        <v>0</v>
      </c>
      <c r="E10" s="79">
        <f t="shared" ref="E10" si="26">Q9</f>
        <v>0</v>
      </c>
      <c r="F10" s="79">
        <f t="shared" ref="F10" si="27">R9</f>
        <v>0</v>
      </c>
      <c r="G10" s="79"/>
      <c r="H10" s="79"/>
      <c r="I10" s="79"/>
      <c r="J10" s="79"/>
      <c r="K10" s="79"/>
      <c r="L10" s="79"/>
      <c r="M10" s="79"/>
      <c r="N10" s="79"/>
      <c r="O10" s="79">
        <f t="shared" ref="O10" si="28">C10+G10-K10</f>
        <v>0</v>
      </c>
      <c r="P10" s="79">
        <f t="shared" ref="P10" si="29">D10+H10-L10</f>
        <v>0</v>
      </c>
      <c r="Q10" s="79">
        <f t="shared" ref="Q10" si="30">E10+I10-M10</f>
        <v>0</v>
      </c>
      <c r="R10" s="79">
        <f t="shared" ref="R10" si="31">F10+J10-N10</f>
        <v>0</v>
      </c>
      <c r="S10" s="142"/>
      <c r="T10" s="79"/>
      <c r="U10" s="79"/>
      <c r="V10" s="79"/>
      <c r="W10" s="79"/>
      <c r="X10" s="79"/>
      <c r="Y10" s="79"/>
      <c r="Z10" s="79"/>
      <c r="AA10" s="79"/>
      <c r="AB10" s="79"/>
      <c r="AC10" s="79"/>
      <c r="AD10" s="79"/>
      <c r="AE10" s="79"/>
      <c r="AF10" s="79"/>
      <c r="AG10" s="79"/>
      <c r="AH10" s="79"/>
    </row>
    <row r="11" spans="1:34" ht="35.1" customHeight="1" x14ac:dyDescent="0.3">
      <c r="A11" s="79"/>
      <c r="B11" s="87"/>
      <c r="C11" s="79"/>
      <c r="D11" s="79"/>
      <c r="E11" s="79"/>
      <c r="F11" s="79"/>
      <c r="G11" s="79"/>
      <c r="H11" s="79"/>
      <c r="I11" s="79"/>
      <c r="J11" s="79"/>
      <c r="K11" s="79"/>
      <c r="L11" s="79"/>
      <c r="M11" s="79"/>
      <c r="N11" s="79"/>
      <c r="O11" s="79"/>
      <c r="P11" s="79"/>
      <c r="Q11" s="79"/>
      <c r="R11" s="79"/>
      <c r="S11" s="142"/>
      <c r="T11" s="79"/>
      <c r="U11" s="79"/>
      <c r="V11" s="79"/>
      <c r="W11" s="79"/>
      <c r="X11" s="79"/>
      <c r="Y11" s="79"/>
      <c r="Z11" s="79"/>
      <c r="AA11" s="79"/>
      <c r="AB11" s="79"/>
      <c r="AC11" s="79"/>
      <c r="AD11" s="79"/>
      <c r="AE11" s="79"/>
      <c r="AF11" s="79"/>
      <c r="AG11" s="79"/>
      <c r="AH11" s="79"/>
    </row>
    <row r="12" spans="1:34" ht="35.1" customHeight="1" x14ac:dyDescent="0.3">
      <c r="A12" s="79"/>
      <c r="B12" s="87"/>
      <c r="C12" s="79"/>
      <c r="D12" s="79"/>
      <c r="E12" s="79"/>
      <c r="F12" s="79"/>
      <c r="G12" s="79"/>
      <c r="H12" s="79"/>
      <c r="I12" s="79"/>
      <c r="J12" s="79"/>
      <c r="K12" s="79"/>
      <c r="L12" s="79"/>
      <c r="M12" s="79"/>
      <c r="N12" s="79"/>
      <c r="O12" s="79"/>
      <c r="P12" s="79"/>
      <c r="Q12" s="79"/>
      <c r="R12" s="79"/>
      <c r="S12" s="142"/>
      <c r="T12" s="79"/>
      <c r="U12" s="79"/>
      <c r="V12" s="79"/>
      <c r="W12" s="79"/>
      <c r="X12" s="79"/>
      <c r="Y12" s="79"/>
      <c r="Z12" s="79"/>
      <c r="AA12" s="79"/>
      <c r="AB12" s="79"/>
      <c r="AC12" s="79"/>
      <c r="AD12" s="79"/>
      <c r="AE12" s="79"/>
      <c r="AF12" s="79"/>
      <c r="AG12" s="79"/>
      <c r="AH12" s="79"/>
    </row>
    <row r="13" spans="1:34" ht="35.1" customHeight="1" x14ac:dyDescent="0.3">
      <c r="A13" s="79"/>
      <c r="B13" s="87"/>
      <c r="C13" s="79"/>
      <c r="D13" s="79"/>
      <c r="E13" s="79"/>
      <c r="F13" s="79"/>
      <c r="G13" s="79"/>
      <c r="H13" s="79"/>
      <c r="I13" s="79"/>
      <c r="J13" s="79"/>
      <c r="K13" s="79"/>
      <c r="L13" s="79"/>
      <c r="M13" s="79"/>
      <c r="N13" s="79"/>
      <c r="O13" s="79"/>
      <c r="P13" s="79"/>
      <c r="Q13" s="79"/>
      <c r="R13" s="79"/>
      <c r="S13" s="142"/>
      <c r="T13" s="79"/>
      <c r="U13" s="79"/>
      <c r="V13" s="79"/>
      <c r="W13" s="79"/>
      <c r="X13" s="79"/>
      <c r="Y13" s="79"/>
      <c r="Z13" s="79"/>
      <c r="AA13" s="79"/>
      <c r="AB13" s="79"/>
      <c r="AC13" s="79"/>
      <c r="AD13" s="79"/>
      <c r="AE13" s="79"/>
      <c r="AF13" s="79"/>
      <c r="AG13" s="79"/>
      <c r="AH13" s="79"/>
    </row>
    <row r="14" spans="1:34" ht="35.1" customHeight="1" x14ac:dyDescent="0.3">
      <c r="A14" s="79"/>
      <c r="B14" s="87"/>
      <c r="C14" s="79"/>
      <c r="D14" s="79"/>
      <c r="E14" s="79"/>
      <c r="F14" s="79"/>
      <c r="G14" s="79"/>
      <c r="H14" s="79"/>
      <c r="I14" s="79"/>
      <c r="J14" s="79"/>
      <c r="K14" s="79"/>
      <c r="L14" s="79"/>
      <c r="M14" s="79"/>
      <c r="N14" s="79"/>
      <c r="O14" s="79"/>
      <c r="P14" s="79"/>
      <c r="Q14" s="79"/>
      <c r="R14" s="79"/>
      <c r="S14" s="142"/>
      <c r="T14" s="79"/>
      <c r="U14" s="79"/>
      <c r="V14" s="79"/>
      <c r="W14" s="79"/>
      <c r="X14" s="79"/>
      <c r="Y14" s="79"/>
      <c r="Z14" s="79"/>
      <c r="AA14" s="79"/>
      <c r="AB14" s="79"/>
      <c r="AC14" s="79"/>
      <c r="AD14" s="79"/>
      <c r="AE14" s="79"/>
      <c r="AF14" s="79"/>
      <c r="AG14" s="79"/>
      <c r="AH14" s="79"/>
    </row>
    <row r="15" spans="1:34" ht="35.1" customHeight="1" x14ac:dyDescent="0.3">
      <c r="A15" s="79"/>
      <c r="B15" s="87"/>
      <c r="C15" s="79"/>
      <c r="D15" s="79"/>
      <c r="E15" s="79"/>
      <c r="F15" s="79"/>
      <c r="G15" s="79"/>
      <c r="H15" s="79"/>
      <c r="I15" s="79"/>
      <c r="J15" s="79"/>
      <c r="K15" s="79"/>
      <c r="L15" s="79"/>
      <c r="M15" s="79"/>
      <c r="N15" s="79"/>
      <c r="O15" s="79"/>
      <c r="P15" s="79"/>
      <c r="Q15" s="79"/>
      <c r="R15" s="79"/>
      <c r="S15" s="142"/>
      <c r="T15" s="79"/>
      <c r="U15" s="79"/>
      <c r="V15" s="79"/>
      <c r="W15" s="79"/>
      <c r="X15" s="79"/>
      <c r="Y15" s="79"/>
      <c r="Z15" s="79"/>
      <c r="AA15" s="79"/>
      <c r="AB15" s="79"/>
      <c r="AC15" s="79"/>
      <c r="AD15" s="79"/>
      <c r="AE15" s="79"/>
      <c r="AF15" s="79"/>
      <c r="AG15" s="79"/>
      <c r="AH15" s="79"/>
    </row>
    <row r="16" spans="1:34" ht="35.1" customHeight="1" x14ac:dyDescent="0.3">
      <c r="A16" s="79"/>
      <c r="B16" s="87"/>
      <c r="C16" s="79"/>
      <c r="D16" s="79"/>
      <c r="E16" s="79"/>
      <c r="F16" s="79"/>
      <c r="G16" s="79"/>
      <c r="H16" s="79"/>
      <c r="I16" s="79"/>
      <c r="J16" s="79"/>
      <c r="K16" s="79"/>
      <c r="L16" s="79"/>
      <c r="M16" s="79"/>
      <c r="N16" s="79"/>
      <c r="O16" s="79"/>
      <c r="P16" s="79"/>
      <c r="Q16" s="79"/>
      <c r="R16" s="79"/>
      <c r="S16" s="142"/>
      <c r="T16" s="79"/>
      <c r="U16" s="79"/>
      <c r="V16" s="79"/>
      <c r="W16" s="79"/>
      <c r="X16" s="79"/>
      <c r="Y16" s="79"/>
      <c r="Z16" s="79"/>
      <c r="AA16" s="79"/>
      <c r="AB16" s="79"/>
      <c r="AC16" s="79"/>
      <c r="AD16" s="79"/>
      <c r="AE16" s="79"/>
      <c r="AF16" s="79"/>
      <c r="AG16" s="79"/>
      <c r="AH16" s="79"/>
    </row>
    <row r="17" spans="1:34" ht="35.1" customHeight="1" x14ac:dyDescent="0.3">
      <c r="A17" s="79"/>
      <c r="B17" s="87"/>
      <c r="C17" s="79"/>
      <c r="D17" s="79"/>
      <c r="E17" s="79"/>
      <c r="F17" s="79"/>
      <c r="G17" s="79"/>
      <c r="H17" s="79"/>
      <c r="I17" s="79"/>
      <c r="J17" s="79"/>
      <c r="K17" s="79"/>
      <c r="L17" s="79"/>
      <c r="M17" s="79"/>
      <c r="N17" s="79"/>
      <c r="O17" s="79"/>
      <c r="P17" s="79"/>
      <c r="Q17" s="79"/>
      <c r="R17" s="79"/>
      <c r="S17" s="142"/>
      <c r="T17" s="79"/>
      <c r="U17" s="79"/>
      <c r="V17" s="79"/>
      <c r="W17" s="79"/>
      <c r="X17" s="79"/>
      <c r="Y17" s="79"/>
      <c r="Z17" s="79"/>
      <c r="AA17" s="79"/>
      <c r="AB17" s="79"/>
      <c r="AC17" s="79"/>
      <c r="AD17" s="79"/>
      <c r="AE17" s="79"/>
      <c r="AF17" s="79"/>
      <c r="AG17" s="79"/>
      <c r="AH17" s="79"/>
    </row>
    <row r="18" spans="1:34" ht="35.1" customHeight="1" x14ac:dyDescent="0.3">
      <c r="A18" s="79"/>
      <c r="B18" s="87"/>
      <c r="C18" s="79"/>
      <c r="D18" s="79"/>
      <c r="E18" s="79"/>
      <c r="F18" s="79"/>
      <c r="G18" s="79"/>
      <c r="H18" s="79"/>
      <c r="I18" s="79"/>
      <c r="J18" s="79"/>
      <c r="K18" s="79"/>
      <c r="L18" s="79"/>
      <c r="M18" s="79"/>
      <c r="N18" s="79"/>
      <c r="O18" s="79"/>
      <c r="P18" s="79"/>
      <c r="Q18" s="79"/>
      <c r="R18" s="79"/>
      <c r="S18" s="142"/>
      <c r="T18" s="79"/>
      <c r="U18" s="79"/>
      <c r="V18" s="79"/>
      <c r="W18" s="79"/>
      <c r="X18" s="79"/>
      <c r="Y18" s="79"/>
      <c r="Z18" s="79"/>
      <c r="AA18" s="79"/>
      <c r="AB18" s="79"/>
      <c r="AC18" s="79"/>
      <c r="AD18" s="79"/>
      <c r="AE18" s="79"/>
      <c r="AF18" s="79"/>
      <c r="AG18" s="79"/>
      <c r="AH18" s="79"/>
    </row>
    <row r="19" spans="1:34" ht="35.1" customHeight="1" x14ac:dyDescent="0.3">
      <c r="A19" s="79"/>
      <c r="B19" s="87"/>
      <c r="C19" s="79"/>
      <c r="D19" s="79"/>
      <c r="E19" s="79"/>
      <c r="F19" s="79"/>
      <c r="G19" s="79"/>
      <c r="H19" s="79"/>
      <c r="I19" s="79"/>
      <c r="J19" s="79"/>
      <c r="K19" s="79"/>
      <c r="L19" s="79"/>
      <c r="M19" s="79"/>
      <c r="N19" s="79"/>
      <c r="O19" s="79"/>
      <c r="P19" s="79"/>
      <c r="Q19" s="79"/>
      <c r="R19" s="79"/>
      <c r="S19" s="142"/>
      <c r="T19" s="79"/>
      <c r="U19" s="79"/>
      <c r="V19" s="79"/>
      <c r="W19" s="79"/>
      <c r="X19" s="79"/>
      <c r="Y19" s="79"/>
      <c r="Z19" s="79"/>
      <c r="AA19" s="79"/>
      <c r="AB19" s="79"/>
      <c r="AC19" s="79"/>
      <c r="AD19" s="79"/>
      <c r="AE19" s="79"/>
      <c r="AF19" s="79"/>
      <c r="AG19" s="79"/>
      <c r="AH19" s="79"/>
    </row>
    <row r="20" spans="1:34" ht="35.1" customHeight="1" x14ac:dyDescent="0.3">
      <c r="A20" s="79"/>
      <c r="B20" s="87"/>
      <c r="C20" s="79"/>
      <c r="D20" s="79"/>
      <c r="E20" s="79"/>
      <c r="F20" s="79"/>
      <c r="G20" s="79"/>
      <c r="H20" s="79"/>
      <c r="I20" s="79"/>
      <c r="J20" s="79"/>
      <c r="K20" s="79"/>
      <c r="L20" s="79"/>
      <c r="M20" s="79"/>
      <c r="N20" s="79"/>
      <c r="O20" s="79"/>
      <c r="P20" s="79"/>
      <c r="Q20" s="79"/>
      <c r="R20" s="79"/>
      <c r="S20" s="142"/>
      <c r="T20" s="79"/>
      <c r="U20" s="79"/>
      <c r="V20" s="79"/>
      <c r="W20" s="79"/>
      <c r="X20" s="79"/>
      <c r="Y20" s="79"/>
      <c r="Z20" s="79"/>
      <c r="AA20" s="79"/>
      <c r="AB20" s="79"/>
      <c r="AC20" s="79"/>
      <c r="AD20" s="79"/>
      <c r="AE20" s="79"/>
      <c r="AF20" s="79"/>
      <c r="AG20" s="79"/>
      <c r="AH20" s="79"/>
    </row>
    <row r="21" spans="1:34" ht="35.1" customHeight="1" x14ac:dyDescent="0.3">
      <c r="A21" s="79"/>
      <c r="B21" s="87"/>
      <c r="C21" s="79"/>
      <c r="D21" s="79"/>
      <c r="E21" s="79"/>
      <c r="F21" s="79"/>
      <c r="G21" s="79"/>
      <c r="H21" s="79"/>
      <c r="I21" s="79"/>
      <c r="J21" s="79"/>
      <c r="K21" s="79"/>
      <c r="L21" s="79"/>
      <c r="M21" s="79"/>
      <c r="N21" s="79"/>
      <c r="O21" s="79"/>
      <c r="P21" s="79"/>
      <c r="Q21" s="79"/>
      <c r="R21" s="79"/>
      <c r="S21" s="142"/>
      <c r="T21" s="79"/>
      <c r="U21" s="79"/>
      <c r="V21" s="79"/>
      <c r="W21" s="79"/>
      <c r="X21" s="79"/>
      <c r="Y21" s="79"/>
      <c r="Z21" s="79"/>
      <c r="AA21" s="79"/>
      <c r="AB21" s="79"/>
      <c r="AC21" s="79"/>
      <c r="AD21" s="79"/>
      <c r="AE21" s="79"/>
      <c r="AF21" s="79"/>
      <c r="AG21" s="79"/>
      <c r="AH21" s="79"/>
    </row>
    <row r="22" spans="1:34" ht="35.1" customHeight="1" x14ac:dyDescent="0.3">
      <c r="A22" s="79"/>
      <c r="B22" s="87"/>
      <c r="C22" s="79"/>
      <c r="D22" s="79"/>
      <c r="E22" s="79"/>
      <c r="F22" s="79"/>
      <c r="G22" s="79"/>
      <c r="H22" s="79"/>
      <c r="I22" s="79"/>
      <c r="J22" s="79"/>
      <c r="K22" s="79"/>
      <c r="L22" s="79"/>
      <c r="M22" s="79"/>
      <c r="N22" s="79"/>
      <c r="O22" s="79"/>
      <c r="P22" s="79"/>
      <c r="Q22" s="79"/>
      <c r="R22" s="79"/>
      <c r="S22" s="142"/>
      <c r="T22" s="79"/>
      <c r="U22" s="79"/>
      <c r="V22" s="79"/>
      <c r="W22" s="79"/>
      <c r="X22" s="79"/>
      <c r="Y22" s="79"/>
      <c r="Z22" s="79"/>
      <c r="AA22" s="79"/>
      <c r="AB22" s="79"/>
      <c r="AC22" s="79"/>
      <c r="AD22" s="79"/>
      <c r="AE22" s="79"/>
      <c r="AF22" s="79"/>
      <c r="AG22" s="79"/>
      <c r="AH22" s="79"/>
    </row>
    <row r="23" spans="1:34" ht="35.1" customHeight="1" x14ac:dyDescent="0.3">
      <c r="A23" s="79"/>
      <c r="B23" s="87"/>
      <c r="C23" s="79"/>
      <c r="D23" s="79"/>
      <c r="E23" s="79"/>
      <c r="F23" s="79"/>
      <c r="G23" s="79"/>
      <c r="H23" s="79"/>
      <c r="I23" s="79"/>
      <c r="J23" s="79"/>
      <c r="K23" s="79"/>
      <c r="L23" s="79"/>
      <c r="M23" s="79"/>
      <c r="N23" s="79"/>
      <c r="O23" s="79"/>
      <c r="P23" s="79"/>
      <c r="Q23" s="79"/>
      <c r="R23" s="79"/>
      <c r="S23" s="142"/>
      <c r="T23" s="79"/>
      <c r="U23" s="79"/>
      <c r="V23" s="79"/>
      <c r="W23" s="79"/>
      <c r="X23" s="79"/>
      <c r="Y23" s="79"/>
      <c r="Z23" s="79"/>
      <c r="AA23" s="79"/>
      <c r="AB23" s="79"/>
      <c r="AC23" s="79"/>
      <c r="AD23" s="79"/>
      <c r="AE23" s="79"/>
      <c r="AF23" s="79"/>
      <c r="AG23" s="79"/>
      <c r="AH23" s="79"/>
    </row>
    <row r="24" spans="1:34" ht="35.1" customHeight="1" x14ac:dyDescent="0.3">
      <c r="A24" s="79"/>
      <c r="B24" s="87"/>
      <c r="C24" s="79"/>
      <c r="D24" s="79"/>
      <c r="E24" s="79"/>
      <c r="F24" s="79"/>
      <c r="G24" s="79"/>
      <c r="H24" s="79"/>
      <c r="I24" s="79"/>
      <c r="J24" s="79"/>
      <c r="K24" s="79"/>
      <c r="L24" s="79"/>
      <c r="M24" s="79"/>
      <c r="N24" s="79"/>
      <c r="O24" s="79"/>
      <c r="P24" s="79"/>
      <c r="Q24" s="79"/>
      <c r="R24" s="79"/>
      <c r="S24" s="142"/>
      <c r="T24" s="79"/>
      <c r="U24" s="79"/>
      <c r="V24" s="79"/>
      <c r="W24" s="79"/>
      <c r="X24" s="79"/>
      <c r="Y24" s="79"/>
      <c r="Z24" s="79"/>
      <c r="AA24" s="79"/>
      <c r="AB24" s="79"/>
      <c r="AC24" s="79"/>
      <c r="AD24" s="79"/>
      <c r="AE24" s="79"/>
      <c r="AF24" s="79"/>
      <c r="AG24" s="79"/>
      <c r="AH24" s="79"/>
    </row>
    <row r="25" spans="1:34" ht="35.1" customHeight="1" x14ac:dyDescent="0.3">
      <c r="O25" s="79"/>
      <c r="P25" s="79"/>
      <c r="Q25" s="79"/>
      <c r="R25" s="79"/>
      <c r="S25" s="142"/>
      <c r="T25" s="79"/>
      <c r="U25" s="79"/>
      <c r="V25" s="79"/>
      <c r="W25" s="79"/>
      <c r="X25" s="79"/>
      <c r="Y25" s="79"/>
      <c r="Z25" s="79"/>
      <c r="AA25" s="79"/>
      <c r="AB25" s="79"/>
      <c r="AC25" s="79"/>
      <c r="AD25" s="79"/>
      <c r="AE25" s="79"/>
      <c r="AF25" s="79"/>
      <c r="AG25" s="79"/>
      <c r="AH25" s="79"/>
    </row>
    <row r="26" spans="1:34" ht="35.1" customHeight="1" x14ac:dyDescent="0.3">
      <c r="O26" s="79"/>
      <c r="P26" s="79"/>
      <c r="Q26" s="79"/>
      <c r="R26" s="79"/>
      <c r="S26" s="142"/>
      <c r="T26" s="79"/>
      <c r="U26" s="79"/>
      <c r="V26" s="79"/>
      <c r="W26" s="79"/>
      <c r="X26" s="79"/>
      <c r="Y26" s="79"/>
      <c r="Z26" s="79"/>
      <c r="AA26" s="79"/>
      <c r="AB26" s="79"/>
      <c r="AC26" s="79"/>
      <c r="AD26" s="79"/>
      <c r="AE26" s="79"/>
      <c r="AF26" s="79"/>
      <c r="AG26" s="79"/>
      <c r="AH26" s="79"/>
    </row>
    <row r="27" spans="1:34" ht="35.1" customHeight="1" x14ac:dyDescent="0.3">
      <c r="O27" s="79"/>
      <c r="P27" s="79"/>
      <c r="Q27" s="79"/>
      <c r="R27" s="79"/>
      <c r="S27" s="142"/>
      <c r="T27" s="79"/>
      <c r="U27" s="79"/>
      <c r="V27" s="79"/>
      <c r="W27" s="79"/>
      <c r="X27" s="79"/>
      <c r="Y27" s="79"/>
      <c r="Z27" s="79"/>
      <c r="AA27" s="79"/>
      <c r="AB27" s="79"/>
      <c r="AC27" s="79"/>
      <c r="AD27" s="79"/>
      <c r="AE27" s="79"/>
      <c r="AF27" s="79"/>
      <c r="AG27" s="79"/>
      <c r="AH27" s="79"/>
    </row>
    <row r="28" spans="1:34" ht="35.1" customHeight="1" x14ac:dyDescent="0.3">
      <c r="O28" s="79"/>
      <c r="P28" s="79"/>
      <c r="Q28" s="79"/>
      <c r="R28" s="79"/>
      <c r="S28" s="142"/>
      <c r="T28" s="79"/>
      <c r="U28" s="79"/>
      <c r="V28" s="79"/>
      <c r="W28" s="79"/>
      <c r="X28" s="79"/>
      <c r="Y28" s="79"/>
      <c r="Z28" s="79"/>
      <c r="AA28" s="79"/>
      <c r="AB28" s="79"/>
      <c r="AC28" s="79"/>
      <c r="AD28" s="79"/>
      <c r="AE28" s="79"/>
      <c r="AF28" s="79"/>
      <c r="AG28" s="79"/>
      <c r="AH28" s="79"/>
    </row>
    <row r="29" spans="1:34" ht="35.1" customHeight="1" x14ac:dyDescent="0.3">
      <c r="O29" s="79"/>
      <c r="P29" s="79"/>
      <c r="Q29" s="79"/>
      <c r="R29" s="79"/>
      <c r="S29" s="142"/>
      <c r="T29" s="79"/>
      <c r="U29" s="79"/>
      <c r="V29" s="79"/>
      <c r="W29" s="79"/>
      <c r="X29" s="79"/>
      <c r="Y29" s="79"/>
      <c r="Z29" s="79"/>
      <c r="AA29" s="79"/>
      <c r="AB29" s="79"/>
      <c r="AC29" s="79"/>
      <c r="AD29" s="79"/>
      <c r="AE29" s="79"/>
      <c r="AF29" s="79"/>
      <c r="AG29" s="79"/>
      <c r="AH29" s="79"/>
    </row>
    <row r="30" spans="1:34" ht="35.1" customHeight="1" x14ac:dyDescent="0.3">
      <c r="O30" s="79"/>
      <c r="P30" s="79"/>
      <c r="Q30" s="79"/>
      <c r="R30" s="79"/>
      <c r="S30" s="142"/>
      <c r="T30" s="79"/>
      <c r="U30" s="79"/>
      <c r="V30" s="79"/>
      <c r="W30" s="79"/>
      <c r="X30" s="79"/>
      <c r="Y30" s="79"/>
      <c r="Z30" s="79"/>
      <c r="AA30" s="79"/>
      <c r="AB30" s="79"/>
      <c r="AC30" s="79"/>
      <c r="AD30" s="79"/>
      <c r="AE30" s="79"/>
      <c r="AF30" s="79"/>
      <c r="AG30" s="79"/>
      <c r="AH30" s="79"/>
    </row>
    <row r="31" spans="1:34" ht="35.1" customHeight="1" x14ac:dyDescent="0.3">
      <c r="T31" s="79"/>
      <c r="U31" s="79"/>
      <c r="V31" s="79"/>
      <c r="W31" s="79"/>
      <c r="X31" s="79"/>
      <c r="Y31" s="79"/>
      <c r="Z31" s="79"/>
      <c r="AA31" s="79"/>
      <c r="AB31" s="79"/>
      <c r="AC31" s="79"/>
      <c r="AD31" s="79"/>
      <c r="AE31" s="79"/>
      <c r="AF31" s="79"/>
      <c r="AG31" s="79"/>
      <c r="AH31" s="79"/>
    </row>
    <row r="32" spans="1:34" ht="35.1" customHeight="1" x14ac:dyDescent="0.3">
      <c r="T32" s="79"/>
      <c r="U32" s="79"/>
      <c r="V32" s="79"/>
      <c r="W32" s="79"/>
      <c r="X32" s="79"/>
      <c r="Y32" s="79"/>
      <c r="Z32" s="79"/>
      <c r="AA32" s="79"/>
      <c r="AB32" s="79"/>
      <c r="AC32" s="79"/>
      <c r="AD32" s="79"/>
      <c r="AE32" s="79"/>
      <c r="AF32" s="79"/>
      <c r="AG32" s="79"/>
      <c r="AH32" s="79"/>
    </row>
    <row r="33" spans="20:34" ht="35.1" customHeight="1" x14ac:dyDescent="0.3">
      <c r="T33" s="79"/>
      <c r="U33" s="79"/>
      <c r="V33" s="79"/>
      <c r="W33" s="79"/>
      <c r="X33" s="79"/>
      <c r="Y33" s="79"/>
      <c r="Z33" s="79"/>
      <c r="AA33" s="79"/>
      <c r="AB33" s="79"/>
      <c r="AC33" s="79"/>
      <c r="AD33" s="79"/>
      <c r="AE33" s="79"/>
      <c r="AF33" s="79"/>
      <c r="AG33" s="79"/>
      <c r="AH33" s="79"/>
    </row>
    <row r="34" spans="20:34" ht="35.1" customHeight="1" x14ac:dyDescent="0.3">
      <c r="T34" s="79"/>
      <c r="U34" s="79"/>
      <c r="V34" s="79"/>
      <c r="W34" s="79"/>
      <c r="X34" s="79"/>
      <c r="Y34" s="79"/>
      <c r="Z34" s="79"/>
      <c r="AA34" s="79"/>
      <c r="AB34" s="79"/>
      <c r="AC34" s="79"/>
      <c r="AD34" s="79"/>
      <c r="AE34" s="79"/>
      <c r="AF34" s="79"/>
      <c r="AG34" s="79"/>
      <c r="AH34" s="79"/>
    </row>
    <row r="35" spans="20:34" x14ac:dyDescent="0.3">
      <c r="T35" s="79"/>
      <c r="U35" s="79"/>
      <c r="V35" s="79"/>
      <c r="W35" s="79"/>
      <c r="X35" s="79"/>
      <c r="Y35" s="79"/>
      <c r="Z35" s="79"/>
      <c r="AA35" s="79"/>
      <c r="AB35" s="79"/>
      <c r="AC35" s="79"/>
      <c r="AD35" s="79"/>
      <c r="AE35" s="79"/>
      <c r="AF35" s="79"/>
      <c r="AG35" s="79"/>
      <c r="AH35" s="79"/>
    </row>
    <row r="36" spans="20:34" x14ac:dyDescent="0.3">
      <c r="T36" s="79"/>
      <c r="U36" s="79"/>
      <c r="V36" s="79"/>
      <c r="W36" s="79"/>
      <c r="X36" s="79"/>
      <c r="Y36" s="79"/>
      <c r="Z36" s="79"/>
      <c r="AA36" s="79"/>
      <c r="AB36" s="79"/>
      <c r="AC36" s="79"/>
      <c r="AD36" s="79"/>
      <c r="AE36" s="79"/>
      <c r="AF36" s="79"/>
      <c r="AG36" s="79"/>
      <c r="AH36" s="79"/>
    </row>
    <row r="37" spans="20:34" x14ac:dyDescent="0.3">
      <c r="T37" s="79"/>
      <c r="U37" s="79"/>
      <c r="V37" s="79"/>
      <c r="W37" s="79"/>
      <c r="X37" s="79"/>
      <c r="Y37" s="79"/>
      <c r="Z37" s="79"/>
      <c r="AA37" s="79"/>
      <c r="AB37" s="79"/>
      <c r="AC37" s="79"/>
      <c r="AD37" s="79"/>
      <c r="AE37" s="79"/>
      <c r="AF37" s="79"/>
      <c r="AG37" s="79"/>
      <c r="AH37" s="79"/>
    </row>
    <row r="38" spans="20:34" x14ac:dyDescent="0.3">
      <c r="T38" s="79"/>
      <c r="U38" s="79" t="s">
        <v>448</v>
      </c>
      <c r="V38" s="79"/>
      <c r="W38" s="79">
        <v>2</v>
      </c>
      <c r="X38" s="79"/>
      <c r="Y38" s="79"/>
      <c r="Z38" s="79"/>
      <c r="AA38" s="79"/>
      <c r="AB38" s="79"/>
      <c r="AC38" s="79"/>
      <c r="AD38" s="79"/>
      <c r="AE38" s="79"/>
      <c r="AF38" s="79"/>
      <c r="AG38" s="79"/>
      <c r="AH38" s="79"/>
    </row>
    <row r="39" spans="20:34" x14ac:dyDescent="0.3">
      <c r="T39" s="79"/>
      <c r="U39" s="79" t="s">
        <v>415</v>
      </c>
      <c r="V39" s="79"/>
      <c r="W39" s="79">
        <v>36</v>
      </c>
      <c r="X39" s="79"/>
      <c r="Y39" s="79"/>
      <c r="Z39" s="79"/>
      <c r="AA39" s="79"/>
      <c r="AB39" s="79"/>
      <c r="AC39" s="79"/>
      <c r="AD39" s="79"/>
      <c r="AE39" s="79"/>
      <c r="AF39" s="79"/>
      <c r="AG39" s="79"/>
      <c r="AH39" s="79"/>
    </row>
    <row r="40" spans="20:34" x14ac:dyDescent="0.3">
      <c r="T40" s="79"/>
      <c r="U40" s="79" t="s">
        <v>466</v>
      </c>
      <c r="V40" s="79"/>
      <c r="W40" s="79">
        <v>6</v>
      </c>
      <c r="X40" s="79"/>
      <c r="Y40" s="79"/>
      <c r="Z40" s="79"/>
      <c r="AA40" s="79"/>
      <c r="AB40" s="79"/>
      <c r="AC40" s="79"/>
      <c r="AD40" s="79"/>
      <c r="AE40" s="79"/>
      <c r="AF40" s="79"/>
      <c r="AG40" s="79"/>
      <c r="AH40" s="79"/>
    </row>
    <row r="41" spans="20:34" x14ac:dyDescent="0.3">
      <c r="T41" s="79"/>
      <c r="U41" s="79" t="s">
        <v>467</v>
      </c>
      <c r="V41" s="79"/>
      <c r="W41" s="79"/>
      <c r="X41" s="79"/>
      <c r="Y41" s="79"/>
      <c r="Z41" s="79"/>
      <c r="AA41" s="79"/>
      <c r="AB41" s="79"/>
      <c r="AC41" s="79"/>
      <c r="AD41" s="79"/>
      <c r="AE41" s="79"/>
      <c r="AF41" s="79"/>
      <c r="AG41" s="79">
        <v>10</v>
      </c>
      <c r="AH41" s="79">
        <v>1</v>
      </c>
    </row>
    <row r="42" spans="20:34" x14ac:dyDescent="0.3">
      <c r="T42" s="79"/>
      <c r="U42" s="79" t="s">
        <v>468</v>
      </c>
      <c r="V42" s="79"/>
      <c r="W42" s="79">
        <v>2</v>
      </c>
      <c r="X42" s="79"/>
      <c r="Y42" s="79"/>
      <c r="Z42" s="79"/>
      <c r="AA42" s="79"/>
      <c r="AB42" s="79"/>
      <c r="AC42" s="79"/>
      <c r="AD42" s="79"/>
      <c r="AE42" s="79"/>
      <c r="AF42" s="79"/>
      <c r="AG42" s="79"/>
      <c r="AH42" s="79"/>
    </row>
    <row r="43" spans="20:34" x14ac:dyDescent="0.3">
      <c r="T43" s="79"/>
      <c r="U43" s="79" t="s">
        <v>469</v>
      </c>
      <c r="V43" s="79"/>
      <c r="W43" s="79">
        <v>6</v>
      </c>
      <c r="X43" s="79"/>
      <c r="Y43" s="79"/>
      <c r="Z43" s="79"/>
      <c r="AA43" s="79"/>
      <c r="AB43" s="79"/>
      <c r="AC43" s="79"/>
      <c r="AD43" s="79"/>
      <c r="AE43" s="79"/>
      <c r="AF43" s="79"/>
      <c r="AG43" s="79"/>
      <c r="AH43" s="79"/>
    </row>
    <row r="44" spans="20:34" x14ac:dyDescent="0.3">
      <c r="T44" s="79"/>
      <c r="U44" s="79" t="s">
        <v>470</v>
      </c>
      <c r="V44" s="79"/>
      <c r="W44" s="79">
        <v>2</v>
      </c>
      <c r="X44" s="79"/>
      <c r="Y44" s="79"/>
      <c r="Z44" s="79"/>
      <c r="AA44" s="79"/>
      <c r="AB44" s="79"/>
      <c r="AC44" s="79"/>
      <c r="AD44" s="79"/>
      <c r="AE44" s="79"/>
      <c r="AF44" s="79"/>
      <c r="AG44" s="79"/>
      <c r="AH44" s="79"/>
    </row>
    <row r="45" spans="20:34" x14ac:dyDescent="0.3">
      <c r="T45" s="79"/>
      <c r="U45" s="79" t="s">
        <v>471</v>
      </c>
      <c r="V45" s="79"/>
      <c r="W45" s="79"/>
      <c r="X45" s="79"/>
      <c r="Y45" s="79"/>
      <c r="Z45" s="79"/>
      <c r="AA45" s="79"/>
      <c r="AB45" s="79"/>
      <c r="AC45" s="79"/>
      <c r="AD45" s="79"/>
      <c r="AE45" s="79">
        <v>4</v>
      </c>
      <c r="AF45" s="79"/>
      <c r="AG45" s="79"/>
      <c r="AH45" s="79"/>
    </row>
    <row r="46" spans="20:34" x14ac:dyDescent="0.3">
      <c r="T46" s="79"/>
      <c r="U46" s="79" t="s">
        <v>415</v>
      </c>
      <c r="V46" s="79"/>
      <c r="W46" s="79">
        <v>11</v>
      </c>
      <c r="X46" s="79"/>
      <c r="Y46" s="79"/>
      <c r="Z46" s="79"/>
      <c r="AA46" s="79">
        <v>33</v>
      </c>
      <c r="AB46" s="79"/>
      <c r="AC46" s="79"/>
      <c r="AD46" s="79"/>
      <c r="AE46" s="79">
        <v>2</v>
      </c>
      <c r="AF46" s="79"/>
      <c r="AG46" s="79"/>
      <c r="AH46" s="79"/>
    </row>
    <row r="47" spans="20:34" x14ac:dyDescent="0.3">
      <c r="T47" s="79"/>
      <c r="U47" s="79" t="s">
        <v>472</v>
      </c>
      <c r="V47" s="79"/>
      <c r="W47" s="79"/>
      <c r="X47" s="79"/>
      <c r="Y47" s="79"/>
      <c r="Z47" s="79"/>
      <c r="AA47" s="79"/>
      <c r="AB47" s="79"/>
      <c r="AC47" s="79"/>
      <c r="AD47" s="79"/>
      <c r="AE47" s="79"/>
      <c r="AF47" s="79"/>
      <c r="AG47" s="79">
        <v>8</v>
      </c>
      <c r="AH47" s="79"/>
    </row>
    <row r="48" spans="20:34" x14ac:dyDescent="0.3">
      <c r="T48" s="79"/>
      <c r="U48" s="79" t="s">
        <v>461</v>
      </c>
      <c r="V48" s="79"/>
      <c r="W48" s="79"/>
      <c r="X48" s="79"/>
      <c r="Y48" s="79"/>
      <c r="Z48" s="79"/>
      <c r="AA48" s="79"/>
      <c r="AB48" s="79"/>
      <c r="AC48" s="79"/>
      <c r="AD48" s="79"/>
      <c r="AE48" s="79"/>
      <c r="AF48" s="79"/>
      <c r="AG48" s="79">
        <v>4</v>
      </c>
      <c r="AH48" s="79"/>
    </row>
    <row r="49" spans="20:34" x14ac:dyDescent="0.3">
      <c r="T49" s="140">
        <v>46243</v>
      </c>
      <c r="U49" s="79" t="s">
        <v>473</v>
      </c>
      <c r="V49" s="79"/>
      <c r="W49" s="79">
        <v>22</v>
      </c>
      <c r="X49" s="79"/>
      <c r="Y49" s="79"/>
      <c r="Z49" s="79"/>
      <c r="AA49" s="79"/>
      <c r="AB49" s="79"/>
      <c r="AC49" s="79"/>
      <c r="AD49" s="79"/>
      <c r="AE49" s="79"/>
      <c r="AF49" s="79"/>
      <c r="AG49" s="79"/>
      <c r="AH49" s="79"/>
    </row>
    <row r="50" spans="20:34" x14ac:dyDescent="0.3">
      <c r="T50" s="79"/>
      <c r="U50" s="79" t="s">
        <v>473</v>
      </c>
      <c r="V50" s="79"/>
      <c r="W50" s="79">
        <v>22</v>
      </c>
      <c r="X50" s="79"/>
      <c r="Y50" s="79"/>
      <c r="Z50" s="79"/>
      <c r="AA50" s="79"/>
      <c r="AB50" s="79"/>
      <c r="AC50" s="79"/>
      <c r="AD50" s="79"/>
      <c r="AE50" s="79"/>
      <c r="AF50" s="79"/>
      <c r="AG50" s="79"/>
      <c r="AH50" s="79"/>
    </row>
    <row r="51" spans="20:34" x14ac:dyDescent="0.3">
      <c r="T51" s="79"/>
      <c r="U51" s="79" t="s">
        <v>473</v>
      </c>
      <c r="V51" s="79"/>
      <c r="W51" s="79"/>
      <c r="X51" s="79"/>
      <c r="Y51" s="79"/>
      <c r="Z51" s="79"/>
      <c r="AA51" s="79">
        <v>11</v>
      </c>
      <c r="AB51" s="79"/>
      <c r="AC51" s="79"/>
      <c r="AD51" s="79"/>
      <c r="AE51" s="79">
        <v>4</v>
      </c>
      <c r="AF51" s="79"/>
      <c r="AG51" s="79"/>
      <c r="AH51" s="79"/>
    </row>
    <row r="52" spans="20:34" x14ac:dyDescent="0.3">
      <c r="T52" s="79"/>
      <c r="U52" s="79" t="s">
        <v>63</v>
      </c>
      <c r="V52" s="79"/>
      <c r="W52" s="79">
        <v>3</v>
      </c>
      <c r="X52" s="79"/>
      <c r="Y52" s="79"/>
      <c r="Z52" s="79"/>
      <c r="AA52" s="79">
        <v>3</v>
      </c>
      <c r="AB52" s="79"/>
      <c r="AC52" s="79"/>
      <c r="AD52" s="79"/>
      <c r="AE52" s="79"/>
      <c r="AF52" s="79"/>
      <c r="AG52" s="79"/>
      <c r="AH52" s="79"/>
    </row>
    <row r="53" spans="20:34" x14ac:dyDescent="0.3">
      <c r="T53" s="79"/>
      <c r="U53" s="79" t="s">
        <v>474</v>
      </c>
      <c r="V53" s="79"/>
      <c r="W53" s="79">
        <v>2</v>
      </c>
      <c r="X53" s="79"/>
      <c r="Y53" s="79"/>
      <c r="Z53" s="79"/>
      <c r="AA53" s="79"/>
      <c r="AB53" s="79"/>
      <c r="AC53" s="79"/>
      <c r="AD53" s="79"/>
      <c r="AE53" s="79"/>
      <c r="AF53" s="79"/>
      <c r="AG53" s="79"/>
      <c r="AH53" s="79"/>
    </row>
    <row r="54" spans="20:34" x14ac:dyDescent="0.3">
      <c r="T54" s="79"/>
      <c r="U54" s="79" t="s">
        <v>466</v>
      </c>
      <c r="V54" s="79"/>
      <c r="W54" s="79">
        <v>4</v>
      </c>
      <c r="X54" s="79"/>
      <c r="Y54" s="79"/>
      <c r="Z54" s="79"/>
      <c r="AA54" s="79"/>
      <c r="AB54" s="79"/>
      <c r="AC54" s="79"/>
      <c r="AD54" s="79"/>
      <c r="AE54" s="79"/>
      <c r="AF54" s="79"/>
      <c r="AG54" s="79"/>
      <c r="AH54" s="79"/>
    </row>
    <row r="55" spans="20:34" x14ac:dyDescent="0.3">
      <c r="T55" s="79"/>
      <c r="U55" s="79" t="s">
        <v>473</v>
      </c>
      <c r="V55" s="79"/>
      <c r="W55" s="79"/>
      <c r="X55" s="79"/>
      <c r="Y55" s="79"/>
      <c r="Z55" s="79"/>
      <c r="AA55" s="79">
        <v>22</v>
      </c>
      <c r="AB55" s="79"/>
      <c r="AC55" s="79"/>
      <c r="AD55" s="79"/>
      <c r="AE55" s="79"/>
      <c r="AF55" s="79"/>
      <c r="AG55" s="79"/>
      <c r="AH55" s="79"/>
    </row>
    <row r="56" spans="20:34" x14ac:dyDescent="0.3">
      <c r="T56" s="79"/>
      <c r="U56" s="79" t="s">
        <v>475</v>
      </c>
      <c r="V56" s="79"/>
      <c r="W56" s="79"/>
      <c r="X56" s="79"/>
      <c r="Y56" s="79"/>
      <c r="Z56" s="79"/>
      <c r="AA56" s="79"/>
      <c r="AB56" s="79"/>
      <c r="AC56" s="79"/>
      <c r="AD56" s="79"/>
      <c r="AE56" s="79">
        <v>3</v>
      </c>
      <c r="AF56" s="79"/>
      <c r="AG56" s="79"/>
      <c r="AH56" s="79"/>
    </row>
    <row r="57" spans="20:34" x14ac:dyDescent="0.3">
      <c r="T57" s="79"/>
      <c r="U57" s="79"/>
      <c r="V57" s="79"/>
      <c r="W57" s="79"/>
      <c r="X57" s="79"/>
      <c r="Y57" s="79"/>
      <c r="Z57" s="79"/>
      <c r="AA57" s="79"/>
      <c r="AB57" s="79"/>
      <c r="AC57" s="79"/>
      <c r="AD57" s="79"/>
      <c r="AE57" s="79"/>
      <c r="AF57" s="79"/>
      <c r="AG57" s="79"/>
      <c r="AH57" s="79"/>
    </row>
    <row r="58" spans="20:34" x14ac:dyDescent="0.3">
      <c r="T58" s="79"/>
      <c r="U58" s="79"/>
      <c r="V58" s="79"/>
      <c r="W58" s="79"/>
      <c r="X58" s="79"/>
      <c r="Y58" s="79"/>
      <c r="Z58" s="79"/>
      <c r="AA58" s="79"/>
      <c r="AB58" s="79"/>
      <c r="AC58" s="79"/>
      <c r="AD58" s="79"/>
      <c r="AE58" s="79"/>
      <c r="AF58" s="79"/>
      <c r="AG58" s="79"/>
      <c r="AH58" s="79"/>
    </row>
    <row r="59" spans="20:34" x14ac:dyDescent="0.3">
      <c r="T59" s="79"/>
      <c r="U59" s="79"/>
      <c r="V59" s="79"/>
      <c r="W59" s="79"/>
      <c r="X59" s="79"/>
      <c r="Y59" s="79"/>
      <c r="Z59" s="79"/>
      <c r="AA59" s="79"/>
      <c r="AB59" s="79"/>
      <c r="AC59" s="79"/>
      <c r="AD59" s="79"/>
      <c r="AE59" s="79"/>
      <c r="AF59" s="79"/>
      <c r="AG59" s="79"/>
      <c r="AH59" s="79"/>
    </row>
    <row r="60" spans="20:34" x14ac:dyDescent="0.3">
      <c r="T60" s="79"/>
      <c r="U60" s="79"/>
      <c r="V60" s="79"/>
      <c r="W60" s="79"/>
      <c r="X60" s="79"/>
      <c r="Y60" s="79"/>
      <c r="Z60" s="79"/>
      <c r="AA60" s="79"/>
      <c r="AB60" s="79"/>
      <c r="AC60" s="79"/>
      <c r="AD60" s="79"/>
      <c r="AE60" s="79"/>
      <c r="AF60" s="79"/>
      <c r="AG60" s="79"/>
      <c r="AH60" s="79"/>
    </row>
    <row r="61" spans="20:34" x14ac:dyDescent="0.3">
      <c r="T61" s="79"/>
      <c r="U61" s="79"/>
      <c r="V61" s="79"/>
      <c r="W61" s="79"/>
      <c r="X61" s="79"/>
      <c r="Y61" s="79"/>
      <c r="Z61" s="79"/>
      <c r="AA61" s="79"/>
      <c r="AB61" s="79"/>
      <c r="AC61" s="79"/>
      <c r="AD61" s="79"/>
      <c r="AE61" s="79"/>
      <c r="AF61" s="79"/>
      <c r="AG61" s="79"/>
      <c r="AH61" s="79"/>
    </row>
    <row r="62" spans="20:34" x14ac:dyDescent="0.3">
      <c r="T62" s="79"/>
      <c r="U62" s="79"/>
      <c r="V62" s="79"/>
      <c r="W62" s="79"/>
      <c r="X62" s="79"/>
      <c r="Y62" s="79"/>
      <c r="Z62" s="79"/>
      <c r="AA62" s="79"/>
      <c r="AB62" s="79"/>
      <c r="AC62" s="79"/>
      <c r="AD62" s="79"/>
      <c r="AE62" s="79"/>
      <c r="AF62" s="79"/>
      <c r="AG62" s="79"/>
      <c r="AH62" s="79"/>
    </row>
    <row r="63" spans="20:34" x14ac:dyDescent="0.3">
      <c r="T63" s="79"/>
      <c r="U63" s="79"/>
      <c r="V63" s="79"/>
      <c r="W63" s="79"/>
      <c r="X63" s="79"/>
      <c r="Y63" s="79"/>
      <c r="Z63" s="79"/>
      <c r="AA63" s="79"/>
      <c r="AB63" s="79"/>
      <c r="AC63" s="79"/>
      <c r="AD63" s="79"/>
      <c r="AE63" s="79"/>
      <c r="AF63" s="79"/>
      <c r="AG63" s="79"/>
      <c r="AH63" s="79"/>
    </row>
    <row r="64" spans="20:34" x14ac:dyDescent="0.3">
      <c r="T64" s="79"/>
      <c r="U64" s="79"/>
      <c r="V64" s="79"/>
      <c r="W64" s="79"/>
      <c r="X64" s="79"/>
      <c r="Y64" s="79"/>
      <c r="Z64" s="79"/>
      <c r="AA64" s="79"/>
      <c r="AB64" s="79"/>
      <c r="AC64" s="79"/>
      <c r="AD64" s="79"/>
      <c r="AE64" s="79"/>
      <c r="AF64" s="79"/>
      <c r="AG64" s="79"/>
      <c r="AH64" s="79"/>
    </row>
    <row r="65" spans="20:34" x14ac:dyDescent="0.3">
      <c r="T65" s="79"/>
      <c r="U65" s="79"/>
      <c r="V65" s="79"/>
      <c r="W65" s="79"/>
      <c r="X65" s="79"/>
      <c r="Y65" s="79"/>
      <c r="Z65" s="79"/>
      <c r="AA65" s="79"/>
      <c r="AB65" s="79"/>
      <c r="AC65" s="79"/>
      <c r="AD65" s="79"/>
      <c r="AE65" s="79"/>
      <c r="AF65" s="79"/>
      <c r="AG65" s="79"/>
      <c r="AH65" s="79"/>
    </row>
    <row r="66" spans="20:34" x14ac:dyDescent="0.3">
      <c r="T66" s="79"/>
      <c r="V66" s="79"/>
      <c r="W66" s="79"/>
      <c r="X66" s="79"/>
      <c r="Y66" s="79"/>
      <c r="Z66" s="79"/>
      <c r="AA66" s="79"/>
      <c r="AB66" s="79"/>
      <c r="AC66" s="79"/>
      <c r="AD66" s="79"/>
      <c r="AE66" s="79"/>
      <c r="AF66" s="79"/>
      <c r="AG66" s="79"/>
      <c r="AH66" s="79"/>
    </row>
    <row r="67" spans="20:34" x14ac:dyDescent="0.3">
      <c r="T67" s="79"/>
      <c r="U67" s="79"/>
      <c r="V67" s="79"/>
      <c r="W67" s="79"/>
      <c r="X67" s="79"/>
      <c r="Y67" s="79"/>
      <c r="Z67" s="79"/>
      <c r="AA67" s="79"/>
      <c r="AB67" s="79"/>
      <c r="AC67" s="79"/>
      <c r="AD67" s="79"/>
      <c r="AE67" s="79"/>
      <c r="AF67" s="79"/>
      <c r="AG67" s="79"/>
      <c r="AH67" s="79"/>
    </row>
    <row r="68" spans="20:34" x14ac:dyDescent="0.3">
      <c r="T68" s="79"/>
      <c r="U68" s="79"/>
      <c r="V68" s="79"/>
      <c r="W68" s="79"/>
      <c r="X68" s="79"/>
      <c r="Y68" s="79"/>
      <c r="Z68" s="79"/>
      <c r="AA68" s="79"/>
      <c r="AB68" s="79"/>
      <c r="AC68" s="79"/>
      <c r="AD68" s="79"/>
      <c r="AE68" s="79"/>
      <c r="AF68" s="79"/>
      <c r="AG68" s="79"/>
      <c r="AH68" s="79"/>
    </row>
    <row r="69" spans="20:34" x14ac:dyDescent="0.3">
      <c r="T69" s="79"/>
      <c r="U69" s="79"/>
      <c r="V69" s="125" t="s">
        <v>439</v>
      </c>
      <c r="W69" s="79">
        <f t="shared" ref="W69:AH69" si="32">SUM(W38:W65)</f>
        <v>118</v>
      </c>
      <c r="X69" s="79">
        <f t="shared" si="32"/>
        <v>0</v>
      </c>
      <c r="Y69" s="79">
        <f t="shared" si="32"/>
        <v>0</v>
      </c>
      <c r="Z69" s="79">
        <f t="shared" si="32"/>
        <v>0</v>
      </c>
      <c r="AA69" s="79">
        <f t="shared" si="32"/>
        <v>69</v>
      </c>
      <c r="AB69" s="79">
        <f t="shared" si="32"/>
        <v>0</v>
      </c>
      <c r="AC69" s="79">
        <f t="shared" si="32"/>
        <v>0</v>
      </c>
      <c r="AD69" s="79">
        <f t="shared" si="32"/>
        <v>0</v>
      </c>
      <c r="AE69" s="79">
        <f t="shared" si="32"/>
        <v>13</v>
      </c>
      <c r="AF69" s="79">
        <f t="shared" si="32"/>
        <v>0</v>
      </c>
      <c r="AG69" s="79">
        <f t="shared" si="32"/>
        <v>22</v>
      </c>
      <c r="AH69" s="79">
        <f t="shared" si="32"/>
        <v>1</v>
      </c>
    </row>
    <row r="70" spans="20:34" x14ac:dyDescent="0.3">
      <c r="T70" s="79"/>
      <c r="U70" s="79"/>
      <c r="V70" s="125" t="s">
        <v>440</v>
      </c>
      <c r="W70" s="126">
        <f t="shared" ref="W70:AH70" si="33">H4+H124-W69</f>
        <v>-118</v>
      </c>
      <c r="X70" s="126">
        <f t="shared" si="33"/>
        <v>0</v>
      </c>
      <c r="Y70" s="126">
        <f t="shared" si="33"/>
        <v>0</v>
      </c>
      <c r="Z70" s="126">
        <f t="shared" si="33"/>
        <v>0</v>
      </c>
      <c r="AA70" s="126">
        <f t="shared" si="33"/>
        <v>-69</v>
      </c>
      <c r="AB70" s="126">
        <f t="shared" si="33"/>
        <v>0</v>
      </c>
      <c r="AC70" s="126">
        <f t="shared" si="33"/>
        <v>0</v>
      </c>
      <c r="AD70" s="126">
        <f t="shared" si="33"/>
        <v>0</v>
      </c>
      <c r="AE70" s="126">
        <f t="shared" si="33"/>
        <v>-13</v>
      </c>
      <c r="AF70" s="126">
        <f t="shared" si="33"/>
        <v>0</v>
      </c>
      <c r="AG70" s="126">
        <f t="shared" si="33"/>
        <v>-22</v>
      </c>
      <c r="AH70" s="126">
        <f t="shared" si="33"/>
        <v>-1</v>
      </c>
    </row>
    <row r="71" spans="20:34" x14ac:dyDescent="0.3">
      <c r="T71" s="79"/>
    </row>
    <row r="72" spans="20:34" x14ac:dyDescent="0.3">
      <c r="T72" s="79"/>
    </row>
    <row r="73" spans="20:34" x14ac:dyDescent="0.3">
      <c r="T73" s="79"/>
    </row>
    <row r="74" spans="20:34" x14ac:dyDescent="0.3">
      <c r="T74" s="79"/>
    </row>
    <row r="75" spans="20:34" x14ac:dyDescent="0.3">
      <c r="T75" s="79"/>
    </row>
    <row r="76" spans="20:34" x14ac:dyDescent="0.3">
      <c r="T76" s="79"/>
    </row>
    <row r="77" spans="20:34" x14ac:dyDescent="0.3">
      <c r="T77" s="79"/>
    </row>
    <row r="78" spans="20:34" x14ac:dyDescent="0.3">
      <c r="T78" s="79"/>
    </row>
    <row r="79" spans="20:34" x14ac:dyDescent="0.3">
      <c r="T79" s="79"/>
    </row>
    <row r="80" spans="20:34" x14ac:dyDescent="0.3">
      <c r="T80" s="79"/>
    </row>
    <row r="81" spans="20:20" x14ac:dyDescent="0.3">
      <c r="T81" s="79"/>
    </row>
    <row r="82" spans="20:20" x14ac:dyDescent="0.3">
      <c r="T82" s="79"/>
    </row>
    <row r="83" spans="20:20" x14ac:dyDescent="0.3">
      <c r="T83" s="79"/>
    </row>
    <row r="84" spans="20:20" x14ac:dyDescent="0.3">
      <c r="T84" s="79"/>
    </row>
    <row r="85" spans="20:20" x14ac:dyDescent="0.3">
      <c r="T85" s="79"/>
    </row>
    <row r="86" spans="20:20" x14ac:dyDescent="0.3">
      <c r="T86" s="79"/>
    </row>
    <row r="87" spans="20:20" x14ac:dyDescent="0.3">
      <c r="T87" s="79"/>
    </row>
    <row r="88" spans="20:20" x14ac:dyDescent="0.3">
      <c r="T88" s="79"/>
    </row>
    <row r="89" spans="20:20" x14ac:dyDescent="0.3">
      <c r="T89" s="79"/>
    </row>
    <row r="90" spans="20:20" x14ac:dyDescent="0.3">
      <c r="T90" s="79"/>
    </row>
    <row r="91" spans="20:20" x14ac:dyDescent="0.3">
      <c r="T91" s="79"/>
    </row>
    <row r="92" spans="20:20" x14ac:dyDescent="0.3">
      <c r="T92" s="79"/>
    </row>
    <row r="93" spans="20:20" x14ac:dyDescent="0.3">
      <c r="T93" s="79"/>
    </row>
    <row r="94" spans="20:20" x14ac:dyDescent="0.3">
      <c r="T94" s="79"/>
    </row>
    <row r="95" spans="20:20" x14ac:dyDescent="0.3">
      <c r="T95" s="79"/>
    </row>
    <row r="96" spans="20:20" x14ac:dyDescent="0.3">
      <c r="T96" s="79"/>
    </row>
    <row r="97" spans="20:20" x14ac:dyDescent="0.3">
      <c r="T97" s="79"/>
    </row>
    <row r="98" spans="20:20" x14ac:dyDescent="0.3">
      <c r="T98" s="79"/>
    </row>
    <row r="99" spans="20:20" x14ac:dyDescent="0.3">
      <c r="T99" s="79"/>
    </row>
    <row r="100" spans="20:20" x14ac:dyDescent="0.3">
      <c r="T100" s="79"/>
    </row>
    <row r="101" spans="20:20" x14ac:dyDescent="0.3">
      <c r="T101" s="79"/>
    </row>
    <row r="102" spans="20:20" x14ac:dyDescent="0.3">
      <c r="T102" s="79"/>
    </row>
    <row r="103" spans="20:20" x14ac:dyDescent="0.3">
      <c r="T103" s="79"/>
    </row>
    <row r="104" spans="20:20" x14ac:dyDescent="0.3">
      <c r="T104" s="79"/>
    </row>
    <row r="105" spans="20:20" x14ac:dyDescent="0.3">
      <c r="T105" s="79"/>
    </row>
    <row r="106" spans="20:20" x14ac:dyDescent="0.3">
      <c r="T106" s="79"/>
    </row>
    <row r="107" spans="20:20" x14ac:dyDescent="0.3">
      <c r="T107" s="79"/>
    </row>
    <row r="108" spans="20:20" x14ac:dyDescent="0.3">
      <c r="T108" s="79"/>
    </row>
    <row r="109" spans="20:20" x14ac:dyDescent="0.3">
      <c r="T109" s="79"/>
    </row>
    <row r="110" spans="20:20" x14ac:dyDescent="0.3">
      <c r="T110" s="79"/>
    </row>
    <row r="111" spans="20:20" x14ac:dyDescent="0.3">
      <c r="T111" s="79"/>
    </row>
    <row r="112" spans="20:20" x14ac:dyDescent="0.3">
      <c r="T112" s="79"/>
    </row>
    <row r="113" spans="20:20" x14ac:dyDescent="0.3">
      <c r="T113" s="79"/>
    </row>
    <row r="114" spans="20:20" x14ac:dyDescent="0.3">
      <c r="T114" s="79"/>
    </row>
    <row r="115" spans="20:20" x14ac:dyDescent="0.3">
      <c r="T115" s="79"/>
    </row>
    <row r="116" spans="20:20" x14ac:dyDescent="0.3">
      <c r="T116" s="79"/>
    </row>
    <row r="117" spans="20:20" x14ac:dyDescent="0.3">
      <c r="T117" s="79"/>
    </row>
    <row r="118" spans="20:20" x14ac:dyDescent="0.3">
      <c r="T118" s="79"/>
    </row>
    <row r="119" spans="20:20" x14ac:dyDescent="0.3">
      <c r="T119" s="79"/>
    </row>
    <row r="120" spans="20:20" x14ac:dyDescent="0.3">
      <c r="T120" s="79"/>
    </row>
    <row r="121" spans="20:20" x14ac:dyDescent="0.3">
      <c r="T121" s="79"/>
    </row>
    <row r="122" spans="20:20" x14ac:dyDescent="0.3">
      <c r="T122" s="79"/>
    </row>
    <row r="123" spans="20:20" x14ac:dyDescent="0.3">
      <c r="T123" s="79"/>
    </row>
    <row r="124" spans="20:20" x14ac:dyDescent="0.3">
      <c r="T124" s="79"/>
    </row>
    <row r="125" spans="20:20" x14ac:dyDescent="0.3">
      <c r="T125" s="79"/>
    </row>
  </sheetData>
  <mergeCells count="4">
    <mergeCell ref="C1:F1"/>
    <mergeCell ref="G1:J1"/>
    <mergeCell ref="K1:N1"/>
    <mergeCell ref="O1:R1"/>
  </mergeCells>
  <dataValidations count="1">
    <dataValidation type="list" allowBlank="1" showInputMessage="1" showErrorMessage="1" sqref="U69:U1070 U1:U3" xr:uid="{9CB99B33-2F28-47AA-ADCC-D423528D1254}">
      <formula1>$A$3:$A$475</formula1>
      <formula2>0</formula2>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572D82-A132-4EA9-B13F-7E4050A3300F}">
  <dimension ref="A1:AL125"/>
  <sheetViews>
    <sheetView workbookViewId="0"/>
  </sheetViews>
  <sheetFormatPr defaultColWidth="10.109375" defaultRowHeight="14.4" x14ac:dyDescent="0.3"/>
  <cols>
    <col min="1" max="1" width="5.5546875" customWidth="1"/>
    <col min="2" max="2" width="13.109375" style="81" customWidth="1"/>
    <col min="3" max="3" width="13.109375" customWidth="1"/>
    <col min="4" max="5" width="11.109375" customWidth="1"/>
    <col min="19" max="20" width="11.6640625" customWidth="1"/>
    <col min="24" max="25" width="26.6640625" customWidth="1"/>
    <col min="26" max="26" width="23.6640625" customWidth="1"/>
    <col min="28" max="28" width="7.88671875" customWidth="1"/>
    <col min="29" max="29" width="7.33203125" customWidth="1"/>
    <col min="30" max="30" width="9.33203125" customWidth="1"/>
    <col min="31" max="31" width="8" customWidth="1"/>
    <col min="32" max="33" width="8.109375" customWidth="1"/>
    <col min="34" max="34" width="7.88671875" customWidth="1"/>
    <col min="35" max="35" width="7.109375" customWidth="1"/>
    <col min="36" max="36" width="8.109375" customWidth="1"/>
    <col min="37" max="37" width="7.44140625" customWidth="1"/>
    <col min="38" max="38" width="7.6640625" customWidth="1"/>
  </cols>
  <sheetData>
    <row r="1" spans="1:38" ht="30.6" customHeight="1" x14ac:dyDescent="0.3">
      <c r="A1" s="80" t="s">
        <v>3</v>
      </c>
      <c r="B1" s="80" t="s">
        <v>367</v>
      </c>
      <c r="C1" s="380" t="s">
        <v>368</v>
      </c>
      <c r="D1" s="380"/>
      <c r="E1" s="380"/>
      <c r="F1" s="380"/>
      <c r="G1" s="380"/>
      <c r="H1" s="381" t="s">
        <v>369</v>
      </c>
      <c r="I1" s="381"/>
      <c r="J1" s="381"/>
      <c r="K1" s="381"/>
      <c r="L1" s="381"/>
      <c r="M1" s="382" t="s">
        <v>370</v>
      </c>
      <c r="N1" s="382"/>
      <c r="O1" s="382"/>
      <c r="P1" s="382"/>
      <c r="Q1" s="382"/>
      <c r="R1" s="383" t="s">
        <v>371</v>
      </c>
      <c r="S1" s="383"/>
      <c r="T1" s="383"/>
      <c r="U1" s="383"/>
      <c r="V1" s="383"/>
      <c r="W1" s="79"/>
      <c r="X1" s="128"/>
      <c r="Y1" s="127" t="s">
        <v>370</v>
      </c>
      <c r="Z1" s="127"/>
      <c r="AA1" s="127"/>
      <c r="AB1" s="127"/>
      <c r="AC1" s="127"/>
      <c r="AD1" s="127"/>
      <c r="AE1" s="127"/>
      <c r="AF1" s="127"/>
      <c r="AG1" s="127"/>
      <c r="AH1" s="127"/>
      <c r="AI1" s="127"/>
      <c r="AJ1" s="127"/>
      <c r="AK1" s="127"/>
      <c r="AL1" s="127"/>
    </row>
    <row r="2" spans="1:38" ht="32.85" customHeight="1" x14ac:dyDescent="0.3">
      <c r="A2" s="79"/>
      <c r="B2" s="82"/>
      <c r="C2" s="83" t="s">
        <v>372</v>
      </c>
      <c r="D2" s="83" t="s">
        <v>373</v>
      </c>
      <c r="E2" s="83" t="s">
        <v>507</v>
      </c>
      <c r="F2" s="83" t="s">
        <v>374</v>
      </c>
      <c r="G2" s="83" t="s">
        <v>375</v>
      </c>
      <c r="H2" s="84" t="s">
        <v>372</v>
      </c>
      <c r="I2" s="84" t="s">
        <v>373</v>
      </c>
      <c r="J2" s="230" t="s">
        <v>507</v>
      </c>
      <c r="K2" s="84" t="s">
        <v>374</v>
      </c>
      <c r="L2" s="84" t="s">
        <v>375</v>
      </c>
      <c r="M2" s="85" t="s">
        <v>372</v>
      </c>
      <c r="N2" s="85" t="s">
        <v>373</v>
      </c>
      <c r="O2" s="85" t="s">
        <v>486</v>
      </c>
      <c r="P2" s="85" t="s">
        <v>374</v>
      </c>
      <c r="Q2" s="85" t="s">
        <v>375</v>
      </c>
      <c r="R2" s="86" t="s">
        <v>372</v>
      </c>
      <c r="S2" s="86" t="s">
        <v>373</v>
      </c>
      <c r="T2" s="86" t="s">
        <v>486</v>
      </c>
      <c r="U2" s="86" t="s">
        <v>374</v>
      </c>
      <c r="V2" s="86" t="s">
        <v>375</v>
      </c>
      <c r="W2" s="79"/>
      <c r="X2" s="129"/>
      <c r="Y2" s="119" t="s">
        <v>318</v>
      </c>
      <c r="Z2" s="119" t="s">
        <v>403</v>
      </c>
      <c r="AA2" s="120" t="s">
        <v>26</v>
      </c>
      <c r="AB2" s="118" t="s">
        <v>404</v>
      </c>
      <c r="AC2" s="118" t="s">
        <v>405</v>
      </c>
      <c r="AD2" s="118" t="s">
        <v>406</v>
      </c>
      <c r="AE2" s="118" t="s">
        <v>29</v>
      </c>
      <c r="AF2" s="118" t="s">
        <v>407</v>
      </c>
      <c r="AG2" s="118" t="s">
        <v>408</v>
      </c>
      <c r="AH2" s="118" t="s">
        <v>409</v>
      </c>
      <c r="AI2" s="118" t="s">
        <v>410</v>
      </c>
      <c r="AJ2" s="118" t="s">
        <v>411</v>
      </c>
      <c r="AK2" s="118" t="s">
        <v>42</v>
      </c>
      <c r="AL2" s="118" t="s">
        <v>412</v>
      </c>
    </row>
    <row r="3" spans="1:38" ht="32.85" customHeight="1" x14ac:dyDescent="0.35">
      <c r="A3" s="79"/>
      <c r="B3" s="82">
        <v>46273</v>
      </c>
      <c r="C3" s="79"/>
      <c r="D3" s="79"/>
      <c r="E3" s="79"/>
      <c r="F3" s="79"/>
      <c r="G3" s="79"/>
      <c r="H3" s="79"/>
      <c r="I3" s="79"/>
      <c r="J3" s="79"/>
      <c r="K3" s="79"/>
      <c r="L3" s="79"/>
      <c r="M3" s="79"/>
      <c r="N3" s="79"/>
      <c r="O3" s="79"/>
      <c r="P3" s="79"/>
      <c r="Q3" s="79"/>
      <c r="R3" s="79">
        <f>C3+H3-M3</f>
        <v>0</v>
      </c>
      <c r="S3" s="79">
        <f>D3+I3-N3</f>
        <v>0</v>
      </c>
      <c r="T3" s="79"/>
      <c r="U3" s="79">
        <f>F3+K3-P3</f>
        <v>0</v>
      </c>
      <c r="V3" s="79">
        <f>G3+L3-Q3</f>
        <v>0</v>
      </c>
      <c r="W3" s="79"/>
      <c r="X3" s="130"/>
      <c r="Y3" s="121"/>
      <c r="Z3" s="121"/>
      <c r="AA3" s="121"/>
      <c r="AB3" s="121"/>
      <c r="AC3" s="121"/>
      <c r="AD3" s="121"/>
      <c r="AE3" s="121"/>
      <c r="AF3" s="121"/>
      <c r="AG3" s="121"/>
      <c r="AH3" s="121"/>
      <c r="AI3" s="121"/>
      <c r="AJ3" s="121"/>
      <c r="AK3" s="121"/>
      <c r="AL3" s="121"/>
    </row>
    <row r="4" spans="1:38" ht="32.85" customHeight="1" x14ac:dyDescent="0.3">
      <c r="A4" s="79"/>
      <c r="B4" s="82">
        <v>46274</v>
      </c>
      <c r="C4" s="79"/>
      <c r="D4" s="79"/>
      <c r="E4" s="79"/>
      <c r="F4" s="79"/>
      <c r="G4" s="79"/>
      <c r="H4" s="79"/>
      <c r="I4" s="79"/>
      <c r="J4" s="79"/>
      <c r="K4" s="79">
        <v>50</v>
      </c>
      <c r="L4" s="79"/>
      <c r="M4" s="79"/>
      <c r="N4" s="79"/>
      <c r="O4" s="79"/>
      <c r="P4" s="79">
        <v>2</v>
      </c>
      <c r="Q4" s="79"/>
      <c r="R4" s="79">
        <f t="shared" ref="R4:R9" si="0">C4+H4-M4</f>
        <v>0</v>
      </c>
      <c r="S4" s="79">
        <f t="shared" ref="S4:S9" si="1">D4+I4-N4</f>
        <v>0</v>
      </c>
      <c r="T4" s="79"/>
      <c r="U4" s="79">
        <f t="shared" ref="U4:U9" si="2">F4+K4-P4</f>
        <v>48</v>
      </c>
      <c r="V4" s="79">
        <f t="shared" ref="V4:V9" si="3">G4+L4-Q4</f>
        <v>0</v>
      </c>
      <c r="W4" s="142"/>
      <c r="X4" s="140"/>
      <c r="Y4" s="88"/>
      <c r="Z4" s="79"/>
      <c r="AA4" s="79"/>
      <c r="AB4" s="79"/>
      <c r="AC4" s="79"/>
      <c r="AD4" s="79"/>
      <c r="AE4" s="79"/>
      <c r="AF4" s="79"/>
      <c r="AG4" s="79"/>
      <c r="AH4" s="79"/>
      <c r="AI4" s="79"/>
      <c r="AJ4" s="79"/>
      <c r="AK4" s="79"/>
      <c r="AL4" s="79"/>
    </row>
    <row r="5" spans="1:38" ht="32.85" customHeight="1" x14ac:dyDescent="0.3">
      <c r="A5" s="79"/>
      <c r="B5" s="228">
        <v>46304</v>
      </c>
      <c r="C5" s="79">
        <f t="shared" ref="C5:D7" si="4">R4</f>
        <v>0</v>
      </c>
      <c r="D5" s="79">
        <f t="shared" si="4"/>
        <v>0</v>
      </c>
      <c r="E5" s="79"/>
      <c r="F5" s="79">
        <f t="shared" ref="F5:G5" si="5">U4</f>
        <v>48</v>
      </c>
      <c r="G5" s="79">
        <f t="shared" si="5"/>
        <v>0</v>
      </c>
      <c r="H5" s="79"/>
      <c r="I5" s="79"/>
      <c r="J5" s="79"/>
      <c r="K5" s="79">
        <v>40</v>
      </c>
      <c r="L5" s="79"/>
      <c r="M5" s="79"/>
      <c r="N5" s="79"/>
      <c r="O5" s="79"/>
      <c r="P5" s="79">
        <f>20+40+13</f>
        <v>73</v>
      </c>
      <c r="Q5" s="79"/>
      <c r="R5" s="79">
        <f t="shared" si="0"/>
        <v>0</v>
      </c>
      <c r="S5" s="79">
        <f t="shared" si="1"/>
        <v>0</v>
      </c>
      <c r="T5" s="79"/>
      <c r="U5" s="79">
        <f t="shared" si="2"/>
        <v>15</v>
      </c>
      <c r="V5" s="79">
        <f t="shared" si="3"/>
        <v>0</v>
      </c>
      <c r="W5" s="142"/>
      <c r="X5" s="79"/>
      <c r="Y5" s="212" t="s">
        <v>502</v>
      </c>
      <c r="Z5" s="79" t="s">
        <v>503</v>
      </c>
      <c r="AA5" s="79">
        <v>2</v>
      </c>
      <c r="AB5" s="79"/>
      <c r="AC5" s="79"/>
      <c r="AD5" s="79"/>
      <c r="AE5" s="79"/>
      <c r="AF5" s="79"/>
      <c r="AG5" s="79"/>
      <c r="AH5" s="79"/>
      <c r="AI5" s="79"/>
      <c r="AJ5" s="79"/>
      <c r="AK5" s="79"/>
      <c r="AL5" s="79"/>
    </row>
    <row r="6" spans="1:38" ht="32.85" customHeight="1" x14ac:dyDescent="0.3">
      <c r="A6" s="79"/>
      <c r="B6" s="102" t="s">
        <v>524</v>
      </c>
      <c r="C6" s="79">
        <f t="shared" si="4"/>
        <v>0</v>
      </c>
      <c r="D6" s="79">
        <f t="shared" si="4"/>
        <v>0</v>
      </c>
      <c r="E6" s="79"/>
      <c r="F6" s="79">
        <f t="shared" ref="F6" si="6">U5</f>
        <v>15</v>
      </c>
      <c r="G6" s="79">
        <f t="shared" ref="G6" si="7">V5</f>
        <v>0</v>
      </c>
      <c r="H6" s="79"/>
      <c r="I6" s="79"/>
      <c r="J6" s="79"/>
      <c r="K6" s="79">
        <v>40</v>
      </c>
      <c r="L6" s="79"/>
      <c r="M6" s="79"/>
      <c r="N6" s="79"/>
      <c r="O6" s="79"/>
      <c r="P6" s="79">
        <v>4</v>
      </c>
      <c r="Q6" s="79"/>
      <c r="R6" s="79">
        <f t="shared" si="0"/>
        <v>0</v>
      </c>
      <c r="S6" s="79">
        <f t="shared" si="1"/>
        <v>0</v>
      </c>
      <c r="T6" s="79"/>
      <c r="U6" s="79">
        <f t="shared" si="2"/>
        <v>51</v>
      </c>
      <c r="V6" s="79">
        <f t="shared" si="3"/>
        <v>0</v>
      </c>
      <c r="W6" s="142"/>
      <c r="X6" s="79"/>
      <c r="Y6" s="229" t="s">
        <v>504</v>
      </c>
      <c r="Z6" s="79" t="s">
        <v>505</v>
      </c>
      <c r="AA6" s="79">
        <v>60</v>
      </c>
      <c r="AB6" s="79"/>
      <c r="AC6" s="79"/>
      <c r="AD6" s="79"/>
      <c r="AE6" s="79"/>
      <c r="AF6" s="79"/>
      <c r="AG6" s="79"/>
      <c r="AH6" s="79"/>
      <c r="AI6" s="79"/>
      <c r="AJ6" s="79"/>
      <c r="AK6" s="79"/>
      <c r="AL6" s="79"/>
    </row>
    <row r="7" spans="1:38" ht="32.85" customHeight="1" x14ac:dyDescent="0.3">
      <c r="A7" s="79"/>
      <c r="B7" s="102" t="s">
        <v>563</v>
      </c>
      <c r="C7" s="79">
        <f t="shared" si="4"/>
        <v>0</v>
      </c>
      <c r="D7" s="79">
        <f t="shared" si="4"/>
        <v>0</v>
      </c>
      <c r="E7" s="79"/>
      <c r="F7" s="79">
        <f t="shared" ref="F7" si="8">U6</f>
        <v>51</v>
      </c>
      <c r="G7" s="79">
        <f t="shared" ref="G7" si="9">V6</f>
        <v>0</v>
      </c>
      <c r="H7" s="79"/>
      <c r="I7" s="79"/>
      <c r="J7" s="79"/>
      <c r="K7" s="79"/>
      <c r="L7" s="79"/>
      <c r="M7" s="79"/>
      <c r="N7" s="79"/>
      <c r="O7" s="79"/>
      <c r="P7" s="79">
        <v>4</v>
      </c>
      <c r="Q7" s="79"/>
      <c r="R7" s="79">
        <f t="shared" si="0"/>
        <v>0</v>
      </c>
      <c r="S7" s="79">
        <f t="shared" si="1"/>
        <v>0</v>
      </c>
      <c r="T7" s="79"/>
      <c r="U7" s="79">
        <f t="shared" si="2"/>
        <v>47</v>
      </c>
      <c r="V7" s="79">
        <f t="shared" si="3"/>
        <v>0</v>
      </c>
      <c r="W7" s="142"/>
      <c r="X7" s="79"/>
      <c r="Y7" s="229" t="s">
        <v>504</v>
      </c>
      <c r="Z7" s="79" t="s">
        <v>516</v>
      </c>
      <c r="AA7" s="79">
        <v>2</v>
      </c>
      <c r="AB7" s="79"/>
      <c r="AC7" s="79"/>
      <c r="AD7" s="79"/>
      <c r="AE7" s="79"/>
      <c r="AF7" s="79"/>
      <c r="AG7" s="79"/>
      <c r="AH7" s="79"/>
      <c r="AI7" s="79"/>
      <c r="AJ7" s="79"/>
      <c r="AK7" s="79"/>
      <c r="AL7" s="79"/>
    </row>
    <row r="8" spans="1:38" ht="35.1" customHeight="1" x14ac:dyDescent="0.3">
      <c r="A8" s="79"/>
      <c r="B8" s="87" t="s">
        <v>570</v>
      </c>
      <c r="C8" s="79">
        <f t="shared" ref="C8" si="10">R7</f>
        <v>0</v>
      </c>
      <c r="D8" s="79">
        <f t="shared" ref="D8" si="11">S7</f>
        <v>0</v>
      </c>
      <c r="E8" s="79"/>
      <c r="F8" s="79">
        <f t="shared" ref="F8" si="12">U7</f>
        <v>47</v>
      </c>
      <c r="G8" s="79">
        <f t="shared" ref="G8" si="13">V7</f>
        <v>0</v>
      </c>
      <c r="H8" s="79"/>
      <c r="I8" s="79"/>
      <c r="J8" s="79"/>
      <c r="K8" s="79"/>
      <c r="L8" s="79"/>
      <c r="M8" s="79"/>
      <c r="N8" s="79"/>
      <c r="O8" s="79"/>
      <c r="P8" s="79">
        <f>11+7</f>
        <v>18</v>
      </c>
      <c r="Q8" s="79"/>
      <c r="R8" s="79">
        <f t="shared" si="0"/>
        <v>0</v>
      </c>
      <c r="S8" s="79">
        <f t="shared" si="1"/>
        <v>0</v>
      </c>
      <c r="T8" s="79"/>
      <c r="U8" s="79">
        <f t="shared" si="2"/>
        <v>29</v>
      </c>
      <c r="V8" s="79">
        <f t="shared" si="3"/>
        <v>0</v>
      </c>
      <c r="W8" s="142"/>
      <c r="X8" s="79"/>
      <c r="Y8" s="229" t="s">
        <v>504</v>
      </c>
      <c r="Z8" s="79" t="s">
        <v>517</v>
      </c>
      <c r="AA8" s="79">
        <v>11</v>
      </c>
      <c r="AB8" s="79"/>
      <c r="AC8" s="79"/>
      <c r="AD8" s="79"/>
      <c r="AE8" s="79"/>
      <c r="AF8" s="79"/>
      <c r="AG8" s="79"/>
      <c r="AH8" s="79"/>
      <c r="AI8" s="79"/>
      <c r="AJ8" s="79"/>
      <c r="AK8" s="79"/>
      <c r="AL8" s="79"/>
    </row>
    <row r="9" spans="1:38" ht="35.1" customHeight="1" x14ac:dyDescent="0.3">
      <c r="A9" s="79"/>
      <c r="B9" s="87" t="s">
        <v>581</v>
      </c>
      <c r="C9" s="79">
        <f t="shared" ref="C9" si="14">R8</f>
        <v>0</v>
      </c>
      <c r="D9" s="79">
        <f t="shared" ref="D9" si="15">S8</f>
        <v>0</v>
      </c>
      <c r="E9" s="79"/>
      <c r="F9" s="79">
        <f t="shared" ref="F9" si="16">U8</f>
        <v>29</v>
      </c>
      <c r="G9" s="79">
        <f t="shared" ref="G9" si="17">V8</f>
        <v>0</v>
      </c>
      <c r="H9" s="79"/>
      <c r="I9" s="79"/>
      <c r="J9" s="79"/>
      <c r="K9" s="79">
        <v>40</v>
      </c>
      <c r="L9" s="79"/>
      <c r="M9" s="79"/>
      <c r="N9" s="79"/>
      <c r="O9" s="79"/>
      <c r="P9" s="79">
        <v>40</v>
      </c>
      <c r="Q9" s="79"/>
      <c r="R9" s="79">
        <f t="shared" si="0"/>
        <v>0</v>
      </c>
      <c r="S9" s="79">
        <f t="shared" si="1"/>
        <v>0</v>
      </c>
      <c r="T9" s="79"/>
      <c r="U9" s="79">
        <f t="shared" si="2"/>
        <v>29</v>
      </c>
      <c r="V9" s="79">
        <f t="shared" si="3"/>
        <v>0</v>
      </c>
      <c r="W9" s="142"/>
      <c r="X9" s="79" t="s">
        <v>602</v>
      </c>
      <c r="Y9" s="79"/>
      <c r="Z9" s="79"/>
      <c r="AA9" s="79"/>
      <c r="AB9" s="79"/>
      <c r="AC9" s="79"/>
      <c r="AD9" s="79"/>
      <c r="AE9" s="79"/>
      <c r="AF9" s="79"/>
      <c r="AG9" s="79"/>
      <c r="AH9" s="79"/>
      <c r="AI9" s="79"/>
      <c r="AJ9" s="79"/>
      <c r="AK9" s="79"/>
      <c r="AL9" s="79"/>
    </row>
    <row r="10" spans="1:38" ht="35.1" customHeight="1" x14ac:dyDescent="0.3">
      <c r="A10" s="79"/>
      <c r="B10" s="87" t="s">
        <v>608</v>
      </c>
      <c r="C10" s="79">
        <f t="shared" ref="C10" si="18">R9</f>
        <v>0</v>
      </c>
      <c r="D10" s="79">
        <f t="shared" ref="D10" si="19">S9</f>
        <v>0</v>
      </c>
      <c r="E10" s="79"/>
      <c r="F10" s="79">
        <f t="shared" ref="F10" si="20">U9</f>
        <v>29</v>
      </c>
      <c r="G10" s="79">
        <f t="shared" ref="G10" si="21">V9</f>
        <v>0</v>
      </c>
      <c r="H10" s="79"/>
      <c r="I10" s="79">
        <v>11</v>
      </c>
      <c r="J10" s="79"/>
      <c r="K10" s="79"/>
      <c r="L10" s="79"/>
      <c r="M10" s="79"/>
      <c r="N10" s="79">
        <v>11</v>
      </c>
      <c r="O10" s="79"/>
      <c r="P10" s="79">
        <v>1</v>
      </c>
      <c r="Q10" s="79"/>
      <c r="R10" s="79">
        <f t="shared" ref="R10" si="22">C10+H10-M10</f>
        <v>0</v>
      </c>
      <c r="S10" s="79">
        <f t="shared" ref="S10" si="23">D10+I10-N10</f>
        <v>0</v>
      </c>
      <c r="T10" s="79"/>
      <c r="U10" s="79">
        <f t="shared" ref="U10" si="24">F10+K10-P10</f>
        <v>28</v>
      </c>
      <c r="V10" s="79">
        <f t="shared" ref="V10" si="25">G10+L10-Q10</f>
        <v>0</v>
      </c>
      <c r="W10" s="142"/>
      <c r="X10" s="79"/>
      <c r="Y10" s="79"/>
      <c r="Z10" s="79"/>
      <c r="AA10" s="79"/>
      <c r="AB10" s="79"/>
      <c r="AC10" s="79"/>
      <c r="AD10" s="79"/>
      <c r="AE10" s="79"/>
      <c r="AF10" s="79"/>
      <c r="AG10" s="79"/>
      <c r="AH10" s="79"/>
      <c r="AI10" s="79"/>
      <c r="AJ10" s="79"/>
      <c r="AK10" s="79"/>
      <c r="AL10" s="79"/>
    </row>
    <row r="11" spans="1:38" ht="35.1" customHeight="1" x14ac:dyDescent="0.3">
      <c r="A11" s="79"/>
      <c r="B11" s="87" t="s">
        <v>628</v>
      </c>
      <c r="C11" s="79">
        <f t="shared" ref="C11" si="26">R10</f>
        <v>0</v>
      </c>
      <c r="D11" s="79">
        <f t="shared" ref="D11" si="27">S10</f>
        <v>0</v>
      </c>
      <c r="E11" s="79"/>
      <c r="F11" s="79">
        <f t="shared" ref="F11" si="28">U10</f>
        <v>28</v>
      </c>
      <c r="G11" s="79">
        <f t="shared" ref="G11" si="29">V10</f>
        <v>0</v>
      </c>
      <c r="H11" s="79"/>
      <c r="I11" s="79"/>
      <c r="J11" s="79"/>
      <c r="K11" s="79"/>
      <c r="L11" s="79"/>
      <c r="M11" s="79"/>
      <c r="N11" s="79"/>
      <c r="O11" s="79"/>
      <c r="P11" s="79">
        <v>4</v>
      </c>
      <c r="Q11" s="79"/>
      <c r="R11" s="79">
        <f t="shared" ref="R11" si="30">C11+H11-M11</f>
        <v>0</v>
      </c>
      <c r="S11" s="79">
        <f t="shared" ref="S11" si="31">D11+I11-N11</f>
        <v>0</v>
      </c>
      <c r="T11" s="79"/>
      <c r="U11" s="79">
        <f t="shared" ref="U11" si="32">F11+K11-P11</f>
        <v>24</v>
      </c>
      <c r="V11" s="79">
        <f t="shared" ref="V11" si="33">G11+L11-Q11</f>
        <v>0</v>
      </c>
      <c r="W11" s="142"/>
      <c r="X11" s="79"/>
      <c r="Y11" s="79"/>
      <c r="Z11" s="79"/>
      <c r="AA11" s="79"/>
      <c r="AB11" s="79"/>
      <c r="AC11" s="79"/>
      <c r="AD11" s="79"/>
      <c r="AE11" s="79"/>
      <c r="AF11" s="79"/>
      <c r="AG11" s="79"/>
      <c r="AH11" s="79"/>
      <c r="AI11" s="79"/>
      <c r="AJ11" s="79"/>
      <c r="AK11" s="79"/>
      <c r="AL11" s="79"/>
    </row>
    <row r="12" spans="1:38" ht="35.1" customHeight="1" x14ac:dyDescent="0.3">
      <c r="A12" s="79"/>
      <c r="B12" s="87" t="s">
        <v>641</v>
      </c>
      <c r="C12" s="79">
        <f t="shared" ref="C12" si="34">R11</f>
        <v>0</v>
      </c>
      <c r="D12" s="79">
        <f t="shared" ref="D12" si="35">S11</f>
        <v>0</v>
      </c>
      <c r="E12" s="79"/>
      <c r="F12" s="79">
        <f t="shared" ref="F12" si="36">U11</f>
        <v>24</v>
      </c>
      <c r="G12" s="79">
        <f t="shared" ref="G12" si="37">V11</f>
        <v>0</v>
      </c>
      <c r="H12" s="79"/>
      <c r="I12" s="79"/>
      <c r="J12" s="79"/>
      <c r="K12" s="79"/>
      <c r="L12" s="79"/>
      <c r="M12" s="79"/>
      <c r="N12" s="79"/>
      <c r="O12" s="79"/>
      <c r="P12" s="79">
        <v>2</v>
      </c>
      <c r="Q12" s="79"/>
      <c r="R12" s="79">
        <f t="shared" ref="R12" si="38">C12+H12-M12</f>
        <v>0</v>
      </c>
      <c r="S12" s="79">
        <f t="shared" ref="S12" si="39">D12+I12-N12</f>
        <v>0</v>
      </c>
      <c r="T12" s="79"/>
      <c r="U12" s="79">
        <f t="shared" ref="U12" si="40">F12+K12-P12</f>
        <v>22</v>
      </c>
      <c r="V12" s="79">
        <f t="shared" ref="V12" si="41">G12+L12-Q12</f>
        <v>0</v>
      </c>
      <c r="W12" s="142"/>
      <c r="X12" s="79"/>
      <c r="Y12" s="79"/>
      <c r="Z12" s="79"/>
      <c r="AA12" s="79"/>
      <c r="AB12" s="79"/>
      <c r="AC12" s="79"/>
      <c r="AD12" s="79"/>
      <c r="AE12" s="79"/>
      <c r="AF12" s="79"/>
      <c r="AG12" s="79"/>
      <c r="AH12" s="79"/>
      <c r="AI12" s="79"/>
      <c r="AJ12" s="79"/>
      <c r="AK12" s="79"/>
      <c r="AL12" s="79"/>
    </row>
    <row r="13" spans="1:38" ht="35.1" customHeight="1" x14ac:dyDescent="0.3">
      <c r="A13" s="79"/>
      <c r="B13" s="87" t="s">
        <v>674</v>
      </c>
      <c r="C13" s="79">
        <f t="shared" ref="C13" si="42">R12</f>
        <v>0</v>
      </c>
      <c r="D13" s="79">
        <f t="shared" ref="D13" si="43">S12</f>
        <v>0</v>
      </c>
      <c r="E13" s="79"/>
      <c r="F13" s="79">
        <f t="shared" ref="F13" si="44">U12</f>
        <v>22</v>
      </c>
      <c r="G13" s="79">
        <f t="shared" ref="G13" si="45">V12</f>
        <v>0</v>
      </c>
      <c r="H13" s="79"/>
      <c r="I13" s="79"/>
      <c r="J13" s="79"/>
      <c r="K13" s="79"/>
      <c r="L13" s="79"/>
      <c r="M13" s="79"/>
      <c r="N13" s="79"/>
      <c r="O13" s="79"/>
      <c r="P13" s="79">
        <v>4</v>
      </c>
      <c r="Q13" s="79"/>
      <c r="R13" s="79">
        <f t="shared" ref="R13" si="46">C13+H13-M13</f>
        <v>0</v>
      </c>
      <c r="S13" s="79">
        <f t="shared" ref="S13" si="47">D13+I13-N13</f>
        <v>0</v>
      </c>
      <c r="T13" s="79"/>
      <c r="U13" s="79">
        <f t="shared" ref="U13" si="48">F13+K13-P13</f>
        <v>18</v>
      </c>
      <c r="V13" s="79">
        <f t="shared" ref="V13" si="49">G13+L13-Q13</f>
        <v>0</v>
      </c>
      <c r="W13" s="142"/>
      <c r="X13" s="79"/>
      <c r="Y13" s="79"/>
      <c r="Z13" s="79"/>
      <c r="AA13" s="79"/>
      <c r="AB13" s="79"/>
      <c r="AC13" s="79"/>
      <c r="AD13" s="79"/>
      <c r="AE13" s="79"/>
      <c r="AF13" s="79"/>
      <c r="AG13" s="79"/>
      <c r="AH13" s="79"/>
      <c r="AI13" s="79"/>
      <c r="AJ13" s="79"/>
      <c r="AK13" s="79"/>
      <c r="AL13" s="79"/>
    </row>
    <row r="14" spans="1:38" ht="35.1" customHeight="1" x14ac:dyDescent="0.3">
      <c r="A14" s="79"/>
      <c r="B14" s="87"/>
      <c r="C14" s="79"/>
      <c r="D14" s="79"/>
      <c r="E14" s="79"/>
      <c r="F14" s="79"/>
      <c r="G14" s="79"/>
      <c r="H14" s="79"/>
      <c r="I14" s="79"/>
      <c r="J14" s="79"/>
      <c r="K14" s="79"/>
      <c r="L14" s="79"/>
      <c r="M14" s="79"/>
      <c r="N14" s="79"/>
      <c r="O14" s="79"/>
      <c r="P14" s="79"/>
      <c r="Q14" s="79"/>
      <c r="R14" s="79"/>
      <c r="S14" s="79"/>
      <c r="T14" s="79"/>
      <c r="U14" s="79"/>
      <c r="V14" s="79"/>
      <c r="W14" s="142"/>
      <c r="X14" s="79"/>
      <c r="Y14" s="79"/>
      <c r="Z14" s="79"/>
      <c r="AA14" s="79"/>
      <c r="AB14" s="79"/>
      <c r="AC14" s="79"/>
      <c r="AD14" s="79"/>
      <c r="AE14" s="79"/>
      <c r="AF14" s="79"/>
      <c r="AG14" s="79"/>
      <c r="AH14" s="79"/>
      <c r="AI14" s="79"/>
      <c r="AJ14" s="79"/>
      <c r="AK14" s="79"/>
      <c r="AL14" s="79"/>
    </row>
    <row r="15" spans="1:38" ht="35.1" customHeight="1" x14ac:dyDescent="0.3">
      <c r="A15" s="79"/>
      <c r="B15" s="87"/>
      <c r="C15" s="79"/>
      <c r="D15" s="79"/>
      <c r="E15" s="79"/>
      <c r="F15" s="79"/>
      <c r="G15" s="79"/>
      <c r="H15" s="79"/>
      <c r="I15" s="79"/>
      <c r="J15" s="79"/>
      <c r="K15" s="79"/>
      <c r="L15" s="79"/>
      <c r="M15" s="79"/>
      <c r="N15" s="79"/>
      <c r="O15" s="79"/>
      <c r="P15" s="79"/>
      <c r="Q15" s="79"/>
      <c r="R15" s="79"/>
      <c r="S15" s="79"/>
      <c r="T15" s="79"/>
      <c r="U15" s="79"/>
      <c r="V15" s="79"/>
      <c r="W15" s="142"/>
      <c r="X15" s="79"/>
      <c r="Y15" s="79"/>
      <c r="Z15" s="79"/>
      <c r="AA15" s="79"/>
      <c r="AB15" s="79"/>
      <c r="AC15" s="79"/>
      <c r="AD15" s="79"/>
      <c r="AE15" s="79"/>
      <c r="AF15" s="79"/>
      <c r="AG15" s="79"/>
      <c r="AH15" s="79"/>
      <c r="AI15" s="79"/>
      <c r="AJ15" s="79"/>
      <c r="AK15" s="79"/>
      <c r="AL15" s="79"/>
    </row>
    <row r="16" spans="1:38" ht="35.1" customHeight="1" x14ac:dyDescent="0.3">
      <c r="A16" s="79"/>
      <c r="B16" s="87"/>
      <c r="C16" s="79"/>
      <c r="D16" s="79"/>
      <c r="E16" s="79"/>
      <c r="F16" s="79"/>
      <c r="G16" s="79"/>
      <c r="H16" s="79"/>
      <c r="I16" s="79"/>
      <c r="J16" s="79"/>
      <c r="K16" s="79"/>
      <c r="L16" s="79"/>
      <c r="M16" s="79"/>
      <c r="N16" s="79"/>
      <c r="O16" s="79"/>
      <c r="P16" s="79"/>
      <c r="Q16" s="79"/>
      <c r="R16" s="79"/>
      <c r="S16" s="79"/>
      <c r="T16" s="79"/>
      <c r="U16" s="79"/>
      <c r="V16" s="79"/>
      <c r="W16" s="142"/>
      <c r="X16" s="79"/>
      <c r="Y16" s="79"/>
      <c r="Z16" s="79"/>
      <c r="AA16" s="79"/>
      <c r="AB16" s="79"/>
      <c r="AC16" s="79"/>
      <c r="AD16" s="79"/>
      <c r="AE16" s="79"/>
      <c r="AF16" s="79"/>
      <c r="AG16" s="79"/>
      <c r="AH16" s="79"/>
      <c r="AI16" s="79"/>
      <c r="AJ16" s="79"/>
      <c r="AK16" s="79"/>
      <c r="AL16" s="79"/>
    </row>
    <row r="17" spans="1:38" ht="35.1" customHeight="1" x14ac:dyDescent="0.3">
      <c r="A17" s="79"/>
      <c r="B17" s="87"/>
      <c r="C17" s="79"/>
      <c r="D17" s="79"/>
      <c r="E17" s="79"/>
      <c r="F17" s="79"/>
      <c r="G17" s="79"/>
      <c r="H17" s="79"/>
      <c r="I17" s="79"/>
      <c r="J17" s="79"/>
      <c r="K17" s="79"/>
      <c r="L17" s="79"/>
      <c r="M17" s="79"/>
      <c r="N17" s="79"/>
      <c r="O17" s="79"/>
      <c r="P17" s="79"/>
      <c r="Q17" s="79"/>
      <c r="R17" s="79"/>
      <c r="S17" s="79"/>
      <c r="T17" s="79"/>
      <c r="U17" s="79"/>
      <c r="V17" s="79"/>
      <c r="W17" s="142"/>
      <c r="X17" s="79"/>
      <c r="Y17" s="79"/>
      <c r="Z17" s="79"/>
      <c r="AA17" s="79"/>
      <c r="AB17" s="79"/>
      <c r="AC17" s="79"/>
      <c r="AD17" s="79"/>
      <c r="AE17" s="79"/>
      <c r="AF17" s="79"/>
      <c r="AG17" s="79"/>
      <c r="AH17" s="79"/>
      <c r="AI17" s="79"/>
      <c r="AJ17" s="79"/>
      <c r="AK17" s="79"/>
      <c r="AL17" s="79"/>
    </row>
    <row r="18" spans="1:38" ht="35.1" customHeight="1" x14ac:dyDescent="0.3">
      <c r="A18" s="79"/>
      <c r="B18" s="87"/>
      <c r="C18" s="79"/>
      <c r="D18" s="79"/>
      <c r="E18" s="79"/>
      <c r="F18" s="79"/>
      <c r="G18" s="79"/>
      <c r="H18" s="79"/>
      <c r="I18" s="79"/>
      <c r="J18" s="79"/>
      <c r="K18" s="79"/>
      <c r="L18" s="79"/>
      <c r="M18" s="79"/>
      <c r="N18" s="79"/>
      <c r="O18" s="79"/>
      <c r="P18" s="79"/>
      <c r="Q18" s="79"/>
      <c r="R18" s="79"/>
      <c r="S18" s="79"/>
      <c r="T18" s="79"/>
      <c r="U18" s="79"/>
      <c r="V18" s="79"/>
      <c r="W18" s="142"/>
      <c r="X18" s="79"/>
      <c r="Y18" s="79"/>
      <c r="Z18" s="79"/>
      <c r="AA18" s="79"/>
      <c r="AB18" s="79"/>
      <c r="AC18" s="79"/>
      <c r="AD18" s="79"/>
      <c r="AE18" s="79"/>
      <c r="AF18" s="79"/>
      <c r="AG18" s="79"/>
      <c r="AH18" s="79"/>
      <c r="AI18" s="79"/>
      <c r="AJ18" s="79"/>
      <c r="AK18" s="79"/>
      <c r="AL18" s="79"/>
    </row>
    <row r="19" spans="1:38" ht="35.1" customHeight="1" x14ac:dyDescent="0.3">
      <c r="A19" s="79"/>
      <c r="B19" s="87"/>
      <c r="C19" s="79"/>
      <c r="D19" s="79"/>
      <c r="E19" s="79"/>
      <c r="F19" s="79"/>
      <c r="G19" s="79"/>
      <c r="H19" s="79"/>
      <c r="I19" s="79"/>
      <c r="J19" s="79"/>
      <c r="K19" s="79"/>
      <c r="L19" s="79"/>
      <c r="M19" s="79"/>
      <c r="N19" s="79"/>
      <c r="O19" s="79"/>
      <c r="P19" s="79"/>
      <c r="Q19" s="79"/>
      <c r="R19" s="79"/>
      <c r="S19" s="79"/>
      <c r="T19" s="79"/>
      <c r="U19" s="79"/>
      <c r="V19" s="79"/>
      <c r="W19" s="142"/>
      <c r="X19" s="79"/>
      <c r="Y19" s="79"/>
      <c r="Z19" s="79"/>
      <c r="AA19" s="79"/>
      <c r="AB19" s="79"/>
      <c r="AC19" s="79"/>
      <c r="AD19" s="79"/>
      <c r="AE19" s="79"/>
      <c r="AF19" s="79"/>
      <c r="AG19" s="79"/>
      <c r="AH19" s="79"/>
      <c r="AI19" s="79"/>
      <c r="AJ19" s="79"/>
      <c r="AK19" s="79"/>
      <c r="AL19" s="79"/>
    </row>
    <row r="20" spans="1:38" ht="35.1" customHeight="1" x14ac:dyDescent="0.3">
      <c r="A20" s="79"/>
      <c r="B20" s="87"/>
      <c r="C20" s="79"/>
      <c r="D20" s="79"/>
      <c r="E20" s="79"/>
      <c r="F20" s="79"/>
      <c r="G20" s="79"/>
      <c r="H20" s="79"/>
      <c r="I20" s="79"/>
      <c r="J20" s="79"/>
      <c r="K20" s="79"/>
      <c r="L20" s="79"/>
      <c r="M20" s="79"/>
      <c r="N20" s="79"/>
      <c r="O20" s="79"/>
      <c r="P20" s="79"/>
      <c r="Q20" s="79"/>
      <c r="R20" s="79"/>
      <c r="S20" s="79"/>
      <c r="T20" s="79"/>
      <c r="U20" s="79"/>
      <c r="V20" s="79"/>
      <c r="W20" s="142"/>
      <c r="X20" s="79"/>
      <c r="Y20" s="79"/>
      <c r="Z20" s="79"/>
      <c r="AA20" s="79"/>
      <c r="AB20" s="79"/>
      <c r="AC20" s="79"/>
      <c r="AD20" s="79"/>
      <c r="AE20" s="79"/>
      <c r="AF20" s="79"/>
      <c r="AG20" s="79"/>
      <c r="AH20" s="79"/>
      <c r="AI20" s="79"/>
      <c r="AJ20" s="79"/>
      <c r="AK20" s="79"/>
      <c r="AL20" s="79"/>
    </row>
    <row r="21" spans="1:38" ht="35.1" customHeight="1" x14ac:dyDescent="0.3">
      <c r="A21" s="79"/>
      <c r="B21" s="87"/>
      <c r="C21" s="79"/>
      <c r="D21" s="79"/>
      <c r="E21" s="79"/>
      <c r="F21" s="79"/>
      <c r="G21" s="79"/>
      <c r="H21" s="79"/>
      <c r="I21" s="79"/>
      <c r="J21" s="79"/>
      <c r="K21" s="79"/>
      <c r="L21" s="79"/>
      <c r="M21" s="79"/>
      <c r="N21" s="79"/>
      <c r="O21" s="79"/>
      <c r="P21" s="79"/>
      <c r="Q21" s="79"/>
      <c r="R21" s="79"/>
      <c r="S21" s="79"/>
      <c r="T21" s="79"/>
      <c r="U21" s="79"/>
      <c r="V21" s="79"/>
      <c r="W21" s="142"/>
      <c r="X21" s="79"/>
      <c r="Y21" s="79"/>
      <c r="Z21" s="79"/>
      <c r="AA21" s="79"/>
      <c r="AB21" s="79"/>
      <c r="AC21" s="79"/>
      <c r="AD21" s="79"/>
      <c r="AE21" s="79"/>
      <c r="AF21" s="79"/>
      <c r="AG21" s="79"/>
      <c r="AH21" s="79"/>
      <c r="AI21" s="79"/>
      <c r="AJ21" s="79"/>
      <c r="AK21" s="79"/>
      <c r="AL21" s="79"/>
    </row>
    <row r="22" spans="1:38" ht="35.1" customHeight="1" x14ac:dyDescent="0.3">
      <c r="A22" s="79"/>
      <c r="B22" s="87"/>
      <c r="C22" s="79"/>
      <c r="D22" s="79"/>
      <c r="E22" s="79"/>
      <c r="F22" s="79"/>
      <c r="G22" s="79"/>
      <c r="H22" s="79"/>
      <c r="I22" s="79"/>
      <c r="J22" s="79"/>
      <c r="K22" s="79"/>
      <c r="L22" s="79"/>
      <c r="M22" s="79"/>
      <c r="N22" s="79"/>
      <c r="O22" s="79"/>
      <c r="P22" s="79"/>
      <c r="Q22" s="79"/>
      <c r="R22" s="79"/>
      <c r="S22" s="79"/>
      <c r="T22" s="79"/>
      <c r="U22" s="79"/>
      <c r="V22" s="79"/>
      <c r="W22" s="142"/>
      <c r="X22" s="79"/>
      <c r="Y22" s="79"/>
      <c r="Z22" s="79"/>
      <c r="AA22" s="79"/>
      <c r="AB22" s="79"/>
      <c r="AC22" s="79"/>
      <c r="AD22" s="79"/>
      <c r="AE22" s="79"/>
      <c r="AF22" s="79"/>
      <c r="AG22" s="79"/>
      <c r="AH22" s="79"/>
      <c r="AI22" s="79"/>
      <c r="AJ22" s="79"/>
      <c r="AK22" s="79"/>
      <c r="AL22" s="79"/>
    </row>
    <row r="23" spans="1:38" ht="35.1" customHeight="1" x14ac:dyDescent="0.3">
      <c r="A23" s="79"/>
      <c r="B23" s="87"/>
      <c r="C23" s="79"/>
      <c r="D23" s="79"/>
      <c r="E23" s="79"/>
      <c r="F23" s="79"/>
      <c r="G23" s="79"/>
      <c r="H23" s="79"/>
      <c r="I23" s="79"/>
      <c r="J23" s="79"/>
      <c r="K23" s="79"/>
      <c r="L23" s="79"/>
      <c r="M23" s="79"/>
      <c r="N23" s="79"/>
      <c r="O23" s="79"/>
      <c r="P23" s="79"/>
      <c r="Q23" s="79"/>
      <c r="R23" s="79"/>
      <c r="S23" s="79"/>
      <c r="T23" s="79"/>
      <c r="U23" s="79"/>
      <c r="V23" s="79"/>
      <c r="W23" s="142"/>
      <c r="X23" s="79"/>
      <c r="Y23" s="79"/>
      <c r="Z23" s="79"/>
      <c r="AA23" s="79"/>
      <c r="AB23" s="79"/>
      <c r="AC23" s="79"/>
      <c r="AD23" s="79"/>
      <c r="AE23" s="79"/>
      <c r="AF23" s="79"/>
      <c r="AG23" s="79"/>
      <c r="AH23" s="79"/>
      <c r="AI23" s="79"/>
      <c r="AJ23" s="79"/>
      <c r="AK23" s="79"/>
      <c r="AL23" s="79"/>
    </row>
    <row r="24" spans="1:38" ht="35.1" customHeight="1" x14ac:dyDescent="0.3">
      <c r="A24" s="79"/>
      <c r="B24" s="87"/>
      <c r="C24" s="79"/>
      <c r="D24" s="79"/>
      <c r="E24" s="79"/>
      <c r="F24" s="79"/>
      <c r="G24" s="79"/>
      <c r="H24" s="79"/>
      <c r="I24" s="79"/>
      <c r="J24" s="79"/>
      <c r="K24" s="79"/>
      <c r="L24" s="79"/>
      <c r="M24" s="79"/>
      <c r="N24" s="79"/>
      <c r="O24" s="79"/>
      <c r="P24" s="79"/>
      <c r="Q24" s="79"/>
      <c r="R24" s="79"/>
      <c r="S24" s="79"/>
      <c r="T24" s="79"/>
      <c r="U24" s="79"/>
      <c r="V24" s="79"/>
      <c r="W24" s="142"/>
      <c r="X24" s="79"/>
      <c r="Y24" s="79"/>
      <c r="Z24" s="79"/>
      <c r="AA24" s="79"/>
      <c r="AB24" s="79"/>
      <c r="AC24" s="79"/>
      <c r="AD24" s="79"/>
      <c r="AE24" s="79"/>
      <c r="AF24" s="79"/>
      <c r="AG24" s="79"/>
      <c r="AH24" s="79"/>
      <c r="AI24" s="79"/>
      <c r="AJ24" s="79"/>
      <c r="AK24" s="79"/>
      <c r="AL24" s="79"/>
    </row>
    <row r="25" spans="1:38" ht="35.1" customHeight="1" x14ac:dyDescent="0.3">
      <c r="R25" s="79"/>
      <c r="S25" s="79"/>
      <c r="T25" s="79"/>
      <c r="U25" s="79"/>
      <c r="V25" s="79"/>
      <c r="W25" s="142"/>
      <c r="X25" s="79"/>
      <c r="Y25" s="79"/>
      <c r="Z25" s="79"/>
      <c r="AA25" s="79"/>
      <c r="AB25" s="79"/>
      <c r="AC25" s="79"/>
      <c r="AD25" s="79"/>
      <c r="AE25" s="79"/>
      <c r="AF25" s="79"/>
      <c r="AG25" s="79"/>
      <c r="AH25" s="79"/>
      <c r="AI25" s="79"/>
      <c r="AJ25" s="79"/>
      <c r="AK25" s="79"/>
      <c r="AL25" s="79"/>
    </row>
    <row r="26" spans="1:38" ht="35.1" customHeight="1" x14ac:dyDescent="0.3">
      <c r="R26" s="79"/>
      <c r="S26" s="79"/>
      <c r="T26" s="79"/>
      <c r="U26" s="79"/>
      <c r="V26" s="79"/>
      <c r="W26" s="142"/>
      <c r="X26" s="79"/>
      <c r="Y26" s="79"/>
      <c r="Z26" s="79"/>
      <c r="AA26" s="79"/>
      <c r="AB26" s="79"/>
      <c r="AC26" s="79"/>
      <c r="AD26" s="79"/>
      <c r="AE26" s="79"/>
      <c r="AF26" s="79"/>
      <c r="AG26" s="79"/>
      <c r="AH26" s="79"/>
      <c r="AI26" s="79"/>
      <c r="AJ26" s="79"/>
      <c r="AK26" s="79"/>
      <c r="AL26" s="79"/>
    </row>
    <row r="27" spans="1:38" ht="35.1" customHeight="1" x14ac:dyDescent="0.3">
      <c r="R27" s="79"/>
      <c r="S27" s="79"/>
      <c r="T27" s="79"/>
      <c r="U27" s="79"/>
      <c r="V27" s="79"/>
      <c r="W27" s="142"/>
      <c r="X27" s="79"/>
      <c r="Y27" s="79"/>
      <c r="Z27" s="79"/>
      <c r="AA27" s="79"/>
      <c r="AB27" s="79"/>
      <c r="AC27" s="79"/>
      <c r="AD27" s="79"/>
      <c r="AE27" s="79"/>
      <c r="AF27" s="79"/>
      <c r="AG27" s="79"/>
      <c r="AH27" s="79"/>
      <c r="AI27" s="79"/>
      <c r="AJ27" s="79"/>
      <c r="AK27" s="79"/>
      <c r="AL27" s="79"/>
    </row>
    <row r="28" spans="1:38" ht="35.1" customHeight="1" x14ac:dyDescent="0.3">
      <c r="R28" s="79"/>
      <c r="S28" s="79"/>
      <c r="T28" s="79"/>
      <c r="U28" s="79"/>
      <c r="V28" s="79"/>
      <c r="W28" s="142"/>
      <c r="X28" s="79"/>
      <c r="Y28" s="79"/>
      <c r="Z28" s="79"/>
      <c r="AA28" s="79"/>
      <c r="AB28" s="79"/>
      <c r="AC28" s="79"/>
      <c r="AD28" s="79"/>
      <c r="AE28" s="79"/>
      <c r="AF28" s="79"/>
      <c r="AG28" s="79"/>
      <c r="AH28" s="79"/>
      <c r="AI28" s="79"/>
      <c r="AJ28" s="79"/>
      <c r="AK28" s="79"/>
      <c r="AL28" s="79"/>
    </row>
    <row r="29" spans="1:38" ht="35.1" customHeight="1" x14ac:dyDescent="0.3">
      <c r="R29" s="79"/>
      <c r="S29" s="79"/>
      <c r="T29" s="79"/>
      <c r="U29" s="79"/>
      <c r="V29" s="79"/>
      <c r="W29" s="142"/>
      <c r="X29" s="79"/>
      <c r="Y29" s="79"/>
      <c r="Z29" s="79"/>
      <c r="AA29" s="79"/>
      <c r="AB29" s="79"/>
      <c r="AC29" s="79"/>
      <c r="AD29" s="79"/>
      <c r="AE29" s="79"/>
      <c r="AF29" s="79"/>
      <c r="AG29" s="79"/>
      <c r="AH29" s="79"/>
      <c r="AI29" s="79"/>
      <c r="AJ29" s="79"/>
      <c r="AK29" s="79"/>
      <c r="AL29" s="79"/>
    </row>
    <row r="30" spans="1:38" ht="35.1" customHeight="1" x14ac:dyDescent="0.3">
      <c r="R30" s="79"/>
      <c r="S30" s="79"/>
      <c r="T30" s="79"/>
      <c r="U30" s="79"/>
      <c r="V30" s="79"/>
      <c r="W30" s="142"/>
      <c r="X30" s="79"/>
      <c r="Y30" s="79"/>
      <c r="Z30" s="79"/>
      <c r="AA30" s="79"/>
      <c r="AB30" s="79"/>
      <c r="AC30" s="79"/>
      <c r="AD30" s="79"/>
      <c r="AE30" s="79"/>
      <c r="AF30" s="79"/>
      <c r="AG30" s="79"/>
      <c r="AH30" s="79"/>
      <c r="AI30" s="79"/>
      <c r="AJ30" s="79"/>
      <c r="AK30" s="79"/>
      <c r="AL30" s="79"/>
    </row>
    <row r="31" spans="1:38" ht="35.1" customHeight="1" x14ac:dyDescent="0.3">
      <c r="X31" s="79"/>
      <c r="Y31" s="79"/>
      <c r="Z31" s="79"/>
      <c r="AA31" s="79"/>
      <c r="AB31" s="79"/>
      <c r="AC31" s="79"/>
      <c r="AD31" s="79"/>
      <c r="AE31" s="79"/>
      <c r="AF31" s="79"/>
      <c r="AG31" s="79"/>
      <c r="AH31" s="79"/>
      <c r="AI31" s="79"/>
      <c r="AJ31" s="79"/>
      <c r="AK31" s="79"/>
      <c r="AL31" s="79"/>
    </row>
    <row r="32" spans="1:38" ht="35.1" customHeight="1" x14ac:dyDescent="0.3">
      <c r="X32" s="79"/>
      <c r="Y32" s="79"/>
      <c r="Z32" s="79"/>
      <c r="AA32" s="79"/>
      <c r="AB32" s="79"/>
      <c r="AC32" s="79"/>
      <c r="AD32" s="79"/>
      <c r="AE32" s="79"/>
      <c r="AF32" s="79"/>
      <c r="AG32" s="79"/>
      <c r="AH32" s="79"/>
      <c r="AI32" s="79"/>
      <c r="AJ32" s="79"/>
      <c r="AK32" s="79"/>
      <c r="AL32" s="79"/>
    </row>
    <row r="33" spans="24:38" ht="35.1" customHeight="1" x14ac:dyDescent="0.3">
      <c r="X33" s="79"/>
      <c r="Y33" s="79"/>
      <c r="Z33" s="79"/>
      <c r="AA33" s="79"/>
      <c r="AB33" s="79"/>
      <c r="AC33" s="79"/>
      <c r="AD33" s="79"/>
      <c r="AE33" s="79"/>
      <c r="AF33" s="79"/>
      <c r="AG33" s="79"/>
      <c r="AH33" s="79"/>
      <c r="AI33" s="79"/>
      <c r="AJ33" s="79"/>
      <c r="AK33" s="79"/>
      <c r="AL33" s="79"/>
    </row>
    <row r="34" spans="24:38" ht="35.1" customHeight="1" x14ac:dyDescent="0.3">
      <c r="X34" s="79"/>
      <c r="Y34" s="79"/>
      <c r="Z34" s="79"/>
      <c r="AA34" s="79"/>
      <c r="AB34" s="79"/>
      <c r="AC34" s="79"/>
      <c r="AD34" s="79"/>
      <c r="AE34" s="79"/>
      <c r="AF34" s="79"/>
      <c r="AG34" s="79"/>
      <c r="AH34" s="79"/>
      <c r="AI34" s="79"/>
      <c r="AJ34" s="79"/>
      <c r="AK34" s="79"/>
      <c r="AL34" s="79"/>
    </row>
    <row r="35" spans="24:38" x14ac:dyDescent="0.3">
      <c r="X35" s="79"/>
      <c r="Y35" s="79"/>
      <c r="Z35" s="79"/>
      <c r="AA35" s="79"/>
      <c r="AB35" s="79"/>
      <c r="AC35" s="79"/>
      <c r="AD35" s="79"/>
      <c r="AE35" s="79"/>
      <c r="AF35" s="79"/>
      <c r="AG35" s="79"/>
      <c r="AH35" s="79"/>
      <c r="AI35" s="79"/>
      <c r="AJ35" s="79"/>
      <c r="AK35" s="79"/>
      <c r="AL35" s="79"/>
    </row>
    <row r="36" spans="24:38" x14ac:dyDescent="0.3">
      <c r="X36" s="79"/>
      <c r="Y36" s="79"/>
      <c r="Z36" s="79"/>
      <c r="AA36" s="79"/>
      <c r="AB36" s="79"/>
      <c r="AC36" s="79"/>
      <c r="AD36" s="79"/>
      <c r="AE36" s="79"/>
      <c r="AF36" s="79"/>
      <c r="AG36" s="79"/>
      <c r="AH36" s="79"/>
      <c r="AI36" s="79"/>
      <c r="AJ36" s="79"/>
      <c r="AK36" s="79"/>
      <c r="AL36" s="79"/>
    </row>
    <row r="37" spans="24:38" x14ac:dyDescent="0.3">
      <c r="X37" s="79"/>
      <c r="Y37" s="79"/>
      <c r="Z37" s="79"/>
      <c r="AA37" s="79"/>
      <c r="AB37" s="79"/>
      <c r="AC37" s="79"/>
      <c r="AD37" s="79"/>
      <c r="AE37" s="79"/>
      <c r="AF37" s="79"/>
      <c r="AG37" s="79"/>
      <c r="AH37" s="79"/>
      <c r="AI37" s="79"/>
      <c r="AJ37" s="79"/>
      <c r="AK37" s="79"/>
      <c r="AL37" s="79"/>
    </row>
    <row r="38" spans="24:38" x14ac:dyDescent="0.3">
      <c r="X38" s="79"/>
      <c r="Y38" s="79" t="s">
        <v>448</v>
      </c>
      <c r="Z38" s="79"/>
      <c r="AA38" s="79">
        <v>2</v>
      </c>
      <c r="AB38" s="79"/>
      <c r="AC38" s="79"/>
      <c r="AD38" s="79"/>
      <c r="AE38" s="79"/>
      <c r="AF38" s="79"/>
      <c r="AG38" s="79"/>
      <c r="AH38" s="79"/>
      <c r="AI38" s="79"/>
      <c r="AJ38" s="79"/>
      <c r="AK38" s="79"/>
      <c r="AL38" s="79"/>
    </row>
    <row r="39" spans="24:38" x14ac:dyDescent="0.3">
      <c r="X39" s="79"/>
      <c r="Y39" s="79" t="s">
        <v>415</v>
      </c>
      <c r="Z39" s="79"/>
      <c r="AA39" s="79">
        <v>36</v>
      </c>
      <c r="AB39" s="79"/>
      <c r="AC39" s="79"/>
      <c r="AD39" s="79"/>
      <c r="AE39" s="79"/>
      <c r="AF39" s="79"/>
      <c r="AG39" s="79"/>
      <c r="AH39" s="79"/>
      <c r="AI39" s="79"/>
      <c r="AJ39" s="79"/>
      <c r="AK39" s="79"/>
      <c r="AL39" s="79"/>
    </row>
    <row r="40" spans="24:38" x14ac:dyDescent="0.3">
      <c r="X40" s="79"/>
      <c r="Y40" s="79" t="s">
        <v>466</v>
      </c>
      <c r="Z40" s="79"/>
      <c r="AA40" s="79">
        <v>6</v>
      </c>
      <c r="AB40" s="79"/>
      <c r="AC40" s="79"/>
      <c r="AD40" s="79"/>
      <c r="AE40" s="79"/>
      <c r="AF40" s="79"/>
      <c r="AG40" s="79"/>
      <c r="AH40" s="79"/>
      <c r="AI40" s="79"/>
      <c r="AJ40" s="79"/>
      <c r="AK40" s="79"/>
      <c r="AL40" s="79"/>
    </row>
    <row r="41" spans="24:38" x14ac:dyDescent="0.3">
      <c r="X41" s="79"/>
      <c r="Y41" s="79" t="s">
        <v>467</v>
      </c>
      <c r="Z41" s="79"/>
      <c r="AA41" s="79"/>
      <c r="AB41" s="79"/>
      <c r="AC41" s="79"/>
      <c r="AD41" s="79"/>
      <c r="AE41" s="79"/>
      <c r="AF41" s="79"/>
      <c r="AG41" s="79"/>
      <c r="AH41" s="79"/>
      <c r="AI41" s="79"/>
      <c r="AJ41" s="79"/>
      <c r="AK41" s="79">
        <v>10</v>
      </c>
      <c r="AL41" s="79">
        <v>1</v>
      </c>
    </row>
    <row r="42" spans="24:38" x14ac:dyDescent="0.3">
      <c r="X42" s="79"/>
      <c r="Y42" s="79" t="s">
        <v>468</v>
      </c>
      <c r="Z42" s="79"/>
      <c r="AA42" s="79">
        <v>2</v>
      </c>
      <c r="AB42" s="79"/>
      <c r="AC42" s="79"/>
      <c r="AD42" s="79"/>
      <c r="AE42" s="79"/>
      <c r="AF42" s="79"/>
      <c r="AG42" s="79"/>
      <c r="AH42" s="79"/>
      <c r="AI42" s="79"/>
      <c r="AJ42" s="79"/>
      <c r="AK42" s="79"/>
      <c r="AL42" s="79"/>
    </row>
    <row r="43" spans="24:38" x14ac:dyDescent="0.3">
      <c r="X43" s="79"/>
      <c r="Y43" s="79" t="s">
        <v>469</v>
      </c>
      <c r="Z43" s="79"/>
      <c r="AA43" s="79">
        <v>6</v>
      </c>
      <c r="AB43" s="79"/>
      <c r="AC43" s="79"/>
      <c r="AD43" s="79"/>
      <c r="AE43" s="79"/>
      <c r="AF43" s="79"/>
      <c r="AG43" s="79"/>
      <c r="AH43" s="79"/>
      <c r="AI43" s="79"/>
      <c r="AJ43" s="79"/>
      <c r="AK43" s="79"/>
      <c r="AL43" s="79"/>
    </row>
    <row r="44" spans="24:38" x14ac:dyDescent="0.3">
      <c r="X44" s="79"/>
      <c r="Y44" s="79" t="s">
        <v>470</v>
      </c>
      <c r="Z44" s="79"/>
      <c r="AA44" s="79">
        <v>2</v>
      </c>
      <c r="AB44" s="79"/>
      <c r="AC44" s="79"/>
      <c r="AD44" s="79"/>
      <c r="AE44" s="79"/>
      <c r="AF44" s="79"/>
      <c r="AG44" s="79"/>
      <c r="AH44" s="79"/>
      <c r="AI44" s="79"/>
      <c r="AJ44" s="79"/>
      <c r="AK44" s="79"/>
      <c r="AL44" s="79"/>
    </row>
    <row r="45" spans="24:38" x14ac:dyDescent="0.3">
      <c r="X45" s="79"/>
      <c r="Y45" s="79" t="s">
        <v>471</v>
      </c>
      <c r="Z45" s="79"/>
      <c r="AA45" s="79"/>
      <c r="AB45" s="79"/>
      <c r="AC45" s="79"/>
      <c r="AD45" s="79"/>
      <c r="AE45" s="79"/>
      <c r="AF45" s="79"/>
      <c r="AG45" s="79"/>
      <c r="AH45" s="79"/>
      <c r="AI45" s="79">
        <v>4</v>
      </c>
      <c r="AJ45" s="79"/>
      <c r="AK45" s="79"/>
      <c r="AL45" s="79"/>
    </row>
    <row r="46" spans="24:38" x14ac:dyDescent="0.3">
      <c r="X46" s="79"/>
      <c r="Y46" s="79" t="s">
        <v>415</v>
      </c>
      <c r="Z46" s="79"/>
      <c r="AA46" s="79">
        <v>11</v>
      </c>
      <c r="AB46" s="79"/>
      <c r="AC46" s="79"/>
      <c r="AD46" s="79"/>
      <c r="AE46" s="79">
        <v>33</v>
      </c>
      <c r="AF46" s="79"/>
      <c r="AG46" s="79"/>
      <c r="AH46" s="79"/>
      <c r="AI46" s="79">
        <v>2</v>
      </c>
      <c r="AJ46" s="79"/>
      <c r="AK46" s="79"/>
      <c r="AL46" s="79"/>
    </row>
    <row r="47" spans="24:38" x14ac:dyDescent="0.3">
      <c r="X47" s="79"/>
      <c r="Y47" s="79" t="s">
        <v>472</v>
      </c>
      <c r="Z47" s="79"/>
      <c r="AA47" s="79"/>
      <c r="AB47" s="79"/>
      <c r="AC47" s="79"/>
      <c r="AD47" s="79"/>
      <c r="AE47" s="79"/>
      <c r="AF47" s="79"/>
      <c r="AG47" s="79"/>
      <c r="AH47" s="79"/>
      <c r="AI47" s="79"/>
      <c r="AJ47" s="79"/>
      <c r="AK47" s="79">
        <v>8</v>
      </c>
      <c r="AL47" s="79"/>
    </row>
    <row r="48" spans="24:38" x14ac:dyDescent="0.3">
      <c r="X48" s="79"/>
      <c r="Y48" s="79" t="s">
        <v>461</v>
      </c>
      <c r="Z48" s="79"/>
      <c r="AA48" s="79"/>
      <c r="AB48" s="79"/>
      <c r="AC48" s="79"/>
      <c r="AD48" s="79"/>
      <c r="AE48" s="79"/>
      <c r="AF48" s="79"/>
      <c r="AG48" s="79"/>
      <c r="AH48" s="79"/>
      <c r="AI48" s="79"/>
      <c r="AJ48" s="79"/>
      <c r="AK48" s="79">
        <v>4</v>
      </c>
      <c r="AL48" s="79"/>
    </row>
    <row r="49" spans="24:38" x14ac:dyDescent="0.3">
      <c r="X49" s="140">
        <v>46243</v>
      </c>
      <c r="Y49" s="79" t="s">
        <v>473</v>
      </c>
      <c r="Z49" s="79"/>
      <c r="AA49" s="79">
        <v>22</v>
      </c>
      <c r="AB49" s="79"/>
      <c r="AC49" s="79"/>
      <c r="AD49" s="79"/>
      <c r="AE49" s="79"/>
      <c r="AF49" s="79"/>
      <c r="AG49" s="79"/>
      <c r="AH49" s="79"/>
      <c r="AI49" s="79"/>
      <c r="AJ49" s="79"/>
      <c r="AK49" s="79"/>
      <c r="AL49" s="79"/>
    </row>
    <row r="50" spans="24:38" x14ac:dyDescent="0.3">
      <c r="X50" s="79"/>
      <c r="Y50" s="79" t="s">
        <v>473</v>
      </c>
      <c r="Z50" s="79"/>
      <c r="AA50" s="79">
        <v>22</v>
      </c>
      <c r="AB50" s="79"/>
      <c r="AC50" s="79"/>
      <c r="AD50" s="79"/>
      <c r="AE50" s="79"/>
      <c r="AF50" s="79"/>
      <c r="AG50" s="79"/>
      <c r="AH50" s="79"/>
      <c r="AI50" s="79"/>
      <c r="AJ50" s="79"/>
      <c r="AK50" s="79"/>
      <c r="AL50" s="79"/>
    </row>
    <row r="51" spans="24:38" x14ac:dyDescent="0.3">
      <c r="X51" s="79"/>
      <c r="Y51" s="79" t="s">
        <v>473</v>
      </c>
      <c r="Z51" s="79"/>
      <c r="AA51" s="79"/>
      <c r="AB51" s="79"/>
      <c r="AC51" s="79"/>
      <c r="AD51" s="79"/>
      <c r="AE51" s="79">
        <v>11</v>
      </c>
      <c r="AF51" s="79"/>
      <c r="AG51" s="79"/>
      <c r="AH51" s="79"/>
      <c r="AI51" s="79">
        <v>4</v>
      </c>
      <c r="AJ51" s="79"/>
      <c r="AK51" s="79"/>
      <c r="AL51" s="79"/>
    </row>
    <row r="52" spans="24:38" x14ac:dyDescent="0.3">
      <c r="X52" s="79"/>
      <c r="Y52" s="79" t="s">
        <v>63</v>
      </c>
      <c r="Z52" s="79"/>
      <c r="AA52" s="79">
        <v>3</v>
      </c>
      <c r="AB52" s="79"/>
      <c r="AC52" s="79"/>
      <c r="AD52" s="79"/>
      <c r="AE52" s="79">
        <v>3</v>
      </c>
      <c r="AF52" s="79"/>
      <c r="AG52" s="79"/>
      <c r="AH52" s="79"/>
      <c r="AI52" s="79"/>
      <c r="AJ52" s="79"/>
      <c r="AK52" s="79"/>
      <c r="AL52" s="79"/>
    </row>
    <row r="53" spans="24:38" x14ac:dyDescent="0.3">
      <c r="X53" s="79"/>
      <c r="Y53" s="79" t="s">
        <v>474</v>
      </c>
      <c r="Z53" s="79"/>
      <c r="AA53" s="79">
        <v>2</v>
      </c>
      <c r="AB53" s="79"/>
      <c r="AC53" s="79"/>
      <c r="AD53" s="79"/>
      <c r="AE53" s="79"/>
      <c r="AF53" s="79"/>
      <c r="AG53" s="79"/>
      <c r="AH53" s="79"/>
      <c r="AI53" s="79"/>
      <c r="AJ53" s="79"/>
      <c r="AK53" s="79"/>
      <c r="AL53" s="79"/>
    </row>
    <row r="54" spans="24:38" x14ac:dyDescent="0.3">
      <c r="X54" s="79"/>
      <c r="Y54" s="79" t="s">
        <v>466</v>
      </c>
      <c r="Z54" s="79"/>
      <c r="AA54" s="79">
        <v>4</v>
      </c>
      <c r="AB54" s="79"/>
      <c r="AC54" s="79"/>
      <c r="AD54" s="79"/>
      <c r="AE54" s="79"/>
      <c r="AF54" s="79"/>
      <c r="AG54" s="79"/>
      <c r="AH54" s="79"/>
      <c r="AI54" s="79"/>
      <c r="AJ54" s="79"/>
      <c r="AK54" s="79"/>
      <c r="AL54" s="79"/>
    </row>
    <row r="55" spans="24:38" x14ac:dyDescent="0.3">
      <c r="X55" s="79"/>
      <c r="Y55" s="79" t="s">
        <v>473</v>
      </c>
      <c r="Z55" s="79"/>
      <c r="AA55" s="79"/>
      <c r="AB55" s="79"/>
      <c r="AC55" s="79"/>
      <c r="AD55" s="79"/>
      <c r="AE55" s="79">
        <v>22</v>
      </c>
      <c r="AF55" s="79"/>
      <c r="AG55" s="79"/>
      <c r="AH55" s="79"/>
      <c r="AI55" s="79"/>
      <c r="AJ55" s="79"/>
      <c r="AK55" s="79"/>
      <c r="AL55" s="79"/>
    </row>
    <row r="56" spans="24:38" x14ac:dyDescent="0.3">
      <c r="X56" s="79"/>
      <c r="Y56" s="79" t="s">
        <v>475</v>
      </c>
      <c r="Z56" s="79"/>
      <c r="AA56" s="79"/>
      <c r="AB56" s="79"/>
      <c r="AC56" s="79"/>
      <c r="AD56" s="79"/>
      <c r="AE56" s="79"/>
      <c r="AF56" s="79"/>
      <c r="AG56" s="79"/>
      <c r="AH56" s="79"/>
      <c r="AI56" s="79">
        <v>3</v>
      </c>
      <c r="AJ56" s="79"/>
      <c r="AK56" s="79"/>
      <c r="AL56" s="79"/>
    </row>
    <row r="57" spans="24:38" x14ac:dyDescent="0.3">
      <c r="X57" s="79"/>
      <c r="Y57" s="79"/>
      <c r="Z57" s="79"/>
      <c r="AA57" s="79"/>
      <c r="AB57" s="79"/>
      <c r="AC57" s="79"/>
      <c r="AD57" s="79"/>
      <c r="AE57" s="79"/>
      <c r="AF57" s="79"/>
      <c r="AG57" s="79"/>
      <c r="AH57" s="79"/>
      <c r="AI57" s="79"/>
      <c r="AJ57" s="79"/>
      <c r="AK57" s="79"/>
      <c r="AL57" s="79"/>
    </row>
    <row r="58" spans="24:38" x14ac:dyDescent="0.3">
      <c r="X58" s="79"/>
      <c r="Y58" s="79"/>
      <c r="Z58" s="79"/>
      <c r="AA58" s="79"/>
      <c r="AB58" s="79"/>
      <c r="AC58" s="79"/>
      <c r="AD58" s="79"/>
      <c r="AE58" s="79"/>
      <c r="AF58" s="79"/>
      <c r="AG58" s="79"/>
      <c r="AH58" s="79"/>
      <c r="AI58" s="79"/>
      <c r="AJ58" s="79"/>
      <c r="AK58" s="79"/>
      <c r="AL58" s="79"/>
    </row>
    <row r="59" spans="24:38" x14ac:dyDescent="0.3">
      <c r="X59" s="79"/>
      <c r="Y59" s="79"/>
      <c r="Z59" s="79"/>
      <c r="AA59" s="79"/>
      <c r="AB59" s="79"/>
      <c r="AC59" s="79"/>
      <c r="AD59" s="79"/>
      <c r="AE59" s="79"/>
      <c r="AF59" s="79"/>
      <c r="AG59" s="79"/>
      <c r="AH59" s="79"/>
      <c r="AI59" s="79"/>
      <c r="AJ59" s="79"/>
      <c r="AK59" s="79"/>
      <c r="AL59" s="79"/>
    </row>
    <row r="60" spans="24:38" x14ac:dyDescent="0.3">
      <c r="X60" s="79"/>
      <c r="Y60" s="79"/>
      <c r="Z60" s="79"/>
      <c r="AA60" s="79"/>
      <c r="AB60" s="79"/>
      <c r="AC60" s="79"/>
      <c r="AD60" s="79"/>
      <c r="AE60" s="79"/>
      <c r="AF60" s="79"/>
      <c r="AG60" s="79"/>
      <c r="AH60" s="79"/>
      <c r="AI60" s="79"/>
      <c r="AJ60" s="79"/>
      <c r="AK60" s="79"/>
      <c r="AL60" s="79"/>
    </row>
    <row r="61" spans="24:38" x14ac:dyDescent="0.3">
      <c r="X61" s="79"/>
      <c r="Y61" s="79"/>
      <c r="Z61" s="79"/>
      <c r="AA61" s="79"/>
      <c r="AB61" s="79"/>
      <c r="AC61" s="79"/>
      <c r="AD61" s="79"/>
      <c r="AE61" s="79"/>
      <c r="AF61" s="79"/>
      <c r="AG61" s="79"/>
      <c r="AH61" s="79"/>
      <c r="AI61" s="79"/>
      <c r="AJ61" s="79"/>
      <c r="AK61" s="79"/>
      <c r="AL61" s="79"/>
    </row>
    <row r="62" spans="24:38" x14ac:dyDescent="0.3">
      <c r="X62" s="79"/>
      <c r="Y62" s="79"/>
      <c r="Z62" s="79"/>
      <c r="AA62" s="79"/>
      <c r="AB62" s="79"/>
      <c r="AC62" s="79"/>
      <c r="AD62" s="79"/>
      <c r="AE62" s="79"/>
      <c r="AF62" s="79"/>
      <c r="AG62" s="79"/>
      <c r="AH62" s="79"/>
      <c r="AI62" s="79"/>
      <c r="AJ62" s="79"/>
      <c r="AK62" s="79"/>
      <c r="AL62" s="79"/>
    </row>
    <row r="63" spans="24:38" x14ac:dyDescent="0.3">
      <c r="X63" s="79"/>
      <c r="Y63" s="79"/>
      <c r="Z63" s="79"/>
      <c r="AA63" s="79"/>
      <c r="AB63" s="79"/>
      <c r="AC63" s="79"/>
      <c r="AD63" s="79"/>
      <c r="AE63" s="79"/>
      <c r="AF63" s="79"/>
      <c r="AG63" s="79"/>
      <c r="AH63" s="79"/>
      <c r="AI63" s="79"/>
      <c r="AJ63" s="79"/>
      <c r="AK63" s="79"/>
      <c r="AL63" s="79"/>
    </row>
    <row r="64" spans="24:38" x14ac:dyDescent="0.3">
      <c r="X64" s="79"/>
      <c r="Y64" s="79"/>
      <c r="Z64" s="79"/>
      <c r="AA64" s="79"/>
      <c r="AB64" s="79"/>
      <c r="AC64" s="79"/>
      <c r="AD64" s="79"/>
      <c r="AE64" s="79"/>
      <c r="AF64" s="79"/>
      <c r="AG64" s="79"/>
      <c r="AH64" s="79"/>
      <c r="AI64" s="79"/>
      <c r="AJ64" s="79"/>
      <c r="AK64" s="79"/>
      <c r="AL64" s="79"/>
    </row>
    <row r="65" spans="24:38" x14ac:dyDescent="0.3">
      <c r="X65" s="79"/>
      <c r="Y65" s="79"/>
      <c r="Z65" s="79"/>
      <c r="AA65" s="79"/>
      <c r="AB65" s="79"/>
      <c r="AC65" s="79"/>
      <c r="AD65" s="79"/>
      <c r="AE65" s="79"/>
      <c r="AF65" s="79"/>
      <c r="AG65" s="79"/>
      <c r="AH65" s="79"/>
      <c r="AI65" s="79"/>
      <c r="AJ65" s="79"/>
      <c r="AK65" s="79"/>
      <c r="AL65" s="79"/>
    </row>
    <row r="66" spans="24:38" x14ac:dyDescent="0.3">
      <c r="X66" s="79"/>
      <c r="Z66" s="79"/>
      <c r="AA66" s="79"/>
      <c r="AB66" s="79"/>
      <c r="AC66" s="79"/>
      <c r="AD66" s="79"/>
      <c r="AE66" s="79"/>
      <c r="AF66" s="79"/>
      <c r="AG66" s="79"/>
      <c r="AH66" s="79"/>
      <c r="AI66" s="79"/>
      <c r="AJ66" s="79"/>
      <c r="AK66" s="79"/>
      <c r="AL66" s="79"/>
    </row>
    <row r="67" spans="24:38" x14ac:dyDescent="0.3">
      <c r="X67" s="79"/>
      <c r="Y67" s="79"/>
      <c r="Z67" s="79"/>
      <c r="AA67" s="79"/>
      <c r="AB67" s="79"/>
      <c r="AC67" s="79"/>
      <c r="AD67" s="79"/>
      <c r="AE67" s="79"/>
      <c r="AF67" s="79"/>
      <c r="AG67" s="79"/>
      <c r="AH67" s="79"/>
      <c r="AI67" s="79"/>
      <c r="AJ67" s="79"/>
      <c r="AK67" s="79"/>
      <c r="AL67" s="79"/>
    </row>
    <row r="68" spans="24:38" x14ac:dyDescent="0.3">
      <c r="X68" s="79"/>
      <c r="Y68" s="79"/>
      <c r="Z68" s="79"/>
      <c r="AA68" s="79"/>
      <c r="AB68" s="79"/>
      <c r="AC68" s="79"/>
      <c r="AD68" s="79"/>
      <c r="AE68" s="79"/>
      <c r="AF68" s="79"/>
      <c r="AG68" s="79"/>
      <c r="AH68" s="79"/>
      <c r="AI68" s="79"/>
      <c r="AJ68" s="79"/>
      <c r="AK68" s="79"/>
      <c r="AL68" s="79"/>
    </row>
    <row r="69" spans="24:38" x14ac:dyDescent="0.3">
      <c r="X69" s="79"/>
      <c r="Y69" s="79"/>
      <c r="Z69" s="125" t="s">
        <v>439</v>
      </c>
      <c r="AA69" s="79">
        <f t="shared" ref="AA69:AL69" si="50">SUM(AA38:AA65)</f>
        <v>118</v>
      </c>
      <c r="AB69" s="79">
        <f t="shared" si="50"/>
        <v>0</v>
      </c>
      <c r="AC69" s="79">
        <f t="shared" si="50"/>
        <v>0</v>
      </c>
      <c r="AD69" s="79">
        <f t="shared" si="50"/>
        <v>0</v>
      </c>
      <c r="AE69" s="79">
        <f t="shared" si="50"/>
        <v>69</v>
      </c>
      <c r="AF69" s="79">
        <f t="shared" si="50"/>
        <v>0</v>
      </c>
      <c r="AG69" s="79">
        <f t="shared" si="50"/>
        <v>0</v>
      </c>
      <c r="AH69" s="79">
        <f t="shared" si="50"/>
        <v>0</v>
      </c>
      <c r="AI69" s="79">
        <f t="shared" si="50"/>
        <v>13</v>
      </c>
      <c r="AJ69" s="79">
        <f t="shared" si="50"/>
        <v>0</v>
      </c>
      <c r="AK69" s="79">
        <f t="shared" si="50"/>
        <v>22</v>
      </c>
      <c r="AL69" s="79">
        <f t="shared" si="50"/>
        <v>1</v>
      </c>
    </row>
    <row r="70" spans="24:38" x14ac:dyDescent="0.3">
      <c r="X70" s="79"/>
      <c r="Y70" s="79"/>
      <c r="Z70" s="125" t="s">
        <v>440</v>
      </c>
      <c r="AA70" s="126">
        <f>I4+I124-AA69</f>
        <v>-118</v>
      </c>
      <c r="AB70" s="126">
        <f>K4+K124-AB69</f>
        <v>50</v>
      </c>
      <c r="AC70" s="126">
        <f>L4+L124-AC69</f>
        <v>0</v>
      </c>
      <c r="AD70" s="126">
        <f>M4+M124-AD69</f>
        <v>0</v>
      </c>
      <c r="AE70" s="126">
        <f>N4+N124-AE69</f>
        <v>-69</v>
      </c>
      <c r="AF70" s="126">
        <f>P4+P124-AF69</f>
        <v>2</v>
      </c>
      <c r="AG70" s="126">
        <f>Q4+Q124-AG69</f>
        <v>0</v>
      </c>
      <c r="AH70" s="126">
        <f>R4+R124-AH69</f>
        <v>0</v>
      </c>
      <c r="AI70" s="126">
        <f>S4+S124-AI69</f>
        <v>-13</v>
      </c>
      <c r="AJ70" s="126">
        <f t="shared" ref="AJ70:AL70" si="51">U4+U124-AJ69</f>
        <v>48</v>
      </c>
      <c r="AK70" s="126">
        <f t="shared" si="51"/>
        <v>-22</v>
      </c>
      <c r="AL70" s="126">
        <f t="shared" si="51"/>
        <v>-1</v>
      </c>
    </row>
    <row r="71" spans="24:38" x14ac:dyDescent="0.3">
      <c r="X71" s="79"/>
    </row>
    <row r="72" spans="24:38" x14ac:dyDescent="0.3">
      <c r="X72" s="79"/>
    </row>
    <row r="73" spans="24:38" x14ac:dyDescent="0.3">
      <c r="X73" s="79"/>
    </row>
    <row r="74" spans="24:38" x14ac:dyDescent="0.3">
      <c r="X74" s="79"/>
    </row>
    <row r="75" spans="24:38" x14ac:dyDescent="0.3">
      <c r="X75" s="79"/>
    </row>
    <row r="76" spans="24:38" x14ac:dyDescent="0.3">
      <c r="X76" s="79"/>
    </row>
    <row r="77" spans="24:38" x14ac:dyDescent="0.3">
      <c r="X77" s="79"/>
    </row>
    <row r="78" spans="24:38" x14ac:dyDescent="0.3">
      <c r="X78" s="79"/>
    </row>
    <row r="79" spans="24:38" x14ac:dyDescent="0.3">
      <c r="X79" s="79"/>
    </row>
    <row r="80" spans="24:38" x14ac:dyDescent="0.3">
      <c r="X80" s="79"/>
    </row>
    <row r="81" spans="24:24" x14ac:dyDescent="0.3">
      <c r="X81" s="79"/>
    </row>
    <row r="82" spans="24:24" x14ac:dyDescent="0.3">
      <c r="X82" s="79"/>
    </row>
    <row r="83" spans="24:24" x14ac:dyDescent="0.3">
      <c r="X83" s="79"/>
    </row>
    <row r="84" spans="24:24" x14ac:dyDescent="0.3">
      <c r="X84" s="79"/>
    </row>
    <row r="85" spans="24:24" x14ac:dyDescent="0.3">
      <c r="X85" s="79"/>
    </row>
    <row r="86" spans="24:24" x14ac:dyDescent="0.3">
      <c r="X86" s="79"/>
    </row>
    <row r="87" spans="24:24" x14ac:dyDescent="0.3">
      <c r="X87" s="79"/>
    </row>
    <row r="88" spans="24:24" x14ac:dyDescent="0.3">
      <c r="X88" s="79"/>
    </row>
    <row r="89" spans="24:24" x14ac:dyDescent="0.3">
      <c r="X89" s="79"/>
    </row>
    <row r="90" spans="24:24" x14ac:dyDescent="0.3">
      <c r="X90" s="79"/>
    </row>
    <row r="91" spans="24:24" x14ac:dyDescent="0.3">
      <c r="X91" s="79"/>
    </row>
    <row r="92" spans="24:24" x14ac:dyDescent="0.3">
      <c r="X92" s="79"/>
    </row>
    <row r="93" spans="24:24" x14ac:dyDescent="0.3">
      <c r="X93" s="79"/>
    </row>
    <row r="94" spans="24:24" x14ac:dyDescent="0.3">
      <c r="X94" s="79"/>
    </row>
    <row r="95" spans="24:24" x14ac:dyDescent="0.3">
      <c r="X95" s="79"/>
    </row>
    <row r="96" spans="24:24" x14ac:dyDescent="0.3">
      <c r="X96" s="79"/>
    </row>
    <row r="97" spans="24:24" x14ac:dyDescent="0.3">
      <c r="X97" s="79"/>
    </row>
    <row r="98" spans="24:24" x14ac:dyDescent="0.3">
      <c r="X98" s="79"/>
    </row>
    <row r="99" spans="24:24" x14ac:dyDescent="0.3">
      <c r="X99" s="79"/>
    </row>
    <row r="100" spans="24:24" x14ac:dyDescent="0.3">
      <c r="X100" s="79"/>
    </row>
    <row r="101" spans="24:24" x14ac:dyDescent="0.3">
      <c r="X101" s="79"/>
    </row>
    <row r="102" spans="24:24" x14ac:dyDescent="0.3">
      <c r="X102" s="79"/>
    </row>
    <row r="103" spans="24:24" x14ac:dyDescent="0.3">
      <c r="X103" s="79"/>
    </row>
    <row r="104" spans="24:24" x14ac:dyDescent="0.3">
      <c r="X104" s="79"/>
    </row>
    <row r="105" spans="24:24" x14ac:dyDescent="0.3">
      <c r="X105" s="79"/>
    </row>
    <row r="106" spans="24:24" x14ac:dyDescent="0.3">
      <c r="X106" s="79"/>
    </row>
    <row r="107" spans="24:24" x14ac:dyDescent="0.3">
      <c r="X107" s="79"/>
    </row>
    <row r="108" spans="24:24" x14ac:dyDescent="0.3">
      <c r="X108" s="79"/>
    </row>
    <row r="109" spans="24:24" x14ac:dyDescent="0.3">
      <c r="X109" s="79"/>
    </row>
    <row r="110" spans="24:24" x14ac:dyDescent="0.3">
      <c r="X110" s="79"/>
    </row>
    <row r="111" spans="24:24" x14ac:dyDescent="0.3">
      <c r="X111" s="79"/>
    </row>
    <row r="112" spans="24:24" x14ac:dyDescent="0.3">
      <c r="X112" s="79"/>
    </row>
    <row r="113" spans="24:24" x14ac:dyDescent="0.3">
      <c r="X113" s="79"/>
    </row>
    <row r="114" spans="24:24" x14ac:dyDescent="0.3">
      <c r="X114" s="79"/>
    </row>
    <row r="115" spans="24:24" x14ac:dyDescent="0.3">
      <c r="X115" s="79"/>
    </row>
    <row r="116" spans="24:24" x14ac:dyDescent="0.3">
      <c r="X116" s="79"/>
    </row>
    <row r="117" spans="24:24" x14ac:dyDescent="0.3">
      <c r="X117" s="79"/>
    </row>
    <row r="118" spans="24:24" x14ac:dyDescent="0.3">
      <c r="X118" s="79"/>
    </row>
    <row r="119" spans="24:24" x14ac:dyDescent="0.3">
      <c r="X119" s="79"/>
    </row>
    <row r="120" spans="24:24" x14ac:dyDescent="0.3">
      <c r="X120" s="79"/>
    </row>
    <row r="121" spans="24:24" x14ac:dyDescent="0.3">
      <c r="X121" s="79"/>
    </row>
    <row r="122" spans="24:24" x14ac:dyDescent="0.3">
      <c r="X122" s="79"/>
    </row>
    <row r="123" spans="24:24" x14ac:dyDescent="0.3">
      <c r="X123" s="79"/>
    </row>
    <row r="124" spans="24:24" x14ac:dyDescent="0.3">
      <c r="X124" s="79"/>
    </row>
    <row r="125" spans="24:24" x14ac:dyDescent="0.3">
      <c r="X125" s="79"/>
    </row>
  </sheetData>
  <mergeCells count="4">
    <mergeCell ref="C1:G1"/>
    <mergeCell ref="H1:L1"/>
    <mergeCell ref="M1:Q1"/>
    <mergeCell ref="R1:V1"/>
  </mergeCells>
  <dataValidations count="1">
    <dataValidation type="list" allowBlank="1" showInputMessage="1" showErrorMessage="1" sqref="Y69:Y1070 Y1:Y3" xr:uid="{4D1969D8-6AC5-4AE6-B529-BF5D06478DAE}">
      <formula1>$A$3:$A$475</formula1>
      <formula2>0</formula2>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D9BB20-E06D-4FDA-8AA1-20C06565DD5E}">
  <dimension ref="A1:AL123"/>
  <sheetViews>
    <sheetView workbookViewId="0"/>
  </sheetViews>
  <sheetFormatPr defaultColWidth="10.109375" defaultRowHeight="14.4" x14ac:dyDescent="0.3"/>
  <cols>
    <col min="1" max="1" width="5.5546875" customWidth="1"/>
    <col min="2" max="2" width="13.109375" style="81" customWidth="1"/>
    <col min="3" max="3" width="13.109375" customWidth="1"/>
    <col min="4" max="5" width="11.109375" customWidth="1"/>
    <col min="19" max="20" width="11.6640625" customWidth="1"/>
    <col min="24" max="25" width="26.6640625" customWidth="1"/>
    <col min="26" max="26" width="23.6640625" customWidth="1"/>
    <col min="28" max="28" width="7.88671875" customWidth="1"/>
    <col min="29" max="29" width="7.33203125" customWidth="1"/>
    <col min="30" max="30" width="9.33203125" customWidth="1"/>
    <col min="31" max="31" width="8" customWidth="1"/>
    <col min="32" max="33" width="8.109375" customWidth="1"/>
    <col min="34" max="34" width="7.88671875" customWidth="1"/>
    <col min="35" max="35" width="7.109375" customWidth="1"/>
    <col min="36" max="36" width="8.109375" customWidth="1"/>
    <col min="37" max="37" width="7.44140625" customWidth="1"/>
    <col min="38" max="38" width="7.6640625" customWidth="1"/>
  </cols>
  <sheetData>
    <row r="1" spans="1:38" ht="30.6" customHeight="1" x14ac:dyDescent="0.3">
      <c r="A1" s="80" t="s">
        <v>3</v>
      </c>
      <c r="B1" s="80" t="s">
        <v>367</v>
      </c>
      <c r="C1" s="380" t="s">
        <v>368</v>
      </c>
      <c r="D1" s="380"/>
      <c r="E1" s="380"/>
      <c r="F1" s="380"/>
      <c r="G1" s="380"/>
      <c r="H1" s="381" t="s">
        <v>369</v>
      </c>
      <c r="I1" s="381"/>
      <c r="J1" s="381"/>
      <c r="K1" s="381"/>
      <c r="L1" s="381"/>
      <c r="M1" s="382" t="s">
        <v>370</v>
      </c>
      <c r="N1" s="382"/>
      <c r="O1" s="382"/>
      <c r="P1" s="382"/>
      <c r="Q1" s="382"/>
      <c r="R1" s="383" t="s">
        <v>371</v>
      </c>
      <c r="S1" s="383"/>
      <c r="T1" s="383"/>
      <c r="U1" s="383"/>
      <c r="V1" s="383"/>
      <c r="W1" s="79"/>
      <c r="X1" s="128"/>
      <c r="Y1" s="127" t="s">
        <v>370</v>
      </c>
      <c r="Z1" s="127"/>
      <c r="AA1" s="127"/>
      <c r="AB1" s="127"/>
      <c r="AC1" s="127"/>
      <c r="AD1" s="127"/>
      <c r="AE1" s="127"/>
      <c r="AF1" s="127"/>
      <c r="AG1" s="127"/>
      <c r="AH1" s="127"/>
      <c r="AI1" s="127"/>
      <c r="AJ1" s="127"/>
      <c r="AK1" s="127"/>
      <c r="AL1" s="127"/>
    </row>
    <row r="2" spans="1:38" ht="32.85" customHeight="1" x14ac:dyDescent="0.3">
      <c r="A2" s="79"/>
      <c r="B2" s="82"/>
      <c r="C2" s="83" t="s">
        <v>372</v>
      </c>
      <c r="D2" s="83" t="s">
        <v>373</v>
      </c>
      <c r="E2" s="83" t="s">
        <v>507</v>
      </c>
      <c r="F2" s="83" t="s">
        <v>374</v>
      </c>
      <c r="G2" s="83" t="s">
        <v>375</v>
      </c>
      <c r="H2" s="84" t="s">
        <v>372</v>
      </c>
      <c r="I2" s="84" t="s">
        <v>373</v>
      </c>
      <c r="J2" s="230" t="s">
        <v>507</v>
      </c>
      <c r="K2" s="84" t="s">
        <v>374</v>
      </c>
      <c r="L2" s="84" t="s">
        <v>375</v>
      </c>
      <c r="M2" s="85" t="s">
        <v>372</v>
      </c>
      <c r="N2" s="85" t="s">
        <v>373</v>
      </c>
      <c r="O2" s="85" t="s">
        <v>486</v>
      </c>
      <c r="P2" s="85" t="s">
        <v>374</v>
      </c>
      <c r="Q2" s="85" t="s">
        <v>375</v>
      </c>
      <c r="R2" s="86" t="s">
        <v>372</v>
      </c>
      <c r="S2" s="86" t="s">
        <v>373</v>
      </c>
      <c r="T2" s="86" t="s">
        <v>486</v>
      </c>
      <c r="U2" s="86" t="s">
        <v>374</v>
      </c>
      <c r="V2" s="86" t="s">
        <v>375</v>
      </c>
      <c r="W2" s="79"/>
      <c r="X2" s="129"/>
      <c r="Y2" s="119" t="s">
        <v>318</v>
      </c>
      <c r="Z2" s="119" t="s">
        <v>403</v>
      </c>
      <c r="AA2" s="120" t="s">
        <v>26</v>
      </c>
      <c r="AB2" s="118" t="s">
        <v>404</v>
      </c>
      <c r="AC2" s="118" t="s">
        <v>405</v>
      </c>
      <c r="AD2" s="118" t="s">
        <v>406</v>
      </c>
      <c r="AE2" s="118" t="s">
        <v>29</v>
      </c>
      <c r="AF2" s="118" t="s">
        <v>407</v>
      </c>
      <c r="AG2" s="118" t="s">
        <v>408</v>
      </c>
      <c r="AH2" s="118" t="s">
        <v>409</v>
      </c>
      <c r="AI2" s="118" t="s">
        <v>410</v>
      </c>
      <c r="AJ2" s="118" t="s">
        <v>411</v>
      </c>
      <c r="AK2" s="118" t="s">
        <v>42</v>
      </c>
      <c r="AL2" s="118" t="s">
        <v>412</v>
      </c>
    </row>
    <row r="3" spans="1:38" ht="32.85" customHeight="1" x14ac:dyDescent="0.35">
      <c r="A3" s="79"/>
      <c r="B3" s="82">
        <v>46273</v>
      </c>
      <c r="C3" s="79"/>
      <c r="D3" s="79"/>
      <c r="E3" s="79"/>
      <c r="F3" s="79"/>
      <c r="G3" s="79"/>
      <c r="H3" s="79"/>
      <c r="I3" s="79"/>
      <c r="J3" s="79"/>
      <c r="K3" s="79"/>
      <c r="L3" s="79"/>
      <c r="M3" s="79"/>
      <c r="N3" s="79"/>
      <c r="O3" s="79"/>
      <c r="P3" s="79"/>
      <c r="Q3" s="79"/>
      <c r="R3" s="79">
        <f>C3+H3-M3</f>
        <v>0</v>
      </c>
      <c r="S3" s="79">
        <f>D3+I3-N3</f>
        <v>0</v>
      </c>
      <c r="T3" s="79"/>
      <c r="U3" s="79">
        <f>F3+K3-P3</f>
        <v>0</v>
      </c>
      <c r="V3" s="79">
        <f>G3+L3-Q3</f>
        <v>0</v>
      </c>
      <c r="W3" s="79"/>
      <c r="X3" s="130"/>
      <c r="Y3" s="121"/>
      <c r="Z3" s="121"/>
      <c r="AA3" s="121"/>
      <c r="AB3" s="121"/>
      <c r="AC3" s="121"/>
      <c r="AD3" s="121"/>
      <c r="AE3" s="121"/>
      <c r="AF3" s="121"/>
      <c r="AG3" s="121"/>
      <c r="AH3" s="121"/>
      <c r="AI3" s="121"/>
      <c r="AJ3" s="121"/>
      <c r="AK3" s="121"/>
      <c r="AL3" s="121"/>
    </row>
    <row r="4" spans="1:38" ht="32.85" customHeight="1" x14ac:dyDescent="0.3">
      <c r="A4" s="79"/>
      <c r="B4" s="82">
        <v>46274</v>
      </c>
      <c r="C4" s="79"/>
      <c r="D4" s="79"/>
      <c r="E4" s="79"/>
      <c r="F4" s="79"/>
      <c r="G4" s="79"/>
      <c r="H4" s="79"/>
      <c r="I4" s="79"/>
      <c r="J4" s="79"/>
      <c r="K4" s="79">
        <v>50</v>
      </c>
      <c r="L4" s="79"/>
      <c r="M4" s="79"/>
      <c r="N4" s="79"/>
      <c r="O4" s="79"/>
      <c r="P4" s="79">
        <v>2</v>
      </c>
      <c r="Q4" s="79"/>
      <c r="R4" s="79">
        <f t="shared" ref="R4:S7" si="0">C4+H4-M4</f>
        <v>0</v>
      </c>
      <c r="S4" s="79">
        <f t="shared" si="0"/>
        <v>0</v>
      </c>
      <c r="T4" s="79"/>
      <c r="U4" s="79">
        <f t="shared" ref="U4:V7" si="1">F4+K4-P4</f>
        <v>48</v>
      </c>
      <c r="V4" s="79">
        <f t="shared" si="1"/>
        <v>0</v>
      </c>
      <c r="W4" s="142"/>
      <c r="X4" s="140"/>
      <c r="Y4" s="88"/>
      <c r="Z4" s="79"/>
      <c r="AA4" s="79"/>
      <c r="AB4" s="79"/>
      <c r="AC4" s="79"/>
      <c r="AD4" s="79"/>
      <c r="AE4" s="79"/>
      <c r="AF4" s="79"/>
      <c r="AG4" s="79"/>
      <c r="AH4" s="79"/>
      <c r="AI4" s="79"/>
      <c r="AJ4" s="79"/>
      <c r="AK4" s="79"/>
      <c r="AL4" s="79"/>
    </row>
    <row r="5" spans="1:38" ht="32.85" customHeight="1" x14ac:dyDescent="0.3">
      <c r="A5" s="79"/>
      <c r="B5" s="228">
        <v>46304</v>
      </c>
      <c r="C5" s="79">
        <f t="shared" ref="C5:D6" si="2">R4</f>
        <v>0</v>
      </c>
      <c r="D5" s="79">
        <f t="shared" si="2"/>
        <v>0</v>
      </c>
      <c r="E5" s="79"/>
      <c r="F5" s="79">
        <f t="shared" ref="F5:G6" si="3">U4</f>
        <v>48</v>
      </c>
      <c r="G5" s="79">
        <f t="shared" si="3"/>
        <v>0</v>
      </c>
      <c r="H5" s="79"/>
      <c r="I5" s="79"/>
      <c r="J5" s="79"/>
      <c r="K5" s="79">
        <v>40</v>
      </c>
      <c r="L5" s="79"/>
      <c r="M5" s="79"/>
      <c r="N5" s="79"/>
      <c r="O5" s="79"/>
      <c r="P5" s="79">
        <f>20+40+13</f>
        <v>73</v>
      </c>
      <c r="Q5" s="79"/>
      <c r="R5" s="79">
        <f t="shared" si="0"/>
        <v>0</v>
      </c>
      <c r="S5" s="79">
        <f t="shared" si="0"/>
        <v>0</v>
      </c>
      <c r="T5" s="79"/>
      <c r="U5" s="79">
        <f t="shared" si="1"/>
        <v>15</v>
      </c>
      <c r="V5" s="79">
        <f t="shared" si="1"/>
        <v>0</v>
      </c>
      <c r="W5" s="142"/>
      <c r="X5" s="79"/>
      <c r="Y5" s="212" t="s">
        <v>502</v>
      </c>
      <c r="Z5" s="79" t="s">
        <v>503</v>
      </c>
      <c r="AA5" s="79">
        <v>2</v>
      </c>
      <c r="AB5" s="79"/>
      <c r="AC5" s="79"/>
      <c r="AD5" s="79"/>
      <c r="AE5" s="79"/>
      <c r="AF5" s="79"/>
      <c r="AG5" s="79"/>
      <c r="AH5" s="79"/>
      <c r="AI5" s="79"/>
      <c r="AJ5" s="79"/>
      <c r="AK5" s="79"/>
      <c r="AL5" s="79"/>
    </row>
    <row r="6" spans="1:38" ht="32.85" customHeight="1" x14ac:dyDescent="0.3">
      <c r="A6" s="79"/>
      <c r="B6" s="102" t="s">
        <v>524</v>
      </c>
      <c r="C6" s="79">
        <f t="shared" si="2"/>
        <v>0</v>
      </c>
      <c r="D6" s="79">
        <f t="shared" si="2"/>
        <v>0</v>
      </c>
      <c r="E6" s="79"/>
      <c r="F6" s="79">
        <f t="shared" si="3"/>
        <v>15</v>
      </c>
      <c r="G6" s="79">
        <f t="shared" si="3"/>
        <v>0</v>
      </c>
      <c r="H6" s="79"/>
      <c r="I6" s="79"/>
      <c r="J6" s="79"/>
      <c r="K6" s="79">
        <v>40</v>
      </c>
      <c r="L6" s="79"/>
      <c r="M6" s="79"/>
      <c r="N6" s="79"/>
      <c r="O6" s="79"/>
      <c r="P6" s="79">
        <v>4</v>
      </c>
      <c r="Q6" s="79"/>
      <c r="R6" s="79">
        <f t="shared" si="0"/>
        <v>0</v>
      </c>
      <c r="S6" s="79">
        <f t="shared" si="0"/>
        <v>0</v>
      </c>
      <c r="T6" s="79"/>
      <c r="U6" s="79">
        <f t="shared" si="1"/>
        <v>51</v>
      </c>
      <c r="V6" s="79">
        <f t="shared" si="1"/>
        <v>0</v>
      </c>
      <c r="W6" s="142"/>
      <c r="X6" s="79"/>
      <c r="Y6" s="229" t="s">
        <v>504</v>
      </c>
      <c r="Z6" s="79" t="s">
        <v>505</v>
      </c>
      <c r="AA6" s="79">
        <v>60</v>
      </c>
      <c r="AB6" s="79"/>
      <c r="AC6" s="79"/>
      <c r="AD6" s="79"/>
      <c r="AE6" s="79"/>
      <c r="AF6" s="79"/>
      <c r="AG6" s="79"/>
      <c r="AH6" s="79"/>
      <c r="AI6" s="79"/>
      <c r="AJ6" s="79"/>
      <c r="AK6" s="79"/>
      <c r="AL6" s="79"/>
    </row>
    <row r="7" spans="1:38" ht="35.1" customHeight="1" x14ac:dyDescent="0.3">
      <c r="A7" s="79"/>
      <c r="B7" s="87" t="s">
        <v>581</v>
      </c>
      <c r="C7" s="79"/>
      <c r="D7" s="79"/>
      <c r="E7" s="79"/>
      <c r="F7" s="79"/>
      <c r="G7" s="79"/>
      <c r="H7" s="79"/>
      <c r="I7" s="79"/>
      <c r="J7" s="79"/>
      <c r="K7" s="79">
        <v>17</v>
      </c>
      <c r="L7" s="79">
        <v>30</v>
      </c>
      <c r="M7" s="79"/>
      <c r="N7" s="79"/>
      <c r="O7" s="79"/>
      <c r="P7" s="79"/>
      <c r="Q7" s="79"/>
      <c r="R7" s="79">
        <f>C7+H7-M7</f>
        <v>0</v>
      </c>
      <c r="S7" s="79">
        <f t="shared" si="0"/>
        <v>0</v>
      </c>
      <c r="T7" s="79">
        <f t="shared" ref="T7" si="4">E7+J7-O7</f>
        <v>0</v>
      </c>
      <c r="U7" s="79">
        <f t="shared" si="1"/>
        <v>17</v>
      </c>
      <c r="V7" s="79">
        <f t="shared" si="1"/>
        <v>30</v>
      </c>
      <c r="W7" s="142"/>
      <c r="X7" s="79"/>
      <c r="Y7" s="79"/>
      <c r="Z7" s="79"/>
      <c r="AA7" s="79"/>
      <c r="AB7" s="79"/>
      <c r="AC7" s="79"/>
      <c r="AD7" s="79"/>
      <c r="AE7" s="79"/>
      <c r="AF7" s="79"/>
      <c r="AG7" s="79"/>
      <c r="AH7" s="79"/>
      <c r="AI7" s="79"/>
      <c r="AJ7" s="79"/>
      <c r="AK7" s="79"/>
      <c r="AL7" s="79"/>
    </row>
    <row r="8" spans="1:38" ht="35.1" customHeight="1" x14ac:dyDescent="0.3">
      <c r="A8" s="79"/>
      <c r="B8" s="87" t="s">
        <v>608</v>
      </c>
      <c r="C8" s="79">
        <f>R7</f>
        <v>0</v>
      </c>
      <c r="D8" s="79">
        <f t="shared" ref="D8:G8" si="5">S7</f>
        <v>0</v>
      </c>
      <c r="E8" s="79">
        <f t="shared" si="5"/>
        <v>0</v>
      </c>
      <c r="F8" s="79">
        <f t="shared" si="5"/>
        <v>17</v>
      </c>
      <c r="G8" s="79">
        <f t="shared" si="5"/>
        <v>30</v>
      </c>
      <c r="H8" s="79"/>
      <c r="I8" s="79"/>
      <c r="J8" s="79"/>
      <c r="K8" s="79"/>
      <c r="L8" s="79"/>
      <c r="M8" s="79"/>
      <c r="N8" s="79"/>
      <c r="O8" s="79"/>
      <c r="P8" s="79"/>
      <c r="Q8" s="79"/>
      <c r="R8" s="79">
        <f>C8+H8-M8</f>
        <v>0</v>
      </c>
      <c r="S8" s="79">
        <f t="shared" ref="S8" si="6">D8+I8-N8</f>
        <v>0</v>
      </c>
      <c r="T8" s="79">
        <f t="shared" ref="T8" si="7">E8+J8-O8</f>
        <v>0</v>
      </c>
      <c r="U8" s="79">
        <f t="shared" ref="U8" si="8">F8+K8-P8</f>
        <v>17</v>
      </c>
      <c r="V8" s="79">
        <f t="shared" ref="V8" si="9">G8+L8-Q8</f>
        <v>30</v>
      </c>
      <c r="W8" s="142"/>
      <c r="X8" s="79"/>
      <c r="Y8" s="79"/>
      <c r="Z8" s="79"/>
      <c r="AA8" s="79"/>
      <c r="AB8" s="79"/>
      <c r="AC8" s="79"/>
      <c r="AD8" s="79"/>
      <c r="AE8" s="79"/>
      <c r="AF8" s="79"/>
      <c r="AG8" s="79"/>
      <c r="AH8" s="79"/>
      <c r="AI8" s="79"/>
      <c r="AJ8" s="79"/>
      <c r="AK8" s="79"/>
      <c r="AL8" s="79"/>
    </row>
    <row r="9" spans="1:38" ht="35.1" customHeight="1" x14ac:dyDescent="0.3">
      <c r="A9" s="79"/>
      <c r="B9" s="87" t="s">
        <v>628</v>
      </c>
      <c r="C9" s="79">
        <f t="shared" ref="C9:C10" si="10">R8</f>
        <v>0</v>
      </c>
      <c r="D9" s="79">
        <f t="shared" ref="D9:D10" si="11">S8</f>
        <v>0</v>
      </c>
      <c r="E9" s="79">
        <f t="shared" ref="E9:E10" si="12">T8</f>
        <v>0</v>
      </c>
      <c r="F9" s="79">
        <f t="shared" ref="F9:F10" si="13">U8</f>
        <v>17</v>
      </c>
      <c r="G9" s="79">
        <f t="shared" ref="G9:G10" si="14">V8</f>
        <v>30</v>
      </c>
      <c r="H9" s="79"/>
      <c r="I9" s="79"/>
      <c r="J9" s="79"/>
      <c r="K9" s="79"/>
      <c r="L9" s="79"/>
      <c r="M9" s="79"/>
      <c r="N9" s="79"/>
      <c r="O9" s="79"/>
      <c r="P9" s="79"/>
      <c r="Q9" s="79"/>
      <c r="R9" s="79">
        <f t="shared" ref="R9:R10" si="15">C9+H9-M9</f>
        <v>0</v>
      </c>
      <c r="S9" s="79">
        <f t="shared" ref="S9:S10" si="16">D9+I9-N9</f>
        <v>0</v>
      </c>
      <c r="T9" s="79">
        <f t="shared" ref="T9:T10" si="17">E9+J9-O9</f>
        <v>0</v>
      </c>
      <c r="U9" s="79">
        <f t="shared" ref="U9:U10" si="18">F9+K9-P9</f>
        <v>17</v>
      </c>
      <c r="V9" s="79">
        <f t="shared" ref="V9:V10" si="19">G9+L9-Q9</f>
        <v>30</v>
      </c>
      <c r="W9" s="142"/>
      <c r="X9" s="79"/>
      <c r="Y9" s="79"/>
      <c r="Z9" s="79"/>
      <c r="AA9" s="79"/>
      <c r="AB9" s="79"/>
      <c r="AC9" s="79"/>
      <c r="AD9" s="79"/>
      <c r="AE9" s="79"/>
      <c r="AF9" s="79"/>
      <c r="AG9" s="79"/>
      <c r="AH9" s="79"/>
      <c r="AI9" s="79"/>
      <c r="AJ9" s="79"/>
      <c r="AK9" s="79"/>
      <c r="AL9" s="79"/>
    </row>
    <row r="10" spans="1:38" ht="35.1" customHeight="1" x14ac:dyDescent="0.3">
      <c r="A10" s="79"/>
      <c r="B10" s="87" t="s">
        <v>641</v>
      </c>
      <c r="C10" s="79">
        <f t="shared" si="10"/>
        <v>0</v>
      </c>
      <c r="D10" s="79">
        <f t="shared" si="11"/>
        <v>0</v>
      </c>
      <c r="E10" s="79">
        <f t="shared" si="12"/>
        <v>0</v>
      </c>
      <c r="F10" s="79">
        <f t="shared" si="13"/>
        <v>17</v>
      </c>
      <c r="G10" s="79">
        <f t="shared" si="14"/>
        <v>30</v>
      </c>
      <c r="H10" s="79"/>
      <c r="I10" s="79"/>
      <c r="J10" s="79"/>
      <c r="K10" s="79"/>
      <c r="L10" s="79"/>
      <c r="M10" s="79"/>
      <c r="N10" s="79"/>
      <c r="O10" s="79"/>
      <c r="P10" s="79"/>
      <c r="Q10" s="79"/>
      <c r="R10" s="79">
        <f t="shared" si="15"/>
        <v>0</v>
      </c>
      <c r="S10" s="79">
        <f t="shared" si="16"/>
        <v>0</v>
      </c>
      <c r="T10" s="79">
        <f t="shared" si="17"/>
        <v>0</v>
      </c>
      <c r="U10" s="79">
        <f t="shared" si="18"/>
        <v>17</v>
      </c>
      <c r="V10" s="79">
        <f t="shared" si="19"/>
        <v>30</v>
      </c>
      <c r="W10" s="142"/>
      <c r="X10" s="79"/>
      <c r="Y10" s="79"/>
      <c r="Z10" s="79"/>
      <c r="AA10" s="79"/>
      <c r="AB10" s="79"/>
      <c r="AC10" s="79"/>
      <c r="AD10" s="79"/>
      <c r="AE10" s="79"/>
      <c r="AF10" s="79"/>
      <c r="AG10" s="79"/>
      <c r="AH10" s="79"/>
      <c r="AI10" s="79"/>
      <c r="AJ10" s="79"/>
      <c r="AK10" s="79"/>
      <c r="AL10" s="79"/>
    </row>
    <row r="11" spans="1:38" ht="35.1" customHeight="1" x14ac:dyDescent="0.3">
      <c r="A11" s="79"/>
      <c r="B11" s="87" t="s">
        <v>674</v>
      </c>
      <c r="C11" s="79">
        <f t="shared" ref="C11" si="20">R10</f>
        <v>0</v>
      </c>
      <c r="D11" s="79">
        <f t="shared" ref="D11" si="21">S10</f>
        <v>0</v>
      </c>
      <c r="E11" s="79">
        <f t="shared" ref="E11" si="22">T10</f>
        <v>0</v>
      </c>
      <c r="F11" s="79">
        <f t="shared" ref="F11" si="23">U10</f>
        <v>17</v>
      </c>
      <c r="G11" s="79">
        <f t="shared" ref="G11" si="24">V10</f>
        <v>30</v>
      </c>
      <c r="H11" s="79"/>
      <c r="I11" s="79"/>
      <c r="J11" s="79"/>
      <c r="K11" s="79"/>
      <c r="L11" s="79"/>
      <c r="M11" s="79"/>
      <c r="N11" s="79"/>
      <c r="O11" s="79"/>
      <c r="P11" s="79"/>
      <c r="Q11" s="79"/>
      <c r="R11" s="79">
        <f t="shared" ref="R11" si="25">C11+H11-M11</f>
        <v>0</v>
      </c>
      <c r="S11" s="79">
        <f t="shared" ref="S11" si="26">D11+I11-N11</f>
        <v>0</v>
      </c>
      <c r="T11" s="79">
        <f t="shared" ref="T11" si="27">E11+J11-O11</f>
        <v>0</v>
      </c>
      <c r="U11" s="79">
        <f t="shared" ref="U11" si="28">F11+K11-P11</f>
        <v>17</v>
      </c>
      <c r="V11" s="79">
        <f t="shared" ref="V11" si="29">G11+L11-Q11</f>
        <v>30</v>
      </c>
      <c r="W11" s="142"/>
      <c r="X11" s="79"/>
      <c r="Y11" s="79"/>
      <c r="Z11" s="79"/>
      <c r="AA11" s="79"/>
      <c r="AB11" s="79"/>
      <c r="AC11" s="79"/>
      <c r="AD11" s="79"/>
      <c r="AE11" s="79"/>
      <c r="AF11" s="79"/>
      <c r="AG11" s="79"/>
      <c r="AH11" s="79"/>
      <c r="AI11" s="79"/>
      <c r="AJ11" s="79"/>
      <c r="AK11" s="79"/>
      <c r="AL11" s="79"/>
    </row>
    <row r="12" spans="1:38" ht="35.1" customHeight="1" x14ac:dyDescent="0.3">
      <c r="A12" s="79"/>
      <c r="B12" s="87"/>
      <c r="C12" s="79"/>
      <c r="D12" s="79"/>
      <c r="E12" s="79"/>
      <c r="F12" s="79"/>
      <c r="G12" s="79"/>
      <c r="H12" s="79"/>
      <c r="I12" s="79"/>
      <c r="J12" s="79"/>
      <c r="K12" s="79"/>
      <c r="L12" s="79"/>
      <c r="M12" s="79"/>
      <c r="N12" s="79"/>
      <c r="O12" s="79"/>
      <c r="P12" s="79"/>
      <c r="Q12" s="79"/>
      <c r="R12" s="79"/>
      <c r="S12" s="79"/>
      <c r="T12" s="79"/>
      <c r="U12" s="79"/>
      <c r="V12" s="79"/>
      <c r="W12" s="142"/>
      <c r="X12" s="79"/>
      <c r="Y12" s="79"/>
      <c r="Z12" s="79"/>
      <c r="AA12" s="79"/>
      <c r="AB12" s="79"/>
      <c r="AC12" s="79"/>
      <c r="AD12" s="79"/>
      <c r="AE12" s="79"/>
      <c r="AF12" s="79"/>
      <c r="AG12" s="79"/>
      <c r="AH12" s="79"/>
      <c r="AI12" s="79"/>
      <c r="AJ12" s="79"/>
      <c r="AK12" s="79"/>
      <c r="AL12" s="79"/>
    </row>
    <row r="13" spans="1:38" ht="35.1" customHeight="1" x14ac:dyDescent="0.3">
      <c r="A13" s="79"/>
      <c r="B13" s="87"/>
      <c r="C13" s="79"/>
      <c r="D13" s="79"/>
      <c r="E13" s="79"/>
      <c r="F13" s="79"/>
      <c r="G13" s="79"/>
      <c r="H13" s="79"/>
      <c r="I13" s="79"/>
      <c r="J13" s="79"/>
      <c r="K13" s="79"/>
      <c r="L13" s="79"/>
      <c r="M13" s="79"/>
      <c r="N13" s="79"/>
      <c r="O13" s="79"/>
      <c r="P13" s="79"/>
      <c r="Q13" s="79"/>
      <c r="R13" s="79"/>
      <c r="S13" s="79"/>
      <c r="T13" s="79"/>
      <c r="U13" s="79"/>
      <c r="V13" s="79"/>
      <c r="W13" s="142"/>
      <c r="X13" s="79"/>
      <c r="Y13" s="79"/>
      <c r="Z13" s="79"/>
      <c r="AA13" s="79"/>
      <c r="AB13" s="79"/>
      <c r="AC13" s="79"/>
      <c r="AD13" s="79"/>
      <c r="AE13" s="79"/>
      <c r="AF13" s="79"/>
      <c r="AG13" s="79"/>
      <c r="AH13" s="79"/>
      <c r="AI13" s="79"/>
      <c r="AJ13" s="79"/>
      <c r="AK13" s="79"/>
      <c r="AL13" s="79"/>
    </row>
    <row r="14" spans="1:38" ht="35.1" customHeight="1" x14ac:dyDescent="0.3">
      <c r="A14" s="79"/>
      <c r="B14" s="87"/>
      <c r="C14" s="79"/>
      <c r="D14" s="79"/>
      <c r="E14" s="79"/>
      <c r="F14" s="79"/>
      <c r="G14" s="79"/>
      <c r="H14" s="79"/>
      <c r="I14" s="79"/>
      <c r="J14" s="79"/>
      <c r="K14" s="79"/>
      <c r="L14" s="79"/>
      <c r="M14" s="79"/>
      <c r="N14" s="79"/>
      <c r="O14" s="79"/>
      <c r="P14" s="79"/>
      <c r="Q14" s="79"/>
      <c r="R14" s="79"/>
      <c r="S14" s="79"/>
      <c r="T14" s="79"/>
      <c r="U14" s="79"/>
      <c r="V14" s="79"/>
      <c r="W14" s="142"/>
      <c r="X14" s="79"/>
      <c r="Y14" s="79"/>
      <c r="Z14" s="79"/>
      <c r="AA14" s="79"/>
      <c r="AB14" s="79"/>
      <c r="AC14" s="79"/>
      <c r="AD14" s="79"/>
      <c r="AE14" s="79"/>
      <c r="AF14" s="79"/>
      <c r="AG14" s="79"/>
      <c r="AH14" s="79"/>
      <c r="AI14" s="79"/>
      <c r="AJ14" s="79"/>
      <c r="AK14" s="79"/>
      <c r="AL14" s="79"/>
    </row>
    <row r="15" spans="1:38" ht="35.1" customHeight="1" x14ac:dyDescent="0.3">
      <c r="A15" s="79"/>
      <c r="B15" s="87"/>
      <c r="C15" s="79"/>
      <c r="D15" s="79"/>
      <c r="E15" s="79"/>
      <c r="F15" s="79"/>
      <c r="G15" s="79"/>
      <c r="H15" s="79"/>
      <c r="I15" s="79"/>
      <c r="J15" s="79"/>
      <c r="K15" s="79"/>
      <c r="L15" s="79"/>
      <c r="M15" s="79"/>
      <c r="N15" s="79"/>
      <c r="O15" s="79"/>
      <c r="P15" s="79"/>
      <c r="Q15" s="79"/>
      <c r="R15" s="79"/>
      <c r="S15" s="79"/>
      <c r="T15" s="79"/>
      <c r="U15" s="79"/>
      <c r="V15" s="79"/>
      <c r="W15" s="142"/>
      <c r="X15" s="79"/>
      <c r="Y15" s="79"/>
      <c r="Z15" s="79"/>
      <c r="AA15" s="79"/>
      <c r="AB15" s="79"/>
      <c r="AC15" s="79"/>
      <c r="AD15" s="79"/>
      <c r="AE15" s="79"/>
      <c r="AF15" s="79"/>
      <c r="AG15" s="79"/>
      <c r="AH15" s="79"/>
      <c r="AI15" s="79"/>
      <c r="AJ15" s="79"/>
      <c r="AK15" s="79"/>
      <c r="AL15" s="79"/>
    </row>
    <row r="16" spans="1:38" ht="35.1" customHeight="1" x14ac:dyDescent="0.3">
      <c r="A16" s="79"/>
      <c r="B16" s="87"/>
      <c r="C16" s="79"/>
      <c r="D16" s="79"/>
      <c r="E16" s="79"/>
      <c r="F16" s="79"/>
      <c r="G16" s="79"/>
      <c r="H16" s="79"/>
      <c r="I16" s="79"/>
      <c r="J16" s="79"/>
      <c r="K16" s="79"/>
      <c r="L16" s="79"/>
      <c r="M16" s="79"/>
      <c r="N16" s="79"/>
      <c r="O16" s="79"/>
      <c r="P16" s="79"/>
      <c r="Q16" s="79"/>
      <c r="R16" s="79"/>
      <c r="S16" s="79"/>
      <c r="T16" s="79"/>
      <c r="U16" s="79"/>
      <c r="V16" s="79"/>
      <c r="W16" s="142"/>
      <c r="X16" s="79"/>
      <c r="Y16" s="79"/>
      <c r="Z16" s="79"/>
      <c r="AA16" s="79"/>
      <c r="AB16" s="79"/>
      <c r="AC16" s="79"/>
      <c r="AD16" s="79"/>
      <c r="AE16" s="79"/>
      <c r="AF16" s="79"/>
      <c r="AG16" s="79"/>
      <c r="AH16" s="79"/>
      <c r="AI16" s="79"/>
      <c r="AJ16" s="79"/>
      <c r="AK16" s="79"/>
      <c r="AL16" s="79"/>
    </row>
    <row r="17" spans="1:38" ht="35.1" customHeight="1" x14ac:dyDescent="0.3">
      <c r="A17" s="79"/>
      <c r="B17" s="87"/>
      <c r="C17" s="79"/>
      <c r="D17" s="79"/>
      <c r="E17" s="79"/>
      <c r="F17" s="79"/>
      <c r="G17" s="79"/>
      <c r="H17" s="79"/>
      <c r="I17" s="79"/>
      <c r="J17" s="79"/>
      <c r="K17" s="79"/>
      <c r="L17" s="79"/>
      <c r="M17" s="79"/>
      <c r="N17" s="79"/>
      <c r="O17" s="79"/>
      <c r="P17" s="79"/>
      <c r="Q17" s="79"/>
      <c r="R17" s="79"/>
      <c r="S17" s="79"/>
      <c r="T17" s="79"/>
      <c r="U17" s="79"/>
      <c r="V17" s="79"/>
      <c r="W17" s="142"/>
      <c r="X17" s="79"/>
      <c r="Y17" s="79"/>
      <c r="Z17" s="79"/>
      <c r="AA17" s="79"/>
      <c r="AB17" s="79"/>
      <c r="AC17" s="79"/>
      <c r="AD17" s="79"/>
      <c r="AE17" s="79"/>
      <c r="AF17" s="79"/>
      <c r="AG17" s="79"/>
      <c r="AH17" s="79"/>
      <c r="AI17" s="79"/>
      <c r="AJ17" s="79"/>
      <c r="AK17" s="79"/>
      <c r="AL17" s="79"/>
    </row>
    <row r="18" spans="1:38" ht="35.1" customHeight="1" x14ac:dyDescent="0.3">
      <c r="A18" s="79"/>
      <c r="B18" s="87"/>
      <c r="C18" s="79"/>
      <c r="D18" s="79"/>
      <c r="E18" s="79"/>
      <c r="F18" s="79"/>
      <c r="G18" s="79"/>
      <c r="H18" s="79"/>
      <c r="I18" s="79"/>
      <c r="J18" s="79"/>
      <c r="K18" s="79"/>
      <c r="L18" s="79"/>
      <c r="M18" s="79"/>
      <c r="N18" s="79"/>
      <c r="O18" s="79"/>
      <c r="P18" s="79"/>
      <c r="Q18" s="79"/>
      <c r="R18" s="79"/>
      <c r="S18" s="79"/>
      <c r="T18" s="79"/>
      <c r="U18" s="79"/>
      <c r="V18" s="79"/>
      <c r="W18" s="142"/>
      <c r="X18" s="79"/>
      <c r="Y18" s="79"/>
      <c r="Z18" s="79"/>
      <c r="AA18" s="79"/>
      <c r="AB18" s="79"/>
      <c r="AC18" s="79"/>
      <c r="AD18" s="79"/>
      <c r="AE18" s="79"/>
      <c r="AF18" s="79"/>
      <c r="AG18" s="79"/>
      <c r="AH18" s="79"/>
      <c r="AI18" s="79"/>
      <c r="AJ18" s="79"/>
      <c r="AK18" s="79"/>
      <c r="AL18" s="79"/>
    </row>
    <row r="19" spans="1:38" ht="35.1" customHeight="1" x14ac:dyDescent="0.3">
      <c r="A19" s="79"/>
      <c r="B19" s="87"/>
      <c r="C19" s="79"/>
      <c r="D19" s="79"/>
      <c r="E19" s="79"/>
      <c r="F19" s="79"/>
      <c r="G19" s="79"/>
      <c r="H19" s="79"/>
      <c r="I19" s="79"/>
      <c r="J19" s="79"/>
      <c r="K19" s="79"/>
      <c r="L19" s="79"/>
      <c r="M19" s="79"/>
      <c r="N19" s="79"/>
      <c r="O19" s="79"/>
      <c r="P19" s="79"/>
      <c r="Q19" s="79"/>
      <c r="R19" s="79"/>
      <c r="S19" s="79"/>
      <c r="T19" s="79"/>
      <c r="U19" s="79"/>
      <c r="V19" s="79"/>
      <c r="W19" s="142"/>
      <c r="X19" s="79"/>
      <c r="Y19" s="79"/>
      <c r="Z19" s="79"/>
      <c r="AA19" s="79"/>
      <c r="AB19" s="79"/>
      <c r="AC19" s="79"/>
      <c r="AD19" s="79"/>
      <c r="AE19" s="79"/>
      <c r="AF19" s="79"/>
      <c r="AG19" s="79"/>
      <c r="AH19" s="79"/>
      <c r="AI19" s="79"/>
      <c r="AJ19" s="79"/>
      <c r="AK19" s="79"/>
      <c r="AL19" s="79"/>
    </row>
    <row r="20" spans="1:38" ht="35.1" customHeight="1" x14ac:dyDescent="0.3">
      <c r="A20" s="79"/>
      <c r="B20" s="87"/>
      <c r="C20" s="79"/>
      <c r="D20" s="79"/>
      <c r="E20" s="79"/>
      <c r="F20" s="79"/>
      <c r="G20" s="79"/>
      <c r="H20" s="79"/>
      <c r="I20" s="79"/>
      <c r="J20" s="79"/>
      <c r="K20" s="79"/>
      <c r="L20" s="79"/>
      <c r="M20" s="79"/>
      <c r="N20" s="79"/>
      <c r="O20" s="79"/>
      <c r="P20" s="79"/>
      <c r="Q20" s="79"/>
      <c r="R20" s="79"/>
      <c r="S20" s="79"/>
      <c r="T20" s="79"/>
      <c r="U20" s="79"/>
      <c r="V20" s="79"/>
      <c r="W20" s="142"/>
      <c r="X20" s="79"/>
      <c r="Y20" s="79"/>
      <c r="Z20" s="79"/>
      <c r="AA20" s="79"/>
      <c r="AB20" s="79"/>
      <c r="AC20" s="79"/>
      <c r="AD20" s="79"/>
      <c r="AE20" s="79"/>
      <c r="AF20" s="79"/>
      <c r="AG20" s="79"/>
      <c r="AH20" s="79"/>
      <c r="AI20" s="79"/>
      <c r="AJ20" s="79"/>
      <c r="AK20" s="79"/>
      <c r="AL20" s="79"/>
    </row>
    <row r="21" spans="1:38" ht="35.1" customHeight="1" x14ac:dyDescent="0.3">
      <c r="A21" s="79"/>
      <c r="B21" s="87"/>
      <c r="C21" s="79"/>
      <c r="D21" s="79"/>
      <c r="E21" s="79"/>
      <c r="F21" s="79"/>
      <c r="G21" s="79"/>
      <c r="H21" s="79"/>
      <c r="I21" s="79"/>
      <c r="J21" s="79"/>
      <c r="K21" s="79"/>
      <c r="L21" s="79"/>
      <c r="M21" s="79"/>
      <c r="N21" s="79"/>
      <c r="O21" s="79"/>
      <c r="P21" s="79"/>
      <c r="Q21" s="79"/>
      <c r="R21" s="79"/>
      <c r="S21" s="79"/>
      <c r="T21" s="79"/>
      <c r="U21" s="79"/>
      <c r="V21" s="79"/>
      <c r="W21" s="142"/>
      <c r="X21" s="79"/>
      <c r="Y21" s="79"/>
      <c r="Z21" s="79"/>
      <c r="AA21" s="79"/>
      <c r="AB21" s="79"/>
      <c r="AC21" s="79"/>
      <c r="AD21" s="79"/>
      <c r="AE21" s="79"/>
      <c r="AF21" s="79"/>
      <c r="AG21" s="79"/>
      <c r="AH21" s="79"/>
      <c r="AI21" s="79"/>
      <c r="AJ21" s="79"/>
      <c r="AK21" s="79"/>
      <c r="AL21" s="79"/>
    </row>
    <row r="22" spans="1:38" ht="35.1" customHeight="1" x14ac:dyDescent="0.3">
      <c r="A22" s="79"/>
      <c r="B22" s="87"/>
      <c r="C22" s="79"/>
      <c r="D22" s="79"/>
      <c r="E22" s="79"/>
      <c r="F22" s="79"/>
      <c r="G22" s="79"/>
      <c r="H22" s="79"/>
      <c r="I22" s="79"/>
      <c r="J22" s="79"/>
      <c r="K22" s="79"/>
      <c r="L22" s="79"/>
      <c r="M22" s="79"/>
      <c r="N22" s="79"/>
      <c r="O22" s="79"/>
      <c r="P22" s="79"/>
      <c r="Q22" s="79"/>
      <c r="R22" s="79"/>
      <c r="S22" s="79"/>
      <c r="T22" s="79"/>
      <c r="U22" s="79"/>
      <c r="V22" s="79"/>
      <c r="W22" s="142"/>
      <c r="X22" s="79"/>
      <c r="Y22" s="79"/>
      <c r="Z22" s="79"/>
      <c r="AA22" s="79"/>
      <c r="AB22" s="79"/>
      <c r="AC22" s="79"/>
      <c r="AD22" s="79"/>
      <c r="AE22" s="79"/>
      <c r="AF22" s="79"/>
      <c r="AG22" s="79"/>
      <c r="AH22" s="79"/>
      <c r="AI22" s="79"/>
      <c r="AJ22" s="79"/>
      <c r="AK22" s="79"/>
      <c r="AL22" s="79"/>
    </row>
    <row r="23" spans="1:38" ht="35.1" customHeight="1" x14ac:dyDescent="0.3">
      <c r="R23" s="79"/>
      <c r="S23" s="79"/>
      <c r="T23" s="79"/>
      <c r="U23" s="79"/>
      <c r="V23" s="79"/>
      <c r="W23" s="142"/>
      <c r="X23" s="79"/>
      <c r="Y23" s="79"/>
      <c r="Z23" s="79"/>
      <c r="AA23" s="79"/>
      <c r="AB23" s="79"/>
      <c r="AC23" s="79"/>
      <c r="AD23" s="79"/>
      <c r="AE23" s="79"/>
      <c r="AF23" s="79"/>
      <c r="AG23" s="79"/>
      <c r="AH23" s="79"/>
      <c r="AI23" s="79"/>
      <c r="AJ23" s="79"/>
      <c r="AK23" s="79"/>
      <c r="AL23" s="79"/>
    </row>
    <row r="24" spans="1:38" ht="35.1" customHeight="1" x14ac:dyDescent="0.3">
      <c r="R24" s="79"/>
      <c r="S24" s="79"/>
      <c r="T24" s="79"/>
      <c r="U24" s="79"/>
      <c r="V24" s="79"/>
      <c r="W24" s="142"/>
      <c r="X24" s="79"/>
      <c r="Y24" s="79"/>
      <c r="Z24" s="79"/>
      <c r="AA24" s="79"/>
      <c r="AB24" s="79"/>
      <c r="AC24" s="79"/>
      <c r="AD24" s="79"/>
      <c r="AE24" s="79"/>
      <c r="AF24" s="79"/>
      <c r="AG24" s="79"/>
      <c r="AH24" s="79"/>
      <c r="AI24" s="79"/>
      <c r="AJ24" s="79"/>
      <c r="AK24" s="79"/>
      <c r="AL24" s="79"/>
    </row>
    <row r="25" spans="1:38" ht="35.1" customHeight="1" x14ac:dyDescent="0.3">
      <c r="R25" s="79"/>
      <c r="S25" s="79"/>
      <c r="T25" s="79"/>
      <c r="U25" s="79"/>
      <c r="V25" s="79"/>
      <c r="W25" s="142"/>
      <c r="X25" s="79"/>
      <c r="Y25" s="79"/>
      <c r="Z25" s="79"/>
      <c r="AA25" s="79"/>
      <c r="AB25" s="79"/>
      <c r="AC25" s="79"/>
      <c r="AD25" s="79"/>
      <c r="AE25" s="79"/>
      <c r="AF25" s="79"/>
      <c r="AG25" s="79"/>
      <c r="AH25" s="79"/>
      <c r="AI25" s="79"/>
      <c r="AJ25" s="79"/>
      <c r="AK25" s="79"/>
      <c r="AL25" s="79"/>
    </row>
    <row r="26" spans="1:38" ht="35.1" customHeight="1" x14ac:dyDescent="0.3">
      <c r="R26" s="79"/>
      <c r="S26" s="79"/>
      <c r="T26" s="79"/>
      <c r="U26" s="79"/>
      <c r="V26" s="79"/>
      <c r="W26" s="142"/>
      <c r="X26" s="79"/>
      <c r="Y26" s="79"/>
      <c r="Z26" s="79"/>
      <c r="AA26" s="79"/>
      <c r="AB26" s="79"/>
      <c r="AC26" s="79"/>
      <c r="AD26" s="79"/>
      <c r="AE26" s="79"/>
      <c r="AF26" s="79"/>
      <c r="AG26" s="79"/>
      <c r="AH26" s="79"/>
      <c r="AI26" s="79"/>
      <c r="AJ26" s="79"/>
      <c r="AK26" s="79"/>
      <c r="AL26" s="79"/>
    </row>
    <row r="27" spans="1:38" ht="35.1" customHeight="1" x14ac:dyDescent="0.3">
      <c r="R27" s="79"/>
      <c r="S27" s="79"/>
      <c r="T27" s="79"/>
      <c r="U27" s="79"/>
      <c r="V27" s="79"/>
      <c r="W27" s="142"/>
      <c r="X27" s="79"/>
      <c r="Y27" s="79"/>
      <c r="Z27" s="79"/>
      <c r="AA27" s="79"/>
      <c r="AB27" s="79"/>
      <c r="AC27" s="79"/>
      <c r="AD27" s="79"/>
      <c r="AE27" s="79"/>
      <c r="AF27" s="79"/>
      <c r="AG27" s="79"/>
      <c r="AH27" s="79"/>
      <c r="AI27" s="79"/>
      <c r="AJ27" s="79"/>
      <c r="AK27" s="79"/>
      <c r="AL27" s="79"/>
    </row>
    <row r="28" spans="1:38" ht="35.1" customHeight="1" x14ac:dyDescent="0.3">
      <c r="R28" s="79"/>
      <c r="S28" s="79"/>
      <c r="T28" s="79"/>
      <c r="U28" s="79"/>
      <c r="V28" s="79"/>
      <c r="W28" s="142"/>
      <c r="X28" s="79"/>
      <c r="Y28" s="79"/>
      <c r="Z28" s="79"/>
      <c r="AA28" s="79"/>
      <c r="AB28" s="79"/>
      <c r="AC28" s="79"/>
      <c r="AD28" s="79"/>
      <c r="AE28" s="79"/>
      <c r="AF28" s="79"/>
      <c r="AG28" s="79"/>
      <c r="AH28" s="79"/>
      <c r="AI28" s="79"/>
      <c r="AJ28" s="79"/>
      <c r="AK28" s="79"/>
      <c r="AL28" s="79"/>
    </row>
    <row r="29" spans="1:38" ht="35.1" customHeight="1" x14ac:dyDescent="0.3">
      <c r="X29" s="79"/>
      <c r="Y29" s="79"/>
      <c r="Z29" s="79"/>
      <c r="AA29" s="79"/>
      <c r="AB29" s="79"/>
      <c r="AC29" s="79"/>
      <c r="AD29" s="79"/>
      <c r="AE29" s="79"/>
      <c r="AF29" s="79"/>
      <c r="AG29" s="79"/>
      <c r="AH29" s="79"/>
      <c r="AI29" s="79"/>
      <c r="AJ29" s="79"/>
      <c r="AK29" s="79"/>
      <c r="AL29" s="79"/>
    </row>
    <row r="30" spans="1:38" ht="35.1" customHeight="1" x14ac:dyDescent="0.3">
      <c r="X30" s="79"/>
      <c r="Y30" s="79"/>
      <c r="Z30" s="79"/>
      <c r="AA30" s="79"/>
      <c r="AB30" s="79"/>
      <c r="AC30" s="79"/>
      <c r="AD30" s="79"/>
      <c r="AE30" s="79"/>
      <c r="AF30" s="79"/>
      <c r="AG30" s="79"/>
      <c r="AH30" s="79"/>
      <c r="AI30" s="79"/>
      <c r="AJ30" s="79"/>
      <c r="AK30" s="79"/>
      <c r="AL30" s="79"/>
    </row>
    <row r="31" spans="1:38" ht="35.1" customHeight="1" x14ac:dyDescent="0.3">
      <c r="X31" s="79"/>
      <c r="Y31" s="79"/>
      <c r="Z31" s="79"/>
      <c r="AA31" s="79"/>
      <c r="AB31" s="79"/>
      <c r="AC31" s="79"/>
      <c r="AD31" s="79"/>
      <c r="AE31" s="79"/>
      <c r="AF31" s="79"/>
      <c r="AG31" s="79"/>
      <c r="AH31" s="79"/>
      <c r="AI31" s="79"/>
      <c r="AJ31" s="79"/>
      <c r="AK31" s="79"/>
      <c r="AL31" s="79"/>
    </row>
    <row r="32" spans="1:38" ht="35.1" customHeight="1" x14ac:dyDescent="0.3">
      <c r="X32" s="79"/>
      <c r="Y32" s="79"/>
      <c r="Z32" s="79"/>
      <c r="AA32" s="79"/>
      <c r="AB32" s="79"/>
      <c r="AC32" s="79"/>
      <c r="AD32" s="79"/>
      <c r="AE32" s="79"/>
      <c r="AF32" s="79"/>
      <c r="AG32" s="79"/>
      <c r="AH32" s="79"/>
      <c r="AI32" s="79"/>
      <c r="AJ32" s="79"/>
      <c r="AK32" s="79"/>
      <c r="AL32" s="79"/>
    </row>
    <row r="33" spans="24:38" x14ac:dyDescent="0.3">
      <c r="X33" s="79"/>
      <c r="Y33" s="79"/>
      <c r="Z33" s="79"/>
      <c r="AA33" s="79"/>
      <c r="AB33" s="79"/>
      <c r="AC33" s="79"/>
      <c r="AD33" s="79"/>
      <c r="AE33" s="79"/>
      <c r="AF33" s="79"/>
      <c r="AG33" s="79"/>
      <c r="AH33" s="79"/>
      <c r="AI33" s="79"/>
      <c r="AJ33" s="79"/>
      <c r="AK33" s="79"/>
      <c r="AL33" s="79"/>
    </row>
    <row r="34" spans="24:38" x14ac:dyDescent="0.3">
      <c r="X34" s="79"/>
      <c r="Y34" s="79"/>
      <c r="Z34" s="79"/>
      <c r="AA34" s="79"/>
      <c r="AB34" s="79"/>
      <c r="AC34" s="79"/>
      <c r="AD34" s="79"/>
      <c r="AE34" s="79"/>
      <c r="AF34" s="79"/>
      <c r="AG34" s="79"/>
      <c r="AH34" s="79"/>
      <c r="AI34" s="79"/>
      <c r="AJ34" s="79"/>
      <c r="AK34" s="79"/>
      <c r="AL34" s="79"/>
    </row>
    <row r="35" spans="24:38" x14ac:dyDescent="0.3">
      <c r="X35" s="79"/>
      <c r="Y35" s="79"/>
      <c r="Z35" s="79"/>
      <c r="AA35" s="79"/>
      <c r="AB35" s="79"/>
      <c r="AC35" s="79"/>
      <c r="AD35" s="79"/>
      <c r="AE35" s="79"/>
      <c r="AF35" s="79"/>
      <c r="AG35" s="79"/>
      <c r="AH35" s="79"/>
      <c r="AI35" s="79"/>
      <c r="AJ35" s="79"/>
      <c r="AK35" s="79"/>
      <c r="AL35" s="79"/>
    </row>
    <row r="36" spans="24:38" x14ac:dyDescent="0.3">
      <c r="X36" s="79"/>
      <c r="Y36" s="79" t="s">
        <v>448</v>
      </c>
      <c r="Z36" s="79"/>
      <c r="AA36" s="79">
        <v>2</v>
      </c>
      <c r="AB36" s="79"/>
      <c r="AC36" s="79"/>
      <c r="AD36" s="79"/>
      <c r="AE36" s="79"/>
      <c r="AF36" s="79"/>
      <c r="AG36" s="79"/>
      <c r="AH36" s="79"/>
      <c r="AI36" s="79"/>
      <c r="AJ36" s="79"/>
      <c r="AK36" s="79"/>
      <c r="AL36" s="79"/>
    </row>
    <row r="37" spans="24:38" x14ac:dyDescent="0.3">
      <c r="X37" s="79"/>
      <c r="Y37" s="79" t="s">
        <v>415</v>
      </c>
      <c r="Z37" s="79"/>
      <c r="AA37" s="79">
        <v>36</v>
      </c>
      <c r="AB37" s="79"/>
      <c r="AC37" s="79"/>
      <c r="AD37" s="79"/>
      <c r="AE37" s="79"/>
      <c r="AF37" s="79"/>
      <c r="AG37" s="79"/>
      <c r="AH37" s="79"/>
      <c r="AI37" s="79"/>
      <c r="AJ37" s="79"/>
      <c r="AK37" s="79"/>
      <c r="AL37" s="79"/>
    </row>
    <row r="38" spans="24:38" x14ac:dyDescent="0.3">
      <c r="X38" s="79"/>
      <c r="Y38" s="79" t="s">
        <v>466</v>
      </c>
      <c r="Z38" s="79"/>
      <c r="AA38" s="79">
        <v>6</v>
      </c>
      <c r="AB38" s="79"/>
      <c r="AC38" s="79"/>
      <c r="AD38" s="79"/>
      <c r="AE38" s="79"/>
      <c r="AF38" s="79"/>
      <c r="AG38" s="79"/>
      <c r="AH38" s="79"/>
      <c r="AI38" s="79"/>
      <c r="AJ38" s="79"/>
      <c r="AK38" s="79"/>
      <c r="AL38" s="79"/>
    </row>
    <row r="39" spans="24:38" x14ac:dyDescent="0.3">
      <c r="X39" s="79"/>
      <c r="Y39" s="79" t="s">
        <v>467</v>
      </c>
      <c r="Z39" s="79"/>
      <c r="AA39" s="79"/>
      <c r="AB39" s="79"/>
      <c r="AC39" s="79"/>
      <c r="AD39" s="79"/>
      <c r="AE39" s="79"/>
      <c r="AF39" s="79"/>
      <c r="AG39" s="79"/>
      <c r="AH39" s="79"/>
      <c r="AI39" s="79"/>
      <c r="AJ39" s="79"/>
      <c r="AK39" s="79">
        <v>10</v>
      </c>
      <c r="AL39" s="79">
        <v>1</v>
      </c>
    </row>
    <row r="40" spans="24:38" x14ac:dyDescent="0.3">
      <c r="X40" s="79"/>
      <c r="Y40" s="79" t="s">
        <v>468</v>
      </c>
      <c r="Z40" s="79"/>
      <c r="AA40" s="79">
        <v>2</v>
      </c>
      <c r="AB40" s="79"/>
      <c r="AC40" s="79"/>
      <c r="AD40" s="79"/>
      <c r="AE40" s="79"/>
      <c r="AF40" s="79"/>
      <c r="AG40" s="79"/>
      <c r="AH40" s="79"/>
      <c r="AI40" s="79"/>
      <c r="AJ40" s="79"/>
      <c r="AK40" s="79"/>
      <c r="AL40" s="79"/>
    </row>
    <row r="41" spans="24:38" x14ac:dyDescent="0.3">
      <c r="X41" s="79"/>
      <c r="Y41" s="79" t="s">
        <v>469</v>
      </c>
      <c r="Z41" s="79"/>
      <c r="AA41" s="79">
        <v>6</v>
      </c>
      <c r="AB41" s="79"/>
      <c r="AC41" s="79"/>
      <c r="AD41" s="79"/>
      <c r="AE41" s="79"/>
      <c r="AF41" s="79"/>
      <c r="AG41" s="79"/>
      <c r="AH41" s="79"/>
      <c r="AI41" s="79"/>
      <c r="AJ41" s="79"/>
      <c r="AK41" s="79"/>
      <c r="AL41" s="79"/>
    </row>
    <row r="42" spans="24:38" x14ac:dyDescent="0.3">
      <c r="X42" s="79"/>
      <c r="Y42" s="79" t="s">
        <v>470</v>
      </c>
      <c r="Z42" s="79"/>
      <c r="AA42" s="79">
        <v>2</v>
      </c>
      <c r="AB42" s="79"/>
      <c r="AC42" s="79"/>
      <c r="AD42" s="79"/>
      <c r="AE42" s="79"/>
      <c r="AF42" s="79"/>
      <c r="AG42" s="79"/>
      <c r="AH42" s="79"/>
      <c r="AI42" s="79"/>
      <c r="AJ42" s="79"/>
      <c r="AK42" s="79"/>
      <c r="AL42" s="79"/>
    </row>
    <row r="43" spans="24:38" x14ac:dyDescent="0.3">
      <c r="X43" s="79"/>
      <c r="Y43" s="79" t="s">
        <v>471</v>
      </c>
      <c r="Z43" s="79"/>
      <c r="AA43" s="79"/>
      <c r="AB43" s="79"/>
      <c r="AC43" s="79"/>
      <c r="AD43" s="79"/>
      <c r="AE43" s="79"/>
      <c r="AF43" s="79"/>
      <c r="AG43" s="79"/>
      <c r="AH43" s="79"/>
      <c r="AI43" s="79">
        <v>4</v>
      </c>
      <c r="AJ43" s="79"/>
      <c r="AK43" s="79"/>
      <c r="AL43" s="79"/>
    </row>
    <row r="44" spans="24:38" x14ac:dyDescent="0.3">
      <c r="X44" s="79"/>
      <c r="Y44" s="79" t="s">
        <v>415</v>
      </c>
      <c r="Z44" s="79"/>
      <c r="AA44" s="79">
        <v>11</v>
      </c>
      <c r="AB44" s="79"/>
      <c r="AC44" s="79"/>
      <c r="AD44" s="79"/>
      <c r="AE44" s="79">
        <v>33</v>
      </c>
      <c r="AF44" s="79"/>
      <c r="AG44" s="79"/>
      <c r="AH44" s="79"/>
      <c r="AI44" s="79">
        <v>2</v>
      </c>
      <c r="AJ44" s="79"/>
      <c r="AK44" s="79"/>
      <c r="AL44" s="79"/>
    </row>
    <row r="45" spans="24:38" x14ac:dyDescent="0.3">
      <c r="X45" s="79"/>
      <c r="Y45" s="79" t="s">
        <v>472</v>
      </c>
      <c r="Z45" s="79"/>
      <c r="AA45" s="79"/>
      <c r="AB45" s="79"/>
      <c r="AC45" s="79"/>
      <c r="AD45" s="79"/>
      <c r="AE45" s="79"/>
      <c r="AF45" s="79"/>
      <c r="AG45" s="79"/>
      <c r="AH45" s="79"/>
      <c r="AI45" s="79"/>
      <c r="AJ45" s="79"/>
      <c r="AK45" s="79">
        <v>8</v>
      </c>
      <c r="AL45" s="79"/>
    </row>
    <row r="46" spans="24:38" x14ac:dyDescent="0.3">
      <c r="X46" s="79"/>
      <c r="Y46" s="79" t="s">
        <v>461</v>
      </c>
      <c r="Z46" s="79"/>
      <c r="AA46" s="79"/>
      <c r="AB46" s="79"/>
      <c r="AC46" s="79"/>
      <c r="AD46" s="79"/>
      <c r="AE46" s="79"/>
      <c r="AF46" s="79"/>
      <c r="AG46" s="79"/>
      <c r="AH46" s="79"/>
      <c r="AI46" s="79"/>
      <c r="AJ46" s="79"/>
      <c r="AK46" s="79">
        <v>4</v>
      </c>
      <c r="AL46" s="79"/>
    </row>
    <row r="47" spans="24:38" x14ac:dyDescent="0.3">
      <c r="X47" s="140">
        <v>46243</v>
      </c>
      <c r="Y47" s="79" t="s">
        <v>473</v>
      </c>
      <c r="Z47" s="79"/>
      <c r="AA47" s="79">
        <v>22</v>
      </c>
      <c r="AB47" s="79"/>
      <c r="AC47" s="79"/>
      <c r="AD47" s="79"/>
      <c r="AE47" s="79"/>
      <c r="AF47" s="79"/>
      <c r="AG47" s="79"/>
      <c r="AH47" s="79"/>
      <c r="AI47" s="79"/>
      <c r="AJ47" s="79"/>
      <c r="AK47" s="79"/>
      <c r="AL47" s="79"/>
    </row>
    <row r="48" spans="24:38" x14ac:dyDescent="0.3">
      <c r="X48" s="79"/>
      <c r="Y48" s="79" t="s">
        <v>473</v>
      </c>
      <c r="Z48" s="79"/>
      <c r="AA48" s="79">
        <v>22</v>
      </c>
      <c r="AB48" s="79"/>
      <c r="AC48" s="79"/>
      <c r="AD48" s="79"/>
      <c r="AE48" s="79"/>
      <c r="AF48" s="79"/>
      <c r="AG48" s="79"/>
      <c r="AH48" s="79"/>
      <c r="AI48" s="79"/>
      <c r="AJ48" s="79"/>
      <c r="AK48" s="79"/>
      <c r="AL48" s="79"/>
    </row>
    <row r="49" spans="24:38" x14ac:dyDescent="0.3">
      <c r="X49" s="79"/>
      <c r="Y49" s="79" t="s">
        <v>473</v>
      </c>
      <c r="Z49" s="79"/>
      <c r="AA49" s="79"/>
      <c r="AB49" s="79"/>
      <c r="AC49" s="79"/>
      <c r="AD49" s="79"/>
      <c r="AE49" s="79">
        <v>11</v>
      </c>
      <c r="AF49" s="79"/>
      <c r="AG49" s="79"/>
      <c r="AH49" s="79"/>
      <c r="AI49" s="79">
        <v>4</v>
      </c>
      <c r="AJ49" s="79"/>
      <c r="AK49" s="79"/>
      <c r="AL49" s="79"/>
    </row>
    <row r="50" spans="24:38" x14ac:dyDescent="0.3">
      <c r="X50" s="79"/>
      <c r="Y50" s="79" t="s">
        <v>63</v>
      </c>
      <c r="Z50" s="79"/>
      <c r="AA50" s="79">
        <v>3</v>
      </c>
      <c r="AB50" s="79"/>
      <c r="AC50" s="79"/>
      <c r="AD50" s="79"/>
      <c r="AE50" s="79">
        <v>3</v>
      </c>
      <c r="AF50" s="79"/>
      <c r="AG50" s="79"/>
      <c r="AH50" s="79"/>
      <c r="AI50" s="79"/>
      <c r="AJ50" s="79"/>
      <c r="AK50" s="79"/>
      <c r="AL50" s="79"/>
    </row>
    <row r="51" spans="24:38" x14ac:dyDescent="0.3">
      <c r="X51" s="79"/>
      <c r="Y51" s="79" t="s">
        <v>474</v>
      </c>
      <c r="Z51" s="79"/>
      <c r="AA51" s="79">
        <v>2</v>
      </c>
      <c r="AB51" s="79"/>
      <c r="AC51" s="79"/>
      <c r="AD51" s="79"/>
      <c r="AE51" s="79"/>
      <c r="AF51" s="79"/>
      <c r="AG51" s="79"/>
      <c r="AH51" s="79"/>
      <c r="AI51" s="79"/>
      <c r="AJ51" s="79"/>
      <c r="AK51" s="79"/>
      <c r="AL51" s="79"/>
    </row>
    <row r="52" spans="24:38" x14ac:dyDescent="0.3">
      <c r="X52" s="79"/>
      <c r="Y52" s="79" t="s">
        <v>466</v>
      </c>
      <c r="Z52" s="79"/>
      <c r="AA52" s="79">
        <v>4</v>
      </c>
      <c r="AB52" s="79"/>
      <c r="AC52" s="79"/>
      <c r="AD52" s="79"/>
      <c r="AE52" s="79"/>
      <c r="AF52" s="79"/>
      <c r="AG52" s="79"/>
      <c r="AH52" s="79"/>
      <c r="AI52" s="79"/>
      <c r="AJ52" s="79"/>
      <c r="AK52" s="79"/>
      <c r="AL52" s="79"/>
    </row>
    <row r="53" spans="24:38" x14ac:dyDescent="0.3">
      <c r="X53" s="79"/>
      <c r="Y53" s="79" t="s">
        <v>473</v>
      </c>
      <c r="Z53" s="79"/>
      <c r="AA53" s="79"/>
      <c r="AB53" s="79"/>
      <c r="AC53" s="79"/>
      <c r="AD53" s="79"/>
      <c r="AE53" s="79">
        <v>22</v>
      </c>
      <c r="AF53" s="79"/>
      <c r="AG53" s="79"/>
      <c r="AH53" s="79"/>
      <c r="AI53" s="79"/>
      <c r="AJ53" s="79"/>
      <c r="AK53" s="79"/>
      <c r="AL53" s="79"/>
    </row>
    <row r="54" spans="24:38" x14ac:dyDescent="0.3">
      <c r="X54" s="79"/>
      <c r="Y54" s="79" t="s">
        <v>475</v>
      </c>
      <c r="Z54" s="79"/>
      <c r="AA54" s="79"/>
      <c r="AB54" s="79"/>
      <c r="AC54" s="79"/>
      <c r="AD54" s="79"/>
      <c r="AE54" s="79"/>
      <c r="AF54" s="79"/>
      <c r="AG54" s="79"/>
      <c r="AH54" s="79"/>
      <c r="AI54" s="79">
        <v>3</v>
      </c>
      <c r="AJ54" s="79"/>
      <c r="AK54" s="79"/>
      <c r="AL54" s="79"/>
    </row>
    <row r="55" spans="24:38" x14ac:dyDescent="0.3">
      <c r="X55" s="79"/>
      <c r="Y55" s="79"/>
      <c r="Z55" s="79"/>
      <c r="AA55" s="79"/>
      <c r="AB55" s="79"/>
      <c r="AC55" s="79"/>
      <c r="AD55" s="79"/>
      <c r="AE55" s="79"/>
      <c r="AF55" s="79"/>
      <c r="AG55" s="79"/>
      <c r="AH55" s="79"/>
      <c r="AI55" s="79"/>
      <c r="AJ55" s="79"/>
      <c r="AK55" s="79"/>
      <c r="AL55" s="79"/>
    </row>
    <row r="56" spans="24:38" x14ac:dyDescent="0.3">
      <c r="X56" s="79"/>
      <c r="Y56" s="79"/>
      <c r="Z56" s="79"/>
      <c r="AA56" s="79"/>
      <c r="AB56" s="79"/>
      <c r="AC56" s="79"/>
      <c r="AD56" s="79"/>
      <c r="AE56" s="79"/>
      <c r="AF56" s="79"/>
      <c r="AG56" s="79"/>
      <c r="AH56" s="79"/>
      <c r="AI56" s="79"/>
      <c r="AJ56" s="79"/>
      <c r="AK56" s="79"/>
      <c r="AL56" s="79"/>
    </row>
    <row r="57" spans="24:38" x14ac:dyDescent="0.3">
      <c r="X57" s="79"/>
      <c r="Y57" s="79"/>
      <c r="Z57" s="79"/>
      <c r="AA57" s="79"/>
      <c r="AB57" s="79"/>
      <c r="AC57" s="79"/>
      <c r="AD57" s="79"/>
      <c r="AE57" s="79"/>
      <c r="AF57" s="79"/>
      <c r="AG57" s="79"/>
      <c r="AH57" s="79"/>
      <c r="AI57" s="79"/>
      <c r="AJ57" s="79"/>
      <c r="AK57" s="79"/>
      <c r="AL57" s="79"/>
    </row>
    <row r="58" spans="24:38" x14ac:dyDescent="0.3">
      <c r="X58" s="79"/>
      <c r="Y58" s="79"/>
      <c r="Z58" s="79"/>
      <c r="AA58" s="79"/>
      <c r="AB58" s="79"/>
      <c r="AC58" s="79"/>
      <c r="AD58" s="79"/>
      <c r="AE58" s="79"/>
      <c r="AF58" s="79"/>
      <c r="AG58" s="79"/>
      <c r="AH58" s="79"/>
      <c r="AI58" s="79"/>
      <c r="AJ58" s="79"/>
      <c r="AK58" s="79"/>
      <c r="AL58" s="79"/>
    </row>
    <row r="59" spans="24:38" x14ac:dyDescent="0.3">
      <c r="X59" s="79"/>
      <c r="Y59" s="79"/>
      <c r="Z59" s="79"/>
      <c r="AA59" s="79"/>
      <c r="AB59" s="79"/>
      <c r="AC59" s="79"/>
      <c r="AD59" s="79"/>
      <c r="AE59" s="79"/>
      <c r="AF59" s="79"/>
      <c r="AG59" s="79"/>
      <c r="AH59" s="79"/>
      <c r="AI59" s="79"/>
      <c r="AJ59" s="79"/>
      <c r="AK59" s="79"/>
      <c r="AL59" s="79"/>
    </row>
    <row r="60" spans="24:38" x14ac:dyDescent="0.3">
      <c r="X60" s="79"/>
      <c r="Y60" s="79"/>
      <c r="Z60" s="79"/>
      <c r="AA60" s="79"/>
      <c r="AB60" s="79"/>
      <c r="AC60" s="79"/>
      <c r="AD60" s="79"/>
      <c r="AE60" s="79"/>
      <c r="AF60" s="79"/>
      <c r="AG60" s="79"/>
      <c r="AH60" s="79"/>
      <c r="AI60" s="79"/>
      <c r="AJ60" s="79"/>
      <c r="AK60" s="79"/>
      <c r="AL60" s="79"/>
    </row>
    <row r="61" spans="24:38" x14ac:dyDescent="0.3">
      <c r="X61" s="79"/>
      <c r="Y61" s="79"/>
      <c r="Z61" s="79"/>
      <c r="AA61" s="79"/>
      <c r="AB61" s="79"/>
      <c r="AC61" s="79"/>
      <c r="AD61" s="79"/>
      <c r="AE61" s="79"/>
      <c r="AF61" s="79"/>
      <c r="AG61" s="79"/>
      <c r="AH61" s="79"/>
      <c r="AI61" s="79"/>
      <c r="AJ61" s="79"/>
      <c r="AK61" s="79"/>
      <c r="AL61" s="79"/>
    </row>
    <row r="62" spans="24:38" x14ac:dyDescent="0.3">
      <c r="X62" s="79"/>
      <c r="Y62" s="79"/>
      <c r="Z62" s="79"/>
      <c r="AA62" s="79"/>
      <c r="AB62" s="79"/>
      <c r="AC62" s="79"/>
      <c r="AD62" s="79"/>
      <c r="AE62" s="79"/>
      <c r="AF62" s="79"/>
      <c r="AG62" s="79"/>
      <c r="AH62" s="79"/>
      <c r="AI62" s="79"/>
      <c r="AJ62" s="79"/>
      <c r="AK62" s="79"/>
      <c r="AL62" s="79"/>
    </row>
    <row r="63" spans="24:38" x14ac:dyDescent="0.3">
      <c r="X63" s="79"/>
      <c r="Y63" s="79"/>
      <c r="Z63" s="79"/>
      <c r="AA63" s="79"/>
      <c r="AB63" s="79"/>
      <c r="AC63" s="79"/>
      <c r="AD63" s="79"/>
      <c r="AE63" s="79"/>
      <c r="AF63" s="79"/>
      <c r="AG63" s="79"/>
      <c r="AH63" s="79"/>
      <c r="AI63" s="79"/>
      <c r="AJ63" s="79"/>
      <c r="AK63" s="79"/>
      <c r="AL63" s="79"/>
    </row>
    <row r="64" spans="24:38" x14ac:dyDescent="0.3">
      <c r="X64" s="79"/>
      <c r="Z64" s="79"/>
      <c r="AA64" s="79"/>
      <c r="AB64" s="79"/>
      <c r="AC64" s="79"/>
      <c r="AD64" s="79"/>
      <c r="AE64" s="79"/>
      <c r="AF64" s="79"/>
      <c r="AG64" s="79"/>
      <c r="AH64" s="79"/>
      <c r="AI64" s="79"/>
      <c r="AJ64" s="79"/>
      <c r="AK64" s="79"/>
      <c r="AL64" s="79"/>
    </row>
    <row r="65" spans="24:38" x14ac:dyDescent="0.3">
      <c r="X65" s="79"/>
      <c r="Y65" s="79"/>
      <c r="Z65" s="79"/>
      <c r="AA65" s="79"/>
      <c r="AB65" s="79"/>
      <c r="AC65" s="79"/>
      <c r="AD65" s="79"/>
      <c r="AE65" s="79"/>
      <c r="AF65" s="79"/>
      <c r="AG65" s="79"/>
      <c r="AH65" s="79"/>
      <c r="AI65" s="79"/>
      <c r="AJ65" s="79"/>
      <c r="AK65" s="79"/>
      <c r="AL65" s="79"/>
    </row>
    <row r="66" spans="24:38" x14ac:dyDescent="0.3">
      <c r="X66" s="79"/>
      <c r="Y66" s="79"/>
      <c r="Z66" s="79"/>
      <c r="AA66" s="79"/>
      <c r="AB66" s="79"/>
      <c r="AC66" s="79"/>
      <c r="AD66" s="79"/>
      <c r="AE66" s="79"/>
      <c r="AF66" s="79"/>
      <c r="AG66" s="79"/>
      <c r="AH66" s="79"/>
      <c r="AI66" s="79"/>
      <c r="AJ66" s="79"/>
      <c r="AK66" s="79"/>
      <c r="AL66" s="79"/>
    </row>
    <row r="67" spans="24:38" x14ac:dyDescent="0.3">
      <c r="X67" s="79"/>
      <c r="Y67" s="79"/>
      <c r="Z67" s="125" t="s">
        <v>439</v>
      </c>
      <c r="AA67" s="79">
        <f t="shared" ref="AA67:AL67" si="30">SUM(AA36:AA63)</f>
        <v>118</v>
      </c>
      <c r="AB67" s="79">
        <f t="shared" si="30"/>
        <v>0</v>
      </c>
      <c r="AC67" s="79">
        <f t="shared" si="30"/>
        <v>0</v>
      </c>
      <c r="AD67" s="79">
        <f t="shared" si="30"/>
        <v>0</v>
      </c>
      <c r="AE67" s="79">
        <f t="shared" si="30"/>
        <v>69</v>
      </c>
      <c r="AF67" s="79">
        <f t="shared" si="30"/>
        <v>0</v>
      </c>
      <c r="AG67" s="79">
        <f t="shared" si="30"/>
        <v>0</v>
      </c>
      <c r="AH67" s="79">
        <f t="shared" si="30"/>
        <v>0</v>
      </c>
      <c r="AI67" s="79">
        <f t="shared" si="30"/>
        <v>13</v>
      </c>
      <c r="AJ67" s="79">
        <f t="shared" si="30"/>
        <v>0</v>
      </c>
      <c r="AK67" s="79">
        <f t="shared" si="30"/>
        <v>22</v>
      </c>
      <c r="AL67" s="79">
        <f t="shared" si="30"/>
        <v>1</v>
      </c>
    </row>
    <row r="68" spans="24:38" x14ac:dyDescent="0.3">
      <c r="X68" s="79"/>
      <c r="Y68" s="79"/>
      <c r="Z68" s="125" t="s">
        <v>440</v>
      </c>
      <c r="AA68" s="126">
        <f>I4+I122-AA67</f>
        <v>-118</v>
      </c>
      <c r="AB68" s="126">
        <f>K4+K122-AB67</f>
        <v>50</v>
      </c>
      <c r="AC68" s="126">
        <f>L4+L122-AC67</f>
        <v>0</v>
      </c>
      <c r="AD68" s="126">
        <f>M4+M122-AD67</f>
        <v>0</v>
      </c>
      <c r="AE68" s="126">
        <f>N4+N122-AE67</f>
        <v>-69</v>
      </c>
      <c r="AF68" s="126">
        <f>P4+P122-AF67</f>
        <v>2</v>
      </c>
      <c r="AG68" s="126">
        <f>Q4+Q122-AG67</f>
        <v>0</v>
      </c>
      <c r="AH68" s="126">
        <f>R4+R122-AH67</f>
        <v>0</v>
      </c>
      <c r="AI68" s="126">
        <f>S4+S122-AI67</f>
        <v>-13</v>
      </c>
      <c r="AJ68" s="126">
        <f>U4+U122-AJ67</f>
        <v>48</v>
      </c>
      <c r="AK68" s="126">
        <f>V4+V122-AK67</f>
        <v>-22</v>
      </c>
      <c r="AL68" s="126">
        <f>W4+W122-AL67</f>
        <v>-1</v>
      </c>
    </row>
    <row r="69" spans="24:38" x14ac:dyDescent="0.3">
      <c r="X69" s="79"/>
    </row>
    <row r="70" spans="24:38" x14ac:dyDescent="0.3">
      <c r="X70" s="79"/>
    </row>
    <row r="71" spans="24:38" x14ac:dyDescent="0.3">
      <c r="X71" s="79"/>
    </row>
    <row r="72" spans="24:38" x14ac:dyDescent="0.3">
      <c r="X72" s="79"/>
    </row>
    <row r="73" spans="24:38" x14ac:dyDescent="0.3">
      <c r="X73" s="79"/>
    </row>
    <row r="74" spans="24:38" x14ac:dyDescent="0.3">
      <c r="X74" s="79"/>
    </row>
    <row r="75" spans="24:38" x14ac:dyDescent="0.3">
      <c r="X75" s="79"/>
    </row>
    <row r="76" spans="24:38" x14ac:dyDescent="0.3">
      <c r="X76" s="79"/>
    </row>
    <row r="77" spans="24:38" x14ac:dyDescent="0.3">
      <c r="X77" s="79"/>
    </row>
    <row r="78" spans="24:38" x14ac:dyDescent="0.3">
      <c r="X78" s="79"/>
    </row>
    <row r="79" spans="24:38" x14ac:dyDescent="0.3">
      <c r="X79" s="79"/>
    </row>
    <row r="80" spans="24:38" x14ac:dyDescent="0.3">
      <c r="X80" s="79"/>
    </row>
    <row r="81" spans="24:24" x14ac:dyDescent="0.3">
      <c r="X81" s="79"/>
    </row>
    <row r="82" spans="24:24" x14ac:dyDescent="0.3">
      <c r="X82" s="79"/>
    </row>
    <row r="83" spans="24:24" x14ac:dyDescent="0.3">
      <c r="X83" s="79"/>
    </row>
    <row r="84" spans="24:24" x14ac:dyDescent="0.3">
      <c r="X84" s="79"/>
    </row>
    <row r="85" spans="24:24" x14ac:dyDescent="0.3">
      <c r="X85" s="79"/>
    </row>
    <row r="86" spans="24:24" x14ac:dyDescent="0.3">
      <c r="X86" s="79"/>
    </row>
    <row r="87" spans="24:24" x14ac:dyDescent="0.3">
      <c r="X87" s="79"/>
    </row>
    <row r="88" spans="24:24" x14ac:dyDescent="0.3">
      <c r="X88" s="79"/>
    </row>
    <row r="89" spans="24:24" x14ac:dyDescent="0.3">
      <c r="X89" s="79"/>
    </row>
    <row r="90" spans="24:24" x14ac:dyDescent="0.3">
      <c r="X90" s="79"/>
    </row>
    <row r="91" spans="24:24" x14ac:dyDescent="0.3">
      <c r="X91" s="79"/>
    </row>
    <row r="92" spans="24:24" x14ac:dyDescent="0.3">
      <c r="X92" s="79"/>
    </row>
    <row r="93" spans="24:24" x14ac:dyDescent="0.3">
      <c r="X93" s="79"/>
    </row>
    <row r="94" spans="24:24" x14ac:dyDescent="0.3">
      <c r="X94" s="79"/>
    </row>
    <row r="95" spans="24:24" x14ac:dyDescent="0.3">
      <c r="X95" s="79"/>
    </row>
    <row r="96" spans="24:24" x14ac:dyDescent="0.3">
      <c r="X96" s="79"/>
    </row>
    <row r="97" spans="24:24" x14ac:dyDescent="0.3">
      <c r="X97" s="79"/>
    </row>
    <row r="98" spans="24:24" x14ac:dyDescent="0.3">
      <c r="X98" s="79"/>
    </row>
    <row r="99" spans="24:24" x14ac:dyDescent="0.3">
      <c r="X99" s="79"/>
    </row>
    <row r="100" spans="24:24" x14ac:dyDescent="0.3">
      <c r="X100" s="79"/>
    </row>
    <row r="101" spans="24:24" x14ac:dyDescent="0.3">
      <c r="X101" s="79"/>
    </row>
    <row r="102" spans="24:24" x14ac:dyDescent="0.3">
      <c r="X102" s="79"/>
    </row>
    <row r="103" spans="24:24" x14ac:dyDescent="0.3">
      <c r="X103" s="79"/>
    </row>
    <row r="104" spans="24:24" x14ac:dyDescent="0.3">
      <c r="X104" s="79"/>
    </row>
    <row r="105" spans="24:24" x14ac:dyDescent="0.3">
      <c r="X105" s="79"/>
    </row>
    <row r="106" spans="24:24" x14ac:dyDescent="0.3">
      <c r="X106" s="79"/>
    </row>
    <row r="107" spans="24:24" x14ac:dyDescent="0.3">
      <c r="X107" s="79"/>
    </row>
    <row r="108" spans="24:24" x14ac:dyDescent="0.3">
      <c r="X108" s="79"/>
    </row>
    <row r="109" spans="24:24" x14ac:dyDescent="0.3">
      <c r="X109" s="79"/>
    </row>
    <row r="110" spans="24:24" x14ac:dyDescent="0.3">
      <c r="X110" s="79"/>
    </row>
    <row r="111" spans="24:24" x14ac:dyDescent="0.3">
      <c r="X111" s="79"/>
    </row>
    <row r="112" spans="24:24" x14ac:dyDescent="0.3">
      <c r="X112" s="79"/>
    </row>
    <row r="113" spans="24:24" x14ac:dyDescent="0.3">
      <c r="X113" s="79"/>
    </row>
    <row r="114" spans="24:24" x14ac:dyDescent="0.3">
      <c r="X114" s="79"/>
    </row>
    <row r="115" spans="24:24" x14ac:dyDescent="0.3">
      <c r="X115" s="79"/>
    </row>
    <row r="116" spans="24:24" x14ac:dyDescent="0.3">
      <c r="X116" s="79"/>
    </row>
    <row r="117" spans="24:24" x14ac:dyDescent="0.3">
      <c r="X117" s="79"/>
    </row>
    <row r="118" spans="24:24" x14ac:dyDescent="0.3">
      <c r="X118" s="79"/>
    </row>
    <row r="119" spans="24:24" x14ac:dyDescent="0.3">
      <c r="X119" s="79"/>
    </row>
    <row r="120" spans="24:24" x14ac:dyDescent="0.3">
      <c r="X120" s="79"/>
    </row>
    <row r="121" spans="24:24" x14ac:dyDescent="0.3">
      <c r="X121" s="79"/>
    </row>
    <row r="122" spans="24:24" x14ac:dyDescent="0.3">
      <c r="X122" s="79"/>
    </row>
    <row r="123" spans="24:24" x14ac:dyDescent="0.3">
      <c r="X123" s="79"/>
    </row>
  </sheetData>
  <mergeCells count="4">
    <mergeCell ref="C1:G1"/>
    <mergeCell ref="H1:L1"/>
    <mergeCell ref="M1:Q1"/>
    <mergeCell ref="R1:V1"/>
  </mergeCells>
  <dataValidations count="1">
    <dataValidation type="list" allowBlank="1" showInputMessage="1" showErrorMessage="1" sqref="Y67:Y1068 Y1:Y3" xr:uid="{B96D943A-84BD-4808-A877-33DB660F9EA6}">
      <formula1>$A$3:$A$473</formula1>
      <formula2>0</formula2>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8CB3F9-E62E-480C-8EED-496EE4B761FD}">
  <dimension ref="A1:T26"/>
  <sheetViews>
    <sheetView workbookViewId="0">
      <selection sqref="A1:A2"/>
    </sheetView>
  </sheetViews>
  <sheetFormatPr defaultColWidth="9.109375" defaultRowHeight="13.8" x14ac:dyDescent="0.25"/>
  <cols>
    <col min="1" max="1" width="4.21875" style="199" customWidth="1"/>
    <col min="2" max="2" width="9.44140625" style="194" customWidth="1"/>
    <col min="3" max="12" width="13.33203125" style="194" customWidth="1"/>
    <col min="13" max="13" width="17.77734375" style="194" customWidth="1"/>
    <col min="14" max="20" width="13.33203125" style="194" customWidth="1"/>
    <col min="21" max="16384" width="9.109375" style="194"/>
  </cols>
  <sheetData>
    <row r="1" spans="1:20" s="201" customFormat="1" ht="18" customHeight="1" x14ac:dyDescent="0.25">
      <c r="A1" s="384" t="s">
        <v>3</v>
      </c>
      <c r="B1" s="384" t="s">
        <v>389</v>
      </c>
      <c r="C1" s="386" t="s">
        <v>395</v>
      </c>
      <c r="D1" s="387"/>
      <c r="E1" s="387"/>
      <c r="F1" s="387"/>
      <c r="G1" s="388"/>
      <c r="H1" s="389" t="s">
        <v>396</v>
      </c>
      <c r="I1" s="390"/>
      <c r="J1" s="390"/>
      <c r="K1" s="391"/>
      <c r="L1" s="392" t="s">
        <v>546</v>
      </c>
      <c r="M1" s="393"/>
      <c r="N1" s="393"/>
      <c r="O1" s="394"/>
      <c r="P1" s="395" t="s">
        <v>599</v>
      </c>
      <c r="Q1" s="396"/>
      <c r="R1" s="396"/>
      <c r="S1" s="397"/>
      <c r="T1" s="384" t="s">
        <v>441</v>
      </c>
    </row>
    <row r="2" spans="1:20" s="201" customFormat="1" ht="21.6" customHeight="1" x14ac:dyDescent="0.25">
      <c r="A2" s="385"/>
      <c r="B2" s="385"/>
      <c r="C2" s="202" t="s">
        <v>391</v>
      </c>
      <c r="D2" s="202" t="s">
        <v>392</v>
      </c>
      <c r="E2" s="202" t="s">
        <v>393</v>
      </c>
      <c r="F2" s="202" t="s">
        <v>704</v>
      </c>
      <c r="G2" s="202" t="s">
        <v>394</v>
      </c>
      <c r="H2" s="203" t="s">
        <v>391</v>
      </c>
      <c r="I2" s="203" t="s">
        <v>392</v>
      </c>
      <c r="J2" s="203" t="s">
        <v>393</v>
      </c>
      <c r="K2" s="203" t="s">
        <v>394</v>
      </c>
      <c r="L2" s="273" t="s">
        <v>391</v>
      </c>
      <c r="M2" s="273" t="s">
        <v>392</v>
      </c>
      <c r="N2" s="273" t="s">
        <v>393</v>
      </c>
      <c r="O2" s="273" t="s">
        <v>394</v>
      </c>
      <c r="P2" s="274" t="s">
        <v>391</v>
      </c>
      <c r="Q2" s="274" t="s">
        <v>392</v>
      </c>
      <c r="R2" s="274" t="s">
        <v>393</v>
      </c>
      <c r="S2" s="274" t="s">
        <v>394</v>
      </c>
      <c r="T2" s="385"/>
    </row>
    <row r="3" spans="1:20" s="201" customFormat="1" ht="21.6" customHeight="1" x14ac:dyDescent="0.25">
      <c r="A3" s="269"/>
      <c r="B3" s="269"/>
      <c r="C3" s="202"/>
      <c r="D3" s="202"/>
      <c r="E3" s="202"/>
      <c r="F3" s="202"/>
      <c r="G3" s="202"/>
      <c r="H3" s="203"/>
      <c r="I3" s="203"/>
      <c r="J3" s="203"/>
      <c r="K3" s="203"/>
      <c r="L3" s="273"/>
      <c r="M3" s="273"/>
      <c r="N3" s="273"/>
      <c r="O3" s="273"/>
      <c r="P3" s="274"/>
      <c r="Q3" s="274"/>
      <c r="R3" s="274"/>
      <c r="S3" s="274"/>
      <c r="T3" s="269"/>
    </row>
    <row r="4" spans="1:20" ht="28.2" customHeight="1" x14ac:dyDescent="0.25">
      <c r="A4" s="198">
        <v>1</v>
      </c>
      <c r="B4" s="200">
        <v>46273</v>
      </c>
      <c r="C4" s="204"/>
      <c r="D4" s="204"/>
      <c r="E4" s="204">
        <v>60</v>
      </c>
      <c r="F4" s="204"/>
      <c r="G4" s="204"/>
      <c r="H4" s="204"/>
      <c r="I4" s="204"/>
      <c r="J4" s="204">
        <v>120</v>
      </c>
      <c r="K4" s="204"/>
      <c r="L4" s="204"/>
      <c r="M4" s="204"/>
      <c r="N4" s="204"/>
      <c r="O4" s="204"/>
      <c r="P4" s="204"/>
      <c r="Q4" s="204"/>
      <c r="R4" s="204"/>
      <c r="S4" s="204"/>
      <c r="T4" s="204"/>
    </row>
    <row r="5" spans="1:20" ht="28.2" customHeight="1" x14ac:dyDescent="0.25">
      <c r="A5" s="198">
        <v>2</v>
      </c>
      <c r="B5" s="200">
        <v>46274</v>
      </c>
      <c r="C5" s="204"/>
      <c r="D5" s="204">
        <v>20</v>
      </c>
      <c r="E5" s="204">
        <v>50</v>
      </c>
      <c r="F5" s="204">
        <v>11</v>
      </c>
      <c r="G5" s="204">
        <v>40</v>
      </c>
      <c r="H5" s="204"/>
      <c r="I5" s="204"/>
      <c r="J5" s="204">
        <v>50</v>
      </c>
      <c r="K5" s="204"/>
      <c r="L5" s="204"/>
      <c r="M5" s="204"/>
      <c r="N5" s="204">
        <v>50</v>
      </c>
      <c r="O5" s="204"/>
      <c r="P5" s="204"/>
      <c r="Q5" s="204"/>
      <c r="R5" s="204"/>
      <c r="S5" s="204"/>
      <c r="T5" s="204"/>
    </row>
    <row r="6" spans="1:20" ht="28.2" customHeight="1" x14ac:dyDescent="0.25">
      <c r="A6" s="198">
        <v>3</v>
      </c>
      <c r="B6" s="200">
        <v>46275</v>
      </c>
      <c r="C6" s="204"/>
      <c r="D6" s="204">
        <v>22</v>
      </c>
      <c r="E6" s="204">
        <v>66</v>
      </c>
      <c r="F6" s="204"/>
      <c r="G6" s="204"/>
      <c r="H6" s="204"/>
      <c r="I6" s="204"/>
      <c r="J6" s="204"/>
      <c r="K6" s="204"/>
      <c r="L6" s="204"/>
      <c r="M6" s="204"/>
      <c r="N6" s="204">
        <v>40</v>
      </c>
      <c r="O6" s="204"/>
      <c r="P6" s="204"/>
      <c r="Q6" s="204"/>
      <c r="R6" s="204"/>
      <c r="S6" s="204"/>
      <c r="T6" s="204"/>
    </row>
    <row r="7" spans="1:20" ht="28.2" customHeight="1" x14ac:dyDescent="0.25">
      <c r="A7" s="198">
        <v>4</v>
      </c>
      <c r="B7" s="200">
        <v>46276</v>
      </c>
      <c r="C7" s="204"/>
      <c r="D7" s="204"/>
      <c r="E7" s="204"/>
      <c r="F7" s="204"/>
      <c r="G7" s="204"/>
      <c r="H7" s="204"/>
      <c r="I7" s="204"/>
      <c r="J7" s="204"/>
      <c r="K7" s="204"/>
      <c r="L7" s="204"/>
      <c r="M7" s="204"/>
      <c r="N7" s="204">
        <v>40</v>
      </c>
      <c r="O7" s="204"/>
      <c r="P7" s="204"/>
      <c r="Q7" s="204"/>
      <c r="R7" s="204"/>
      <c r="S7" s="204"/>
      <c r="T7" s="204"/>
    </row>
    <row r="8" spans="1:20" ht="28.2" customHeight="1" x14ac:dyDescent="0.25">
      <c r="A8" s="198">
        <v>5</v>
      </c>
      <c r="B8" s="200">
        <v>46277</v>
      </c>
      <c r="C8" s="204"/>
      <c r="D8" s="204"/>
      <c r="E8" s="204"/>
      <c r="F8" s="204"/>
      <c r="G8" s="204"/>
      <c r="H8" s="204"/>
      <c r="I8" s="204"/>
      <c r="J8" s="204"/>
      <c r="K8" s="204"/>
      <c r="L8" s="204"/>
      <c r="M8" s="204"/>
      <c r="N8" s="204"/>
      <c r="O8" s="204"/>
      <c r="P8" s="204"/>
      <c r="Q8" s="204"/>
      <c r="R8" s="204"/>
      <c r="S8" s="204"/>
      <c r="T8" s="204"/>
    </row>
    <row r="9" spans="1:20" ht="28.2" customHeight="1" x14ac:dyDescent="0.25">
      <c r="A9" s="198">
        <v>6</v>
      </c>
      <c r="B9" s="200">
        <v>46278</v>
      </c>
      <c r="C9" s="204"/>
      <c r="D9" s="204"/>
      <c r="E9" s="204"/>
      <c r="F9" s="204"/>
      <c r="G9" s="204"/>
      <c r="H9" s="204"/>
      <c r="I9" s="204"/>
      <c r="J9" s="204"/>
      <c r="K9" s="204"/>
      <c r="L9" s="204"/>
      <c r="M9" s="204"/>
      <c r="N9" s="204"/>
      <c r="O9" s="204"/>
      <c r="P9" s="204"/>
      <c r="Q9" s="204"/>
      <c r="R9" s="204"/>
      <c r="S9" s="204"/>
      <c r="T9" s="204"/>
    </row>
    <row r="10" spans="1:20" s="278" customFormat="1" ht="28.2" customHeight="1" x14ac:dyDescent="0.25">
      <c r="A10" s="275">
        <v>7</v>
      </c>
      <c r="B10" s="276">
        <v>46279</v>
      </c>
      <c r="C10" s="277"/>
      <c r="D10" s="277"/>
      <c r="E10" s="277">
        <v>90</v>
      </c>
      <c r="F10" s="277"/>
      <c r="G10" s="277"/>
      <c r="H10" s="277"/>
      <c r="I10" s="277"/>
      <c r="J10" s="277">
        <v>38</v>
      </c>
      <c r="K10" s="277">
        <v>50</v>
      </c>
      <c r="L10" s="277"/>
      <c r="M10" s="277" t="s">
        <v>717</v>
      </c>
      <c r="N10" s="277">
        <v>50</v>
      </c>
      <c r="O10" s="277">
        <v>2</v>
      </c>
      <c r="P10" s="277"/>
      <c r="Q10" s="277"/>
      <c r="R10" s="277">
        <v>17</v>
      </c>
      <c r="S10" s="277">
        <v>30</v>
      </c>
      <c r="T10" s="277" t="s">
        <v>601</v>
      </c>
    </row>
    <row r="11" spans="1:20" ht="28.2" customHeight="1" x14ac:dyDescent="0.25">
      <c r="A11" s="198">
        <v>8</v>
      </c>
      <c r="B11" s="200">
        <v>46280</v>
      </c>
      <c r="C11" s="204">
        <v>4</v>
      </c>
      <c r="D11" s="204">
        <v>10</v>
      </c>
      <c r="E11" s="204">
        <v>54</v>
      </c>
      <c r="F11" s="204"/>
      <c r="G11" s="204"/>
      <c r="H11" s="204"/>
      <c r="I11" s="204"/>
      <c r="J11" s="204">
        <v>50</v>
      </c>
      <c r="K11" s="204"/>
      <c r="L11" s="204"/>
      <c r="M11" s="204">
        <v>11</v>
      </c>
      <c r="N11" s="204"/>
      <c r="O11" s="204"/>
      <c r="P11" s="204"/>
      <c r="Q11" s="204"/>
      <c r="R11" s="204"/>
      <c r="S11" s="204"/>
      <c r="T11" s="204"/>
    </row>
    <row r="12" spans="1:20" ht="28.2" customHeight="1" x14ac:dyDescent="0.25">
      <c r="A12" s="198">
        <v>9</v>
      </c>
      <c r="B12" s="200">
        <v>46281</v>
      </c>
      <c r="C12" s="204"/>
      <c r="D12" s="204"/>
      <c r="E12" s="204">
        <v>58</v>
      </c>
      <c r="F12" s="204"/>
      <c r="G12" s="204"/>
      <c r="H12" s="204">
        <f>17+13</f>
        <v>30</v>
      </c>
      <c r="I12" s="204">
        <v>22</v>
      </c>
      <c r="J12" s="204">
        <v>8</v>
      </c>
      <c r="K12" s="204"/>
      <c r="L12" s="204"/>
      <c r="M12" s="204"/>
      <c r="N12" s="204"/>
      <c r="O12" s="204"/>
      <c r="P12" s="204"/>
      <c r="Q12" s="204"/>
      <c r="R12" s="204"/>
      <c r="S12" s="204"/>
      <c r="T12" s="204"/>
    </row>
    <row r="13" spans="1:20" ht="28.2" customHeight="1" x14ac:dyDescent="0.25">
      <c r="A13" s="198">
        <v>10</v>
      </c>
      <c r="B13" s="200">
        <v>46282</v>
      </c>
      <c r="C13" s="204"/>
      <c r="D13" s="204"/>
      <c r="E13" s="204">
        <v>85</v>
      </c>
      <c r="F13" s="204"/>
      <c r="G13" s="204"/>
      <c r="H13" s="204">
        <v>20</v>
      </c>
      <c r="I13" s="204">
        <v>20</v>
      </c>
      <c r="J13" s="204">
        <v>55</v>
      </c>
      <c r="K13" s="204"/>
      <c r="L13" s="204"/>
      <c r="M13" s="204"/>
      <c r="N13" s="204"/>
      <c r="O13" s="204"/>
      <c r="P13" s="204"/>
      <c r="Q13" s="204"/>
      <c r="R13" s="204"/>
      <c r="S13" s="204"/>
      <c r="T13" s="204"/>
    </row>
    <row r="14" spans="1:20" ht="28.2" customHeight="1" x14ac:dyDescent="0.25">
      <c r="A14" s="198">
        <v>11</v>
      </c>
      <c r="B14" s="200">
        <v>46283</v>
      </c>
      <c r="C14" s="204"/>
      <c r="D14" s="204"/>
      <c r="E14" s="204">
        <v>70</v>
      </c>
      <c r="F14" s="204"/>
      <c r="G14" s="204"/>
      <c r="H14" s="204"/>
      <c r="I14" s="204"/>
      <c r="J14" s="204">
        <v>50</v>
      </c>
      <c r="K14" s="204"/>
      <c r="L14" s="204"/>
      <c r="M14" s="204">
        <v>33</v>
      </c>
      <c r="N14" s="204"/>
      <c r="O14" s="204"/>
      <c r="P14" s="204"/>
      <c r="Q14" s="204"/>
      <c r="R14" s="204"/>
      <c r="S14" s="204"/>
      <c r="T14" s="204"/>
    </row>
    <row r="15" spans="1:20" ht="28.2" customHeight="1" x14ac:dyDescent="0.25">
      <c r="A15" s="198">
        <v>12</v>
      </c>
      <c r="B15" s="200">
        <v>46284</v>
      </c>
      <c r="C15" s="204"/>
      <c r="D15" s="204"/>
      <c r="E15" s="204"/>
      <c r="F15" s="204"/>
      <c r="G15" s="204"/>
      <c r="H15" s="204"/>
      <c r="I15" s="204"/>
      <c r="J15" s="204"/>
      <c r="K15" s="204"/>
      <c r="L15" s="204"/>
      <c r="M15" s="204"/>
      <c r="N15" s="204"/>
      <c r="O15" s="204"/>
      <c r="P15" s="204"/>
      <c r="Q15" s="204"/>
      <c r="R15" s="204"/>
      <c r="S15" s="204"/>
      <c r="T15" s="204"/>
    </row>
    <row r="16" spans="1:20" x14ac:dyDescent="0.25">
      <c r="A16" s="198">
        <v>13</v>
      </c>
      <c r="B16" s="200">
        <v>46285</v>
      </c>
      <c r="C16" s="195"/>
      <c r="D16" s="195"/>
      <c r="E16" s="195"/>
      <c r="F16" s="195"/>
      <c r="G16" s="195"/>
      <c r="H16" s="195"/>
      <c r="I16" s="195"/>
      <c r="J16" s="195"/>
      <c r="K16" s="195"/>
      <c r="L16" s="195"/>
      <c r="M16" s="195"/>
      <c r="N16" s="195"/>
      <c r="O16" s="195"/>
      <c r="P16" s="195"/>
      <c r="Q16" s="195"/>
      <c r="R16" s="195"/>
      <c r="S16" s="195"/>
      <c r="T16" s="195"/>
    </row>
    <row r="17" spans="1:20" x14ac:dyDescent="0.25">
      <c r="A17" s="198">
        <v>14</v>
      </c>
      <c r="B17" s="200">
        <v>46286</v>
      </c>
      <c r="C17" s="195"/>
      <c r="D17" s="195"/>
      <c r="E17" s="195"/>
      <c r="F17" s="195"/>
      <c r="G17" s="195"/>
      <c r="H17" s="195"/>
      <c r="I17" s="195"/>
      <c r="J17" s="195"/>
      <c r="K17" s="195"/>
      <c r="L17" s="195"/>
      <c r="M17" s="195"/>
      <c r="N17" s="195"/>
      <c r="O17" s="195"/>
      <c r="P17" s="195"/>
      <c r="Q17" s="195"/>
      <c r="R17" s="195"/>
      <c r="S17" s="195"/>
      <c r="T17" s="195"/>
    </row>
    <row r="18" spans="1:20" x14ac:dyDescent="0.25">
      <c r="A18" s="198">
        <v>15</v>
      </c>
      <c r="B18" s="200">
        <v>46287</v>
      </c>
      <c r="C18" s="195"/>
      <c r="D18" s="195"/>
      <c r="E18" s="195"/>
      <c r="F18" s="195"/>
      <c r="G18" s="195"/>
      <c r="H18" s="195"/>
      <c r="I18" s="195"/>
      <c r="J18" s="195"/>
      <c r="K18" s="195"/>
      <c r="L18" s="195"/>
      <c r="M18" s="195"/>
      <c r="N18" s="195"/>
      <c r="O18" s="195"/>
      <c r="P18" s="195"/>
      <c r="Q18" s="195"/>
      <c r="R18" s="195"/>
      <c r="S18" s="195"/>
      <c r="T18" s="195"/>
    </row>
    <row r="19" spans="1:20" x14ac:dyDescent="0.25">
      <c r="A19" s="198">
        <v>16</v>
      </c>
      <c r="B19" s="200">
        <v>46288</v>
      </c>
      <c r="C19" s="195"/>
      <c r="D19" s="195"/>
      <c r="E19" s="195"/>
      <c r="F19" s="195"/>
      <c r="G19" s="195"/>
      <c r="H19" s="195"/>
      <c r="I19" s="195"/>
      <c r="J19" s="195"/>
      <c r="K19" s="195"/>
      <c r="L19" s="195"/>
      <c r="M19" s="195"/>
      <c r="N19" s="195"/>
      <c r="O19" s="195"/>
      <c r="P19" s="195"/>
      <c r="Q19" s="195"/>
      <c r="R19" s="195"/>
      <c r="S19" s="195"/>
      <c r="T19" s="195"/>
    </row>
    <row r="20" spans="1:20" x14ac:dyDescent="0.25">
      <c r="A20" s="198">
        <v>17</v>
      </c>
      <c r="B20" s="200">
        <v>46289</v>
      </c>
      <c r="C20" s="195"/>
      <c r="D20" s="195"/>
      <c r="E20" s="195"/>
      <c r="F20" s="195"/>
      <c r="G20" s="195"/>
      <c r="H20" s="195"/>
      <c r="I20" s="195"/>
      <c r="J20" s="195"/>
      <c r="K20" s="195"/>
      <c r="L20" s="195"/>
      <c r="M20" s="195"/>
      <c r="N20" s="195"/>
      <c r="O20" s="195"/>
      <c r="P20" s="195"/>
      <c r="Q20" s="195"/>
      <c r="R20" s="195"/>
      <c r="S20" s="195"/>
      <c r="T20" s="195"/>
    </row>
    <row r="21" spans="1:20" x14ac:dyDescent="0.25">
      <c r="A21" s="198">
        <v>18</v>
      </c>
      <c r="B21" s="200">
        <v>46290</v>
      </c>
      <c r="C21" s="195"/>
      <c r="D21" s="195"/>
      <c r="E21" s="195"/>
      <c r="F21" s="195"/>
      <c r="G21" s="195"/>
      <c r="H21" s="195"/>
      <c r="I21" s="195"/>
      <c r="J21" s="195"/>
      <c r="K21" s="195"/>
      <c r="L21" s="195"/>
      <c r="M21" s="195"/>
      <c r="N21" s="195"/>
      <c r="O21" s="195"/>
      <c r="P21" s="195"/>
      <c r="Q21" s="195"/>
      <c r="R21" s="195"/>
      <c r="S21" s="195"/>
      <c r="T21" s="195"/>
    </row>
    <row r="22" spans="1:20" x14ac:dyDescent="0.25">
      <c r="A22" s="198">
        <v>19</v>
      </c>
      <c r="B22" s="200">
        <v>46291</v>
      </c>
      <c r="C22" s="195"/>
      <c r="D22" s="195"/>
      <c r="E22" s="195"/>
      <c r="F22" s="195"/>
      <c r="G22" s="195"/>
      <c r="H22" s="195"/>
      <c r="I22" s="195"/>
      <c r="J22" s="195"/>
      <c r="K22" s="195"/>
      <c r="L22" s="195"/>
      <c r="M22" s="195"/>
      <c r="N22" s="195"/>
      <c r="O22" s="195"/>
      <c r="P22" s="195"/>
      <c r="Q22" s="195"/>
      <c r="R22" s="195"/>
      <c r="S22" s="195"/>
      <c r="T22" s="195"/>
    </row>
    <row r="23" spans="1:20" x14ac:dyDescent="0.25">
      <c r="A23" s="198">
        <v>20</v>
      </c>
      <c r="B23" s="200">
        <v>46292</v>
      </c>
      <c r="C23" s="195"/>
      <c r="D23" s="195"/>
      <c r="E23" s="195"/>
      <c r="F23" s="195"/>
      <c r="G23" s="195"/>
      <c r="H23" s="195"/>
      <c r="I23" s="195"/>
      <c r="J23" s="195"/>
      <c r="K23" s="195"/>
      <c r="L23" s="195"/>
      <c r="M23" s="195"/>
      <c r="N23" s="195"/>
      <c r="O23" s="195"/>
      <c r="P23" s="195"/>
      <c r="Q23" s="195"/>
      <c r="R23" s="195"/>
      <c r="S23" s="195"/>
      <c r="T23" s="195"/>
    </row>
    <row r="24" spans="1:20" x14ac:dyDescent="0.25">
      <c r="A24" s="198">
        <v>21</v>
      </c>
      <c r="B24" s="200">
        <v>46293</v>
      </c>
      <c r="C24" s="195"/>
      <c r="D24" s="195"/>
      <c r="E24" s="195"/>
      <c r="F24" s="195"/>
      <c r="G24" s="195"/>
      <c r="H24" s="195"/>
      <c r="I24" s="195"/>
      <c r="J24" s="195"/>
      <c r="K24" s="195"/>
      <c r="L24" s="195"/>
      <c r="M24" s="195"/>
      <c r="N24" s="195"/>
      <c r="O24" s="195"/>
      <c r="P24" s="195"/>
      <c r="Q24" s="195"/>
      <c r="R24" s="195"/>
      <c r="S24" s="195"/>
      <c r="T24" s="195"/>
    </row>
    <row r="25" spans="1:20" x14ac:dyDescent="0.25">
      <c r="A25" s="198">
        <v>22</v>
      </c>
      <c r="B25" s="200">
        <v>46294</v>
      </c>
      <c r="C25" s="195"/>
      <c r="D25" s="195"/>
      <c r="E25" s="195"/>
      <c r="F25" s="195"/>
      <c r="G25" s="195"/>
      <c r="H25" s="195"/>
      <c r="I25" s="195"/>
      <c r="J25" s="195"/>
      <c r="K25" s="195"/>
      <c r="L25" s="195"/>
      <c r="M25" s="195"/>
      <c r="N25" s="195"/>
      <c r="O25" s="195"/>
      <c r="P25" s="195"/>
      <c r="Q25" s="195"/>
      <c r="R25" s="195"/>
      <c r="S25" s="195"/>
      <c r="T25" s="195"/>
    </row>
    <row r="26" spans="1:20" x14ac:dyDescent="0.25">
      <c r="A26" s="198">
        <v>23</v>
      </c>
      <c r="B26" s="200">
        <v>46295</v>
      </c>
      <c r="C26" s="195"/>
      <c r="D26" s="195"/>
      <c r="E26" s="195"/>
      <c r="F26" s="195"/>
      <c r="G26" s="195"/>
      <c r="H26" s="195"/>
      <c r="I26" s="195"/>
      <c r="J26" s="195"/>
      <c r="K26" s="195"/>
      <c r="L26" s="195"/>
      <c r="M26" s="195"/>
      <c r="N26" s="195"/>
      <c r="O26" s="195"/>
      <c r="P26" s="195"/>
      <c r="Q26" s="195"/>
      <c r="R26" s="195"/>
      <c r="S26" s="195"/>
      <c r="T26" s="195"/>
    </row>
  </sheetData>
  <mergeCells count="7">
    <mergeCell ref="A1:A2"/>
    <mergeCell ref="B1:B2"/>
    <mergeCell ref="C1:G1"/>
    <mergeCell ref="H1:K1"/>
    <mergeCell ref="T1:T2"/>
    <mergeCell ref="L1:O1"/>
    <mergeCell ref="P1:S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388</TotalTime>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XUẤT</vt:lpstr>
      <vt:lpstr>CBCNV</vt:lpstr>
      <vt:lpstr>TỒN</vt:lpstr>
      <vt:lpstr>ĐIÈU PHỐI</vt:lpstr>
      <vt:lpstr>Vận chuyển</vt:lpstr>
      <vt:lpstr>Đơn giá</vt:lpstr>
      <vt:lpstr>TỒN TỔNG</vt:lpstr>
      <vt:lpstr>TỒN KHO HUẾ</vt:lpstr>
      <vt:lpstr>TỒN KHO TĂNG ÁP</vt:lpstr>
      <vt:lpstr>tồn xe</vt:lpstr>
      <vt:lpstr>Tồn kho văn phòng</vt:lpstr>
      <vt:lpstr>TỒN KHO HÀ LẦM</vt:lpstr>
      <vt:lpstr>nhập từ CP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dc:creator>
  <dc:description/>
  <cp:lastModifiedBy>long pham</cp:lastModifiedBy>
  <cp:revision>49</cp:revision>
  <cp:lastPrinted>2026-09-11T07:21:12Z</cp:lastPrinted>
  <dcterms:created xsi:type="dcterms:W3CDTF">2015-06-05T18:17:20Z</dcterms:created>
  <dcterms:modified xsi:type="dcterms:W3CDTF">2026-09-21T01:59:54Z</dcterms:modified>
  <dc:language>vi-VN</dc:language>
</cp:coreProperties>
</file>
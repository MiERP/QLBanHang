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HUNG\NƯỚC LỌC\NĂM 2026\THÁNG 9\"/>
    </mc:Choice>
  </mc:AlternateContent>
  <xr:revisionPtr revIDLastSave="0" documentId="13_ncr:1_{38DE2FEA-3BC2-475F-8B82-AEFC788A65FC}" xr6:coauthVersionLast="47" xr6:coauthVersionMax="47" xr10:uidLastSave="{00000000-0000-0000-0000-000000000000}"/>
  <bookViews>
    <workbookView xWindow="-108" yWindow="-108" windowWidth="23256" windowHeight="12456" tabRatio="659" firstSheet="1" activeTab="1" xr2:uid="{00000000-000D-0000-FFFF-FFFF00000000}"/>
  </bookViews>
  <sheets>
    <sheet name="foxz" sheetId="1" state="hidden" r:id="rId1"/>
    <sheet name="Tổng hóa đơn xí nghiệp" sheetId="24" r:id="rId2"/>
    <sheet name="Hóa đơn Công ty" sheetId="25" r:id="rId3"/>
  </sheets>
  <definedNames>
    <definedName name="_xlnm._FilterDatabase" localSheetId="2" hidden="1">'Hóa đơn Công ty'!$A$3:$AA$16</definedName>
    <definedName name="_xlnm._FilterDatabase" localSheetId="1" hidden="1">'Tổng hóa đơn xí nghiệp'!$A$3:$AA$57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6" i="24" l="1"/>
  <c r="I56" i="24"/>
  <c r="J56" i="24"/>
  <c r="K56" i="24"/>
  <c r="L56" i="24"/>
  <c r="M56" i="24"/>
  <c r="N56" i="24"/>
  <c r="P56" i="24"/>
  <c r="Q14" i="25"/>
  <c r="F19" i="25" l="1"/>
  <c r="H19" i="25"/>
  <c r="I19" i="25"/>
  <c r="J19" i="25"/>
  <c r="L19" i="25"/>
  <c r="M19" i="25"/>
  <c r="N19" i="25"/>
  <c r="P19" i="25"/>
  <c r="E56" i="24" l="1"/>
  <c r="E6" i="24"/>
  <c r="L15" i="25"/>
  <c r="P15" i="25"/>
  <c r="M15" i="25"/>
  <c r="N16" i="25" s="1"/>
  <c r="K15" i="25"/>
  <c r="L16" i="25" s="1"/>
  <c r="J15" i="25"/>
  <c r="I15" i="25"/>
  <c r="J16" i="25" s="1"/>
  <c r="H15" i="25"/>
  <c r="G15" i="25"/>
  <c r="H16" i="25" s="1"/>
  <c r="F15" i="25"/>
  <c r="E15" i="25"/>
  <c r="F16" i="25" s="1"/>
  <c r="P6" i="25"/>
  <c r="M6" i="25"/>
  <c r="K6" i="25"/>
  <c r="J6" i="25"/>
  <c r="I6" i="25"/>
  <c r="H6" i="25"/>
  <c r="G6" i="25"/>
  <c r="F6" i="25"/>
  <c r="E6" i="25"/>
  <c r="O5" i="25"/>
  <c r="Q13" i="25" s="1"/>
  <c r="M5" i="25"/>
  <c r="K5" i="25"/>
  <c r="I5" i="25"/>
  <c r="G5" i="25"/>
  <c r="E5" i="25"/>
  <c r="Q9" i="25" l="1"/>
  <c r="Q8" i="25"/>
  <c r="Q12" i="25"/>
  <c r="Q11" i="25"/>
  <c r="Q10" i="25"/>
  <c r="Q7" i="25"/>
  <c r="O6" i="25"/>
  <c r="L6" i="25"/>
  <c r="O15" i="25"/>
  <c r="P16" i="25" s="1"/>
  <c r="Q16" i="25" s="1"/>
  <c r="M6" i="24"/>
  <c r="O5" i="24"/>
  <c r="M5" i="24"/>
  <c r="M59" i="24" s="1"/>
  <c r="K5" i="24"/>
  <c r="I5" i="24"/>
  <c r="G5" i="24"/>
  <c r="E5" i="24"/>
  <c r="F6" i="24"/>
  <c r="G6" i="24"/>
  <c r="H6" i="24"/>
  <c r="I6" i="24"/>
  <c r="J6" i="24"/>
  <c r="K6" i="24"/>
  <c r="Q7" i="24" s="1"/>
  <c r="L6" i="24"/>
  <c r="N6" i="24"/>
  <c r="P6" i="24"/>
  <c r="G56" i="24"/>
  <c r="H57" i="24" s="1"/>
  <c r="F56" i="24"/>
  <c r="J57" i="24"/>
  <c r="L57" i="24"/>
  <c r="N57" i="24"/>
  <c r="O20" i="24"/>
  <c r="O56" i="24" s="1"/>
  <c r="Q51" i="24" l="1"/>
  <c r="P57" i="24"/>
  <c r="Q40" i="24"/>
  <c r="Q38" i="24"/>
  <c r="Q37" i="24"/>
  <c r="Q33" i="24"/>
  <c r="Q39" i="24"/>
  <c r="Q36" i="24"/>
  <c r="Q35" i="24"/>
  <c r="Q34" i="24"/>
  <c r="Q44" i="24"/>
  <c r="Q12" i="24"/>
  <c r="Q16" i="24"/>
  <c r="Q15" i="24"/>
  <c r="Q14" i="24"/>
  <c r="E60" i="24"/>
  <c r="Q30" i="24"/>
  <c r="Q31" i="24"/>
  <c r="Q32" i="24"/>
  <c r="Q24" i="24"/>
  <c r="Q10" i="24"/>
  <c r="Q21" i="24"/>
  <c r="O59" i="24"/>
  <c r="Q27" i="24"/>
  <c r="Q25" i="24"/>
  <c r="Q22" i="24"/>
  <c r="Q9" i="24"/>
  <c r="Q20" i="24"/>
  <c r="Q19" i="24"/>
  <c r="Q18" i="24"/>
  <c r="Q17" i="24"/>
  <c r="Q13" i="24"/>
  <c r="G59" i="24"/>
  <c r="Q29" i="24"/>
  <c r="Q26" i="24"/>
  <c r="Q28" i="24"/>
  <c r="Q23" i="24"/>
  <c r="K59" i="24"/>
  <c r="N6" i="25"/>
  <c r="N15" i="25"/>
  <c r="Q54" i="24"/>
  <c r="Q53" i="24"/>
  <c r="Q46" i="24"/>
  <c r="Q45" i="24"/>
  <c r="Q49" i="24"/>
  <c r="Q48" i="24"/>
  <c r="Q43" i="24"/>
  <c r="Q42" i="24"/>
  <c r="Q50" i="24"/>
  <c r="Q41" i="24"/>
  <c r="O6" i="24"/>
  <c r="Q15" i="25"/>
  <c r="Q11" i="24" l="1"/>
  <c r="F57" i="24" l="1"/>
  <c r="Q57" i="24" s="1"/>
  <c r="Q55" i="24"/>
  <c r="Q56" i="24" l="1"/>
</calcChain>
</file>

<file path=xl/sharedStrings.xml><?xml version="1.0" encoding="utf-8"?>
<sst xmlns="http://schemas.openxmlformats.org/spreadsheetml/2006/main" count="232" uniqueCount="149">
  <si>
    <t>DANH SÁCH PHÁT HÀNH HÓA ĐƠN TIỀN NƯỚC ION KIỀM</t>
  </si>
  <si>
    <t>XNN Hồng Gai</t>
  </si>
  <si>
    <t>STT</t>
  </si>
  <si>
    <t>Ngày</t>
  </si>
  <si>
    <t>Họ và tên</t>
  </si>
  <si>
    <t>Địa chỉ
 (Theo nơi cư trú)</t>
  </si>
  <si>
    <t xml:space="preserve">Nước bình RO </t>
  </si>
  <si>
    <t>Nước khuyến mại bình RO</t>
  </si>
  <si>
    <t xml:space="preserve">Nước bình Ion kiềm </t>
  </si>
  <si>
    <t>Nước khuyến mại bình kiềm</t>
  </si>
  <si>
    <t>Nước hộp Ion kiềm 350ml</t>
  </si>
  <si>
    <t>Nước khuyến mại hộp 350</t>
  </si>
  <si>
    <t>Nước vỉ Ion kiềm 350ml</t>
  </si>
  <si>
    <t>Nước khuyến mại vỉ 350</t>
  </si>
  <si>
    <t>Nước hộp 500ml</t>
  </si>
  <si>
    <t>Nước khuyến mại hộp 500</t>
  </si>
  <si>
    <t>Nước vỉ 500ml</t>
  </si>
  <si>
    <t>Nước khuyến mại vỉ 500</t>
  </si>
  <si>
    <t>Thành tiền</t>
  </si>
  <si>
    <t>Đơn vị tính</t>
  </si>
  <si>
    <t>bình</t>
  </si>
  <si>
    <t>hộp</t>
  </si>
  <si>
    <t>vỉ</t>
  </si>
  <si>
    <t>Vỉ 500</t>
  </si>
  <si>
    <t>KM</t>
  </si>
  <si>
    <t>Đơn giá</t>
  </si>
  <si>
    <t>9/9</t>
  </si>
  <si>
    <t>Viễn thông Quảng Ninh</t>
  </si>
  <si>
    <t>Số 1, đường 25/4, phường Hồng Gai, tỉnh Quảng Ninh</t>
  </si>
  <si>
    <t>Lan Bình</t>
  </si>
  <si>
    <t>đơn 8/9</t>
  </si>
  <si>
    <t>Công ty Bảo Hiểm Bưu Điện Quảng Ninh</t>
  </si>
  <si>
    <t>Tầng 2, ô số 10, lô LK 1, Khu chung cư và dân cư cao cấp Việt Hàn, phường Hồng Gai, thành phố Quảng Ninh</t>
  </si>
  <si>
    <t>15/9</t>
  </si>
  <si>
    <t>16/9/2026</t>
  </si>
  <si>
    <t>Công ty CP Công nghệ Hanet</t>
  </si>
  <si>
    <t>Tầng 3 tòa nhà G - Group tower, số 5, Nguyễn Thị Duệ, phường Yên Hòa, TP Hà Nội, Việt Nam</t>
  </si>
  <si>
    <t>Đỗ Hà</t>
  </si>
  <si>
    <t>đơn 15/9</t>
  </si>
  <si>
    <t>17/9/2026</t>
  </si>
  <si>
    <t>Công ty Cổ phần Ecoba Việt Nam</t>
  </si>
  <si>
    <t>Tầng 5 tòa nhà UDIC COMPLEX, đường Hoàng Đạo Thúy, Yên Hòa,  thành phố Hà Nội, Việt Nam</t>
  </si>
  <si>
    <t>18/9/2026</t>
  </si>
  <si>
    <t>Hộ kinh doanh Pickleball TCT Hạ Long center</t>
  </si>
  <si>
    <t>Tổ 7, khu phố Yết Kiêu 3, phường Hồng Gai, thành phố Quảng Ninh, Việt Nam</t>
  </si>
  <si>
    <t>Chi nhánh Công ty CP Kinh Doanh Than miền Bắc - Vinacomin tại Quảng Ninh</t>
  </si>
  <si>
    <t>Số 11, Lê Thánh Tông, phường Hồng Gai, thành phố Quảng Ninh, Việt Nam</t>
  </si>
  <si>
    <t>Min Hương</t>
  </si>
  <si>
    <t>Huế</t>
  </si>
  <si>
    <t>đơn 16/9</t>
  </si>
  <si>
    <t>Hạnh CN</t>
  </si>
  <si>
    <t>Văn phòng Đảng ủy phường Hạ Long</t>
  </si>
  <si>
    <t>Tổ 6, khu Hồng Hải 6a, phường Hạ Long, thành phố Quảng Ninh, Việt Nam</t>
  </si>
  <si>
    <t>Tùng kế toán Công ty</t>
  </si>
  <si>
    <t>19/9/2026</t>
  </si>
  <si>
    <t>Công ty TNHH Một Thành viên FLC land</t>
  </si>
  <si>
    <t>Tầng 5, tòa nhà FLC Lanmark Tower, đường Lê Đức Thọ, phường Từ Liêm, thành phố Hà Nội, Việt Nam</t>
  </si>
  <si>
    <t>22/9/2026</t>
  </si>
  <si>
    <t>Hồng Hạnh CN</t>
  </si>
  <si>
    <t>đơn 21/9</t>
  </si>
  <si>
    <t>Công ty Cổ Phần BW Japan</t>
  </si>
  <si>
    <t>Tầng 3, tòa nhà GP Invest, 170 La Thành, phường Ô chợ Dừa, thành phố Hà Nội, Việt Nam</t>
  </si>
  <si>
    <t>văn phòng hội đồng nhân dân và Ủy ban nhân dân phường Hà Lầm</t>
  </si>
  <si>
    <t>Tổ 56, khu phố Cao thắng 6, phường Hà Lầm, thành phố quảng Ninh, Việt Nam</t>
  </si>
  <si>
    <t>23/9/2026</t>
  </si>
  <si>
    <t>Công ty Công nghiệp hóa chất mỏ Quảng Ninh</t>
  </si>
  <si>
    <t>Tổ 25, khu Hà Khánh 4, phường Cao Xanh, thành phố Quảng Ninh</t>
  </si>
  <si>
    <t>Đơn tháng 8+9</t>
  </si>
  <si>
    <t>Nhà khách thành phố Quảng Ninh</t>
  </si>
  <si>
    <t>Số 277, đường Nguyễn Văn Cừ, khu Hồng Hà 3, phường Hạ Long, thành phố Quảng Ninh, Việt Nam</t>
  </si>
  <si>
    <t>24/9/2026</t>
  </si>
  <si>
    <t>Công ty Cổ Phần TKB Việt Nam</t>
  </si>
  <si>
    <t>Tổ 4, khu 6a, phố Hải Thịnh, phường Hạ Long, thành phố Quảng Ninh, Việt Nam</t>
  </si>
  <si>
    <t>Công ty Cổ phần đầu tư và Phát Triển nhà và hạ tầng TKV</t>
  </si>
  <si>
    <t>Số nhà 243A, Đê La Thành, phường Láng, thành phố Hà Nội, Việt Nam</t>
  </si>
  <si>
    <t>NGà</t>
  </si>
  <si>
    <t>Công ty TNHH Thùng rượu gỗ sồi Nga Dcheery</t>
  </si>
  <si>
    <t>Tổ 2, khu 9, phường Hạ Long, thành phố Quảng Ninh</t>
  </si>
  <si>
    <t>Nguyễn Bính - hạnh Hà</t>
  </si>
  <si>
    <t>Viện kiểm sát nhân dân tỉnh Quảng Ninh</t>
  </si>
  <si>
    <t>Phường Bãi Cháy, thành phố Quảng Ninh, Việt Nam</t>
  </si>
  <si>
    <t>Quỳnh Hành chính</t>
  </si>
  <si>
    <t>đơn ngày 24/9</t>
  </si>
  <si>
    <t>CHị Hạnh Hà ck về tk đuôi 669</t>
  </si>
  <si>
    <t>28/9</t>
  </si>
  <si>
    <t>Sở Dân tộc và Tôn Giáo thành phố Quảng Ninh</t>
  </si>
  <si>
    <t>Đường Nguyễn Văn Cừ, phường Hạ Long, thành phố Quảng Ninh</t>
  </si>
  <si>
    <t>Công ty CP Đầu tư và Phát Triển Monbay TV</t>
  </si>
  <si>
    <t>Căn số 6, lô 7D, khu đô thị Monbay, phường Hạ Long, Tp quảng Ninh</t>
  </si>
  <si>
    <t>29/9</t>
  </si>
  <si>
    <t>Nguyễn Thị Thủy</t>
  </si>
  <si>
    <t>Nguyễn Thị Hiếu</t>
  </si>
  <si>
    <t>Phường Hạ Long, thành phố Quảng Ninh</t>
  </si>
  <si>
    <t>Lê Thị Thúy</t>
  </si>
  <si>
    <t>Đinh Thư Tuyền</t>
  </si>
  <si>
    <t>Bùi Thị Thu</t>
  </si>
  <si>
    <t>Bùi Hà Thu</t>
  </si>
  <si>
    <t>Phường Hà Lầm, thành phố Quảng Ninh</t>
  </si>
  <si>
    <t>Bùi Ngọc Đàm</t>
  </si>
  <si>
    <t>Chi Cục An Toàn Vệ sinh thực phầm thành phố Quảng Ninh</t>
  </si>
  <si>
    <t>Tầng 18, trụ sở Liên cơ quan số 3, phường Hạ Long, thành phố Quảng Ninh</t>
  </si>
  <si>
    <t>Đinh Thu Huế</t>
  </si>
  <si>
    <t>Phường Cao Xanh, TP Quảng Ninh</t>
  </si>
  <si>
    <t>30/9</t>
  </si>
  <si>
    <t>Vũ Thị Tươi</t>
  </si>
  <si>
    <t>Phường Cao Xanh, Thành phố Quảng Ninh</t>
  </si>
  <si>
    <t>Hà Thị Hằng</t>
  </si>
  <si>
    <t>Lương Minh Hương</t>
  </si>
  <si>
    <t>Phường Hạ Long</t>
  </si>
  <si>
    <t>Nguyễn Quang Hùng</t>
  </si>
  <si>
    <t>Phường Hồng Gai</t>
  </si>
  <si>
    <t>Nguyễn Phương Thanh</t>
  </si>
  <si>
    <t>Đoàn Thị Nhung</t>
  </si>
  <si>
    <t>Phường Hà Tu</t>
  </si>
  <si>
    <t>Văn phòng HĐND và Ủy ban Nhân dân phường Hạ Long</t>
  </si>
  <si>
    <t>Tổ 6, khu Hồng Hải 6, phường Hạ Long, thành phố Quảng Ninh</t>
  </si>
  <si>
    <t>Công ty TNHH 1 thành viên Cát Tường 86. MST: 5702206674</t>
  </si>
  <si>
    <t>Ô 10- Lô B8- KĐT cột 5-8 phường Hạ Long, TP Quảng Ninh, Việt Nam</t>
  </si>
  <si>
    <t>sơn hà tu</t>
  </si>
  <si>
    <t>Hiệu thuốc ông An</t>
  </si>
  <si>
    <t>Người mua hàng: Nguyễn Thị Thúy Công ty TNHH Du lịch và Thương mại TKV. MST: 5701733999</t>
  </si>
  <si>
    <t>số nhà 08, ngõ 6, phố Trần Bình Trọng, phường Bãi Cháy, TP. Quảng Ninh</t>
  </si>
  <si>
    <t>Hạnh</t>
  </si>
  <si>
    <t>Phòng Văn hóa- Xã hội phường Hạ Long MST:5702191805-004 STK: 9527.1.1153402, tại KBNN khu vực II, Phòng giao dịch số 12</t>
  </si>
  <si>
    <t>Tổ 6, khu Hồng Hải 6, phường Hạ Long, tỉnh Quảng Ninh</t>
  </si>
  <si>
    <t>Sơn Hà Tu</t>
  </si>
  <si>
    <t xml:space="preserve">Người mua hàng: Nguyễn Thị Thúy </t>
  </si>
  <si>
    <t>Quỳnh búp bê</t>
  </si>
  <si>
    <t>Công ty CP Công nghệ Ha net. MST: 0109653543</t>
  </si>
  <si>
    <t>Tầng 13, Tòa nhà G-group Tower, số 5 Nguyễn Thị Duệ, phường Yên Hòa, TP Hà Nội, Việt Nam</t>
  </si>
  <si>
    <t>Vinacontrol</t>
  </si>
  <si>
    <t>Người mua hàng:Bùi Thanh Hương. Tên đơn vị : Công ty cổ phần Duyên hải Đông Bắc. MST: 0202281924</t>
  </si>
  <si>
    <t>nhà số 5, lô 61, tổ dân phố Đoàn Kết 2, phường Hồng Bàng, thành phố Hải Phòng , Việt Nam</t>
  </si>
  <si>
    <t>Văn Phòng Công Chứng Hạ Long. MST: 5701390999</t>
  </si>
  <si>
    <t>Số 494, đường Nguyễn Văn Cừ, phường Hạ Long, thành phố Quảng Ninh</t>
  </si>
  <si>
    <t>Công ty CP Vật Tư TKV</t>
  </si>
  <si>
    <t>Tổ 1, khu 2, phường Hạ Long, Thành phố Quảng Ninh</t>
  </si>
  <si>
    <t>Công ty CP Môi Trường CT Cen vi - trạm xử lý nước thải cột 5 cột 8 mở rộng</t>
  </si>
  <si>
    <t xml:space="preserve">Công ty CP Môi Trường CT Cen vi - trạm xử lý nước thải cột 5 cột 8 </t>
  </si>
  <si>
    <t>Công ty CP Môi Trường CT Cen vi - trạm xử lý nước thải cột Vựng Đâng</t>
  </si>
  <si>
    <t>Công ty TNHH Thương Mại Dịch Vụ Mạnh Cường</t>
  </si>
  <si>
    <t>Nga Hải</t>
  </si>
  <si>
    <t>Hoàng Hồng Nhung</t>
  </si>
  <si>
    <t>Phường Hồng Gai, Thành phố Quảng Ninh</t>
  </si>
  <si>
    <t>C42, TT14, khu đô thị Văn Quán, phường Hà Đông, Thành phố Hà Nội, Việt Nam</t>
  </si>
  <si>
    <t>Tổ 65, phường Hồng Gai, thành phố Quảng Ninh, Việt Nam</t>
  </si>
  <si>
    <t>nụ Cười mới Việt Nam</t>
  </si>
  <si>
    <t>Bùi Thanh Hương</t>
  </si>
  <si>
    <t>Trần Trọng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</si>
</sst>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#,##0.0;[Red]#,##0.0"/>
    <numFmt numFmtId="166" formatCode="#,##0;[Red]#,##0"/>
    <numFmt numFmtId="167" formatCode="dd/mm/yyyy"/>
    <numFmt numFmtId="168" formatCode="#,##0.0"/>
    <numFmt numFmtId="169" formatCode="_(* #,##0_);_(* \(#,##0\);_(* &quot;-&quot;??_);_(@_)"/>
    <numFmt numFmtId="170" formatCode="_(* #,##0.0_);_(* \(#,##0.0\);_(* &quot;-&quot;?_);_(@_)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4"/>
      <color theme="1"/>
      <name val="Times New Roman"/>
      <family val="1"/>
      <charset val="1"/>
    </font>
    <font>
      <b/>
      <sz val="20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4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4"/>
      <color rgb="FFFF000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729FCF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969696"/>
      </patternFill>
    </fill>
    <fill>
      <patternFill patternType="solid">
        <fgColor rgb="FF92D050"/>
        <b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05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vertical="center" wrapText="1"/>
    </xf>
    <xf numFmtId="2" fontId="2" fillId="2" borderId="0" xfId="0" applyNumberFormat="1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6" fillId="2" borderId="0" xfId="0" applyNumberFormat="1" applyFont="1" applyFill="1"/>
    <xf numFmtId="0" fontId="6" fillId="2" borderId="0" xfId="0" applyFont="1" applyFill="1"/>
    <xf numFmtId="0" fontId="6" fillId="2" borderId="0" xfId="0" applyFont="1" applyFill="1" applyAlignment="1">
      <alignment vertical="center" wrapText="1"/>
    </xf>
    <xf numFmtId="164" fontId="6" fillId="2" borderId="0" xfId="0" applyNumberFormat="1" applyFont="1" applyFill="1" applyAlignment="1">
      <alignment vertical="center" wrapText="1"/>
    </xf>
    <xf numFmtId="0" fontId="7" fillId="2" borderId="0" xfId="0" applyFont="1" applyFill="1"/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167" fontId="9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2" fillId="2" borderId="3" xfId="0" applyFont="1" applyFill="1" applyBorder="1" applyAlignment="1">
      <alignment horizontal="left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7" fontId="2" fillId="2" borderId="3" xfId="0" applyNumberFormat="1" applyFont="1" applyFill="1" applyBorder="1" applyAlignment="1">
      <alignment horizontal="center" vertical="center"/>
    </xf>
    <xf numFmtId="168" fontId="2" fillId="2" borderId="0" xfId="0" applyNumberFormat="1" applyFont="1" applyFill="1"/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vertical="center" wrapText="1"/>
    </xf>
    <xf numFmtId="0" fontId="0" fillId="2" borderId="3" xfId="0" applyFill="1" applyBorder="1"/>
    <xf numFmtId="0" fontId="0" fillId="0" borderId="3" xfId="0" applyBorder="1"/>
    <xf numFmtId="16" fontId="2" fillId="2" borderId="3" xfId="0" quotePrefix="1" applyNumberFormat="1" applyFont="1" applyFill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9" fontId="1" fillId="0" borderId="3" xfId="1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16" fontId="2" fillId="2" borderId="3" xfId="0" quotePrefix="1" applyNumberFormat="1" applyFont="1" applyFill="1" applyBorder="1" applyAlignment="1">
      <alignment vertical="center"/>
    </xf>
    <xf numFmtId="169" fontId="1" fillId="0" borderId="3" xfId="1" applyNumberFormat="1" applyBorder="1"/>
    <xf numFmtId="170" fontId="0" fillId="0" borderId="3" xfId="0" applyNumberFormat="1" applyBorder="1"/>
    <xf numFmtId="43" fontId="2" fillId="2" borderId="3" xfId="0" applyNumberFormat="1" applyFont="1" applyFill="1" applyBorder="1"/>
    <xf numFmtId="169" fontId="0" fillId="0" borderId="3" xfId="0" applyNumberForma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5" fontId="10" fillId="2" borderId="7" xfId="0" applyNumberFormat="1" applyFont="1" applyFill="1" applyBorder="1" applyAlignment="1">
      <alignment horizontal="center" vertical="center"/>
    </xf>
    <xf numFmtId="0" fontId="6" fillId="0" borderId="0" xfId="0" applyFont="1"/>
    <xf numFmtId="165" fontId="11" fillId="2" borderId="7" xfId="0" applyNumberFormat="1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169" fontId="1" fillId="0" borderId="0" xfId="1" applyNumberFormat="1" applyAlignment="1">
      <alignment horizontal="center" vertical="center"/>
    </xf>
    <xf numFmtId="169" fontId="1" fillId="0" borderId="0" xfId="1" applyNumberFormat="1" applyAlignment="1">
      <alignment horizontal="center"/>
    </xf>
    <xf numFmtId="169" fontId="1" fillId="0" borderId="0" xfId="1" applyNumberFormat="1"/>
    <xf numFmtId="0" fontId="0" fillId="7" borderId="3" xfId="0" applyFill="1" applyBorder="1"/>
    <xf numFmtId="169" fontId="1" fillId="7" borderId="3" xfId="1" applyNumberFormat="1" applyFill="1" applyBorder="1"/>
    <xf numFmtId="0" fontId="0" fillId="7" borderId="0" xfId="0" applyFill="1"/>
    <xf numFmtId="3" fontId="5" fillId="4" borderId="3" xfId="0" applyNumberFormat="1" applyFont="1" applyFill="1" applyBorder="1" applyAlignment="1">
      <alignment horizontal="righ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/>
    <xf numFmtId="169" fontId="1" fillId="9" borderId="3" xfId="1" applyNumberFormat="1" applyFill="1" applyBorder="1"/>
    <xf numFmtId="0" fontId="2" fillId="10" borderId="3" xfId="0" applyFont="1" applyFill="1" applyBorder="1" applyAlignment="1">
      <alignment vertical="center"/>
    </xf>
    <xf numFmtId="0" fontId="6" fillId="7" borderId="0" xfId="0" applyFont="1" applyFill="1"/>
    <xf numFmtId="164" fontId="2" fillId="2" borderId="3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167" fontId="2" fillId="10" borderId="3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vertical="top" wrapText="1"/>
    </xf>
    <xf numFmtId="0" fontId="2" fillId="11" borderId="3" xfId="0" applyFont="1" applyFill="1" applyBorder="1" applyAlignment="1">
      <alignment horizontal="center" vertical="top" wrapText="1"/>
    </xf>
    <xf numFmtId="164" fontId="2" fillId="10" borderId="3" xfId="0" applyNumberFormat="1" applyFont="1" applyFill="1" applyBorder="1" applyAlignment="1">
      <alignment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3" zoomScaleNormal="83" workbookViewId="0"/>
  </sheetViews>
  <sheetFormatPr defaultColWidth="8.554687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8474-B575-4961-8F73-FCE05ECA1275}">
  <dimension ref="A1:AA60"/>
  <sheetViews>
    <sheetView tabSelected="1" zoomScale="70" zoomScaleNormal="70" workbookViewId="0">
      <pane ySplit="4" topLeftCell="A50" activePane="bottomLeft" state="frozen"/>
      <selection pane="bottomLeft" activeCell="D62" sqref="D62"/>
    </sheetView>
  </sheetViews>
  <sheetFormatPr defaultColWidth="9" defaultRowHeight="18" x14ac:dyDescent="0.35"/>
  <cols>
    <col min="1" max="1" width="4.33203125" style="2" customWidth="1"/>
    <col min="2" max="2" width="13" style="2" customWidth="1"/>
    <col min="3" max="3" width="25" style="3" customWidth="1"/>
    <col min="4" max="4" width="36.44140625" style="3" customWidth="1"/>
    <col min="5" max="5" width="10.109375" style="59" customWidth="1"/>
    <col min="6" max="6" width="12.6640625" style="2" customWidth="1"/>
    <col min="7" max="7" width="10.88671875" style="2" customWidth="1"/>
    <col min="8" max="8" width="11.109375" style="2" customWidth="1"/>
    <col min="9" max="9" width="11" style="2" customWidth="1"/>
    <col min="10" max="10" width="11.109375" style="2" customWidth="1"/>
    <col min="11" max="11" width="10.44140625" style="2" customWidth="1"/>
    <col min="12" max="12" width="12.5546875" style="2" customWidth="1"/>
    <col min="13" max="13" width="10.88671875" style="2" customWidth="1"/>
    <col min="14" max="14" width="13" style="2" customWidth="1"/>
    <col min="15" max="15" width="13.44140625" style="2" customWidth="1"/>
    <col min="16" max="16" width="14.6640625" style="2" customWidth="1"/>
    <col min="17" max="17" width="17" style="3" customWidth="1"/>
    <col min="18" max="18" width="23.5546875" style="3" customWidth="1"/>
    <col min="19" max="19" width="13.88671875" style="3" customWidth="1"/>
    <col min="20" max="20" width="19.21875" style="4" customWidth="1"/>
    <col min="21" max="21" width="33.6640625" style="5" customWidth="1"/>
    <col min="22" max="27" width="9.109375" style="3" customWidth="1"/>
  </cols>
  <sheetData>
    <row r="1" spans="1:27" ht="27.75" customHeight="1" x14ac:dyDescent="0.3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6"/>
      <c r="S1" s="6"/>
      <c r="T1" s="7"/>
      <c r="U1" s="8"/>
    </row>
    <row r="2" spans="1:27" ht="30.75" customHeight="1" x14ac:dyDescent="0.35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6"/>
    </row>
    <row r="3" spans="1:27" ht="82.5" customHeight="1" x14ac:dyDescent="0.3">
      <c r="A3" s="9" t="s">
        <v>2</v>
      </c>
      <c r="B3" s="9" t="s">
        <v>3</v>
      </c>
      <c r="C3" s="9" t="s">
        <v>4</v>
      </c>
      <c r="D3" s="9" t="s">
        <v>5</v>
      </c>
      <c r="E3" s="77" t="s">
        <v>6</v>
      </c>
      <c r="F3" s="78" t="s">
        <v>7</v>
      </c>
      <c r="G3" s="10" t="s">
        <v>8</v>
      </c>
      <c r="H3" s="11" t="s">
        <v>9</v>
      </c>
      <c r="I3" s="77" t="s">
        <v>10</v>
      </c>
      <c r="J3" s="78" t="s">
        <v>11</v>
      </c>
      <c r="K3" s="10" t="s">
        <v>12</v>
      </c>
      <c r="L3" s="11" t="s">
        <v>13</v>
      </c>
      <c r="M3" s="77" t="s">
        <v>14</v>
      </c>
      <c r="N3" s="78" t="s">
        <v>15</v>
      </c>
      <c r="O3" s="10" t="s">
        <v>16</v>
      </c>
      <c r="P3" s="11" t="s">
        <v>17</v>
      </c>
      <c r="Q3" s="9" t="s">
        <v>18</v>
      </c>
      <c r="R3" s="12"/>
      <c r="S3" s="13"/>
      <c r="T3" s="14"/>
      <c r="U3" s="15"/>
      <c r="V3" s="13"/>
      <c r="W3" s="13"/>
      <c r="X3" s="16"/>
      <c r="Y3" s="16"/>
      <c r="Z3" s="16"/>
      <c r="AA3" s="16"/>
    </row>
    <row r="4" spans="1:27" ht="27" customHeight="1" x14ac:dyDescent="0.3">
      <c r="A4" s="103" t="s">
        <v>19</v>
      </c>
      <c r="B4" s="103"/>
      <c r="C4" s="103"/>
      <c r="D4" s="103"/>
      <c r="E4" s="17" t="s">
        <v>20</v>
      </c>
      <c r="F4" s="17"/>
      <c r="G4" s="17" t="s">
        <v>20</v>
      </c>
      <c r="H4" s="17"/>
      <c r="I4" s="17" t="s">
        <v>21</v>
      </c>
      <c r="J4" s="17"/>
      <c r="K4" s="17" t="s">
        <v>22</v>
      </c>
      <c r="L4" s="17"/>
      <c r="M4" s="17" t="s">
        <v>21</v>
      </c>
      <c r="N4" s="17"/>
      <c r="O4" s="17" t="s">
        <v>22</v>
      </c>
      <c r="P4" s="17"/>
      <c r="Q4" s="1"/>
      <c r="R4" s="12"/>
      <c r="S4" s="13"/>
      <c r="T4" s="14"/>
      <c r="U4" s="15"/>
      <c r="V4" s="13" t="s">
        <v>23</v>
      </c>
      <c r="W4" s="13" t="s">
        <v>24</v>
      </c>
      <c r="X4" s="16"/>
      <c r="Y4" s="16"/>
      <c r="Z4" s="16"/>
      <c r="AA4" s="16"/>
    </row>
    <row r="5" spans="1:27" ht="27" customHeight="1" x14ac:dyDescent="0.3">
      <c r="A5" s="103" t="s">
        <v>25</v>
      </c>
      <c r="B5" s="104"/>
      <c r="C5" s="104"/>
      <c r="D5" s="104"/>
      <c r="E5" s="63">
        <f>44444*1.08</f>
        <v>47999.520000000004</v>
      </c>
      <c r="F5" s="64"/>
      <c r="G5" s="63">
        <f>48148*1.08</f>
        <v>51999.840000000004</v>
      </c>
      <c r="H5" s="64"/>
      <c r="I5" s="63">
        <f>86111*1.08</f>
        <v>92999.88</v>
      </c>
      <c r="J5" s="64"/>
      <c r="K5" s="63">
        <f>78704*1.08</f>
        <v>85000.320000000007</v>
      </c>
      <c r="L5" s="64"/>
      <c r="M5" s="63">
        <f>98149*1.08</f>
        <v>106000.92000000001</v>
      </c>
      <c r="N5" s="64"/>
      <c r="O5" s="63">
        <f>90741*1.08</f>
        <v>98000.280000000013</v>
      </c>
      <c r="P5" s="64">
        <v>0</v>
      </c>
      <c r="Q5" s="65"/>
      <c r="R5" s="12"/>
      <c r="S5" s="13"/>
      <c r="T5" s="14"/>
      <c r="U5" s="15"/>
      <c r="V5" s="13"/>
      <c r="W5" s="13"/>
      <c r="X5" s="16"/>
      <c r="Y5" s="16"/>
      <c r="Z5" s="16"/>
      <c r="AA5" s="16"/>
    </row>
    <row r="6" spans="1:27" s="62" customFormat="1" ht="27" customHeight="1" x14ac:dyDescent="0.3">
      <c r="C6" s="83"/>
      <c r="E6" s="61">
        <f t="shared" ref="E6:P6" si="0">SUM(E7:E55)</f>
        <v>258</v>
      </c>
      <c r="F6" s="61">
        <f t="shared" si="0"/>
        <v>24</v>
      </c>
      <c r="G6" s="61">
        <f t="shared" si="0"/>
        <v>154</v>
      </c>
      <c r="H6" s="61">
        <f t="shared" si="0"/>
        <v>9</v>
      </c>
      <c r="I6" s="61">
        <f t="shared" si="0"/>
        <v>6</v>
      </c>
      <c r="J6" s="61">
        <f t="shared" si="0"/>
        <v>0</v>
      </c>
      <c r="K6" s="61">
        <f t="shared" si="0"/>
        <v>115</v>
      </c>
      <c r="L6" s="61">
        <f t="shared" si="0"/>
        <v>11</v>
      </c>
      <c r="M6" s="61">
        <f t="shared" si="0"/>
        <v>10</v>
      </c>
      <c r="N6" s="61">
        <f t="shared" si="0"/>
        <v>1</v>
      </c>
      <c r="O6" s="61">
        <f t="shared" si="0"/>
        <v>2044</v>
      </c>
      <c r="P6" s="61">
        <f t="shared" si="0"/>
        <v>217</v>
      </c>
      <c r="Q6" s="37"/>
      <c r="R6" s="12"/>
      <c r="S6" s="13"/>
      <c r="T6" s="14"/>
      <c r="U6" s="15"/>
      <c r="V6" s="13"/>
      <c r="W6" s="13"/>
      <c r="X6" s="16"/>
      <c r="Y6" s="16"/>
      <c r="Z6" s="16"/>
      <c r="AA6" s="16"/>
    </row>
    <row r="7" spans="1:27" ht="71.400000000000006" customHeight="1" x14ac:dyDescent="0.35">
      <c r="A7" s="18">
        <v>1</v>
      </c>
      <c r="B7" s="54" t="s">
        <v>26</v>
      </c>
      <c r="C7" s="84" t="s">
        <v>27</v>
      </c>
      <c r="D7" s="42" t="s">
        <v>28</v>
      </c>
      <c r="E7" s="21">
        <v>0</v>
      </c>
      <c r="F7" s="21"/>
      <c r="G7" s="41"/>
      <c r="H7" s="41"/>
      <c r="I7" s="41"/>
      <c r="J7" s="43"/>
      <c r="K7" s="44">
        <v>10</v>
      </c>
      <c r="L7" s="44">
        <v>1</v>
      </c>
      <c r="M7" s="44"/>
      <c r="N7" s="44"/>
      <c r="O7" s="44"/>
      <c r="P7" s="44"/>
      <c r="Q7" s="55">
        <f>K7*K6</f>
        <v>1150</v>
      </c>
      <c r="R7" s="44" t="s">
        <v>29</v>
      </c>
      <c r="S7" t="s">
        <v>30</v>
      </c>
      <c r="T7"/>
      <c r="U7"/>
      <c r="V7"/>
      <c r="W7"/>
      <c r="X7"/>
      <c r="Y7"/>
      <c r="Z7"/>
      <c r="AA7"/>
    </row>
    <row r="8" spans="1:27" ht="71.400000000000006" customHeight="1" x14ac:dyDescent="0.35">
      <c r="A8" s="18"/>
      <c r="B8" s="54"/>
      <c r="C8" s="84" t="s">
        <v>27</v>
      </c>
      <c r="D8" s="42"/>
      <c r="E8" s="21">
        <v>0</v>
      </c>
      <c r="F8" s="21"/>
      <c r="G8" s="41"/>
      <c r="H8" s="41"/>
      <c r="I8" s="41"/>
      <c r="J8" s="43"/>
      <c r="K8" s="44">
        <v>10</v>
      </c>
      <c r="L8" s="44">
        <v>1</v>
      </c>
      <c r="M8" s="44"/>
      <c r="N8" s="44"/>
      <c r="O8" s="44"/>
      <c r="P8" s="44"/>
      <c r="Q8" s="55"/>
      <c r="R8" s="44"/>
      <c r="S8"/>
      <c r="T8"/>
      <c r="U8"/>
      <c r="V8"/>
      <c r="W8"/>
      <c r="X8"/>
      <c r="Y8"/>
      <c r="Z8"/>
      <c r="AA8"/>
    </row>
    <row r="9" spans="1:27" ht="71.400000000000006" customHeight="1" x14ac:dyDescent="0.35">
      <c r="A9" s="18">
        <v>1</v>
      </c>
      <c r="B9" s="54" t="s">
        <v>34</v>
      </c>
      <c r="C9" s="84" t="s">
        <v>35</v>
      </c>
      <c r="D9" s="42" t="s">
        <v>36</v>
      </c>
      <c r="E9" s="21">
        <v>0</v>
      </c>
      <c r="F9" s="21"/>
      <c r="G9" s="80">
        <v>2</v>
      </c>
      <c r="H9" s="41"/>
      <c r="I9" s="41"/>
      <c r="J9" s="43"/>
      <c r="K9" s="44">
        <v>2</v>
      </c>
      <c r="L9" s="44"/>
      <c r="M9" s="44"/>
      <c r="N9" s="44"/>
      <c r="O9" s="44"/>
      <c r="P9" s="44"/>
      <c r="Q9" s="55">
        <f>G9*G5</f>
        <v>103999.68000000001</v>
      </c>
      <c r="R9" s="44" t="s">
        <v>37</v>
      </c>
      <c r="S9" t="s">
        <v>38</v>
      </c>
      <c r="T9"/>
      <c r="U9"/>
      <c r="V9"/>
      <c r="W9"/>
      <c r="X9"/>
      <c r="Y9"/>
      <c r="Z9"/>
      <c r="AA9"/>
    </row>
    <row r="10" spans="1:27" ht="71.400000000000006" customHeight="1" x14ac:dyDescent="0.35">
      <c r="A10" s="18">
        <v>1</v>
      </c>
      <c r="B10" s="54" t="s">
        <v>39</v>
      </c>
      <c r="C10" s="84" t="s">
        <v>40</v>
      </c>
      <c r="D10" s="42" t="s">
        <v>41</v>
      </c>
      <c r="E10" s="21">
        <v>0</v>
      </c>
      <c r="F10" s="21"/>
      <c r="G10" s="41"/>
      <c r="H10" s="41"/>
      <c r="I10" s="41"/>
      <c r="J10" s="43"/>
      <c r="K10" s="44"/>
      <c r="L10" s="44"/>
      <c r="M10" s="44"/>
      <c r="N10" s="44"/>
      <c r="O10" s="44">
        <v>10</v>
      </c>
      <c r="P10" s="44">
        <v>1</v>
      </c>
      <c r="Q10" s="55">
        <f>O10*O5</f>
        <v>980002.80000000016</v>
      </c>
      <c r="R10" s="44" t="s">
        <v>50</v>
      </c>
      <c r="S10" t="s">
        <v>38</v>
      </c>
      <c r="T10" t="s">
        <v>83</v>
      </c>
      <c r="U10"/>
      <c r="V10"/>
      <c r="W10"/>
      <c r="X10"/>
      <c r="Y10"/>
      <c r="Z10"/>
      <c r="AA10"/>
    </row>
    <row r="11" spans="1:27" ht="71.400000000000006" customHeight="1" x14ac:dyDescent="0.35">
      <c r="A11" s="18">
        <v>1</v>
      </c>
      <c r="B11" s="54" t="s">
        <v>42</v>
      </c>
      <c r="C11" s="84" t="s">
        <v>43</v>
      </c>
      <c r="D11" s="42" t="s">
        <v>44</v>
      </c>
      <c r="E11" s="41">
        <v>0</v>
      </c>
      <c r="F11" s="41"/>
      <c r="G11" s="41"/>
      <c r="H11" s="41"/>
      <c r="I11" s="41"/>
      <c r="J11" s="43"/>
      <c r="K11" s="46"/>
      <c r="L11" s="46"/>
      <c r="M11" s="44"/>
      <c r="N11" s="44"/>
      <c r="O11" s="44">
        <v>50</v>
      </c>
      <c r="P11" s="44">
        <v>5</v>
      </c>
      <c r="Q11" s="48">
        <f>O11*O6</f>
        <v>102200</v>
      </c>
      <c r="R11" s="47" t="s">
        <v>48</v>
      </c>
      <c r="S11" s="49" t="s">
        <v>49</v>
      </c>
      <c r="T11"/>
      <c r="U11"/>
      <c r="V11"/>
      <c r="W11"/>
      <c r="X11"/>
      <c r="Y11"/>
      <c r="Z11"/>
      <c r="AA11"/>
    </row>
    <row r="12" spans="1:27" ht="78" customHeight="1" x14ac:dyDescent="0.35">
      <c r="A12" s="18">
        <v>2</v>
      </c>
      <c r="B12" s="54" t="s">
        <v>42</v>
      </c>
      <c r="C12" s="84" t="s">
        <v>45</v>
      </c>
      <c r="D12" s="42" t="s">
        <v>46</v>
      </c>
      <c r="E12" s="21">
        <v>9</v>
      </c>
      <c r="F12" s="21"/>
      <c r="G12" s="82">
        <v>6</v>
      </c>
      <c r="H12" s="41"/>
      <c r="I12" s="51">
        <v>6</v>
      </c>
      <c r="J12" s="43"/>
      <c r="K12" s="44"/>
      <c r="L12" s="44"/>
      <c r="M12" s="44"/>
      <c r="N12" s="44"/>
      <c r="O12" s="44"/>
      <c r="P12" s="44"/>
      <c r="Q12" s="55">
        <f>E12*E5+G12*G5+I12*I5</f>
        <v>1301994</v>
      </c>
      <c r="R12" s="44" t="s">
        <v>47</v>
      </c>
      <c r="S12"/>
      <c r="T12"/>
      <c r="U12"/>
      <c r="V12"/>
      <c r="W12"/>
      <c r="X12"/>
      <c r="Y12"/>
      <c r="Z12"/>
      <c r="AA12"/>
    </row>
    <row r="13" spans="1:27" ht="54" x14ac:dyDescent="0.3">
      <c r="A13" s="18">
        <v>3</v>
      </c>
      <c r="B13" s="54" t="s">
        <v>42</v>
      </c>
      <c r="C13" s="84" t="s">
        <v>51</v>
      </c>
      <c r="D13" s="42" t="s">
        <v>52</v>
      </c>
      <c r="E13" s="55"/>
      <c r="F13" s="55"/>
      <c r="G13" s="81">
        <v>20</v>
      </c>
      <c r="H13" s="81">
        <v>2</v>
      </c>
      <c r="I13" s="55"/>
      <c r="J13" s="43"/>
      <c r="K13" s="44"/>
      <c r="L13" s="44"/>
      <c r="M13" s="44"/>
      <c r="N13" s="44"/>
      <c r="O13" s="44">
        <v>1</v>
      </c>
      <c r="P13" s="44"/>
      <c r="Q13" s="55">
        <f>G13*G5</f>
        <v>1039996.8</v>
      </c>
      <c r="R13" s="44" t="s">
        <v>53</v>
      </c>
      <c r="S13"/>
      <c r="T13"/>
      <c r="U13"/>
      <c r="V13"/>
      <c r="W13"/>
      <c r="X13"/>
      <c r="Y13"/>
      <c r="Z13"/>
      <c r="AA13"/>
    </row>
    <row r="14" spans="1:27" ht="85.2" customHeight="1" x14ac:dyDescent="0.35">
      <c r="A14" s="18">
        <v>1</v>
      </c>
      <c r="B14" s="54" t="s">
        <v>54</v>
      </c>
      <c r="C14" s="84" t="s">
        <v>55</v>
      </c>
      <c r="D14" s="42" t="s">
        <v>56</v>
      </c>
      <c r="E14" s="51">
        <v>24</v>
      </c>
      <c r="F14" s="51">
        <v>2</v>
      </c>
      <c r="G14" s="41"/>
      <c r="H14" s="41"/>
      <c r="I14" s="41"/>
      <c r="J14" s="43"/>
      <c r="K14" s="46"/>
      <c r="L14" s="46"/>
      <c r="M14" s="44"/>
      <c r="N14" s="44"/>
      <c r="O14" s="44"/>
      <c r="P14" s="44"/>
      <c r="Q14" s="48">
        <f>E14*E5</f>
        <v>1151988.48</v>
      </c>
      <c r="R14" s="47" t="s">
        <v>48</v>
      </c>
      <c r="S14" s="49" t="s">
        <v>49</v>
      </c>
      <c r="T14"/>
      <c r="U14"/>
      <c r="V14"/>
      <c r="W14"/>
      <c r="X14"/>
      <c r="Y14"/>
      <c r="Z14"/>
      <c r="AA14"/>
    </row>
    <row r="15" spans="1:27" ht="85.2" customHeight="1" x14ac:dyDescent="0.35">
      <c r="A15" s="18">
        <v>1</v>
      </c>
      <c r="B15" s="54" t="s">
        <v>57</v>
      </c>
      <c r="C15" s="84" t="s">
        <v>60</v>
      </c>
      <c r="D15" s="42" t="s">
        <v>61</v>
      </c>
      <c r="E15" s="51">
        <v>2</v>
      </c>
      <c r="F15" s="51"/>
      <c r="G15" s="41"/>
      <c r="H15" s="41"/>
      <c r="I15" s="41"/>
      <c r="J15" s="43"/>
      <c r="K15" s="46"/>
      <c r="L15" s="46"/>
      <c r="M15" s="44"/>
      <c r="N15" s="44"/>
      <c r="O15" s="44"/>
      <c r="P15" s="44"/>
      <c r="Q15" s="48">
        <f>E15*E5</f>
        <v>95999.040000000008</v>
      </c>
      <c r="R15" s="47" t="s">
        <v>58</v>
      </c>
      <c r="S15" s="49" t="s">
        <v>59</v>
      </c>
      <c r="T15"/>
      <c r="U15"/>
      <c r="V15"/>
      <c r="W15"/>
      <c r="X15"/>
      <c r="Y15"/>
      <c r="Z15"/>
      <c r="AA15"/>
    </row>
    <row r="16" spans="1:27" ht="85.2" customHeight="1" x14ac:dyDescent="0.35">
      <c r="A16" s="18">
        <v>1</v>
      </c>
      <c r="B16" s="54" t="s">
        <v>64</v>
      </c>
      <c r="C16" s="84" t="s">
        <v>65</v>
      </c>
      <c r="D16" s="42" t="s">
        <v>66</v>
      </c>
      <c r="E16" s="51">
        <v>133</v>
      </c>
      <c r="F16" s="51">
        <v>13</v>
      </c>
      <c r="G16" s="41"/>
      <c r="H16" s="41"/>
      <c r="I16" s="41"/>
      <c r="J16" s="43"/>
      <c r="K16" s="46">
        <v>20</v>
      </c>
      <c r="L16" s="46">
        <v>2</v>
      </c>
      <c r="M16" s="44"/>
      <c r="N16" s="44"/>
      <c r="O16" s="44">
        <v>61</v>
      </c>
      <c r="P16" s="44">
        <v>6</v>
      </c>
      <c r="Q16" s="48">
        <f>E16*E5+K16*K5+O16*O5</f>
        <v>14061959.640000001</v>
      </c>
      <c r="R16" s="47" t="s">
        <v>47</v>
      </c>
      <c r="S16" s="49" t="s">
        <v>67</v>
      </c>
      <c r="T16"/>
      <c r="U16"/>
      <c r="V16"/>
      <c r="W16"/>
      <c r="X16"/>
      <c r="Y16"/>
      <c r="Z16"/>
      <c r="AA16"/>
    </row>
    <row r="17" spans="1:27" ht="78" customHeight="1" x14ac:dyDescent="0.3">
      <c r="A17" s="18">
        <v>2</v>
      </c>
      <c r="B17" s="54" t="s">
        <v>64</v>
      </c>
      <c r="C17" s="84" t="s">
        <v>68</v>
      </c>
      <c r="D17" s="42" t="s">
        <v>69</v>
      </c>
      <c r="E17" s="21"/>
      <c r="F17" s="21"/>
      <c r="G17" s="82">
        <v>15</v>
      </c>
      <c r="H17" s="82">
        <v>1</v>
      </c>
      <c r="I17" s="51"/>
      <c r="J17" s="43"/>
      <c r="K17" s="55"/>
      <c r="L17" s="44"/>
      <c r="M17" s="44"/>
      <c r="N17" s="44"/>
      <c r="O17" s="48">
        <v>100</v>
      </c>
      <c r="P17" s="46">
        <v>10</v>
      </c>
      <c r="Q17" s="48">
        <f>G17*G5+O17*O5</f>
        <v>10580025.600000001</v>
      </c>
      <c r="R17" s="44"/>
      <c r="S17"/>
      <c r="T17"/>
      <c r="U17"/>
      <c r="V17"/>
      <c r="W17"/>
      <c r="X17"/>
      <c r="Y17"/>
      <c r="Z17"/>
      <c r="AA17"/>
    </row>
    <row r="18" spans="1:27" ht="85.2" customHeight="1" x14ac:dyDescent="0.35">
      <c r="A18" s="18">
        <v>1</v>
      </c>
      <c r="B18" s="54" t="s">
        <v>70</v>
      </c>
      <c r="C18" s="84" t="s">
        <v>71</v>
      </c>
      <c r="D18" s="42" t="s">
        <v>72</v>
      </c>
      <c r="E18" s="51">
        <v>0</v>
      </c>
      <c r="F18" s="51"/>
      <c r="G18" s="41">
        <v>5</v>
      </c>
      <c r="H18" s="41"/>
      <c r="I18" s="41"/>
      <c r="J18" s="43"/>
      <c r="K18" s="46"/>
      <c r="L18" s="46"/>
      <c r="M18" s="44"/>
      <c r="N18" s="44"/>
      <c r="O18" s="44"/>
      <c r="P18" s="44"/>
      <c r="Q18" s="48">
        <f>G18*G5</f>
        <v>259999.2</v>
      </c>
      <c r="R18" s="47"/>
      <c r="S18" s="49"/>
      <c r="T18"/>
      <c r="U18"/>
      <c r="V18"/>
      <c r="W18"/>
      <c r="X18"/>
      <c r="Y18"/>
      <c r="Z18"/>
      <c r="AA18"/>
    </row>
    <row r="19" spans="1:27" ht="78" customHeight="1" x14ac:dyDescent="0.3">
      <c r="A19" s="18">
        <v>2</v>
      </c>
      <c r="B19" s="54" t="s">
        <v>70</v>
      </c>
      <c r="C19" s="84" t="s">
        <v>73</v>
      </c>
      <c r="D19" s="42" t="s">
        <v>74</v>
      </c>
      <c r="E19" s="21"/>
      <c r="F19" s="21"/>
      <c r="G19" s="48">
        <v>10</v>
      </c>
      <c r="H19" s="51">
        <v>1</v>
      </c>
      <c r="I19" s="51"/>
      <c r="J19" s="43"/>
      <c r="K19" s="55"/>
      <c r="L19" s="44"/>
      <c r="M19" s="44"/>
      <c r="N19" s="44"/>
      <c r="O19" s="48"/>
      <c r="P19" s="46"/>
      <c r="Q19" s="48">
        <f>G19*G5</f>
        <v>519998.4</v>
      </c>
      <c r="R19" s="47" t="s">
        <v>75</v>
      </c>
      <c r="S19"/>
      <c r="T19"/>
      <c r="U19"/>
      <c r="V19"/>
      <c r="W19"/>
      <c r="X19"/>
      <c r="Y19"/>
      <c r="Z19"/>
      <c r="AA19"/>
    </row>
    <row r="20" spans="1:27" ht="52.2" customHeight="1" x14ac:dyDescent="0.3">
      <c r="A20" s="18">
        <v>3</v>
      </c>
      <c r="B20" s="54" t="s">
        <v>70</v>
      </c>
      <c r="C20" s="84" t="s">
        <v>76</v>
      </c>
      <c r="D20" s="42" t="s">
        <v>77</v>
      </c>
      <c r="E20" s="55"/>
      <c r="F20" s="55"/>
      <c r="G20" s="55">
        <v>5</v>
      </c>
      <c r="H20" s="55"/>
      <c r="I20" s="55"/>
      <c r="J20" s="43"/>
      <c r="K20" s="44"/>
      <c r="L20" s="44"/>
      <c r="M20" s="44"/>
      <c r="N20" s="44"/>
      <c r="O20" s="56">
        <f>O19*O17</f>
        <v>0</v>
      </c>
      <c r="P20" s="44"/>
      <c r="Q20" s="55">
        <f>G20*G5</f>
        <v>259999.2</v>
      </c>
      <c r="R20" s="44" t="s">
        <v>78</v>
      </c>
      <c r="S20" t="s">
        <v>82</v>
      </c>
      <c r="T20"/>
      <c r="U20"/>
      <c r="V20"/>
      <c r="W20"/>
      <c r="X20"/>
      <c r="Y20"/>
      <c r="Z20"/>
      <c r="AA20"/>
    </row>
    <row r="21" spans="1:27" ht="40.200000000000003" customHeight="1" x14ac:dyDescent="0.35">
      <c r="A21" s="18">
        <v>4</v>
      </c>
      <c r="B21" s="54" t="s">
        <v>70</v>
      </c>
      <c r="C21" s="84" t="s">
        <v>79</v>
      </c>
      <c r="D21" s="42" t="s">
        <v>80</v>
      </c>
      <c r="E21" s="41"/>
      <c r="F21" s="41"/>
      <c r="G21" s="57"/>
      <c r="H21" s="41"/>
      <c r="I21" s="41"/>
      <c r="J21" s="43"/>
      <c r="K21" s="44"/>
      <c r="L21" s="44"/>
      <c r="M21" s="44"/>
      <c r="N21" s="44"/>
      <c r="O21" s="44">
        <v>20</v>
      </c>
      <c r="P21" s="44">
        <v>2</v>
      </c>
      <c r="Q21" s="55">
        <f>O21*O5</f>
        <v>1960005.6000000003</v>
      </c>
      <c r="R21" s="44" t="s">
        <v>81</v>
      </c>
      <c r="S21"/>
      <c r="T21"/>
      <c r="U21"/>
      <c r="V21"/>
      <c r="W21"/>
      <c r="X21"/>
      <c r="Y21"/>
      <c r="Z21"/>
      <c r="AA21"/>
    </row>
    <row r="22" spans="1:27" s="53" customFormat="1" ht="85.2" customHeight="1" x14ac:dyDescent="0.3">
      <c r="A22" s="50">
        <v>1</v>
      </c>
      <c r="B22" s="54" t="s">
        <v>84</v>
      </c>
      <c r="C22" s="93" t="s">
        <v>85</v>
      </c>
      <c r="D22" s="42" t="s">
        <v>86</v>
      </c>
      <c r="E22" s="51"/>
      <c r="F22" s="51"/>
      <c r="G22" s="51">
        <v>20</v>
      </c>
      <c r="H22" s="51"/>
      <c r="I22" s="51"/>
      <c r="J22" s="52"/>
      <c r="K22" s="46">
        <v>2</v>
      </c>
      <c r="L22" s="46"/>
      <c r="M22" s="46"/>
      <c r="N22" s="46"/>
      <c r="O22" s="46"/>
      <c r="P22" s="46"/>
      <c r="Q22" s="48">
        <f>G22*G5+K22*K5</f>
        <v>1209997.44</v>
      </c>
      <c r="R22" s="46"/>
    </row>
    <row r="23" spans="1:27" s="53" customFormat="1" ht="78" customHeight="1" x14ac:dyDescent="0.3">
      <c r="A23" s="50">
        <v>2</v>
      </c>
      <c r="B23" s="54" t="s">
        <v>84</v>
      </c>
      <c r="C23" s="84" t="s">
        <v>87</v>
      </c>
      <c r="D23" s="42" t="s">
        <v>88</v>
      </c>
      <c r="E23" s="42"/>
      <c r="F23" s="42"/>
      <c r="G23" s="48"/>
      <c r="H23" s="51"/>
      <c r="I23" s="51"/>
      <c r="J23" s="52"/>
      <c r="K23" s="48">
        <v>20</v>
      </c>
      <c r="L23" s="58">
        <v>2</v>
      </c>
      <c r="M23" s="46"/>
      <c r="N23" s="46"/>
      <c r="O23" s="48"/>
      <c r="P23" s="46"/>
      <c r="Q23" s="48">
        <f>K23*K5</f>
        <v>1700006.4000000001</v>
      </c>
      <c r="R23" s="46"/>
    </row>
    <row r="24" spans="1:27" ht="36" x14ac:dyDescent="0.35">
      <c r="A24" s="18">
        <v>10</v>
      </c>
      <c r="B24" s="45" t="s">
        <v>89</v>
      </c>
      <c r="C24" s="85" t="s">
        <v>98</v>
      </c>
      <c r="D24" s="25" t="s">
        <v>92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>
        <v>10</v>
      </c>
      <c r="P24" s="26">
        <v>1</v>
      </c>
      <c r="Q24" s="23">
        <f>O24*O5</f>
        <v>980002.80000000016</v>
      </c>
      <c r="R24" s="6"/>
      <c r="T24" s="5"/>
      <c r="U24" s="4"/>
      <c r="AA24" s="24"/>
    </row>
    <row r="25" spans="1:27" ht="54" x14ac:dyDescent="0.35">
      <c r="A25" s="18">
        <v>11</v>
      </c>
      <c r="B25" s="45" t="s">
        <v>89</v>
      </c>
      <c r="C25" s="86" t="s">
        <v>99</v>
      </c>
      <c r="D25" s="25" t="s">
        <v>100</v>
      </c>
      <c r="E25" s="21"/>
      <c r="F25" s="21"/>
      <c r="G25" s="21">
        <v>15</v>
      </c>
      <c r="H25" s="21">
        <v>1</v>
      </c>
      <c r="I25" s="21"/>
      <c r="J25" s="21"/>
      <c r="K25" s="21"/>
      <c r="L25" s="22"/>
      <c r="M25" s="21"/>
      <c r="N25" s="21"/>
      <c r="O25" s="21"/>
      <c r="P25" s="22"/>
      <c r="Q25" s="23">
        <f>G25*G5</f>
        <v>779997.60000000009</v>
      </c>
      <c r="R25" s="6"/>
      <c r="T25" s="5"/>
      <c r="U25" s="4"/>
      <c r="AA25" s="24"/>
    </row>
    <row r="26" spans="1:27" ht="36" x14ac:dyDescent="0.35">
      <c r="A26" s="18">
        <v>12</v>
      </c>
      <c r="B26" s="19"/>
      <c r="C26" s="25" t="s">
        <v>101</v>
      </c>
      <c r="D26" s="20" t="s">
        <v>102</v>
      </c>
      <c r="E26" s="21"/>
      <c r="F26" s="21"/>
      <c r="G26" s="21"/>
      <c r="H26" s="21"/>
      <c r="I26" s="21"/>
      <c r="J26" s="21"/>
      <c r="K26" s="21">
        <v>10</v>
      </c>
      <c r="L26" s="22">
        <v>1</v>
      </c>
      <c r="M26" s="21"/>
      <c r="N26" s="21"/>
      <c r="O26" s="21">
        <v>50</v>
      </c>
      <c r="P26" s="22">
        <v>5</v>
      </c>
      <c r="Q26" s="23">
        <f>K26*K5+O26*O5</f>
        <v>5750017.2000000011</v>
      </c>
      <c r="R26" s="28"/>
      <c r="S26" s="29"/>
      <c r="T26" s="5"/>
      <c r="U26" s="4"/>
      <c r="V26" s="29"/>
      <c r="W26" s="29"/>
      <c r="AA26" s="24"/>
    </row>
    <row r="27" spans="1:27" ht="36" x14ac:dyDescent="0.35">
      <c r="A27" s="18">
        <v>1</v>
      </c>
      <c r="B27" s="45" t="s">
        <v>103</v>
      </c>
      <c r="C27" s="84" t="s">
        <v>104</v>
      </c>
      <c r="D27" s="42" t="s">
        <v>105</v>
      </c>
      <c r="E27" s="41"/>
      <c r="F27" s="41"/>
      <c r="G27" s="41">
        <v>10</v>
      </c>
      <c r="H27" s="41">
        <v>1</v>
      </c>
      <c r="I27" s="41"/>
      <c r="J27" s="43"/>
      <c r="K27" s="46"/>
      <c r="L27" s="46"/>
      <c r="M27" s="44"/>
      <c r="N27" s="44"/>
      <c r="O27" s="44">
        <v>10</v>
      </c>
      <c r="P27" s="44">
        <v>1</v>
      </c>
      <c r="Q27" s="48">
        <f>G27*G5+O27*O5</f>
        <v>1500001.2000000002</v>
      </c>
      <c r="R27" s="47" t="s">
        <v>29</v>
      </c>
      <c r="S27" s="49" t="s">
        <v>30</v>
      </c>
      <c r="T27"/>
      <c r="U27"/>
      <c r="V27"/>
      <c r="W27"/>
      <c r="X27"/>
      <c r="Y27"/>
      <c r="Z27"/>
      <c r="AA27"/>
    </row>
    <row r="28" spans="1:27" ht="43.8" customHeight="1" x14ac:dyDescent="0.35">
      <c r="A28" s="18">
        <v>2</v>
      </c>
      <c r="B28" s="45" t="s">
        <v>103</v>
      </c>
      <c r="C28" s="84" t="s">
        <v>101</v>
      </c>
      <c r="D28" s="42" t="s">
        <v>105</v>
      </c>
      <c r="E28" s="21"/>
      <c r="F28" s="21"/>
      <c r="G28" s="41"/>
      <c r="H28" s="41"/>
      <c r="I28" s="41"/>
      <c r="J28" s="43"/>
      <c r="K28" s="44">
        <v>10</v>
      </c>
      <c r="L28" s="44">
        <v>1</v>
      </c>
      <c r="M28" s="44"/>
      <c r="N28" s="44"/>
      <c r="O28" s="44">
        <v>43</v>
      </c>
      <c r="P28" s="44">
        <v>4</v>
      </c>
      <c r="Q28" s="55">
        <f>K28*K5+O28*O5</f>
        <v>5064015.2400000012</v>
      </c>
      <c r="R28" s="44"/>
      <c r="S28"/>
      <c r="T28"/>
      <c r="U28"/>
      <c r="V28"/>
      <c r="W28"/>
      <c r="X28"/>
      <c r="Y28"/>
      <c r="Z28"/>
      <c r="AA28"/>
    </row>
    <row r="29" spans="1:27" ht="36" x14ac:dyDescent="0.35">
      <c r="A29" s="18">
        <v>3</v>
      </c>
      <c r="B29" s="45" t="s">
        <v>103</v>
      </c>
      <c r="C29" s="84" t="s">
        <v>106</v>
      </c>
      <c r="D29" s="42" t="s">
        <v>97</v>
      </c>
      <c r="E29" s="41"/>
      <c r="F29" s="41"/>
      <c r="G29" s="41"/>
      <c r="H29" s="41"/>
      <c r="I29" s="41"/>
      <c r="J29" s="43"/>
      <c r="K29" s="44">
        <v>5</v>
      </c>
      <c r="L29" s="44">
        <v>1</v>
      </c>
      <c r="M29" s="44"/>
      <c r="N29" s="44"/>
      <c r="O29" s="44">
        <v>15</v>
      </c>
      <c r="P29" s="44">
        <v>1</v>
      </c>
      <c r="Q29" s="55">
        <f>K29*K5+O29*O5</f>
        <v>1895005.8000000003</v>
      </c>
      <c r="R29" s="44"/>
      <c r="S29"/>
      <c r="T29"/>
      <c r="U29"/>
      <c r="V29"/>
      <c r="W29"/>
      <c r="X29"/>
      <c r="Y29"/>
      <c r="Z29"/>
      <c r="AA29"/>
    </row>
    <row r="30" spans="1:27" x14ac:dyDescent="0.35">
      <c r="A30" s="18">
        <v>4</v>
      </c>
      <c r="B30" s="45" t="s">
        <v>103</v>
      </c>
      <c r="C30" s="84" t="s">
        <v>107</v>
      </c>
      <c r="D30" s="42" t="s">
        <v>108</v>
      </c>
      <c r="E30" s="41"/>
      <c r="F30" s="41"/>
      <c r="G30" s="41"/>
      <c r="H30" s="41"/>
      <c r="I30" s="41"/>
      <c r="J30" s="43"/>
      <c r="K30" s="55"/>
      <c r="L30" s="44"/>
      <c r="M30" s="44"/>
      <c r="N30" s="44"/>
      <c r="O30" s="44">
        <v>10</v>
      </c>
      <c r="P30" s="44">
        <v>1</v>
      </c>
      <c r="Q30" s="55">
        <f>O30*O5</f>
        <v>980002.80000000016</v>
      </c>
      <c r="R30" s="44"/>
      <c r="S30"/>
      <c r="T30"/>
      <c r="U30"/>
      <c r="V30"/>
      <c r="W30"/>
      <c r="X30"/>
      <c r="Y30"/>
      <c r="Z30"/>
      <c r="AA30"/>
    </row>
    <row r="31" spans="1:27" x14ac:dyDescent="0.35">
      <c r="A31" s="18">
        <v>5</v>
      </c>
      <c r="B31" s="45" t="s">
        <v>103</v>
      </c>
      <c r="C31" s="87" t="s">
        <v>109</v>
      </c>
      <c r="D31" s="38" t="s">
        <v>110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>
        <v>10</v>
      </c>
      <c r="P31" s="39">
        <v>1</v>
      </c>
      <c r="Q31" s="40">
        <f>O31*O5</f>
        <v>980002.80000000016</v>
      </c>
      <c r="R31" s="6"/>
      <c r="T31" s="5"/>
      <c r="U31" s="4"/>
      <c r="AA31" s="24"/>
    </row>
    <row r="32" spans="1:27" ht="36" x14ac:dyDescent="0.35">
      <c r="A32" s="18">
        <v>6</v>
      </c>
      <c r="B32" s="45" t="s">
        <v>103</v>
      </c>
      <c r="C32" s="88" t="s">
        <v>111</v>
      </c>
      <c r="D32" s="38" t="s">
        <v>110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>
        <v>10</v>
      </c>
      <c r="P32" s="22">
        <v>1</v>
      </c>
      <c r="Q32" s="40">
        <f>O32*O5</f>
        <v>980002.80000000016</v>
      </c>
      <c r="R32" s="6"/>
      <c r="T32" s="5"/>
      <c r="U32" s="4"/>
      <c r="AA32" s="24"/>
    </row>
    <row r="33" spans="1:27" ht="54" x14ac:dyDescent="0.35">
      <c r="A33" s="18">
        <v>8</v>
      </c>
      <c r="B33" s="45" t="s">
        <v>103</v>
      </c>
      <c r="C33" s="88" t="s">
        <v>114</v>
      </c>
      <c r="D33" s="20" t="s">
        <v>115</v>
      </c>
      <c r="E33" s="21">
        <v>30</v>
      </c>
      <c r="F33" s="21">
        <v>3</v>
      </c>
      <c r="G33" s="21"/>
      <c r="H33" s="21"/>
      <c r="I33" s="21"/>
      <c r="J33" s="21"/>
      <c r="K33" s="21"/>
      <c r="L33" s="22"/>
      <c r="M33" s="21"/>
      <c r="N33" s="21"/>
      <c r="O33" s="21"/>
      <c r="P33" s="26"/>
      <c r="Q33" s="23">
        <f>E33*E5</f>
        <v>1439985.6</v>
      </c>
      <c r="R33" s="6"/>
      <c r="T33" s="5"/>
      <c r="U33" s="4"/>
      <c r="AA33" s="24"/>
    </row>
    <row r="34" spans="1:27" ht="52.2" customHeight="1" x14ac:dyDescent="0.35">
      <c r="A34" s="18"/>
      <c r="B34" s="45" t="s">
        <v>89</v>
      </c>
      <c r="C34" s="88" t="s">
        <v>91</v>
      </c>
      <c r="D34" s="20" t="s">
        <v>92</v>
      </c>
      <c r="E34" s="21"/>
      <c r="F34" s="21"/>
      <c r="G34" s="21"/>
      <c r="H34" s="21"/>
      <c r="I34" s="21"/>
      <c r="J34" s="21"/>
      <c r="K34" s="21"/>
      <c r="L34" s="22"/>
      <c r="M34" s="21"/>
      <c r="N34" s="21"/>
      <c r="O34" s="21">
        <v>40</v>
      </c>
      <c r="P34" s="26">
        <v>4</v>
      </c>
      <c r="Q34" s="23">
        <f t="shared" ref="Q34:Q40" si="1">$E$5*E34+$G$5*G34+$I$5*I34+$K$5*K34+$M$5*M34+$O$5*O34</f>
        <v>3920011.2000000007</v>
      </c>
      <c r="R34" s="6"/>
      <c r="T34" s="5"/>
      <c r="U34" s="4"/>
      <c r="AA34" s="24"/>
    </row>
    <row r="35" spans="1:27" ht="52.2" customHeight="1" x14ac:dyDescent="0.35">
      <c r="A35" s="18"/>
      <c r="B35" s="45" t="s">
        <v>89</v>
      </c>
      <c r="C35" s="88" t="s">
        <v>90</v>
      </c>
      <c r="D35" s="20" t="s">
        <v>110</v>
      </c>
      <c r="E35" s="21"/>
      <c r="F35" s="21"/>
      <c r="G35" s="21"/>
      <c r="H35" s="21"/>
      <c r="I35" s="21"/>
      <c r="J35" s="21"/>
      <c r="K35" s="21"/>
      <c r="L35" s="22"/>
      <c r="M35" s="21"/>
      <c r="N35" s="21"/>
      <c r="O35" s="21">
        <v>110</v>
      </c>
      <c r="P35" s="26">
        <v>11</v>
      </c>
      <c r="Q35" s="23">
        <f t="shared" si="1"/>
        <v>10780030.800000001</v>
      </c>
      <c r="R35" s="6"/>
      <c r="T35" s="5"/>
      <c r="U35" s="4"/>
      <c r="AA35" s="24"/>
    </row>
    <row r="36" spans="1:27" ht="52.2" customHeight="1" x14ac:dyDescent="0.35">
      <c r="A36" s="18"/>
      <c r="B36" s="45" t="s">
        <v>89</v>
      </c>
      <c r="C36" s="88" t="s">
        <v>93</v>
      </c>
      <c r="D36" s="20"/>
      <c r="E36" s="21"/>
      <c r="F36" s="21"/>
      <c r="G36" s="21"/>
      <c r="H36" s="21"/>
      <c r="I36" s="21"/>
      <c r="J36" s="21"/>
      <c r="K36" s="21"/>
      <c r="L36" s="22"/>
      <c r="M36" s="21"/>
      <c r="N36" s="21"/>
      <c r="O36" s="21">
        <v>90</v>
      </c>
      <c r="P36" s="26">
        <v>9</v>
      </c>
      <c r="Q36" s="23">
        <f t="shared" si="1"/>
        <v>8820025.2000000011</v>
      </c>
      <c r="R36" s="6"/>
      <c r="T36" s="5"/>
      <c r="U36" s="4"/>
      <c r="AA36" s="24"/>
    </row>
    <row r="37" spans="1:27" ht="52.2" customHeight="1" x14ac:dyDescent="0.35">
      <c r="A37" s="18"/>
      <c r="B37" s="45" t="s">
        <v>89</v>
      </c>
      <c r="C37" s="88" t="s">
        <v>94</v>
      </c>
      <c r="D37" s="20"/>
      <c r="E37" s="21"/>
      <c r="F37" s="21"/>
      <c r="G37" s="21"/>
      <c r="H37" s="21"/>
      <c r="I37" s="21"/>
      <c r="J37" s="21"/>
      <c r="K37" s="21"/>
      <c r="L37" s="22"/>
      <c r="M37" s="21"/>
      <c r="N37" s="21"/>
      <c r="O37" s="21">
        <v>20</v>
      </c>
      <c r="P37" s="26">
        <v>2</v>
      </c>
      <c r="Q37" s="23">
        <f t="shared" si="1"/>
        <v>1960005.6000000003</v>
      </c>
      <c r="R37" s="6"/>
      <c r="T37" s="5"/>
      <c r="U37" s="4"/>
      <c r="AA37" s="24"/>
    </row>
    <row r="38" spans="1:27" ht="52.2" customHeight="1" x14ac:dyDescent="0.35">
      <c r="A38" s="18"/>
      <c r="B38" s="45" t="s">
        <v>89</v>
      </c>
      <c r="C38" s="88" t="s">
        <v>95</v>
      </c>
      <c r="D38" s="20"/>
      <c r="E38" s="21"/>
      <c r="F38" s="21"/>
      <c r="G38" s="21"/>
      <c r="H38" s="21"/>
      <c r="I38" s="21"/>
      <c r="J38" s="21"/>
      <c r="K38" s="21"/>
      <c r="L38" s="22"/>
      <c r="M38" s="21"/>
      <c r="N38" s="21"/>
      <c r="O38" s="21">
        <v>20</v>
      </c>
      <c r="P38" s="26">
        <v>2</v>
      </c>
      <c r="Q38" s="23">
        <f t="shared" si="1"/>
        <v>1960005.6000000003</v>
      </c>
      <c r="R38" s="6"/>
      <c r="T38" s="5"/>
      <c r="U38" s="4"/>
      <c r="AA38" s="24"/>
    </row>
    <row r="39" spans="1:27" ht="52.2" customHeight="1" x14ac:dyDescent="0.35">
      <c r="A39" s="18"/>
      <c r="B39" s="45" t="s">
        <v>89</v>
      </c>
      <c r="C39" s="88" t="s">
        <v>96</v>
      </c>
      <c r="D39" s="20"/>
      <c r="E39" s="21"/>
      <c r="F39" s="21"/>
      <c r="G39" s="21"/>
      <c r="H39" s="21"/>
      <c r="I39" s="21"/>
      <c r="J39" s="21"/>
      <c r="K39" s="21"/>
      <c r="L39" s="22"/>
      <c r="M39" s="21"/>
      <c r="N39" s="21"/>
      <c r="O39" s="21">
        <v>20</v>
      </c>
      <c r="P39" s="26">
        <v>2</v>
      </c>
      <c r="Q39" s="23">
        <f t="shared" si="1"/>
        <v>1960005.6000000003</v>
      </c>
      <c r="R39" s="6"/>
      <c r="T39" s="5"/>
      <c r="U39" s="4"/>
      <c r="AA39" s="24"/>
    </row>
    <row r="40" spans="1:27" ht="52.2" customHeight="1" x14ac:dyDescent="0.35">
      <c r="A40" s="18"/>
      <c r="B40" s="45" t="s">
        <v>89</v>
      </c>
      <c r="C40" s="88" t="s">
        <v>146</v>
      </c>
      <c r="D40" s="20"/>
      <c r="E40" s="21">
        <v>10</v>
      </c>
      <c r="F40" s="21">
        <v>1</v>
      </c>
      <c r="G40" s="21"/>
      <c r="H40" s="21"/>
      <c r="I40" s="21"/>
      <c r="J40" s="21"/>
      <c r="K40" s="21"/>
      <c r="L40" s="22"/>
      <c r="M40" s="21"/>
      <c r="N40" s="21"/>
      <c r="O40" s="21"/>
      <c r="P40" s="26"/>
      <c r="Q40" s="23">
        <f t="shared" si="1"/>
        <v>479995.20000000007</v>
      </c>
      <c r="R40" s="6"/>
      <c r="T40" s="5"/>
      <c r="U40" s="4"/>
      <c r="AA40" s="24"/>
    </row>
    <row r="41" spans="1:27" ht="54" x14ac:dyDescent="0.35">
      <c r="A41" s="18">
        <v>1</v>
      </c>
      <c r="B41" s="19">
        <v>46270</v>
      </c>
      <c r="C41" s="88" t="s">
        <v>116</v>
      </c>
      <c r="D41" s="20" t="s">
        <v>117</v>
      </c>
      <c r="E41" s="20"/>
      <c r="F41" s="21"/>
      <c r="G41" s="21"/>
      <c r="H41" s="21"/>
      <c r="I41" s="21"/>
      <c r="J41" s="21"/>
      <c r="K41" s="21"/>
      <c r="L41" s="22"/>
      <c r="M41" s="21"/>
      <c r="N41" s="21"/>
      <c r="O41" s="66">
        <v>10</v>
      </c>
      <c r="P41" s="67">
        <v>1</v>
      </c>
      <c r="Q41" s="23">
        <f t="shared" ref="Q41:Q46" si="2">$E$5*E41+$G$5*G41+$I$5*I41+$K$5*K41+$M$5*M41+$O$5*O41</f>
        <v>980002.80000000016</v>
      </c>
      <c r="R41" s="6" t="s">
        <v>118</v>
      </c>
      <c r="T41" s="5"/>
      <c r="U41" s="4"/>
      <c r="AA41" s="24"/>
    </row>
    <row r="42" spans="1:27" s="24" customFormat="1" ht="36" x14ac:dyDescent="0.35">
      <c r="A42" s="18">
        <v>2</v>
      </c>
      <c r="B42" s="19">
        <v>46276</v>
      </c>
      <c r="C42" s="25" t="s">
        <v>101</v>
      </c>
      <c r="D42" s="20" t="s">
        <v>102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66">
        <v>200</v>
      </c>
      <c r="P42" s="66">
        <v>28</v>
      </c>
      <c r="Q42" s="23">
        <f t="shared" si="2"/>
        <v>19600056.000000004</v>
      </c>
      <c r="R42" s="6" t="s">
        <v>119</v>
      </c>
      <c r="S42" s="3"/>
      <c r="T42" s="5"/>
      <c r="U42" s="4"/>
      <c r="V42" s="3"/>
      <c r="W42" s="3"/>
      <c r="X42" s="3"/>
      <c r="Y42" s="3"/>
      <c r="Z42" s="3"/>
    </row>
    <row r="43" spans="1:27" ht="36" x14ac:dyDescent="0.35">
      <c r="A43" s="18">
        <v>3</v>
      </c>
      <c r="B43" s="19">
        <v>46276</v>
      </c>
      <c r="C43" s="86" t="s">
        <v>101</v>
      </c>
      <c r="D43" s="20" t="s">
        <v>102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66">
        <v>255</v>
      </c>
      <c r="P43" s="66">
        <v>25</v>
      </c>
      <c r="Q43" s="23">
        <f t="shared" si="2"/>
        <v>24990071.400000002</v>
      </c>
      <c r="R43" s="6"/>
      <c r="T43" s="5"/>
      <c r="U43" s="4"/>
      <c r="AA43" s="24"/>
    </row>
    <row r="44" spans="1:27" ht="108" x14ac:dyDescent="0.35">
      <c r="A44" s="18">
        <v>4</v>
      </c>
      <c r="B44" s="19">
        <v>46276</v>
      </c>
      <c r="C44" s="88" t="s">
        <v>120</v>
      </c>
      <c r="D44" s="20" t="s">
        <v>121</v>
      </c>
      <c r="E44" s="20"/>
      <c r="F44" s="21"/>
      <c r="G44" s="21"/>
      <c r="H44" s="21"/>
      <c r="I44" s="21"/>
      <c r="J44" s="21"/>
      <c r="K44" s="21"/>
      <c r="L44" s="22"/>
      <c r="M44" s="21"/>
      <c r="N44" s="21"/>
      <c r="O44" s="66">
        <v>4</v>
      </c>
      <c r="P44" s="22"/>
      <c r="Q44" s="23">
        <f>$E$5*E44+$G$5*G44+$I$5*I44+$K$5*K44+$M$5*M44+$O$5*O44</f>
        <v>392001.12000000005</v>
      </c>
      <c r="R44" s="6" t="s">
        <v>122</v>
      </c>
      <c r="T44" s="5"/>
      <c r="U44" s="4"/>
      <c r="AA44" s="24"/>
    </row>
    <row r="45" spans="1:27" ht="108" x14ac:dyDescent="0.35">
      <c r="A45" s="18">
        <v>5</v>
      </c>
      <c r="B45" s="19">
        <v>46276</v>
      </c>
      <c r="C45" s="88" t="s">
        <v>123</v>
      </c>
      <c r="D45" s="20" t="s">
        <v>124</v>
      </c>
      <c r="E45" s="66">
        <v>10</v>
      </c>
      <c r="F45" s="66">
        <v>1</v>
      </c>
      <c r="G45" s="21"/>
      <c r="H45" s="21"/>
      <c r="I45" s="21"/>
      <c r="J45" s="21"/>
      <c r="K45" s="21"/>
      <c r="L45" s="22"/>
      <c r="M45" s="21"/>
      <c r="N45" s="21"/>
      <c r="O45" s="21"/>
      <c r="P45" s="22"/>
      <c r="Q45" s="23">
        <f t="shared" si="2"/>
        <v>479995.20000000007</v>
      </c>
      <c r="R45" s="6" t="s">
        <v>125</v>
      </c>
      <c r="T45" s="5"/>
      <c r="U45" s="4"/>
      <c r="AA45" s="24"/>
    </row>
    <row r="46" spans="1:27" ht="36" x14ac:dyDescent="0.35">
      <c r="A46" s="18">
        <v>6</v>
      </c>
      <c r="B46" s="19">
        <v>46276</v>
      </c>
      <c r="C46" s="88" t="s">
        <v>126</v>
      </c>
      <c r="D46" s="20"/>
      <c r="E46" s="20"/>
      <c r="F46" s="21"/>
      <c r="G46" s="21"/>
      <c r="H46" s="21"/>
      <c r="I46" s="21"/>
      <c r="J46" s="21"/>
      <c r="K46" s="21"/>
      <c r="L46" s="22"/>
      <c r="M46" s="21"/>
      <c r="N46" s="21"/>
      <c r="O46" s="66">
        <v>4</v>
      </c>
      <c r="P46" s="22"/>
      <c r="Q46" s="23">
        <f t="shared" si="2"/>
        <v>392001.12000000005</v>
      </c>
      <c r="R46" s="6" t="s">
        <v>127</v>
      </c>
      <c r="T46" s="5"/>
      <c r="U46" s="4"/>
      <c r="AA46" s="24"/>
    </row>
    <row r="47" spans="1:27" ht="36" x14ac:dyDescent="0.35">
      <c r="A47" s="18">
        <v>7</v>
      </c>
      <c r="B47" s="30">
        <v>46277</v>
      </c>
      <c r="C47" s="25" t="s">
        <v>101</v>
      </c>
      <c r="D47" s="20" t="s">
        <v>102</v>
      </c>
      <c r="E47" s="21"/>
      <c r="F47" s="21"/>
      <c r="G47" s="21"/>
      <c r="H47" s="21"/>
      <c r="I47" s="21"/>
      <c r="J47" s="21"/>
      <c r="K47" s="21"/>
      <c r="L47" s="22"/>
      <c r="M47" s="21"/>
      <c r="N47" s="21"/>
      <c r="O47" s="66">
        <v>200</v>
      </c>
      <c r="P47" s="67">
        <v>28</v>
      </c>
      <c r="Q47" s="23">
        <v>19600056</v>
      </c>
      <c r="R47" s="6"/>
      <c r="T47" s="5"/>
      <c r="U47" s="4"/>
      <c r="AA47" s="24"/>
    </row>
    <row r="48" spans="1:27" ht="72" x14ac:dyDescent="0.35">
      <c r="A48" s="18">
        <v>8</v>
      </c>
      <c r="B48" s="30">
        <v>46279</v>
      </c>
      <c r="C48" s="25" t="s">
        <v>128</v>
      </c>
      <c r="D48" s="20" t="s">
        <v>129</v>
      </c>
      <c r="E48" s="20"/>
      <c r="F48" s="21"/>
      <c r="G48" s="79">
        <v>4</v>
      </c>
      <c r="H48" s="21"/>
      <c r="I48" s="21"/>
      <c r="J48" s="21"/>
      <c r="K48" s="21"/>
      <c r="L48" s="22"/>
      <c r="M48" s="21"/>
      <c r="N48" s="21"/>
      <c r="O48" s="21"/>
      <c r="P48" s="22"/>
      <c r="Q48" s="23">
        <f t="shared" ref="Q48:Q54" si="3">$E$5*E48+$G$5*G48+$I$5*I48+$K$5*K48+$M$5*M48+$O$5*O48</f>
        <v>207999.36000000002</v>
      </c>
      <c r="R48" s="6"/>
      <c r="T48" s="5"/>
      <c r="U48" s="4"/>
      <c r="AA48" s="24"/>
    </row>
    <row r="49" spans="1:27" x14ac:dyDescent="0.35">
      <c r="A49" s="18">
        <v>21</v>
      </c>
      <c r="B49" s="30"/>
      <c r="C49" s="25" t="s">
        <v>130</v>
      </c>
      <c r="D49" s="20"/>
      <c r="E49" s="66">
        <v>30</v>
      </c>
      <c r="F49" s="66">
        <v>3</v>
      </c>
      <c r="G49" s="21"/>
      <c r="H49" s="21"/>
      <c r="I49" s="21"/>
      <c r="J49" s="21"/>
      <c r="K49" s="21"/>
      <c r="L49" s="22"/>
      <c r="M49" s="21"/>
      <c r="N49" s="21"/>
      <c r="O49" s="66">
        <v>10</v>
      </c>
      <c r="P49" s="67">
        <v>1</v>
      </c>
      <c r="Q49" s="23">
        <f t="shared" si="3"/>
        <v>2419988.4000000004</v>
      </c>
      <c r="R49" s="6"/>
      <c r="S49" s="6"/>
      <c r="T49" s="5"/>
      <c r="U49" s="4"/>
      <c r="AA49" s="24"/>
    </row>
    <row r="50" spans="1:27" ht="108" x14ac:dyDescent="0.35">
      <c r="A50" s="18">
        <v>22</v>
      </c>
      <c r="B50" s="30">
        <v>46294</v>
      </c>
      <c r="C50" s="25" t="s">
        <v>131</v>
      </c>
      <c r="D50" s="20" t="s">
        <v>132</v>
      </c>
      <c r="E50" s="21"/>
      <c r="F50" s="21"/>
      <c r="G50" s="21"/>
      <c r="H50" s="21"/>
      <c r="I50" s="21"/>
      <c r="J50" s="21"/>
      <c r="K50" s="21"/>
      <c r="L50" s="22"/>
      <c r="M50" s="21"/>
      <c r="N50" s="21"/>
      <c r="O50" s="68">
        <v>50</v>
      </c>
      <c r="P50" s="69">
        <v>5</v>
      </c>
      <c r="Q50" s="23">
        <f t="shared" si="3"/>
        <v>4900014.0000000009</v>
      </c>
      <c r="R50" s="6"/>
      <c r="S50" s="31"/>
      <c r="T50" s="5"/>
      <c r="U50" s="7"/>
      <c r="AA50" s="24"/>
    </row>
    <row r="51" spans="1:27" x14ac:dyDescent="0.35">
      <c r="A51" s="18"/>
      <c r="B51" s="30">
        <v>46335</v>
      </c>
      <c r="C51" s="25" t="s">
        <v>147</v>
      </c>
      <c r="D51" s="20"/>
      <c r="E51" s="21"/>
      <c r="F51" s="21"/>
      <c r="G51" s="21"/>
      <c r="H51" s="21"/>
      <c r="I51" s="21"/>
      <c r="J51" s="21"/>
      <c r="K51" s="21"/>
      <c r="L51" s="22"/>
      <c r="M51" s="21"/>
      <c r="N51" s="21"/>
      <c r="O51" s="68">
        <v>50</v>
      </c>
      <c r="P51" s="69">
        <v>5</v>
      </c>
      <c r="Q51" s="23">
        <f t="shared" si="3"/>
        <v>4900014.0000000009</v>
      </c>
      <c r="R51" s="6"/>
      <c r="S51" s="31"/>
      <c r="T51" s="5"/>
      <c r="U51" s="7"/>
      <c r="AA51" s="24"/>
    </row>
    <row r="52" spans="1:27" x14ac:dyDescent="0.35">
      <c r="A52" s="18"/>
      <c r="B52" s="30">
        <v>46335</v>
      </c>
      <c r="C52" s="25" t="s">
        <v>148</v>
      </c>
      <c r="D52" s="20"/>
      <c r="E52" s="21"/>
      <c r="F52" s="21"/>
      <c r="G52" s="21"/>
      <c r="H52" s="21"/>
      <c r="I52" s="21"/>
      <c r="J52" s="21"/>
      <c r="K52" s="21"/>
      <c r="L52" s="22"/>
      <c r="M52" s="21"/>
      <c r="N52" s="21"/>
      <c r="O52" s="68">
        <v>90</v>
      </c>
      <c r="P52" s="69">
        <v>9</v>
      </c>
      <c r="Q52" s="23"/>
      <c r="R52" s="6"/>
      <c r="S52" s="31"/>
      <c r="T52" s="5"/>
      <c r="U52" s="7"/>
      <c r="AA52" s="24"/>
    </row>
    <row r="53" spans="1:27" ht="36" customHeight="1" x14ac:dyDescent="0.35">
      <c r="A53" s="18">
        <v>23</v>
      </c>
      <c r="B53" s="89">
        <v>46294</v>
      </c>
      <c r="C53" s="90" t="s">
        <v>107</v>
      </c>
      <c r="D53" s="91"/>
      <c r="E53" s="92">
        <v>10</v>
      </c>
      <c r="F53" s="68">
        <v>1</v>
      </c>
      <c r="G53" s="68">
        <v>18</v>
      </c>
      <c r="H53" s="68">
        <v>1</v>
      </c>
      <c r="I53" s="21"/>
      <c r="J53" s="21"/>
      <c r="K53" s="68">
        <v>26</v>
      </c>
      <c r="L53" s="69">
        <v>2</v>
      </c>
      <c r="M53" s="21"/>
      <c r="N53" s="21"/>
      <c r="O53" s="68">
        <v>282</v>
      </c>
      <c r="P53" s="69">
        <v>28</v>
      </c>
      <c r="Q53" s="23">
        <f t="shared" si="3"/>
        <v>31262079.600000005</v>
      </c>
      <c r="R53" s="6"/>
      <c r="T53" s="5"/>
      <c r="U53" s="4"/>
      <c r="AA53" s="24"/>
    </row>
    <row r="54" spans="1:27" ht="54" x14ac:dyDescent="0.35">
      <c r="A54" s="18">
        <v>24</v>
      </c>
      <c r="B54" s="30">
        <v>46294</v>
      </c>
      <c r="C54" s="25" t="s">
        <v>133</v>
      </c>
      <c r="D54" s="20" t="s">
        <v>134</v>
      </c>
      <c r="E54" s="32"/>
      <c r="F54" s="21"/>
      <c r="G54" s="68">
        <v>10</v>
      </c>
      <c r="H54" s="68">
        <v>1</v>
      </c>
      <c r="I54" s="21"/>
      <c r="J54" s="21"/>
      <c r="K54" s="21"/>
      <c r="L54" s="22"/>
      <c r="M54" s="21"/>
      <c r="N54" s="21"/>
      <c r="O54" s="21"/>
      <c r="P54" s="22"/>
      <c r="Q54" s="23">
        <f t="shared" si="3"/>
        <v>519998.4</v>
      </c>
      <c r="R54" s="6"/>
      <c r="T54" s="6"/>
      <c r="U54" s="4"/>
      <c r="AA54" s="24"/>
    </row>
    <row r="55" spans="1:27" ht="28.2" customHeight="1" x14ac:dyDescent="0.35">
      <c r="A55" s="18">
        <v>7</v>
      </c>
      <c r="B55" s="54" t="s">
        <v>103</v>
      </c>
      <c r="C55" s="88" t="s">
        <v>112</v>
      </c>
      <c r="D55" s="21" t="s">
        <v>113</v>
      </c>
      <c r="E55" s="21"/>
      <c r="F55" s="21"/>
      <c r="G55" s="21">
        <v>14</v>
      </c>
      <c r="H55" s="21">
        <v>1</v>
      </c>
      <c r="I55" s="21"/>
      <c r="J55" s="21"/>
      <c r="K55" s="21"/>
      <c r="L55" s="21"/>
      <c r="M55" s="21">
        <v>10</v>
      </c>
      <c r="N55" s="21">
        <v>1</v>
      </c>
      <c r="O55" s="21">
        <v>189</v>
      </c>
      <c r="P55" s="21">
        <v>18</v>
      </c>
      <c r="Q55" s="23">
        <f>E55*E6+G55*G6+K55*K6+M55*M6+O55*O6</f>
        <v>388572</v>
      </c>
      <c r="R55" s="6"/>
      <c r="T55" s="5"/>
      <c r="U55" s="4"/>
      <c r="AA55" s="24"/>
    </row>
    <row r="56" spans="1:27" ht="45.75" customHeight="1" x14ac:dyDescent="0.35">
      <c r="A56" s="18"/>
      <c r="B56" s="33"/>
      <c r="C56" s="25"/>
      <c r="D56" s="21"/>
      <c r="E56" s="94">
        <f>SUBTOTAL(9,E7:E55)</f>
        <v>258</v>
      </c>
      <c r="F56" s="60">
        <f>SUBTOTAL(9,F7:F55)</f>
        <v>24</v>
      </c>
      <c r="G56" s="60">
        <f>SUBTOTAL(9,G7:G55)</f>
        <v>154</v>
      </c>
      <c r="H56" s="60">
        <f t="shared" ref="H56:P56" si="4">SUBTOTAL(9,H7:H55)</f>
        <v>9</v>
      </c>
      <c r="I56" s="60">
        <f t="shared" si="4"/>
        <v>6</v>
      </c>
      <c r="J56" s="60">
        <f t="shared" si="4"/>
        <v>0</v>
      </c>
      <c r="K56" s="60">
        <f t="shared" si="4"/>
        <v>115</v>
      </c>
      <c r="L56" s="60">
        <f t="shared" si="4"/>
        <v>11</v>
      </c>
      <c r="M56" s="60">
        <f t="shared" si="4"/>
        <v>10</v>
      </c>
      <c r="N56" s="60">
        <f t="shared" si="4"/>
        <v>1</v>
      </c>
      <c r="O56" s="60">
        <f t="shared" si="4"/>
        <v>2044</v>
      </c>
      <c r="P56" s="60">
        <f t="shared" si="4"/>
        <v>217</v>
      </c>
      <c r="Q56" s="34">
        <f>SUM(Q7:Q55)</f>
        <v>196591284.72000003</v>
      </c>
      <c r="R56" s="6"/>
    </row>
    <row r="57" spans="1:27" ht="30.6" customHeight="1" x14ac:dyDescent="0.35">
      <c r="A57" s="6"/>
      <c r="B57" s="6"/>
      <c r="E57" s="26">
        <v>44444</v>
      </c>
      <c r="F57" s="34">
        <f>E57*E56</f>
        <v>11466552</v>
      </c>
      <c r="G57" s="34">
        <v>48148</v>
      </c>
      <c r="H57" s="34">
        <f>G57*G56</f>
        <v>7414792</v>
      </c>
      <c r="I57" s="34">
        <v>86111</v>
      </c>
      <c r="J57" s="34">
        <f>I57*I56</f>
        <v>516666</v>
      </c>
      <c r="K57" s="34">
        <v>78704</v>
      </c>
      <c r="L57" s="34">
        <f>K57*K56</f>
        <v>9050960</v>
      </c>
      <c r="M57" s="34">
        <v>98149</v>
      </c>
      <c r="N57" s="34">
        <f>M57*M56</f>
        <v>981490</v>
      </c>
      <c r="O57" s="34">
        <v>90741</v>
      </c>
      <c r="P57" s="34">
        <f>O57*O56</f>
        <v>185474604</v>
      </c>
      <c r="Q57" s="34">
        <f>F57+H57+J57+L57+N57+P57</f>
        <v>214905064</v>
      </c>
      <c r="S57" s="24"/>
      <c r="T57" s="35"/>
      <c r="U57" s="36"/>
      <c r="V57" s="24"/>
      <c r="W57" s="24"/>
      <c r="X57" s="24"/>
      <c r="Y57" s="24"/>
      <c r="Z57" s="24"/>
      <c r="AA57" s="24"/>
    </row>
    <row r="59" spans="1:27" x14ac:dyDescent="0.35">
      <c r="E59" s="70"/>
      <c r="G59" s="71">
        <f>G55*G5</f>
        <v>727997.76</v>
      </c>
      <c r="K59" s="2">
        <f>K55*K5</f>
        <v>0</v>
      </c>
      <c r="M59" s="71">
        <f>M55*M5</f>
        <v>1060009.2000000002</v>
      </c>
      <c r="O59" s="71">
        <f>O55*O5</f>
        <v>18522052.920000002</v>
      </c>
    </row>
    <row r="60" spans="1:27" x14ac:dyDescent="0.35">
      <c r="E60" s="70">
        <f>E55*E5</f>
        <v>0</v>
      </c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2"/>
    </row>
  </sheetData>
  <autoFilter ref="A3:AA57" xr:uid="{AA3B8474-B575-4961-8F73-FCE05ECA1275}"/>
  <mergeCells count="4">
    <mergeCell ref="A1:Q1"/>
    <mergeCell ref="A2:Q2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BA64-F457-43D7-A8FD-4B48F68EC087}">
  <dimension ref="A1:AA19"/>
  <sheetViews>
    <sheetView topLeftCell="D1" workbookViewId="0">
      <pane ySplit="5" topLeftCell="A15" activePane="bottomLeft" state="frozen"/>
      <selection pane="bottomLeft" activeCell="O22" sqref="O22"/>
    </sheetView>
  </sheetViews>
  <sheetFormatPr defaultColWidth="9" defaultRowHeight="18" x14ac:dyDescent="0.35"/>
  <cols>
    <col min="1" max="1" width="6.33203125" style="2" customWidth="1"/>
    <col min="2" max="2" width="13" style="2" customWidth="1"/>
    <col min="3" max="3" width="25" style="3" customWidth="1"/>
    <col min="4" max="4" width="36.44140625" style="3" customWidth="1"/>
    <col min="5" max="5" width="10.109375" style="59" customWidth="1"/>
    <col min="6" max="6" width="12.6640625" style="2" customWidth="1"/>
    <col min="7" max="7" width="10.88671875" style="2" customWidth="1"/>
    <col min="8" max="8" width="11.109375" style="2" customWidth="1"/>
    <col min="9" max="9" width="11" style="2" customWidth="1"/>
    <col min="10" max="10" width="11.109375" style="2" customWidth="1"/>
    <col min="11" max="11" width="10.44140625" style="2" customWidth="1"/>
    <col min="12" max="12" width="12.5546875" style="2" customWidth="1"/>
    <col min="13" max="13" width="11.6640625" style="2" customWidth="1"/>
    <col min="14" max="14" width="13" style="2" customWidth="1"/>
    <col min="15" max="15" width="15" style="2" customWidth="1"/>
    <col min="16" max="16" width="14.6640625" style="2" customWidth="1"/>
    <col min="17" max="17" width="17" style="3" customWidth="1"/>
    <col min="18" max="18" width="23.5546875" style="3" customWidth="1"/>
    <col min="19" max="19" width="13.88671875" style="3" customWidth="1"/>
    <col min="20" max="20" width="19.21875" style="4" customWidth="1"/>
    <col min="21" max="21" width="33.6640625" style="5" customWidth="1"/>
    <col min="22" max="27" width="9.109375" style="3" customWidth="1"/>
  </cols>
  <sheetData>
    <row r="1" spans="1:27" ht="27.75" customHeight="1" x14ac:dyDescent="0.3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6"/>
      <c r="S1" s="6"/>
      <c r="T1" s="7"/>
      <c r="U1" s="8"/>
    </row>
    <row r="2" spans="1:27" ht="30.75" customHeight="1" x14ac:dyDescent="0.35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6"/>
    </row>
    <row r="3" spans="1:27" ht="82.5" customHeight="1" x14ac:dyDescent="0.3">
      <c r="A3" s="9" t="s">
        <v>2</v>
      </c>
      <c r="B3" s="9" t="s">
        <v>3</v>
      </c>
      <c r="C3" s="9" t="s">
        <v>4</v>
      </c>
      <c r="D3" s="9" t="s">
        <v>5</v>
      </c>
      <c r="E3" s="77" t="s">
        <v>6</v>
      </c>
      <c r="F3" s="78" t="s">
        <v>7</v>
      </c>
      <c r="G3" s="10" t="s">
        <v>8</v>
      </c>
      <c r="H3" s="11" t="s">
        <v>9</v>
      </c>
      <c r="I3" s="77" t="s">
        <v>10</v>
      </c>
      <c r="J3" s="78" t="s">
        <v>11</v>
      </c>
      <c r="K3" s="10" t="s">
        <v>12</v>
      </c>
      <c r="L3" s="11" t="s">
        <v>13</v>
      </c>
      <c r="M3" s="77" t="s">
        <v>14</v>
      </c>
      <c r="N3" s="78" t="s">
        <v>15</v>
      </c>
      <c r="O3" s="10" t="s">
        <v>16</v>
      </c>
      <c r="P3" s="11" t="s">
        <v>17</v>
      </c>
      <c r="Q3" s="9" t="s">
        <v>18</v>
      </c>
      <c r="R3" s="12"/>
      <c r="S3" s="13"/>
      <c r="T3" s="14"/>
      <c r="U3" s="15"/>
      <c r="V3" s="13"/>
      <c r="W3" s="13"/>
      <c r="X3" s="16"/>
      <c r="Y3" s="16"/>
      <c r="Z3" s="16"/>
      <c r="AA3" s="16"/>
    </row>
    <row r="4" spans="1:27" ht="27" customHeight="1" x14ac:dyDescent="0.3">
      <c r="A4" s="97" t="s">
        <v>19</v>
      </c>
      <c r="B4" s="98"/>
      <c r="C4" s="98"/>
      <c r="D4" s="99"/>
      <c r="E4" s="17" t="s">
        <v>20</v>
      </c>
      <c r="F4" s="17"/>
      <c r="G4" s="17" t="s">
        <v>20</v>
      </c>
      <c r="H4" s="17"/>
      <c r="I4" s="17" t="s">
        <v>21</v>
      </c>
      <c r="J4" s="17"/>
      <c r="K4" s="17" t="s">
        <v>22</v>
      </c>
      <c r="L4" s="17"/>
      <c r="M4" s="17" t="s">
        <v>21</v>
      </c>
      <c r="N4" s="17"/>
      <c r="O4" s="17" t="s">
        <v>22</v>
      </c>
      <c r="P4" s="17"/>
      <c r="Q4" s="1"/>
      <c r="R4" s="12"/>
      <c r="S4" s="13"/>
      <c r="T4" s="14"/>
      <c r="U4" s="15"/>
      <c r="V4" s="13" t="s">
        <v>23</v>
      </c>
      <c r="W4" s="13" t="s">
        <v>24</v>
      </c>
      <c r="X4" s="16"/>
      <c r="Y4" s="16"/>
      <c r="Z4" s="16"/>
      <c r="AA4" s="16"/>
    </row>
    <row r="5" spans="1:27" ht="27" customHeight="1" x14ac:dyDescent="0.3">
      <c r="A5" s="100" t="s">
        <v>25</v>
      </c>
      <c r="B5" s="101"/>
      <c r="C5" s="101"/>
      <c r="D5" s="102"/>
      <c r="E5" s="63">
        <f>44444*1.08</f>
        <v>47999.520000000004</v>
      </c>
      <c r="F5" s="64"/>
      <c r="G5" s="63">
        <f>48148*1.08</f>
        <v>51999.840000000004</v>
      </c>
      <c r="H5" s="64"/>
      <c r="I5" s="63">
        <f>86111*1.08</f>
        <v>92999.88</v>
      </c>
      <c r="J5" s="64"/>
      <c r="K5" s="63">
        <f>78704*1.08</f>
        <v>85000.320000000007</v>
      </c>
      <c r="L5" s="64"/>
      <c r="M5" s="63">
        <f>98149*1.08</f>
        <v>106000.92000000001</v>
      </c>
      <c r="N5" s="64"/>
      <c r="O5" s="63">
        <f>90741*1.08</f>
        <v>98000.280000000013</v>
      </c>
      <c r="P5" s="64">
        <v>0</v>
      </c>
      <c r="Q5" s="65"/>
      <c r="R5" s="12"/>
      <c r="S5" s="13"/>
      <c r="T5" s="14"/>
      <c r="U5" s="15"/>
      <c r="V5" s="13"/>
      <c r="W5" s="13"/>
      <c r="X5" s="16"/>
      <c r="Y5" s="16"/>
      <c r="Z5" s="16"/>
      <c r="AA5" s="16"/>
    </row>
    <row r="6" spans="1:27" s="62" customFormat="1" ht="27" customHeight="1" x14ac:dyDescent="0.3">
      <c r="C6" s="83"/>
      <c r="E6" s="61">
        <f t="shared" ref="E6:P6" si="0">SUM(E7:E14)</f>
        <v>83</v>
      </c>
      <c r="F6" s="61">
        <f t="shared" si="0"/>
        <v>6</v>
      </c>
      <c r="G6" s="61">
        <f t="shared" si="0"/>
        <v>107</v>
      </c>
      <c r="H6" s="61">
        <f t="shared" si="0"/>
        <v>10</v>
      </c>
      <c r="I6" s="61">
        <f t="shared" si="0"/>
        <v>2</v>
      </c>
      <c r="J6" s="61">
        <f t="shared" si="0"/>
        <v>0</v>
      </c>
      <c r="K6" s="61">
        <f t="shared" si="0"/>
        <v>31</v>
      </c>
      <c r="L6" s="61">
        <f t="shared" si="0"/>
        <v>2</v>
      </c>
      <c r="M6" s="61">
        <f t="shared" si="0"/>
        <v>0</v>
      </c>
      <c r="N6" s="61">
        <f t="shared" si="0"/>
        <v>0</v>
      </c>
      <c r="O6" s="61">
        <f t="shared" si="0"/>
        <v>226</v>
      </c>
      <c r="P6" s="61">
        <f t="shared" si="0"/>
        <v>22</v>
      </c>
      <c r="Q6" s="37"/>
      <c r="R6" s="12"/>
      <c r="S6" s="13"/>
      <c r="T6" s="14"/>
      <c r="U6" s="15"/>
      <c r="V6" s="13"/>
      <c r="W6" s="13"/>
      <c r="X6" s="16"/>
      <c r="Y6" s="16"/>
      <c r="Z6" s="16"/>
      <c r="AA6" s="16"/>
    </row>
    <row r="7" spans="1:27" ht="38.4" customHeight="1" x14ac:dyDescent="0.35">
      <c r="A7" s="18">
        <v>2</v>
      </c>
      <c r="B7" s="54" t="s">
        <v>103</v>
      </c>
      <c r="C7" s="84" t="s">
        <v>135</v>
      </c>
      <c r="D7" s="42" t="s">
        <v>136</v>
      </c>
      <c r="E7" s="21">
        <v>50</v>
      </c>
      <c r="F7" s="21">
        <v>5</v>
      </c>
      <c r="G7" s="41"/>
      <c r="H7" s="41"/>
      <c r="I7" s="41"/>
      <c r="J7" s="43"/>
      <c r="K7" s="44">
        <v>8</v>
      </c>
      <c r="L7" s="44"/>
      <c r="M7" s="44"/>
      <c r="N7" s="44"/>
      <c r="O7" s="44"/>
      <c r="P7" s="44"/>
      <c r="Q7" s="55">
        <f>E7*E5+K7*K5+O7*O5</f>
        <v>3079978.56</v>
      </c>
      <c r="R7" s="44"/>
      <c r="S7"/>
      <c r="T7"/>
      <c r="U7"/>
      <c r="V7"/>
      <c r="W7"/>
      <c r="X7"/>
      <c r="Y7"/>
      <c r="Z7"/>
      <c r="AA7"/>
    </row>
    <row r="8" spans="1:27" s="75" customFormat="1" ht="71.400000000000006" customHeight="1" x14ac:dyDescent="0.35">
      <c r="A8" s="18">
        <v>1</v>
      </c>
      <c r="B8" s="54" t="s">
        <v>33</v>
      </c>
      <c r="C8" s="84" t="s">
        <v>31</v>
      </c>
      <c r="D8" s="42" t="s">
        <v>32</v>
      </c>
      <c r="E8" s="21">
        <v>0</v>
      </c>
      <c r="F8" s="21"/>
      <c r="G8" s="41">
        <v>14</v>
      </c>
      <c r="H8" s="41">
        <v>1</v>
      </c>
      <c r="I8" s="41">
        <v>2</v>
      </c>
      <c r="J8" s="43"/>
      <c r="K8" s="73"/>
      <c r="L8" s="73"/>
      <c r="M8" s="73"/>
      <c r="N8" s="73"/>
      <c r="O8" s="73"/>
      <c r="P8" s="73"/>
      <c r="Q8" s="74">
        <f>G8*G5+I8*I5</f>
        <v>913997.52</v>
      </c>
      <c r="R8" s="73"/>
    </row>
    <row r="9" spans="1:27" s="75" customFormat="1" ht="78" customHeight="1" x14ac:dyDescent="0.35">
      <c r="A9" s="18">
        <v>2</v>
      </c>
      <c r="B9" s="54" t="s">
        <v>57</v>
      </c>
      <c r="C9" s="84" t="s">
        <v>62</v>
      </c>
      <c r="D9" s="42" t="s">
        <v>63</v>
      </c>
      <c r="E9" s="21"/>
      <c r="F9" s="21"/>
      <c r="G9" s="51">
        <v>30</v>
      </c>
      <c r="H9" s="41">
        <v>3</v>
      </c>
      <c r="I9" s="51"/>
      <c r="J9" s="43"/>
      <c r="K9" s="73"/>
      <c r="L9" s="73"/>
      <c r="M9" s="73"/>
      <c r="N9" s="73"/>
      <c r="O9" s="73"/>
      <c r="P9" s="73"/>
      <c r="Q9" s="74">
        <f>G9*G5</f>
        <v>1559995.2000000002</v>
      </c>
      <c r="R9" s="73"/>
    </row>
    <row r="10" spans="1:27" ht="69.599999999999994" customHeight="1" x14ac:dyDescent="0.35">
      <c r="A10" s="18">
        <v>1</v>
      </c>
      <c r="B10" s="54" t="s">
        <v>103</v>
      </c>
      <c r="C10" s="84" t="s">
        <v>137</v>
      </c>
      <c r="D10" s="42" t="s">
        <v>144</v>
      </c>
      <c r="E10" s="51">
        <v>5</v>
      </c>
      <c r="F10" s="48"/>
      <c r="G10" s="41"/>
      <c r="H10" s="41"/>
      <c r="I10" s="41"/>
      <c r="J10" s="43"/>
      <c r="K10" s="46"/>
      <c r="L10" s="46"/>
      <c r="M10" s="44"/>
      <c r="N10" s="44"/>
      <c r="O10" s="44"/>
      <c r="P10" s="44"/>
      <c r="Q10" s="48">
        <f>E10*E5</f>
        <v>239997.60000000003</v>
      </c>
      <c r="R10" s="47" t="s">
        <v>47</v>
      </c>
      <c r="S10" s="49"/>
      <c r="T10"/>
      <c r="U10"/>
      <c r="V10"/>
      <c r="W10"/>
      <c r="X10"/>
      <c r="Y10"/>
      <c r="Z10"/>
      <c r="AA10"/>
    </row>
    <row r="11" spans="1:27" ht="79.2" customHeight="1" x14ac:dyDescent="0.3">
      <c r="A11" s="18">
        <v>2</v>
      </c>
      <c r="B11" s="54" t="s">
        <v>103</v>
      </c>
      <c r="C11" s="84" t="s">
        <v>138</v>
      </c>
      <c r="D11" s="42" t="s">
        <v>144</v>
      </c>
      <c r="E11" s="21">
        <v>5</v>
      </c>
      <c r="F11" s="21"/>
      <c r="G11" s="51"/>
      <c r="H11" s="51"/>
      <c r="I11" s="51"/>
      <c r="J11" s="43"/>
      <c r="K11" s="55"/>
      <c r="L11" s="44"/>
      <c r="M11" s="44"/>
      <c r="N11" s="44"/>
      <c r="O11" s="48"/>
      <c r="P11" s="46"/>
      <c r="Q11" s="48">
        <f>E11*E5</f>
        <v>239997.60000000003</v>
      </c>
      <c r="R11" s="44"/>
      <c r="S11"/>
      <c r="T11"/>
      <c r="U11"/>
      <c r="V11"/>
      <c r="W11"/>
      <c r="X11"/>
      <c r="Y11"/>
      <c r="Z11"/>
      <c r="AA11"/>
    </row>
    <row r="12" spans="1:27" ht="85.2" customHeight="1" x14ac:dyDescent="0.35">
      <c r="A12" s="18">
        <v>1</v>
      </c>
      <c r="B12" s="54" t="s">
        <v>103</v>
      </c>
      <c r="C12" s="84" t="s">
        <v>139</v>
      </c>
      <c r="D12" s="42" t="s">
        <v>144</v>
      </c>
      <c r="E12" s="51">
        <v>7</v>
      </c>
      <c r="F12" s="48"/>
      <c r="G12" s="41"/>
      <c r="H12" s="41"/>
      <c r="I12" s="41"/>
      <c r="J12" s="43"/>
      <c r="K12" s="46"/>
      <c r="L12" s="46"/>
      <c r="M12" s="44"/>
      <c r="N12" s="44"/>
      <c r="O12" s="44"/>
      <c r="P12" s="44"/>
      <c r="Q12" s="48">
        <f>E12*E5</f>
        <v>335996.64</v>
      </c>
      <c r="R12" s="47"/>
      <c r="S12" s="49"/>
      <c r="T12"/>
      <c r="U12"/>
      <c r="V12"/>
      <c r="W12"/>
      <c r="X12"/>
      <c r="Y12"/>
      <c r="Z12"/>
      <c r="AA12"/>
    </row>
    <row r="13" spans="1:27" ht="78" customHeight="1" x14ac:dyDescent="0.3">
      <c r="A13" s="18">
        <v>2</v>
      </c>
      <c r="B13" s="54" t="s">
        <v>103</v>
      </c>
      <c r="C13" s="84" t="s">
        <v>140</v>
      </c>
      <c r="D13" s="42" t="s">
        <v>145</v>
      </c>
      <c r="E13" s="21"/>
      <c r="F13" s="21"/>
      <c r="G13" s="48"/>
      <c r="H13" s="51"/>
      <c r="I13" s="51"/>
      <c r="J13" s="43"/>
      <c r="K13" s="55"/>
      <c r="L13" s="44"/>
      <c r="M13" s="44"/>
      <c r="N13" s="44"/>
      <c r="O13" s="48">
        <v>40</v>
      </c>
      <c r="P13" s="46">
        <v>4</v>
      </c>
      <c r="Q13" s="48">
        <f>O13*O5</f>
        <v>3920011.2000000007</v>
      </c>
      <c r="R13" s="47" t="s">
        <v>141</v>
      </c>
      <c r="S13"/>
      <c r="T13"/>
      <c r="U13"/>
      <c r="V13"/>
      <c r="W13"/>
      <c r="X13"/>
      <c r="Y13"/>
      <c r="Z13"/>
      <c r="AA13"/>
    </row>
    <row r="14" spans="1:27" ht="46.8" customHeight="1" x14ac:dyDescent="0.35">
      <c r="A14" s="18">
        <v>7</v>
      </c>
      <c r="B14" s="54" t="s">
        <v>103</v>
      </c>
      <c r="C14" s="88" t="s">
        <v>142</v>
      </c>
      <c r="D14" s="20" t="s">
        <v>143</v>
      </c>
      <c r="E14" s="21">
        <v>16</v>
      </c>
      <c r="F14" s="21">
        <v>1</v>
      </c>
      <c r="G14" s="21">
        <v>63</v>
      </c>
      <c r="H14" s="21">
        <v>6</v>
      </c>
      <c r="I14" s="21"/>
      <c r="J14" s="21"/>
      <c r="K14" s="21">
        <v>23</v>
      </c>
      <c r="L14" s="21">
        <v>2</v>
      </c>
      <c r="M14" s="21"/>
      <c r="N14" s="21"/>
      <c r="O14" s="21">
        <v>186</v>
      </c>
      <c r="P14" s="21">
        <v>18</v>
      </c>
      <c r="Q14" s="23">
        <f>E14*E5+G14*G5+K14*K5+O14*O5</f>
        <v>24227041.680000003</v>
      </c>
      <c r="R14" s="6"/>
      <c r="T14" s="5"/>
      <c r="U14" s="4"/>
      <c r="AA14" s="24"/>
    </row>
    <row r="15" spans="1:27" ht="45.75" customHeight="1" x14ac:dyDescent="0.35">
      <c r="A15" s="18"/>
      <c r="B15" s="33"/>
      <c r="C15" s="25"/>
      <c r="D15" s="21"/>
      <c r="E15" s="60">
        <f t="shared" ref="E15:P15" si="1">SUBTOTAL(9,E7:E14)</f>
        <v>83</v>
      </c>
      <c r="F15" s="60">
        <f t="shared" si="1"/>
        <v>6</v>
      </c>
      <c r="G15" s="60">
        <f t="shared" si="1"/>
        <v>107</v>
      </c>
      <c r="H15" s="60">
        <f t="shared" si="1"/>
        <v>10</v>
      </c>
      <c r="I15" s="60">
        <f t="shared" si="1"/>
        <v>2</v>
      </c>
      <c r="J15" s="60">
        <f t="shared" si="1"/>
        <v>0</v>
      </c>
      <c r="K15" s="60">
        <f t="shared" si="1"/>
        <v>31</v>
      </c>
      <c r="L15" s="60">
        <f t="shared" si="1"/>
        <v>2</v>
      </c>
      <c r="M15" s="60">
        <f t="shared" si="1"/>
        <v>0</v>
      </c>
      <c r="N15" s="60">
        <f t="shared" si="1"/>
        <v>0</v>
      </c>
      <c r="O15" s="60">
        <f t="shared" si="1"/>
        <v>226</v>
      </c>
      <c r="P15" s="60">
        <f t="shared" si="1"/>
        <v>22</v>
      </c>
      <c r="Q15" s="76">
        <f>SUM(Q7:Q14)</f>
        <v>34517016</v>
      </c>
      <c r="R15" s="6"/>
    </row>
    <row r="16" spans="1:27" x14ac:dyDescent="0.35">
      <c r="A16" s="6"/>
      <c r="B16" s="6"/>
      <c r="E16" s="26">
        <v>44444</v>
      </c>
      <c r="F16" s="34">
        <f>E16*E15</f>
        <v>3688852</v>
      </c>
      <c r="G16" s="34">
        <v>48148</v>
      </c>
      <c r="H16" s="34">
        <f>G16*G15</f>
        <v>5151836</v>
      </c>
      <c r="I16" s="34">
        <v>86111</v>
      </c>
      <c r="J16" s="34">
        <f>I16*I15</f>
        <v>172222</v>
      </c>
      <c r="K16" s="34">
        <v>78704</v>
      </c>
      <c r="L16" s="34">
        <f>K16*K15</f>
        <v>2439824</v>
      </c>
      <c r="M16" s="34">
        <v>98149</v>
      </c>
      <c r="N16" s="34">
        <f>M16*M15</f>
        <v>0</v>
      </c>
      <c r="O16" s="34">
        <v>90741</v>
      </c>
      <c r="P16" s="34">
        <f>O16*O15</f>
        <v>20507466</v>
      </c>
      <c r="Q16" s="34">
        <f>F16+H16+J16+L16+N16+P16</f>
        <v>31960200</v>
      </c>
      <c r="S16" s="24"/>
      <c r="T16" s="35"/>
      <c r="U16" s="36"/>
      <c r="V16" s="24"/>
      <c r="W16" s="24"/>
      <c r="X16" s="24"/>
      <c r="Y16" s="24"/>
      <c r="Z16" s="24"/>
      <c r="AA16" s="24"/>
    </row>
    <row r="19" spans="5:16" x14ac:dyDescent="0.35">
      <c r="E19" s="70"/>
      <c r="F19" s="70">
        <f t="shared" ref="F19:P19" si="2">F14*F5</f>
        <v>0</v>
      </c>
      <c r="G19" s="70"/>
      <c r="H19" s="70">
        <f t="shared" si="2"/>
        <v>0</v>
      </c>
      <c r="I19" s="70">
        <f t="shared" si="2"/>
        <v>0</v>
      </c>
      <c r="J19" s="70">
        <f t="shared" si="2"/>
        <v>0</v>
      </c>
      <c r="K19" s="70"/>
      <c r="L19" s="70">
        <f t="shared" si="2"/>
        <v>0</v>
      </c>
      <c r="M19" s="70">
        <f t="shared" si="2"/>
        <v>0</v>
      </c>
      <c r="N19" s="70">
        <f t="shared" si="2"/>
        <v>0</v>
      </c>
      <c r="O19" s="70"/>
      <c r="P19" s="70">
        <f t="shared" si="2"/>
        <v>0</v>
      </c>
    </row>
  </sheetData>
  <autoFilter ref="A3:AA16" xr:uid="{C3DDBA64-F457-43D7-A8FD-4B48F68EC087}"/>
  <mergeCells count="4">
    <mergeCell ref="A1:Q1"/>
    <mergeCell ref="A2:Q2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foxz</vt:lpstr>
      <vt:lpstr>Tổng hóa đơn xí nghiệp</vt:lpstr>
      <vt:lpstr>Hóa đơn Công 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Nhung Doan</cp:lastModifiedBy>
  <cp:revision>53</cp:revision>
  <dcterms:created xsi:type="dcterms:W3CDTF">2015-06-05T18:17:20Z</dcterms:created>
  <dcterms:modified xsi:type="dcterms:W3CDTF">2026-10-02T09:24:43Z</dcterms:modified>
  <dc:language>vi-VN</dc:language>
</cp:coreProperties>
</file>